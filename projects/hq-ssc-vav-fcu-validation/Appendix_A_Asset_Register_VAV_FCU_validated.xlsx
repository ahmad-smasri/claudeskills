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arcairo-my.sharepoint.com/personal/ahmad_sharafalmasri_dar_com/Documents/3. Qatar Foundation/1. Asset Registry/"/>
    </mc:Choice>
  </mc:AlternateContent>
  <xr:revisionPtr revIDLastSave="638" documentId="8_{76E61658-9A2C-42B1-8F3D-0AB7DA7AA1FD}" xr6:coauthVersionLast="47" xr6:coauthVersionMax="47" xr10:uidLastSave="{EAE46830-2DD1-422B-BD27-13A055975747}"/>
  <bookViews>
    <workbookView xWindow="22932" yWindow="-2916" windowWidth="30936" windowHeight="16776" firstSheet="4" activeTab="8" xr2:uid="{00000000-000D-0000-FFFF-FFFF00000000}"/>
  </bookViews>
  <sheets>
    <sheet name="Claude Log" sheetId="1" r:id="rId1"/>
    <sheet name="HQ Asset Register" sheetId="2" r:id="rId2"/>
    <sheet name="QNL Asset Register" sheetId="3" r:id="rId3"/>
    <sheet name="SSC Asset Register" sheetId="4" r:id="rId4"/>
    <sheet name="RDC Asset Register" sheetId="5" r:id="rId5"/>
    <sheet name="Controllable Asset Registry" sheetId="6" r:id="rId6"/>
    <sheet name="SSC Room Names with Equip." sheetId="7" r:id="rId7"/>
    <sheet name="HQ Room Names with Equip." sheetId="9" r:id="rId8"/>
    <sheet name="QNL Room Names with Equip." sheetId="10" r:id="rId9"/>
  </sheets>
  <definedNames>
    <definedName name="_xlnm._FilterDatabase" localSheetId="5" hidden="1">'Controllable Asset Registry'!$A$2:$C$2364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0" l="1" a="1"/>
  <c r="D3" i="10" s="1"/>
  <c r="D4" i="10" a="1"/>
  <c r="D4" i="10" s="1"/>
  <c r="D5" i="10" a="1"/>
  <c r="D5" i="10"/>
  <c r="D6" i="10" a="1"/>
  <c r="D6" i="10"/>
  <c r="D7" i="10" a="1"/>
  <c r="D7" i="10"/>
  <c r="D8" i="10" a="1"/>
  <c r="D8" i="10"/>
  <c r="D9" i="10" a="1"/>
  <c r="D9" i="10"/>
  <c r="D10" i="10" a="1"/>
  <c r="D10" i="10"/>
  <c r="D11" i="10" a="1"/>
  <c r="D11" i="10"/>
  <c r="D12" i="10" a="1"/>
  <c r="D12" i="10"/>
  <c r="D13" i="10" a="1"/>
  <c r="D13" i="10" s="1"/>
  <c r="D14" i="10" a="1"/>
  <c r="D14" i="10" s="1"/>
  <c r="D15" i="10" a="1"/>
  <c r="D15" i="10" s="1"/>
  <c r="D16" i="10" a="1"/>
  <c r="D16" i="10"/>
  <c r="D17" i="10" a="1"/>
  <c r="D17" i="10"/>
  <c r="D18" i="10" a="1"/>
  <c r="D18" i="10"/>
  <c r="D19" i="10" a="1"/>
  <c r="D19" i="10"/>
  <c r="D20" i="10" a="1"/>
  <c r="D20" i="10" s="1"/>
  <c r="D21" i="10" a="1"/>
  <c r="D21" i="10"/>
  <c r="D22" i="10" a="1"/>
  <c r="D22" i="10"/>
  <c r="D23" i="10" a="1"/>
  <c r="D23" i="10" s="1"/>
  <c r="D24" i="10" a="1"/>
  <c r="D24" i="10" s="1"/>
  <c r="D25" i="10" a="1"/>
  <c r="D25" i="10"/>
  <c r="D26" i="10" a="1"/>
  <c r="D26" i="10"/>
  <c r="D27" i="10" a="1"/>
  <c r="D27" i="10" s="1"/>
  <c r="D28" i="10" a="1"/>
  <c r="D28" i="10"/>
  <c r="D29" i="10" a="1"/>
  <c r="D29" i="10"/>
  <c r="D30" i="10" a="1"/>
  <c r="D30" i="10"/>
  <c r="D31" i="10" a="1"/>
  <c r="D31" i="10"/>
  <c r="D32" i="10" a="1"/>
  <c r="D32" i="10"/>
  <c r="D33" i="10" a="1"/>
  <c r="D33" i="10" s="1"/>
  <c r="D34" i="10" a="1"/>
  <c r="D34" i="10" s="1"/>
  <c r="D35" i="10" a="1"/>
  <c r="D35" i="10"/>
  <c r="D36" i="10" a="1"/>
  <c r="D36" i="10" s="1"/>
  <c r="D37" i="10" a="1"/>
  <c r="D37" i="10"/>
  <c r="D38" i="10" a="1"/>
  <c r="D38" i="10"/>
  <c r="D39" i="10" a="1"/>
  <c r="D39" i="10"/>
  <c r="D40" i="10" a="1"/>
  <c r="D40" i="10" s="1"/>
  <c r="D41" i="10" a="1"/>
  <c r="D41" i="10"/>
  <c r="D42" i="10" a="1"/>
  <c r="D42" i="10" s="1"/>
  <c r="D43" i="10" a="1"/>
  <c r="D43" i="10" s="1"/>
  <c r="D44" i="10" a="1"/>
  <c r="D44" i="10" s="1"/>
  <c r="D45" i="10" a="1"/>
  <c r="D45" i="10"/>
  <c r="D46" i="10" a="1"/>
  <c r="D46" i="10"/>
  <c r="D47" i="10" a="1"/>
  <c r="D47" i="10"/>
  <c r="D48" i="10" a="1"/>
  <c r="D48" i="10" s="1"/>
  <c r="D49" i="10" a="1"/>
  <c r="D49" i="10"/>
  <c r="D50" i="10" a="1"/>
  <c r="D50" i="10"/>
  <c r="D51" i="10" a="1"/>
  <c r="D51" i="10"/>
  <c r="D52" i="10" a="1"/>
  <c r="D52" i="10" s="1"/>
  <c r="D53" i="10" a="1"/>
  <c r="D53" i="10" s="1"/>
  <c r="D54" i="10" a="1"/>
  <c r="D54" i="10" s="1"/>
  <c r="D55" i="10" a="1"/>
  <c r="D55" i="10"/>
  <c r="D56" i="10" a="1"/>
  <c r="D56" i="10"/>
  <c r="D57" i="10" a="1"/>
  <c r="D57" i="10" s="1"/>
  <c r="D58" i="10" a="1"/>
  <c r="D58" i="10"/>
  <c r="D59" i="10" a="1"/>
  <c r="D59" i="10"/>
  <c r="D60" i="10" a="1"/>
  <c r="D60" i="10" s="1"/>
  <c r="D61" i="10" a="1"/>
  <c r="D61" i="10"/>
  <c r="D62" i="10" a="1"/>
  <c r="D62" i="10" s="1"/>
  <c r="D63" i="10" a="1"/>
  <c r="D63" i="10" s="1"/>
  <c r="D64" i="10" a="1"/>
  <c r="D64" i="10" s="1"/>
  <c r="D65" i="10" a="1"/>
  <c r="D65" i="10" s="1"/>
  <c r="D66" i="10" a="1"/>
  <c r="D66" i="10" s="1"/>
  <c r="D67" i="10" a="1"/>
  <c r="D67" i="10" s="1"/>
  <c r="D68" i="10" a="1"/>
  <c r="D68" i="10" s="1"/>
  <c r="D69" i="10" a="1"/>
  <c r="D69" i="10" s="1"/>
  <c r="D70" i="10" a="1"/>
  <c r="D70" i="10" s="1"/>
  <c r="D71" i="10" a="1"/>
  <c r="D71" i="10"/>
  <c r="D72" i="10" a="1"/>
  <c r="D72" i="10" s="1"/>
  <c r="D73" i="10" a="1"/>
  <c r="D73" i="10" s="1"/>
  <c r="D74" i="10" a="1"/>
  <c r="D74" i="10" s="1"/>
  <c r="D75" i="10" a="1"/>
  <c r="D75" i="10" s="1"/>
  <c r="D76" i="10" a="1"/>
  <c r="D76" i="10" s="1"/>
  <c r="D77" i="10" a="1"/>
  <c r="D77" i="10"/>
  <c r="D78" i="10" a="1"/>
  <c r="D78" i="10"/>
  <c r="D79" i="10" a="1"/>
  <c r="D79" i="10"/>
  <c r="D80" i="10" a="1"/>
  <c r="D80" i="10" s="1"/>
  <c r="D81" i="10" a="1"/>
  <c r="D81" i="10"/>
  <c r="D82" i="10" a="1"/>
  <c r="D82" i="10" s="1"/>
  <c r="D83" i="10" a="1"/>
  <c r="D83" i="10" s="1"/>
  <c r="D84" i="10" a="1"/>
  <c r="D84" i="10" s="1"/>
  <c r="D85" i="10" a="1"/>
  <c r="D85" i="10" s="1"/>
  <c r="D86" i="10" a="1"/>
  <c r="D86" i="10"/>
  <c r="D87" i="10" a="1"/>
  <c r="D87" i="10"/>
  <c r="D88" i="10" a="1"/>
  <c r="D88" i="10"/>
  <c r="D89" i="10" a="1"/>
  <c r="D89" i="10" s="1"/>
  <c r="D90" i="10" a="1"/>
  <c r="D90" i="10"/>
  <c r="D91" i="10" a="1"/>
  <c r="D91" i="10"/>
  <c r="D92" i="10" a="1"/>
  <c r="D92" i="10" s="1"/>
  <c r="D93" i="10" a="1"/>
  <c r="D93" i="10" s="1"/>
  <c r="D94" i="10" a="1"/>
  <c r="D94" i="10" s="1"/>
  <c r="D95" i="10" a="1"/>
  <c r="D95" i="10"/>
  <c r="D96" i="10" a="1"/>
  <c r="D96" i="10"/>
  <c r="D97" i="10" a="1"/>
  <c r="D97" i="10"/>
  <c r="D98" i="10" a="1"/>
  <c r="D98" i="10"/>
  <c r="D99" i="10" a="1"/>
  <c r="D99" i="10" s="1"/>
  <c r="D100" i="10" a="1"/>
  <c r="D100" i="10" s="1"/>
  <c r="D101" i="10" a="1"/>
  <c r="D101" i="10"/>
  <c r="D102" i="10" a="1"/>
  <c r="D102" i="10" s="1"/>
  <c r="D103" i="10" a="1"/>
  <c r="D103" i="10" s="1"/>
  <c r="D104" i="10" a="1"/>
  <c r="D104" i="10" s="1"/>
  <c r="D105" i="10" a="1"/>
  <c r="D105" i="10"/>
  <c r="D106" i="10" a="1"/>
  <c r="D106" i="10"/>
  <c r="D107" i="10" a="1"/>
  <c r="D107" i="10"/>
  <c r="D108" i="10" a="1"/>
  <c r="D108" i="10" s="1"/>
  <c r="D109" i="10" a="1"/>
  <c r="D109" i="10"/>
  <c r="D110" i="10" a="1"/>
  <c r="D110" i="10"/>
  <c r="D111" i="10" a="1"/>
  <c r="D111" i="10"/>
  <c r="D112" i="10" a="1"/>
  <c r="D112" i="10" s="1"/>
  <c r="D113" i="10" a="1"/>
  <c r="D113" i="10" s="1"/>
  <c r="D114" i="10" a="1"/>
  <c r="D114" i="10" s="1"/>
  <c r="D115" i="10" a="1"/>
  <c r="D115" i="10"/>
  <c r="D116" i="10" a="1"/>
  <c r="D116" i="10" s="1"/>
  <c r="D117" i="10" a="1"/>
  <c r="D117" i="10"/>
  <c r="D118" i="10" a="1"/>
  <c r="D118" i="10"/>
  <c r="D119" i="10" a="1"/>
  <c r="D119" i="10"/>
  <c r="D120" i="10" a="1"/>
  <c r="D120" i="10"/>
  <c r="D121" i="10" a="1"/>
  <c r="D121" i="10"/>
  <c r="D122" i="10" a="1"/>
  <c r="D122" i="10" s="1"/>
  <c r="D123" i="10" a="1"/>
  <c r="D123" i="10" s="1"/>
  <c r="D124" i="10" a="1"/>
  <c r="D124" i="10" s="1"/>
  <c r="D125" i="10" a="1"/>
  <c r="D125" i="10"/>
  <c r="D126" i="10" a="1"/>
  <c r="D126" i="10"/>
  <c r="D127" i="10" a="1"/>
  <c r="D127" i="10"/>
  <c r="D128" i="10" a="1"/>
  <c r="D128" i="10"/>
  <c r="D129" i="10" a="1"/>
  <c r="D129" i="10"/>
  <c r="D130" i="10" a="1"/>
  <c r="D130" i="10"/>
  <c r="D131" i="10" a="1"/>
  <c r="D131" i="10"/>
  <c r="D132" i="10" a="1"/>
  <c r="D132" i="10" s="1"/>
  <c r="D133" i="10" a="1"/>
  <c r="D133" i="10" s="1"/>
  <c r="D134" i="10" a="1"/>
  <c r="D134" i="10" s="1"/>
  <c r="D135" i="10" a="1"/>
  <c r="D135" i="10"/>
  <c r="D136" i="10" a="1"/>
  <c r="D136" i="10" s="1"/>
  <c r="D137" i="10" a="1"/>
  <c r="D137" i="10" s="1"/>
  <c r="D138" i="10" a="1"/>
  <c r="D138" i="10"/>
  <c r="D139" i="10" a="1"/>
  <c r="D139" i="10" s="1"/>
  <c r="D140" i="10" a="1"/>
  <c r="D140" i="10"/>
  <c r="D141" i="10" a="1"/>
  <c r="D141" i="10"/>
  <c r="D142" i="10" a="1"/>
  <c r="D142" i="10" s="1"/>
  <c r="D143" i="10" a="1"/>
  <c r="D143" i="10" s="1"/>
  <c r="D144" i="10" a="1"/>
  <c r="D144" i="10" s="1"/>
  <c r="D145" i="10" a="1"/>
  <c r="D145" i="10"/>
  <c r="D146" i="10" a="1"/>
  <c r="D146" i="10"/>
  <c r="D147" i="10" a="1"/>
  <c r="D147" i="10"/>
  <c r="D148" i="10" a="1"/>
  <c r="D148" i="10" s="1"/>
  <c r="D149" i="10" a="1"/>
  <c r="D149" i="10" s="1"/>
  <c r="D150" i="10" a="1"/>
  <c r="D150" i="10"/>
  <c r="D151" i="10" a="1"/>
  <c r="D151" i="10"/>
  <c r="D152" i="10" a="1"/>
  <c r="D152" i="10"/>
  <c r="D153" i="10" a="1"/>
  <c r="D153" i="10" s="1"/>
  <c r="D154" i="10" a="1"/>
  <c r="D154" i="10" s="1"/>
  <c r="D155" i="10" a="1"/>
  <c r="D155" i="10"/>
  <c r="D156" i="10" a="1"/>
  <c r="D156" i="10"/>
  <c r="D157" i="10" a="1"/>
  <c r="D157" i="10"/>
  <c r="D158" i="10" a="1"/>
  <c r="D158" i="10"/>
  <c r="D159" i="10" a="1"/>
  <c r="D159" i="10"/>
  <c r="D160" i="10" a="1"/>
  <c r="D160" i="10"/>
  <c r="D161" i="10" a="1"/>
  <c r="D161" i="10"/>
  <c r="D162" i="10" a="1"/>
  <c r="D162" i="10" s="1"/>
  <c r="D163" i="10" a="1"/>
  <c r="D163" i="10" s="1"/>
  <c r="D164" i="10" a="1"/>
  <c r="D164" i="10" s="1"/>
  <c r="D165" i="10" a="1"/>
  <c r="D165" i="10"/>
  <c r="D166" i="10" a="1"/>
  <c r="D166" i="10"/>
  <c r="D167" i="10" a="1"/>
  <c r="D167" i="10"/>
  <c r="D168" i="10" a="1"/>
  <c r="D168" i="10"/>
  <c r="D169" i="10" a="1"/>
  <c r="D169" i="10"/>
  <c r="D170" i="10" a="1"/>
  <c r="D170" i="10"/>
  <c r="D171" i="10" a="1"/>
  <c r="D171" i="10"/>
  <c r="D172" i="10" a="1"/>
  <c r="D172" i="10"/>
  <c r="D173" i="10" a="1"/>
  <c r="D173" i="10" s="1"/>
  <c r="D174" i="10" a="1"/>
  <c r="D174" i="10" s="1"/>
  <c r="D175" i="10" a="1"/>
  <c r="D175" i="10"/>
  <c r="D176" i="10" a="1"/>
  <c r="D176" i="10"/>
  <c r="D177" i="10" a="1"/>
  <c r="D177" i="10"/>
  <c r="D178" i="10" a="1"/>
  <c r="D178" i="10"/>
  <c r="D179" i="10" a="1"/>
  <c r="D179" i="10" s="1"/>
  <c r="D180" i="10" a="1"/>
  <c r="D180" i="10" s="1"/>
  <c r="D181" i="10" a="1"/>
  <c r="D181" i="10"/>
  <c r="D182" i="10" a="1"/>
  <c r="D182" i="10" s="1"/>
  <c r="D183" i="10" a="1"/>
  <c r="D183" i="10" s="1"/>
  <c r="D184" i="10" a="1"/>
  <c r="D184" i="10" s="1"/>
  <c r="D185" i="10" a="1"/>
  <c r="D185" i="10"/>
  <c r="D186" i="10" a="1"/>
  <c r="D186" i="10" s="1"/>
  <c r="D187" i="10" a="1"/>
  <c r="D187" i="10" s="1"/>
  <c r="D188" i="10" a="1"/>
  <c r="D188" i="10" s="1"/>
  <c r="D189" i="10" a="1"/>
  <c r="D189" i="10" s="1"/>
  <c r="D190" i="10" a="1"/>
  <c r="D190" i="10"/>
  <c r="D191" i="10" a="1"/>
  <c r="D191" i="10"/>
  <c r="D192" i="10" a="1"/>
  <c r="D192" i="10" s="1"/>
  <c r="D193" i="10" a="1"/>
  <c r="D193" i="10" s="1"/>
  <c r="D194" i="10" a="1"/>
  <c r="D194" i="10" s="1"/>
  <c r="D195" i="10" a="1"/>
  <c r="D195" i="10"/>
  <c r="D196" i="10" a="1"/>
  <c r="D196" i="10"/>
  <c r="D197" i="10" a="1"/>
  <c r="D197" i="10"/>
  <c r="D198" i="10" a="1"/>
  <c r="D198" i="10"/>
  <c r="D199" i="10" a="1"/>
  <c r="D199" i="10"/>
  <c r="D200" i="10" a="1"/>
  <c r="D200" i="10"/>
  <c r="D201" i="10" a="1"/>
  <c r="D201" i="10"/>
  <c r="D202" i="10" a="1"/>
  <c r="D202" i="10"/>
  <c r="D203" i="10" a="1"/>
  <c r="D203" i="10" s="1"/>
  <c r="D204" i="10" a="1"/>
  <c r="D204" i="10" s="1"/>
  <c r="D205" i="10" a="1"/>
  <c r="D205" i="10"/>
  <c r="D206" i="10" a="1"/>
  <c r="D206" i="10"/>
  <c r="D207" i="10" a="1"/>
  <c r="D207" i="10" s="1"/>
  <c r="D208" i="10" a="1"/>
  <c r="D208" i="10" s="1"/>
  <c r="D209" i="10" a="1"/>
  <c r="D209" i="10"/>
  <c r="D210" i="10" a="1"/>
  <c r="D210" i="10"/>
  <c r="D211" i="10" a="1"/>
  <c r="D211" i="10"/>
  <c r="D212" i="10" a="1"/>
  <c r="D212" i="10" s="1"/>
  <c r="D213" i="10" a="1"/>
  <c r="D213" i="10" s="1"/>
  <c r="D214" i="10" a="1"/>
  <c r="D214" i="10" s="1"/>
  <c r="D215" i="10" a="1"/>
  <c r="D215" i="10" s="1"/>
  <c r="D216" i="10" a="1"/>
  <c r="D216" i="10"/>
  <c r="D217" i="10" a="1"/>
  <c r="D217" i="10"/>
  <c r="D218" i="10" a="1"/>
  <c r="D218" i="10" s="1"/>
  <c r="D219" i="10" a="1"/>
  <c r="D219" i="10"/>
  <c r="D220" i="10" a="1"/>
  <c r="D220" i="10"/>
  <c r="D221" i="10" a="1"/>
  <c r="D221" i="10"/>
  <c r="D222" i="10" a="1"/>
  <c r="D222" i="10" s="1"/>
  <c r="D223" i="10" a="1"/>
  <c r="D223" i="10" s="1"/>
  <c r="D224" i="10" a="1"/>
  <c r="D224" i="10" s="1"/>
  <c r="D225" i="10" a="1"/>
  <c r="D225" i="10"/>
  <c r="D226" i="10" a="1"/>
  <c r="D226" i="10"/>
  <c r="D227" i="10" a="1"/>
  <c r="D227" i="10"/>
  <c r="D228" i="10" a="1"/>
  <c r="D228" i="10"/>
  <c r="D229" i="10" a="1"/>
  <c r="D229" i="10"/>
  <c r="D230" i="10" a="1"/>
  <c r="D230" i="10"/>
  <c r="D231" i="10" a="1"/>
  <c r="D231" i="10"/>
  <c r="D232" i="10" a="1"/>
  <c r="D232" i="10" s="1"/>
  <c r="D233" i="10" a="1"/>
  <c r="D233" i="10" s="1"/>
  <c r="D234" i="10" a="1"/>
  <c r="D234" i="10" s="1"/>
  <c r="D235" i="10" a="1"/>
  <c r="D235" i="10"/>
  <c r="D236" i="10" a="1"/>
  <c r="D236" i="10"/>
  <c r="D237" i="10" a="1"/>
  <c r="D237" i="10"/>
  <c r="D238" i="10" a="1"/>
  <c r="D238" i="10" s="1"/>
  <c r="D239" i="10" a="1"/>
  <c r="D239" i="10"/>
  <c r="D240" i="10" a="1"/>
  <c r="D240" i="10"/>
  <c r="D241" i="10" a="1"/>
  <c r="D241" i="10"/>
  <c r="D242" i="10" a="1"/>
  <c r="D242" i="10"/>
  <c r="D243" i="10" a="1"/>
  <c r="D243" i="10" s="1"/>
  <c r="D244" i="10" a="1"/>
  <c r="D244" i="10" s="1"/>
  <c r="D245" i="10" a="1"/>
  <c r="D245" i="10"/>
  <c r="D246" i="10" a="1"/>
  <c r="D246" i="10"/>
  <c r="D247" i="10" a="1"/>
  <c r="D247" i="10"/>
  <c r="D248" i="10" a="1"/>
  <c r="D248" i="10"/>
  <c r="D249" i="10" a="1"/>
  <c r="D249" i="10"/>
  <c r="D250" i="10" a="1"/>
  <c r="D250" i="10"/>
  <c r="D251" i="10" a="1"/>
  <c r="D251" i="10"/>
  <c r="D252" i="10" a="1"/>
  <c r="D252" i="10"/>
  <c r="D253" i="10" a="1"/>
  <c r="D253" i="10" s="1"/>
  <c r="D254" i="10" a="1"/>
  <c r="D254" i="10" s="1"/>
  <c r="D255" i="10" a="1"/>
  <c r="D255" i="10"/>
  <c r="D256" i="10" a="1"/>
  <c r="D256" i="10"/>
  <c r="D257" i="10" a="1"/>
  <c r="D257" i="10"/>
  <c r="D258" i="10" a="1"/>
  <c r="D258" i="10"/>
  <c r="D259" i="10" a="1"/>
  <c r="D259" i="10"/>
  <c r="D260" i="10" a="1"/>
  <c r="D260" i="10"/>
  <c r="D261" i="10" a="1"/>
  <c r="D261" i="10"/>
  <c r="D262" i="10" a="1"/>
  <c r="D262" i="10" s="1"/>
  <c r="D263" i="10" a="1"/>
  <c r="D263" i="10" s="1"/>
  <c r="D264" i="10" a="1"/>
  <c r="D264" i="10" s="1"/>
  <c r="D265" i="10" a="1"/>
  <c r="D265" i="10"/>
  <c r="D266" i="10" a="1"/>
  <c r="D266" i="10"/>
  <c r="D267" i="10" a="1"/>
  <c r="D267" i="10"/>
  <c r="D268" i="10" a="1"/>
  <c r="D268" i="10"/>
  <c r="D269" i="10" a="1"/>
  <c r="D269" i="10"/>
  <c r="D270" i="10" a="1"/>
  <c r="D270" i="10"/>
  <c r="D271" i="10" a="1"/>
  <c r="D271" i="10"/>
  <c r="D272" i="10" a="1"/>
  <c r="D272" i="10" s="1"/>
  <c r="D273" i="10" a="1"/>
  <c r="D273" i="10" s="1"/>
  <c r="D274" i="10" a="1"/>
  <c r="D274" i="10" s="1"/>
  <c r="D275" i="10" a="1"/>
  <c r="D275" i="10"/>
  <c r="D276" i="10" a="1"/>
  <c r="D276" i="10" s="1"/>
  <c r="D277" i="10" a="1"/>
  <c r="D277" i="10"/>
  <c r="D278" i="10" a="1"/>
  <c r="D278" i="10"/>
  <c r="D279" i="10" a="1"/>
  <c r="D279" i="10"/>
  <c r="D280" i="10" a="1"/>
  <c r="D280" i="10" s="1"/>
  <c r="D281" i="10" a="1"/>
  <c r="D281" i="10"/>
  <c r="D282" i="10" a="1"/>
  <c r="D282" i="10"/>
  <c r="D283" i="10" a="1"/>
  <c r="D283" i="10" s="1"/>
  <c r="D284" i="10" a="1"/>
  <c r="D284" i="10" s="1"/>
  <c r="D285" i="10" a="1"/>
  <c r="D285" i="10"/>
  <c r="D286" i="10" a="1"/>
  <c r="D286" i="10" s="1"/>
  <c r="D287" i="10" a="1"/>
  <c r="D287" i="10" s="1"/>
  <c r="D288" i="10" a="1"/>
  <c r="D288" i="10"/>
  <c r="D289" i="10" a="1"/>
  <c r="D289" i="10"/>
  <c r="D290" i="10" a="1"/>
  <c r="D290" i="10" s="1"/>
  <c r="D291" i="10" a="1"/>
  <c r="D291" i="10"/>
  <c r="D292" i="10" a="1"/>
  <c r="D292" i="10" s="1"/>
  <c r="D293" i="10" a="1"/>
  <c r="D293" i="10" s="1"/>
  <c r="D294" i="10" a="1"/>
  <c r="D294" i="10" s="1"/>
  <c r="D295" i="10" a="1"/>
  <c r="D295" i="10"/>
  <c r="D296" i="10" a="1"/>
  <c r="D296" i="10"/>
  <c r="D297" i="10" a="1"/>
  <c r="D297" i="10"/>
  <c r="D298" i="10" a="1"/>
  <c r="D298" i="10" s="1"/>
  <c r="D299" i="10" a="1"/>
  <c r="D299" i="10"/>
  <c r="D300" i="10" a="1"/>
  <c r="D300" i="10"/>
  <c r="D301" i="10" a="1"/>
  <c r="D301" i="10"/>
  <c r="D302" i="10" a="1"/>
  <c r="D302" i="10" s="1"/>
  <c r="D303" i="10" a="1"/>
  <c r="D303" i="10" s="1"/>
  <c r="D304" i="10" a="1"/>
  <c r="D304" i="10" s="1"/>
  <c r="D305" i="10" a="1"/>
  <c r="D305" i="10" s="1"/>
  <c r="D306" i="10" a="1"/>
  <c r="D306" i="10" s="1"/>
  <c r="D307" i="10" a="1"/>
  <c r="D307" i="10"/>
  <c r="D308" i="10" a="1"/>
  <c r="D308" i="10" s="1"/>
  <c r="D309" i="10" a="1"/>
  <c r="D309" i="10" s="1"/>
  <c r="D310" i="10" a="1"/>
  <c r="D310" i="10" s="1"/>
  <c r="D311" i="10" a="1"/>
  <c r="D311" i="10"/>
  <c r="D312" i="10" a="1"/>
  <c r="D312" i="10" s="1"/>
  <c r="D313" i="10" a="1"/>
  <c r="D313" i="10" s="1"/>
  <c r="D314" i="10" a="1"/>
  <c r="D314" i="10" s="1"/>
  <c r="D315" i="10" a="1"/>
  <c r="D315" i="10" s="1"/>
  <c r="D316" i="10" a="1"/>
  <c r="D316" i="10"/>
  <c r="D317" i="10" a="1"/>
  <c r="D317" i="10"/>
  <c r="D318" i="10" a="1"/>
  <c r="D318" i="10"/>
  <c r="D319" i="10" a="1"/>
  <c r="D319" i="10"/>
  <c r="D320" i="10" a="1"/>
  <c r="D320" i="10" s="1"/>
  <c r="D321" i="10" a="1"/>
  <c r="D321" i="10"/>
  <c r="D322" i="10" a="1"/>
  <c r="D322" i="10" s="1"/>
  <c r="D323" i="10" a="1"/>
  <c r="D323" i="10" s="1"/>
  <c r="D324" i="10" a="1"/>
  <c r="D324" i="10" s="1"/>
  <c r="D325" i="10" a="1"/>
  <c r="D325" i="10" s="1"/>
  <c r="D326" i="10" a="1"/>
  <c r="D326" i="10"/>
  <c r="D327" i="10" a="1"/>
  <c r="D327" i="10"/>
  <c r="D328" i="10" a="1"/>
  <c r="D328" i="10" s="1"/>
  <c r="D329" i="10" a="1"/>
  <c r="D329" i="10" s="1"/>
  <c r="D330" i="10" a="1"/>
  <c r="D330" i="10" s="1"/>
  <c r="D331" i="10" a="1"/>
  <c r="D331" i="10"/>
  <c r="D332" i="10" a="1"/>
  <c r="D332" i="10" s="1"/>
  <c r="D333" i="10" a="1"/>
  <c r="D333" i="10" s="1"/>
  <c r="D334" i="10" a="1"/>
  <c r="D334" i="10" s="1"/>
  <c r="D335" i="10" a="1"/>
  <c r="D335" i="10" s="1"/>
  <c r="D336" i="10" a="1"/>
  <c r="D336" i="10"/>
  <c r="D337" i="10" a="1"/>
  <c r="D337" i="10"/>
  <c r="D338" i="10" a="1"/>
  <c r="D338" i="10" s="1"/>
  <c r="D339" i="10" a="1"/>
  <c r="D339" i="10" s="1"/>
  <c r="D340" i="10" a="1"/>
  <c r="D340" i="10"/>
  <c r="D341" i="10" a="1"/>
  <c r="D341" i="10"/>
  <c r="D342" i="10" a="1"/>
  <c r="D342" i="10"/>
  <c r="D343" i="10" a="1"/>
  <c r="D343" i="10" s="1"/>
  <c r="D344" i="10" a="1"/>
  <c r="D344" i="10" s="1"/>
  <c r="D345" i="10" a="1"/>
  <c r="D345" i="10" s="1"/>
  <c r="D346" i="10" a="1"/>
  <c r="D346" i="10" s="1"/>
  <c r="D347" i="10" a="1"/>
  <c r="D347" i="10"/>
  <c r="D348" i="10" a="1"/>
  <c r="D348" i="10" s="1"/>
  <c r="D349" i="10" a="1"/>
  <c r="D349" i="10" s="1"/>
  <c r="D350" i="10" a="1"/>
  <c r="D350" i="10" s="1"/>
  <c r="D351" i="10" a="1"/>
  <c r="D351" i="10" s="1"/>
  <c r="D352" i="10" a="1"/>
  <c r="D352" i="10"/>
  <c r="D353" i="10" a="1"/>
  <c r="D353" i="10" s="1"/>
  <c r="D2" i="10" a="1"/>
  <c r="D2" i="10" s="1"/>
  <c r="A353" i="10"/>
  <c r="A352" i="10"/>
  <c r="A351" i="10"/>
  <c r="A350" i="10"/>
  <c r="A349" i="10"/>
  <c r="A348" i="10"/>
  <c r="A347" i="10"/>
  <c r="A346" i="10"/>
  <c r="A345" i="10"/>
  <c r="A344" i="10"/>
  <c r="A343" i="10"/>
  <c r="A342" i="10"/>
  <c r="A341" i="10"/>
  <c r="A340" i="10"/>
  <c r="A339" i="10"/>
  <c r="A338" i="10"/>
  <c r="A337" i="10"/>
  <c r="A336" i="10"/>
  <c r="A335" i="10"/>
  <c r="A334" i="10"/>
  <c r="A333" i="10"/>
  <c r="A332" i="10"/>
  <c r="A331" i="10"/>
  <c r="A330" i="10"/>
  <c r="A329" i="10"/>
  <c r="A328" i="10"/>
  <c r="A327" i="10"/>
  <c r="A326" i="10"/>
  <c r="A325" i="10"/>
  <c r="A324" i="10"/>
  <c r="A323" i="10"/>
  <c r="A322" i="10"/>
  <c r="A321" i="10"/>
  <c r="A320" i="10"/>
  <c r="A319" i="10"/>
  <c r="A318" i="10"/>
  <c r="A317" i="10"/>
  <c r="A316" i="10"/>
  <c r="A315" i="10"/>
  <c r="A314" i="10"/>
  <c r="A313" i="10"/>
  <c r="A312" i="10"/>
  <c r="A311" i="10"/>
  <c r="A310" i="10"/>
  <c r="A309" i="10"/>
  <c r="A308" i="10"/>
  <c r="A307" i="10"/>
  <c r="A306" i="10"/>
  <c r="A305" i="10"/>
  <c r="A304" i="10"/>
  <c r="A303" i="10"/>
  <c r="A302" i="10"/>
  <c r="A301" i="10"/>
  <c r="A300" i="10"/>
  <c r="A299" i="10"/>
  <c r="A298" i="10"/>
  <c r="A297" i="10"/>
  <c r="A296" i="10"/>
  <c r="A295" i="10"/>
  <c r="A294" i="10"/>
  <c r="A293" i="10"/>
  <c r="A292" i="10"/>
  <c r="A291" i="10"/>
  <c r="A290" i="10"/>
  <c r="A289" i="10"/>
  <c r="A288" i="10"/>
  <c r="A287" i="10"/>
  <c r="A286" i="10"/>
  <c r="A285" i="10"/>
  <c r="A284" i="10"/>
  <c r="A283" i="10"/>
  <c r="A282" i="10"/>
  <c r="A281" i="10"/>
  <c r="A280" i="10"/>
  <c r="A279" i="10"/>
  <c r="A278" i="10"/>
  <c r="A277" i="10"/>
  <c r="A276" i="10"/>
  <c r="A275" i="10"/>
  <c r="A274" i="10"/>
  <c r="A273" i="10"/>
  <c r="A272" i="10"/>
  <c r="A271" i="10"/>
  <c r="A270" i="10"/>
  <c r="A269" i="10"/>
  <c r="A268" i="10"/>
  <c r="A267" i="10"/>
  <c r="A266" i="10"/>
  <c r="A265" i="10"/>
  <c r="A264" i="10"/>
  <c r="A263" i="10"/>
  <c r="A262" i="10"/>
  <c r="A261" i="10"/>
  <c r="A260" i="10"/>
  <c r="A259" i="10"/>
  <c r="A258" i="10"/>
  <c r="A257" i="10"/>
  <c r="A256" i="10"/>
  <c r="A255" i="10"/>
  <c r="A254" i="10"/>
  <c r="A253" i="10"/>
  <c r="A252" i="10"/>
  <c r="A251" i="10"/>
  <c r="A250" i="10"/>
  <c r="A249" i="10"/>
  <c r="A248" i="10"/>
  <c r="A247" i="10"/>
  <c r="A246" i="10"/>
  <c r="A245" i="10"/>
  <c r="A244" i="10"/>
  <c r="A243" i="10"/>
  <c r="A242" i="10"/>
  <c r="A241" i="10"/>
  <c r="A240" i="10"/>
  <c r="A239" i="10"/>
  <c r="A238" i="10"/>
  <c r="A237" i="10"/>
  <c r="A236" i="10"/>
  <c r="A235" i="10"/>
  <c r="A234" i="10"/>
  <c r="A233" i="10"/>
  <c r="A232" i="10"/>
  <c r="A231" i="10"/>
  <c r="A230" i="10"/>
  <c r="A229" i="10"/>
  <c r="A228" i="10"/>
  <c r="A227" i="10"/>
  <c r="A226" i="10"/>
  <c r="A225" i="10"/>
  <c r="A224" i="10"/>
  <c r="A223" i="10"/>
  <c r="A222" i="10"/>
  <c r="A221" i="10"/>
  <c r="A220" i="10"/>
  <c r="A219" i="10"/>
  <c r="A218" i="10"/>
  <c r="A217" i="10"/>
  <c r="A216" i="10"/>
  <c r="A215" i="10"/>
  <c r="A214" i="10"/>
  <c r="A213" i="10"/>
  <c r="A212" i="10"/>
  <c r="A211" i="10"/>
  <c r="A210" i="10"/>
  <c r="A209" i="10"/>
  <c r="A208" i="10"/>
  <c r="A207" i="10"/>
  <c r="A206" i="10"/>
  <c r="A205" i="10"/>
  <c r="A204" i="10"/>
  <c r="A203" i="10"/>
  <c r="A202" i="10"/>
  <c r="A201" i="10"/>
  <c r="A200" i="10"/>
  <c r="A199" i="10"/>
  <c r="A198" i="10"/>
  <c r="A197" i="10"/>
  <c r="A196" i="10"/>
  <c r="A195" i="10"/>
  <c r="A194" i="10"/>
  <c r="A193" i="10"/>
  <c r="A192" i="10"/>
  <c r="A191" i="10"/>
  <c r="A190" i="10"/>
  <c r="A189" i="10"/>
  <c r="A188" i="10"/>
  <c r="A187" i="10"/>
  <c r="A186" i="10"/>
  <c r="A185" i="10"/>
  <c r="A184" i="10"/>
  <c r="A183" i="10"/>
  <c r="A182" i="10"/>
  <c r="A181" i="10"/>
  <c r="A180" i="10"/>
  <c r="A179" i="10"/>
  <c r="A178" i="10"/>
  <c r="A177" i="10"/>
  <c r="A176" i="10"/>
  <c r="A175" i="10"/>
  <c r="A174" i="10"/>
  <c r="A173" i="10"/>
  <c r="A172" i="10"/>
  <c r="A171" i="10"/>
  <c r="A170" i="10"/>
  <c r="A169" i="10"/>
  <c r="A168" i="10"/>
  <c r="A167" i="10"/>
  <c r="A166" i="10"/>
  <c r="A165" i="10"/>
  <c r="A164" i="10"/>
  <c r="A163" i="10"/>
  <c r="A162" i="10"/>
  <c r="A161" i="10"/>
  <c r="A160" i="10"/>
  <c r="A159" i="10"/>
  <c r="A158" i="10"/>
  <c r="A157" i="10"/>
  <c r="A156" i="10"/>
  <c r="A155" i="10"/>
  <c r="A154" i="10"/>
  <c r="A153" i="10"/>
  <c r="A152" i="10"/>
  <c r="A151" i="10"/>
  <c r="A150" i="10"/>
  <c r="A149" i="10"/>
  <c r="A148" i="10"/>
  <c r="A147" i="10"/>
  <c r="A146" i="10"/>
  <c r="A145" i="10"/>
  <c r="A144" i="10"/>
  <c r="A143" i="10"/>
  <c r="A142" i="10"/>
  <c r="A141" i="10"/>
  <c r="A140" i="10"/>
  <c r="A139" i="10"/>
  <c r="A138" i="10"/>
  <c r="A137" i="10"/>
  <c r="A136" i="10"/>
  <c r="A135" i="10"/>
  <c r="A134" i="10"/>
  <c r="A133" i="10"/>
  <c r="A132" i="10"/>
  <c r="A131" i="10"/>
  <c r="A130" i="10"/>
  <c r="A129" i="10"/>
  <c r="A128" i="10"/>
  <c r="A127" i="10"/>
  <c r="A126" i="10"/>
  <c r="A125" i="10"/>
  <c r="A124" i="10"/>
  <c r="A123" i="10"/>
  <c r="A122" i="10"/>
  <c r="A121" i="10"/>
  <c r="A120" i="10"/>
  <c r="A119" i="10"/>
  <c r="A118" i="10"/>
  <c r="A117" i="10"/>
  <c r="A116" i="10"/>
  <c r="A115" i="10"/>
  <c r="A114" i="10"/>
  <c r="A113" i="10"/>
  <c r="A112" i="10"/>
  <c r="A111" i="10"/>
  <c r="A110" i="10"/>
  <c r="A109" i="10"/>
  <c r="A108" i="10"/>
  <c r="A107" i="10"/>
  <c r="A106" i="10"/>
  <c r="A105" i="10"/>
  <c r="A104" i="10"/>
  <c r="A103" i="10"/>
  <c r="A102" i="10"/>
  <c r="A101" i="10"/>
  <c r="A100" i="10"/>
  <c r="A99" i="10"/>
  <c r="A98" i="10"/>
  <c r="A97" i="10"/>
  <c r="A96" i="10"/>
  <c r="A95" i="10"/>
  <c r="A94" i="10"/>
  <c r="A93" i="10"/>
  <c r="A92" i="10"/>
  <c r="A91" i="10"/>
  <c r="A90" i="10"/>
  <c r="A89" i="10"/>
  <c r="A88" i="10"/>
  <c r="A87" i="10"/>
  <c r="A86" i="10"/>
  <c r="A85" i="10"/>
  <c r="A84" i="10"/>
  <c r="A83" i="10"/>
  <c r="A82" i="10"/>
  <c r="A81" i="10"/>
  <c r="A80" i="10"/>
  <c r="A79" i="10"/>
  <c r="A78" i="10"/>
  <c r="A77" i="10"/>
  <c r="A76" i="10"/>
  <c r="A75" i="10"/>
  <c r="A74" i="10"/>
  <c r="A73" i="10"/>
  <c r="A72" i="10"/>
  <c r="A71" i="10"/>
  <c r="A70" i="10"/>
  <c r="A69" i="10"/>
  <c r="A68" i="10"/>
  <c r="A67" i="10"/>
  <c r="A66" i="10"/>
  <c r="A65" i="10"/>
  <c r="A64" i="10"/>
  <c r="A63" i="10"/>
  <c r="A62" i="10"/>
  <c r="A61" i="10"/>
  <c r="A60" i="10"/>
  <c r="A59" i="10"/>
  <c r="A58" i="10"/>
  <c r="A57" i="10"/>
  <c r="A56" i="10"/>
  <c r="A55" i="10"/>
  <c r="A54" i="10"/>
  <c r="A53" i="10"/>
  <c r="A52" i="10"/>
  <c r="A51" i="10"/>
  <c r="A50" i="10"/>
  <c r="A49" i="10"/>
  <c r="A48" i="10"/>
  <c r="A47" i="10"/>
  <c r="A46" i="10"/>
  <c r="A45" i="10"/>
  <c r="A44" i="10"/>
  <c r="A43" i="10"/>
  <c r="A42" i="10"/>
  <c r="A41" i="10"/>
  <c r="A40" i="10"/>
  <c r="A39" i="10"/>
  <c r="A38" i="10"/>
  <c r="A37" i="10"/>
  <c r="A36" i="10"/>
  <c r="A35" i="10"/>
  <c r="A34" i="10"/>
  <c r="A33" i="10"/>
  <c r="A32" i="10"/>
  <c r="A31" i="10"/>
  <c r="A30" i="10"/>
  <c r="A29" i="10"/>
  <c r="A28" i="10"/>
  <c r="A27" i="10"/>
  <c r="A26" i="10"/>
  <c r="A25" i="10"/>
  <c r="A24" i="10"/>
  <c r="A23" i="10"/>
  <c r="A22" i="10"/>
  <c r="A21" i="10"/>
  <c r="A20" i="10"/>
  <c r="A19" i="10"/>
  <c r="A18" i="10"/>
  <c r="A17" i="10"/>
  <c r="A16" i="10"/>
  <c r="A15" i="10"/>
  <c r="A14" i="10"/>
  <c r="A13" i="10"/>
  <c r="A12" i="10"/>
  <c r="A11" i="10"/>
  <c r="A10" i="10"/>
  <c r="A9" i="10"/>
  <c r="A8" i="10"/>
  <c r="A7" i="10"/>
  <c r="A6" i="10"/>
  <c r="A5" i="10"/>
  <c r="A4" i="10"/>
  <c r="A3" i="10"/>
  <c r="A2" i="10"/>
  <c r="D1029" i="9" l="1" a="1"/>
  <c r="D1029" i="9" s="1"/>
  <c r="D1028" i="9" a="1"/>
  <c r="D1028" i="9" s="1"/>
  <c r="D1027" i="9" a="1"/>
  <c r="D1027" i="9" s="1"/>
  <c r="D1026" i="9" a="1"/>
  <c r="D1026" i="9" s="1"/>
  <c r="D1025" i="9" a="1"/>
  <c r="D1025" i="9" s="1"/>
  <c r="D1024" i="9" a="1"/>
  <c r="D1024" i="9" s="1"/>
  <c r="D1023" i="9" a="1"/>
  <c r="D1023" i="9" s="1"/>
  <c r="D1022" i="9" a="1"/>
  <c r="D1022" i="9" s="1"/>
  <c r="D1013" i="9" a="1"/>
  <c r="D1013" i="9" s="1"/>
  <c r="D1009" i="9" a="1"/>
  <c r="D1009" i="9" s="1"/>
  <c r="D1008" i="9" a="1"/>
  <c r="D1008" i="9" s="1"/>
  <c r="D1007" i="9" a="1"/>
  <c r="D1007" i="9" s="1"/>
  <c r="D1006" i="9" a="1"/>
  <c r="D1006" i="9" s="1"/>
  <c r="D1005" i="9" a="1"/>
  <c r="D1005" i="9" s="1"/>
  <c r="D1004" i="9" a="1"/>
  <c r="D1004" i="9" s="1"/>
  <c r="D1003" i="9" a="1"/>
  <c r="D1003" i="9" s="1"/>
  <c r="D1002" i="9" a="1"/>
  <c r="D1002" i="9" s="1"/>
  <c r="D993" i="9" a="1"/>
  <c r="D993" i="9" s="1"/>
  <c r="D990" i="9" a="1"/>
  <c r="D990" i="9" s="1"/>
  <c r="D989" i="9" a="1"/>
  <c r="D989" i="9" s="1"/>
  <c r="D988" i="9" a="1"/>
  <c r="D988" i="9" s="1"/>
  <c r="D987" i="9" a="1"/>
  <c r="D987" i="9" s="1"/>
  <c r="D986" i="9" a="1"/>
  <c r="D986" i="9" s="1"/>
  <c r="D985" i="9" a="1"/>
  <c r="D985" i="9" s="1"/>
  <c r="D984" i="9" a="1"/>
  <c r="D984" i="9" s="1"/>
  <c r="D983" i="9" a="1"/>
  <c r="D983" i="9" s="1"/>
  <c r="D982" i="9" a="1"/>
  <c r="D982" i="9" s="1"/>
  <c r="D975" i="9" a="1"/>
  <c r="D975" i="9" s="1"/>
  <c r="D970" i="9" a="1"/>
  <c r="D970" i="9" s="1"/>
  <c r="D969" i="9" a="1"/>
  <c r="D969" i="9" s="1"/>
  <c r="D968" i="9" a="1"/>
  <c r="D968" i="9" s="1"/>
  <c r="D967" i="9" a="1"/>
  <c r="D967" i="9" s="1"/>
  <c r="D966" i="9" a="1"/>
  <c r="D966" i="9" s="1"/>
  <c r="D965" i="9" a="1"/>
  <c r="D965" i="9" s="1"/>
  <c r="D964" i="9" a="1"/>
  <c r="D964" i="9" s="1"/>
  <c r="D963" i="9" a="1"/>
  <c r="D963" i="9" s="1"/>
  <c r="D962" i="9" a="1"/>
  <c r="D962" i="9" s="1"/>
  <c r="D953" i="9" a="1"/>
  <c r="D953" i="9" s="1"/>
  <c r="D950" i="9" a="1"/>
  <c r="D950" i="9" s="1"/>
  <c r="D949" i="9" a="1"/>
  <c r="D949" i="9" s="1"/>
  <c r="D948" i="9" a="1"/>
  <c r="D948" i="9" s="1"/>
  <c r="D947" i="9" a="1"/>
  <c r="D947" i="9" s="1"/>
  <c r="D946" i="9" a="1"/>
  <c r="D946" i="9" s="1"/>
  <c r="D945" i="9" a="1"/>
  <c r="D945" i="9" s="1"/>
  <c r="D944" i="9" a="1"/>
  <c r="D944" i="9" s="1"/>
  <c r="D943" i="9" a="1"/>
  <c r="D943" i="9" s="1"/>
  <c r="D942" i="9" a="1"/>
  <c r="D942" i="9" s="1"/>
  <c r="D934" i="9" a="1"/>
  <c r="D934" i="9" s="1"/>
  <c r="D933" i="9" a="1"/>
  <c r="D933" i="9" s="1"/>
  <c r="D930" i="9" a="1"/>
  <c r="D930" i="9" s="1"/>
  <c r="D929" i="9" a="1"/>
  <c r="D929" i="9" s="1"/>
  <c r="D928" i="9" a="1"/>
  <c r="D928" i="9" s="1"/>
  <c r="D924" i="9" a="1"/>
  <c r="D924" i="9" s="1"/>
  <c r="D922" i="9" a="1"/>
  <c r="D922" i="9" s="1"/>
  <c r="D914" i="9" a="1"/>
  <c r="D914" i="9" s="1"/>
  <c r="D913" i="9" a="1"/>
  <c r="D913" i="9" s="1"/>
  <c r="D910" i="9" a="1"/>
  <c r="D910" i="9" s="1"/>
  <c r="D909" i="9" a="1"/>
  <c r="D909" i="9" s="1"/>
  <c r="D908" i="9" a="1"/>
  <c r="D908" i="9" s="1"/>
  <c r="D907" i="9" a="1"/>
  <c r="D907" i="9" s="1"/>
  <c r="D906" i="9" a="1"/>
  <c r="D906" i="9" s="1"/>
  <c r="D905" i="9" a="1"/>
  <c r="D905" i="9" s="1"/>
  <c r="D902" i="9" a="1"/>
  <c r="D902" i="9" s="1"/>
  <c r="D895" i="9" a="1"/>
  <c r="D895" i="9" s="1"/>
  <c r="D894" i="9" a="1"/>
  <c r="D894" i="9" s="1"/>
  <c r="D893" i="9" a="1"/>
  <c r="D893" i="9" s="1"/>
  <c r="D891" i="9" a="1"/>
  <c r="D891" i="9" s="1"/>
  <c r="D888" i="9" a="1"/>
  <c r="D888" i="9" s="1"/>
  <c r="D887" i="9" a="1"/>
  <c r="D887" i="9" s="1"/>
  <c r="D886" i="9" a="1"/>
  <c r="D886" i="9" s="1"/>
  <c r="D885" i="9" a="1"/>
  <c r="D885" i="9" s="1"/>
  <c r="D884" i="9" a="1"/>
  <c r="D884" i="9" s="1"/>
  <c r="D883" i="9" a="1"/>
  <c r="D883" i="9" s="1"/>
  <c r="D882" i="9" a="1"/>
  <c r="D882" i="9" s="1"/>
  <c r="D875" i="9" a="1"/>
  <c r="D875" i="9" s="1"/>
  <c r="D874" i="9" a="1"/>
  <c r="D874" i="9" s="1"/>
  <c r="D873" i="9" a="1"/>
  <c r="D873" i="9" s="1"/>
  <c r="D869" i="9" a="1"/>
  <c r="D869" i="9" s="1"/>
  <c r="D868" i="9" a="1"/>
  <c r="D868" i="9" s="1"/>
  <c r="D867" i="9" a="1"/>
  <c r="D867" i="9" s="1"/>
  <c r="D866" i="9" a="1"/>
  <c r="D866" i="9" s="1"/>
  <c r="D865" i="9" a="1"/>
  <c r="D865" i="9" s="1"/>
  <c r="D864" i="9" a="1"/>
  <c r="D864" i="9" s="1"/>
  <c r="D863" i="9" a="1"/>
  <c r="D863" i="9" s="1"/>
  <c r="D862" i="9" a="1"/>
  <c r="D862" i="9" s="1"/>
  <c r="D854" i="9" a="1"/>
  <c r="D854" i="9" s="1"/>
  <c r="D853" i="9" a="1"/>
  <c r="D853" i="9" s="1"/>
  <c r="D848" i="9" a="1"/>
  <c r="D848" i="9" s="1"/>
  <c r="D847" i="9" a="1"/>
  <c r="D847" i="9" s="1"/>
  <c r="D846" i="9" a="1"/>
  <c r="D846" i="9" s="1"/>
  <c r="D845" i="9" a="1"/>
  <c r="D845" i="9" s="1"/>
  <c r="D844" i="9" a="1"/>
  <c r="D844" i="9" s="1"/>
  <c r="D843" i="9" a="1"/>
  <c r="D843" i="9" s="1"/>
  <c r="D842" i="9" a="1"/>
  <c r="D842" i="9" s="1"/>
  <c r="D835" i="9" a="1"/>
  <c r="D835" i="9" s="1"/>
  <c r="D834" i="9" a="1"/>
  <c r="D834" i="9" s="1"/>
  <c r="D833" i="9" a="1"/>
  <c r="D833" i="9" s="1"/>
  <c r="D826" i="9" a="1"/>
  <c r="D826" i="9" s="1"/>
  <c r="D825" i="9" a="1"/>
  <c r="D825" i="9" s="1"/>
  <c r="D824" i="9" a="1"/>
  <c r="D824" i="9" s="1"/>
  <c r="D823" i="9" a="1"/>
  <c r="D823" i="9" s="1"/>
  <c r="D822" i="9" a="1"/>
  <c r="D822" i="9" s="1"/>
  <c r="D815" i="9" a="1"/>
  <c r="D815" i="9" s="1"/>
  <c r="D814" i="9" a="1"/>
  <c r="D814" i="9" s="1"/>
  <c r="D813" i="9" a="1"/>
  <c r="D813" i="9" s="1"/>
  <c r="D809" i="9" a="1"/>
  <c r="D809" i="9" s="1"/>
  <c r="D808" i="9" a="1"/>
  <c r="D808" i="9" s="1"/>
  <c r="D804" i="9" a="1"/>
  <c r="D804" i="9" s="1"/>
  <c r="D803" i="9" a="1"/>
  <c r="D803" i="9" s="1"/>
  <c r="D802" i="9" a="1"/>
  <c r="D802" i="9" s="1"/>
  <c r="D795" i="9" a="1"/>
  <c r="D795" i="9" s="1"/>
  <c r="D793" i="9" a="1"/>
  <c r="D793" i="9" s="1"/>
  <c r="D790" i="9" a="1"/>
  <c r="D790" i="9" s="1"/>
  <c r="D789" i="9" a="1"/>
  <c r="D789" i="9" s="1"/>
  <c r="D788" i="9" a="1"/>
  <c r="D788" i="9" s="1"/>
  <c r="D787" i="9" a="1"/>
  <c r="D787" i="9" s="1"/>
  <c r="D785" i="9" a="1"/>
  <c r="D785" i="9" s="1"/>
  <c r="D784" i="9" a="1"/>
  <c r="D784" i="9" s="1"/>
  <c r="D782" i="9" a="1"/>
  <c r="D782" i="9" s="1"/>
  <c r="D775" i="9" a="1"/>
  <c r="D775" i="9" s="1"/>
  <c r="D773" i="9" a="1"/>
  <c r="D773" i="9" s="1"/>
  <c r="D769" i="9" a="1"/>
  <c r="D769" i="9" s="1"/>
  <c r="D768" i="9" a="1"/>
  <c r="D768" i="9" s="1"/>
  <c r="D767" i="9" a="1"/>
  <c r="D767" i="9" s="1"/>
  <c r="D766" i="9" a="1"/>
  <c r="D766" i="9" s="1"/>
  <c r="D765" i="9" a="1"/>
  <c r="D765" i="9" s="1"/>
  <c r="D764" i="9" a="1"/>
  <c r="D764" i="9" s="1"/>
  <c r="D763" i="9" a="1"/>
  <c r="D763" i="9" s="1"/>
  <c r="D762" i="9" a="1"/>
  <c r="D762" i="9" s="1"/>
  <c r="D753" i="9" a="1"/>
  <c r="D753" i="9" s="1"/>
  <c r="D748" i="9" a="1"/>
  <c r="D748" i="9" s="1"/>
  <c r="D747" i="9" a="1"/>
  <c r="D747" i="9" s="1"/>
  <c r="D746" i="9" a="1"/>
  <c r="D746" i="9" s="1"/>
  <c r="D745" i="9" a="1"/>
  <c r="D745" i="9" s="1"/>
  <c r="D744" i="9" a="1"/>
  <c r="D744" i="9" s="1"/>
  <c r="D743" i="9" a="1"/>
  <c r="D743" i="9" s="1"/>
  <c r="D742" i="9" a="1"/>
  <c r="D742" i="9" s="1"/>
  <c r="D729" i="9" a="1"/>
  <c r="D729" i="9" s="1"/>
  <c r="D728" i="9" a="1"/>
  <c r="D728" i="9" s="1"/>
  <c r="D727" i="9" a="1"/>
  <c r="D727" i="9" s="1"/>
  <c r="D726" i="9" a="1"/>
  <c r="D726" i="9" s="1"/>
  <c r="D725" i="9" a="1"/>
  <c r="D725" i="9" s="1"/>
  <c r="D724" i="9" a="1"/>
  <c r="D724" i="9" s="1"/>
  <c r="D723" i="9" a="1"/>
  <c r="D723" i="9" s="1"/>
  <c r="D722" i="9" a="1"/>
  <c r="D722" i="9" s="1"/>
  <c r="D709" i="9" a="1"/>
  <c r="D709" i="9" s="1"/>
  <c r="D708" i="9" a="1"/>
  <c r="D708" i="9" s="1"/>
  <c r="D706" i="9" a="1"/>
  <c r="D706" i="9" s="1"/>
  <c r="D705" i="9" a="1"/>
  <c r="D705" i="9" s="1"/>
  <c r="D704" i="9" a="1"/>
  <c r="D704" i="9" s="1"/>
  <c r="D703" i="9" a="1"/>
  <c r="D703" i="9" s="1"/>
  <c r="D702" i="9" a="1"/>
  <c r="D702" i="9" s="1"/>
  <c r="D693" i="9" a="1"/>
  <c r="D693" i="9" s="1"/>
  <c r="D690" i="9" a="1"/>
  <c r="D690" i="9" s="1"/>
  <c r="D689" i="9" a="1"/>
  <c r="D689" i="9" s="1"/>
  <c r="D688" i="9" a="1"/>
  <c r="D688" i="9" s="1"/>
  <c r="D687" i="9" a="1"/>
  <c r="D687" i="9" s="1"/>
  <c r="D686" i="9" a="1"/>
  <c r="D686" i="9" s="1"/>
  <c r="D685" i="9" a="1"/>
  <c r="D685" i="9" s="1"/>
  <c r="D684" i="9" a="1"/>
  <c r="D684" i="9" s="1"/>
  <c r="D683" i="9" a="1"/>
  <c r="D683" i="9" s="1"/>
  <c r="D682" i="9" a="1"/>
  <c r="D682" i="9" s="1"/>
  <c r="D673" i="9" a="1"/>
  <c r="D673" i="9" s="1"/>
  <c r="D670" i="9" a="1"/>
  <c r="D670" i="9" s="1"/>
  <c r="D669" i="9" a="1"/>
  <c r="D669" i="9" s="1"/>
  <c r="D668" i="9" a="1"/>
  <c r="D668" i="9" s="1"/>
  <c r="D667" i="9" a="1"/>
  <c r="D667" i="9" s="1"/>
  <c r="D666" i="9" a="1"/>
  <c r="D666" i="9" s="1"/>
  <c r="D665" i="9" a="1"/>
  <c r="D665" i="9" s="1"/>
  <c r="D664" i="9" a="1"/>
  <c r="D664" i="9" s="1"/>
  <c r="D663" i="9" a="1"/>
  <c r="D663" i="9" s="1"/>
  <c r="D662" i="9" a="1"/>
  <c r="D662" i="9" s="1"/>
  <c r="D653" i="9" a="1"/>
  <c r="D653" i="9" s="1"/>
  <c r="D649" i="9" a="1"/>
  <c r="D649" i="9" s="1"/>
  <c r="D648" i="9" a="1"/>
  <c r="D648" i="9" s="1"/>
  <c r="D647" i="9" a="1"/>
  <c r="D647" i="9" s="1"/>
  <c r="D646" i="9" a="1"/>
  <c r="D646" i="9" s="1"/>
  <c r="D645" i="9" a="1"/>
  <c r="D645" i="9" s="1"/>
  <c r="D644" i="9" a="1"/>
  <c r="D644" i="9" s="1"/>
  <c r="D642" i="9" a="1"/>
  <c r="D642" i="9" s="1"/>
  <c r="D634" i="9" a="1"/>
  <c r="D634" i="9" s="1"/>
  <c r="D633" i="9" a="1"/>
  <c r="D633" i="9" s="1"/>
  <c r="D630" i="9" a="1"/>
  <c r="D630" i="9" s="1"/>
  <c r="D629" i="9" a="1"/>
  <c r="D629" i="9" s="1"/>
  <c r="D628" i="9" a="1"/>
  <c r="D628" i="9" s="1"/>
  <c r="D627" i="9" a="1"/>
  <c r="D627" i="9" s="1"/>
  <c r="D626" i="9" a="1"/>
  <c r="D626" i="9" s="1"/>
  <c r="D625" i="9" a="1"/>
  <c r="D625" i="9" s="1"/>
  <c r="D624" i="9" a="1"/>
  <c r="D624" i="9" s="1"/>
  <c r="D623" i="9" a="1"/>
  <c r="D623" i="9" s="1"/>
  <c r="D622" i="9" a="1"/>
  <c r="D622" i="9" s="1"/>
  <c r="D614" i="9" a="1"/>
  <c r="D614" i="9" s="1"/>
  <c r="D610" i="9" a="1"/>
  <c r="D610" i="9" s="1"/>
  <c r="D609" i="9" a="1"/>
  <c r="D609" i="9" s="1"/>
  <c r="D608" i="9" a="1"/>
  <c r="D608" i="9" s="1"/>
  <c r="D607" i="9" a="1"/>
  <c r="D607" i="9" s="1"/>
  <c r="D606" i="9" a="1"/>
  <c r="D606" i="9" s="1"/>
  <c r="D605" i="9" a="1"/>
  <c r="D605" i="9" s="1"/>
  <c r="D604" i="9" a="1"/>
  <c r="D604" i="9" s="1"/>
  <c r="D603" i="9" a="1"/>
  <c r="D603" i="9" s="1"/>
  <c r="D602" i="9" a="1"/>
  <c r="D602" i="9" s="1"/>
  <c r="D594" i="9" a="1"/>
  <c r="D594" i="9" s="1"/>
  <c r="D593" i="9" a="1"/>
  <c r="D593" i="9" s="1"/>
  <c r="D590" i="9" a="1"/>
  <c r="D590" i="9" s="1"/>
  <c r="D589" i="9" a="1"/>
  <c r="D589" i="9" s="1"/>
  <c r="D588" i="9" a="1"/>
  <c r="D588" i="9" s="1"/>
  <c r="D587" i="9" a="1"/>
  <c r="D587" i="9" s="1"/>
  <c r="D586" i="9" a="1"/>
  <c r="D586" i="9" s="1"/>
  <c r="D585" i="9" a="1"/>
  <c r="D585" i="9" s="1"/>
  <c r="D584" i="9" a="1"/>
  <c r="D584" i="9" s="1"/>
  <c r="D582" i="9" a="1"/>
  <c r="D582" i="9" s="1"/>
  <c r="D574" i="9" a="1"/>
  <c r="D574" i="9" s="1"/>
  <c r="D573" i="9" a="1"/>
  <c r="D573" i="9" s="1"/>
  <c r="D570" i="9" a="1"/>
  <c r="D570" i="9" s="1"/>
  <c r="D569" i="9" a="1"/>
  <c r="D569" i="9" s="1"/>
  <c r="D568" i="9" a="1"/>
  <c r="D568" i="9" s="1"/>
  <c r="D567" i="9" a="1"/>
  <c r="D567" i="9" s="1"/>
  <c r="D562" i="9" a="1"/>
  <c r="D562" i="9" s="1"/>
  <c r="D555" i="9" a="1"/>
  <c r="D555" i="9" s="1"/>
  <c r="D554" i="9" a="1"/>
  <c r="D554" i="9" s="1"/>
  <c r="D553" i="9" a="1"/>
  <c r="D553" i="9" s="1"/>
  <c r="D551" i="9" a="1"/>
  <c r="D551" i="9" s="1"/>
  <c r="D549" i="9" a="1"/>
  <c r="D549" i="9" s="1"/>
  <c r="D548" i="9" a="1"/>
  <c r="D548" i="9" s="1"/>
  <c r="D547" i="9" a="1"/>
  <c r="D547" i="9" s="1"/>
  <c r="D546" i="9" a="1"/>
  <c r="D546" i="9" s="1"/>
  <c r="D545" i="9" a="1"/>
  <c r="D545" i="9" s="1"/>
  <c r="D544" i="9" a="1"/>
  <c r="D544" i="9" s="1"/>
  <c r="D543" i="9" a="1"/>
  <c r="D543" i="9" s="1"/>
  <c r="D535" i="9" a="1"/>
  <c r="D535" i="9" s="1"/>
  <c r="D534" i="9" a="1"/>
  <c r="D534" i="9" s="1"/>
  <c r="D533" i="9" a="1"/>
  <c r="D533" i="9" s="1"/>
  <c r="D531" i="9" a="1"/>
  <c r="D531" i="9" s="1"/>
  <c r="D529" i="9" a="1"/>
  <c r="D529" i="9" s="1"/>
  <c r="D528" i="9" a="1"/>
  <c r="D528" i="9" s="1"/>
  <c r="D527" i="9" a="1"/>
  <c r="D527" i="9" s="1"/>
  <c r="D526" i="9" a="1"/>
  <c r="D526" i="9" s="1"/>
  <c r="D525" i="9" a="1"/>
  <c r="D525" i="9" s="1"/>
  <c r="D524" i="9" a="1"/>
  <c r="D524" i="9" s="1"/>
  <c r="D523" i="9" a="1"/>
  <c r="D523" i="9" s="1"/>
  <c r="D522" i="9" a="1"/>
  <c r="D522" i="9" s="1"/>
  <c r="D515" i="9" a="1"/>
  <c r="D515" i="9" s="1"/>
  <c r="D514" i="9" a="1"/>
  <c r="D514" i="9" s="1"/>
  <c r="D513" i="9" a="1"/>
  <c r="D513" i="9" s="1"/>
  <c r="D508" i="9" a="1"/>
  <c r="D508" i="9" s="1"/>
  <c r="D507" i="9" a="1"/>
  <c r="D507" i="9" s="1"/>
  <c r="D506" i="9" a="1"/>
  <c r="D506" i="9" s="1"/>
  <c r="D505" i="9" a="1"/>
  <c r="D505" i="9" s="1"/>
  <c r="D504" i="9" a="1"/>
  <c r="D504" i="9" s="1"/>
  <c r="D503" i="9" a="1"/>
  <c r="D503" i="9" s="1"/>
  <c r="D502" i="9" a="1"/>
  <c r="D502" i="9" s="1"/>
  <c r="D495" i="9" a="1"/>
  <c r="D495" i="9" s="1"/>
  <c r="D494" i="9" a="1"/>
  <c r="D494" i="9" s="1"/>
  <c r="D487" i="9" a="1"/>
  <c r="D487" i="9" s="1"/>
  <c r="D486" i="9" a="1"/>
  <c r="D486" i="9" s="1"/>
  <c r="D485" i="9" a="1"/>
  <c r="D485" i="9" s="1"/>
  <c r="D484" i="9" a="1"/>
  <c r="D484" i="9" s="1"/>
  <c r="D483" i="9" a="1"/>
  <c r="D483" i="9" s="1"/>
  <c r="D482" i="9" a="1"/>
  <c r="D482" i="9" s="1"/>
  <c r="D475" i="9" a="1"/>
  <c r="D475" i="9" s="1"/>
  <c r="D474" i="9" a="1"/>
  <c r="D474" i="9" s="1"/>
  <c r="D473" i="9" a="1"/>
  <c r="D473" i="9" s="1"/>
  <c r="D470" i="9" a="1"/>
  <c r="D470" i="9" s="1"/>
  <c r="D465" i="9" a="1"/>
  <c r="D465" i="9" s="1"/>
  <c r="D464" i="9" a="1"/>
  <c r="D464" i="9" s="1"/>
  <c r="D463" i="9" a="1"/>
  <c r="D463" i="9" s="1"/>
  <c r="D462" i="9" a="1"/>
  <c r="D462" i="9" s="1"/>
  <c r="D456" i="9" a="1"/>
  <c r="D456" i="9" s="1"/>
  <c r="D455" i="9" a="1"/>
  <c r="D455" i="9" s="1"/>
  <c r="D453" i="9" a="1"/>
  <c r="D453" i="9" s="1"/>
  <c r="D449" i="9" a="1"/>
  <c r="D449" i="9" s="1"/>
  <c r="D448" i="9" a="1"/>
  <c r="D448" i="9" s="1"/>
  <c r="D447" i="9" a="1"/>
  <c r="D447" i="9" s="1"/>
  <c r="D446" i="9" a="1"/>
  <c r="D446" i="9" s="1"/>
  <c r="D445" i="9" a="1"/>
  <c r="D445" i="9" s="1"/>
  <c r="D444" i="9" a="1"/>
  <c r="D444" i="9" s="1"/>
  <c r="D442" i="9" a="1"/>
  <c r="D442" i="9" s="1"/>
  <c r="D436" i="9" a="1"/>
  <c r="D436" i="9" s="1"/>
  <c r="D435" i="9" a="1"/>
  <c r="D435" i="9" s="1"/>
  <c r="D433" i="9" a="1"/>
  <c r="D433" i="9" s="1"/>
  <c r="D428" i="9" a="1"/>
  <c r="D428" i="9" s="1"/>
  <c r="D427" i="9" a="1"/>
  <c r="D427" i="9" s="1"/>
  <c r="D426" i="9" a="1"/>
  <c r="D426" i="9" s="1"/>
  <c r="D425" i="9" a="1"/>
  <c r="D425" i="9" s="1"/>
  <c r="D424" i="9" a="1"/>
  <c r="D424" i="9" s="1"/>
  <c r="D423" i="9" a="1"/>
  <c r="D423" i="9" s="1"/>
  <c r="D422" i="9" a="1"/>
  <c r="D422" i="9" s="1"/>
  <c r="D410" i="9" a="1"/>
  <c r="D410" i="9" s="1"/>
  <c r="D409" i="9" a="1"/>
  <c r="D409" i="9" s="1"/>
  <c r="D407" i="9" a="1"/>
  <c r="D407" i="9" s="1"/>
  <c r="D406" i="9" a="1"/>
  <c r="D406" i="9" s="1"/>
  <c r="D405" i="9" a="1"/>
  <c r="D405" i="9" s="1"/>
  <c r="D404" i="9" a="1"/>
  <c r="D404" i="9" s="1"/>
  <c r="D403" i="9" a="1"/>
  <c r="D403" i="9" s="1"/>
  <c r="D402" i="9" a="1"/>
  <c r="D402" i="9" s="1"/>
  <c r="D388" i="9" a="1"/>
  <c r="D388" i="9" s="1"/>
  <c r="D387" i="9" a="1"/>
  <c r="D387" i="9" s="1"/>
  <c r="D386" i="9" a="1"/>
  <c r="D386" i="9" s="1"/>
  <c r="D385" i="9" a="1"/>
  <c r="D385" i="9" s="1"/>
  <c r="D384" i="9" a="1"/>
  <c r="D384" i="9" s="1"/>
  <c r="D383" i="9" a="1"/>
  <c r="D383" i="9" s="1"/>
  <c r="D382" i="9" a="1"/>
  <c r="D382" i="9" s="1"/>
  <c r="D373" i="9" a="1"/>
  <c r="D373" i="9" s="1"/>
  <c r="D368" i="9" a="1"/>
  <c r="D368" i="9" s="1"/>
  <c r="D367" i="9" a="1"/>
  <c r="D367" i="9" s="1"/>
  <c r="D366" i="9" a="1"/>
  <c r="D366" i="9" s="1"/>
  <c r="D365" i="9" a="1"/>
  <c r="D365" i="9" s="1"/>
  <c r="D364" i="9" a="1"/>
  <c r="D364" i="9" s="1"/>
  <c r="D363" i="9" a="1"/>
  <c r="D363" i="9" s="1"/>
  <c r="D362" i="9" a="1"/>
  <c r="D362" i="9" s="1"/>
  <c r="D353" i="9" a="1"/>
  <c r="D353" i="9" s="1"/>
  <c r="D350" i="9" a="1"/>
  <c r="D350" i="9" s="1"/>
  <c r="D349" i="9" a="1"/>
  <c r="D349" i="9" s="1"/>
  <c r="D348" i="9" a="1"/>
  <c r="D348" i="9" s="1"/>
  <c r="D345" i="9" a="1"/>
  <c r="D345" i="9" s="1"/>
  <c r="D344" i="9" a="1"/>
  <c r="D344" i="9" s="1"/>
  <c r="D343" i="9" a="1"/>
  <c r="D343" i="9" s="1"/>
  <c r="D342" i="9" a="1"/>
  <c r="D342" i="9" s="1"/>
  <c r="D333" i="9" a="1"/>
  <c r="D333" i="9" s="1"/>
  <c r="D329" i="9" a="1"/>
  <c r="D329" i="9" s="1"/>
  <c r="D328" i="9" a="1"/>
  <c r="D328" i="9" s="1"/>
  <c r="D327" i="9" a="1"/>
  <c r="D327" i="9" s="1"/>
  <c r="D326" i="9" a="1"/>
  <c r="D326" i="9" s="1"/>
  <c r="D325" i="9" a="1"/>
  <c r="D325" i="9" s="1"/>
  <c r="D324" i="9" a="1"/>
  <c r="D324" i="9" s="1"/>
  <c r="D323" i="9" a="1"/>
  <c r="D323" i="9" s="1"/>
  <c r="D322" i="9" a="1"/>
  <c r="D322" i="9" s="1"/>
  <c r="D309" i="9" a="1"/>
  <c r="D309" i="9" s="1"/>
  <c r="D308" i="9" a="1"/>
  <c r="D308" i="9" s="1"/>
  <c r="D307" i="9" a="1"/>
  <c r="D307" i="9" s="1"/>
  <c r="D306" i="9" a="1"/>
  <c r="D306" i="9" s="1"/>
  <c r="D305" i="9" a="1"/>
  <c r="D305" i="9" s="1"/>
  <c r="D304" i="9" a="1"/>
  <c r="D304" i="9" s="1"/>
  <c r="D303" i="9" a="1"/>
  <c r="D303" i="9" s="1"/>
  <c r="D302" i="9" a="1"/>
  <c r="D302" i="9" s="1"/>
  <c r="D293" i="9" a="1"/>
  <c r="D293" i="9" s="1"/>
  <c r="D289" i="9" a="1"/>
  <c r="D289" i="9" s="1"/>
  <c r="D288" i="9" a="1"/>
  <c r="D288" i="9" s="1"/>
  <c r="D285" i="9" a="1"/>
  <c r="D285" i="9" s="1"/>
  <c r="D284" i="9" a="1"/>
  <c r="D284" i="9" s="1"/>
  <c r="D283" i="9" a="1"/>
  <c r="D283" i="9" s="1"/>
  <c r="D282" i="9" a="1"/>
  <c r="D282" i="9" s="1"/>
  <c r="D273" i="9" a="1"/>
  <c r="D273" i="9" s="1"/>
  <c r="D270" i="9" a="1"/>
  <c r="D270" i="9" s="1"/>
  <c r="D269" i="9" a="1"/>
  <c r="D269" i="9" s="1"/>
  <c r="D268" i="9" a="1"/>
  <c r="D268" i="9" s="1"/>
  <c r="D267" i="9" a="1"/>
  <c r="D267" i="9" s="1"/>
  <c r="D266" i="9" a="1"/>
  <c r="D266" i="9" s="1"/>
  <c r="D265" i="9" a="1"/>
  <c r="D265" i="9" s="1"/>
  <c r="D264" i="9" a="1"/>
  <c r="D264" i="9" s="1"/>
  <c r="D263" i="9" a="1"/>
  <c r="D263" i="9" s="1"/>
  <c r="D262" i="9" a="1"/>
  <c r="D262" i="9" s="1"/>
  <c r="D250" i="9" a="1"/>
  <c r="D250" i="9" s="1"/>
  <c r="D249" i="9" a="1"/>
  <c r="D249" i="9" s="1"/>
  <c r="D248" i="9" a="1"/>
  <c r="D248" i="9" s="1"/>
  <c r="D247" i="9" a="1"/>
  <c r="D247" i="9" s="1"/>
  <c r="D246" i="9" a="1"/>
  <c r="D246" i="9" s="1"/>
  <c r="D245" i="9" a="1"/>
  <c r="D245" i="9" s="1"/>
  <c r="D244" i="9" a="1"/>
  <c r="D244" i="9" s="1"/>
  <c r="D243" i="9" a="1"/>
  <c r="D243" i="9" s="1"/>
  <c r="D242" i="9" a="1"/>
  <c r="D242" i="9" s="1"/>
  <c r="D233" i="9" a="1"/>
  <c r="D233" i="9" s="1"/>
  <c r="D230" i="9" a="1"/>
  <c r="D230" i="9" s="1"/>
  <c r="D227" i="9" a="1"/>
  <c r="D227" i="9" s="1"/>
  <c r="D226" i="9" a="1"/>
  <c r="D226" i="9" s="1"/>
  <c r="D225" i="9" a="1"/>
  <c r="D225" i="9" s="1"/>
  <c r="D224" i="9" a="1"/>
  <c r="D224" i="9" s="1"/>
  <c r="D223" i="9" a="1"/>
  <c r="D223" i="9" s="1"/>
  <c r="D222" i="9" a="1"/>
  <c r="D222" i="9" s="1"/>
  <c r="D213" i="9" a="1"/>
  <c r="D213" i="9" s="1"/>
  <c r="D210" i="9" a="1"/>
  <c r="D210" i="9" s="1"/>
  <c r="D209" i="9" a="1"/>
  <c r="D209" i="9" s="1"/>
  <c r="D208" i="9" a="1"/>
  <c r="D208" i="9" s="1"/>
  <c r="D207" i="9" a="1"/>
  <c r="D207" i="9" s="1"/>
  <c r="D206" i="9" a="1"/>
  <c r="D206" i="9" s="1"/>
  <c r="D205" i="9" a="1"/>
  <c r="D205" i="9" s="1"/>
  <c r="D204" i="9" a="1"/>
  <c r="D204" i="9" s="1"/>
  <c r="D203" i="9" a="1"/>
  <c r="D203" i="9" s="1"/>
  <c r="D202" i="9" a="1"/>
  <c r="D202" i="9" s="1"/>
  <c r="D190" i="9" a="1"/>
  <c r="D190" i="9" s="1"/>
  <c r="D189" i="9" a="1"/>
  <c r="D189" i="9" s="1"/>
  <c r="D188" i="9" a="1"/>
  <c r="D188" i="9" s="1"/>
  <c r="D187" i="9" a="1"/>
  <c r="D187" i="9" s="1"/>
  <c r="D186" i="9" a="1"/>
  <c r="D186" i="9" s="1"/>
  <c r="D185" i="9" a="1"/>
  <c r="D185" i="9" s="1"/>
  <c r="D184" i="9" a="1"/>
  <c r="D184" i="9" s="1"/>
  <c r="D183" i="9" a="1"/>
  <c r="D183" i="9" s="1"/>
  <c r="D182" i="9" a="1"/>
  <c r="D182" i="9" s="1"/>
  <c r="D173" i="9" a="1"/>
  <c r="D173" i="9" s="1"/>
  <c r="D170" i="9" a="1"/>
  <c r="D170" i="9" s="1"/>
  <c r="D168" i="9" a="1"/>
  <c r="D168" i="9" s="1"/>
  <c r="D167" i="9" a="1"/>
  <c r="D167" i="9" s="1"/>
  <c r="D166" i="9" a="1"/>
  <c r="D166" i="9" s="1"/>
  <c r="D165" i="9" a="1"/>
  <c r="D165" i="9" s="1"/>
  <c r="D164" i="9" a="1"/>
  <c r="D164" i="9" s="1"/>
  <c r="D163" i="9" a="1"/>
  <c r="D163" i="9" s="1"/>
  <c r="D162" i="9" a="1"/>
  <c r="D162" i="9" s="1"/>
  <c r="D151" i="9" a="1"/>
  <c r="D151" i="9" s="1"/>
  <c r="D149" i="9" a="1"/>
  <c r="D149" i="9" s="1"/>
  <c r="D148" i="9" a="1"/>
  <c r="D148" i="9" s="1"/>
  <c r="D147" i="9" a="1"/>
  <c r="D147" i="9" s="1"/>
  <c r="D146" i="9" a="1"/>
  <c r="D146" i="9" s="1"/>
  <c r="D145" i="9" a="1"/>
  <c r="D145" i="9" s="1"/>
  <c r="D144" i="9" a="1"/>
  <c r="D144" i="9" s="1"/>
  <c r="D143" i="9" a="1"/>
  <c r="D143" i="9" s="1"/>
  <c r="D142" i="9" a="1"/>
  <c r="D142" i="9" s="1"/>
  <c r="D131" i="9" a="1"/>
  <c r="D131" i="9" s="1"/>
  <c r="D129" i="9" a="1"/>
  <c r="D129" i="9" s="1"/>
  <c r="D128" i="9" a="1"/>
  <c r="D128" i="9" s="1"/>
  <c r="D127" i="9" a="1"/>
  <c r="D127" i="9" s="1"/>
  <c r="D126" i="9" a="1"/>
  <c r="D126" i="9" s="1"/>
  <c r="D125" i="9" a="1"/>
  <c r="D125" i="9" s="1"/>
  <c r="D124" i="9" a="1"/>
  <c r="D124" i="9" s="1"/>
  <c r="D123" i="9" a="1"/>
  <c r="D123" i="9" s="1"/>
  <c r="D122" i="9" a="1"/>
  <c r="D122" i="9" s="1"/>
  <c r="D113" i="9" a="1"/>
  <c r="D113" i="9" s="1"/>
  <c r="D110" i="9" a="1"/>
  <c r="D110" i="9" s="1"/>
  <c r="D109" i="9" a="1"/>
  <c r="D109" i="9" s="1"/>
  <c r="D108" i="9" a="1"/>
  <c r="D108" i="9" s="1"/>
  <c r="D107" i="9" a="1"/>
  <c r="D107" i="9" s="1"/>
  <c r="D106" i="9" a="1"/>
  <c r="D106" i="9" s="1"/>
  <c r="D105" i="9" a="1"/>
  <c r="D105" i="9" s="1"/>
  <c r="D104" i="9" a="1"/>
  <c r="D104" i="9" s="1"/>
  <c r="D103" i="9" a="1"/>
  <c r="D103" i="9" s="1"/>
  <c r="D102" i="9" a="1"/>
  <c r="D102" i="9" s="1"/>
  <c r="D94" i="9" a="1"/>
  <c r="D94" i="9" s="1"/>
  <c r="D93" i="9" a="1"/>
  <c r="D93" i="9" s="1"/>
  <c r="D90" i="9" a="1"/>
  <c r="D90" i="9" s="1"/>
  <c r="D89" i="9" a="1"/>
  <c r="D89" i="9" s="1"/>
  <c r="D88" i="9" a="1"/>
  <c r="D88" i="9" s="1"/>
  <c r="D87" i="9" a="1"/>
  <c r="D87" i="9" s="1"/>
  <c r="D86" i="9" a="1"/>
  <c r="D86" i="9" s="1"/>
  <c r="D85" i="9" a="1"/>
  <c r="D85" i="9" s="1"/>
  <c r="D84" i="9" a="1"/>
  <c r="D84" i="9" s="1"/>
  <c r="D83" i="9" a="1"/>
  <c r="D83" i="9" s="1"/>
  <c r="D82" i="9" a="1"/>
  <c r="D82" i="9" s="1"/>
  <c r="D75" i="9" a="1"/>
  <c r="D75" i="9" s="1"/>
  <c r="D74" i="9" a="1"/>
  <c r="D74" i="9" s="1"/>
  <c r="D73" i="9" a="1"/>
  <c r="D73" i="9" s="1"/>
  <c r="D71" i="9" a="1"/>
  <c r="D71" i="9" s="1"/>
  <c r="D70" i="9" a="1"/>
  <c r="D70" i="9" s="1"/>
  <c r="D69" i="9" a="1"/>
  <c r="D69" i="9" s="1"/>
  <c r="D68" i="9" a="1"/>
  <c r="D68" i="9" s="1"/>
  <c r="D67" i="9" a="1"/>
  <c r="D67" i="9" s="1"/>
  <c r="D66" i="9" a="1"/>
  <c r="D66" i="9" s="1"/>
  <c r="D65" i="9" a="1"/>
  <c r="D65" i="9" s="1"/>
  <c r="D62" i="9" a="1"/>
  <c r="D62" i="9" s="1"/>
  <c r="D56" i="9" a="1"/>
  <c r="D56" i="9" s="1"/>
  <c r="D53" i="9" a="1"/>
  <c r="D53" i="9" s="1"/>
  <c r="D50" i="9" a="1"/>
  <c r="D50" i="9" s="1"/>
  <c r="D49" i="9" a="1"/>
  <c r="D49" i="9" s="1"/>
  <c r="D48" i="9" a="1"/>
  <c r="D48" i="9" s="1"/>
  <c r="D47" i="9" a="1"/>
  <c r="D47" i="9" s="1"/>
  <c r="D46" i="9" a="1"/>
  <c r="D46" i="9" s="1"/>
  <c r="D45" i="9" a="1"/>
  <c r="D45" i="9" s="1"/>
  <c r="D44" i="9" a="1"/>
  <c r="D44" i="9" s="1"/>
  <c r="D43" i="9" a="1"/>
  <c r="D43" i="9" s="1"/>
  <c r="D42" i="9" a="1"/>
  <c r="D42" i="9" s="1"/>
  <c r="D34" i="9" a="1"/>
  <c r="D34" i="9" s="1"/>
  <c r="D33" i="9" a="1"/>
  <c r="D33" i="9" s="1"/>
  <c r="D30" i="9" a="1"/>
  <c r="D30" i="9" s="1"/>
  <c r="D29" i="9" a="1"/>
  <c r="D29" i="9" s="1"/>
  <c r="D28" i="9" a="1"/>
  <c r="D28" i="9" s="1"/>
  <c r="D27" i="9" a="1"/>
  <c r="D27" i="9" s="1"/>
  <c r="D26" i="9" a="1"/>
  <c r="D26" i="9" s="1"/>
  <c r="D25" i="9" a="1"/>
  <c r="D25" i="9" s="1"/>
  <c r="D24" i="9" a="1"/>
  <c r="D24" i="9" s="1"/>
  <c r="D23" i="9" a="1"/>
  <c r="D23" i="9" s="1"/>
  <c r="D22" i="9" a="1"/>
  <c r="D22" i="9" s="1"/>
  <c r="D14" i="9" a="1"/>
  <c r="D14" i="9" s="1"/>
  <c r="D13" i="9" a="1"/>
  <c r="D13" i="9" s="1"/>
  <c r="D10" i="9" a="1"/>
  <c r="D10" i="9" s="1"/>
  <c r="D9" i="9" a="1"/>
  <c r="D9" i="9" s="1"/>
  <c r="D6" i="9" a="1"/>
  <c r="D6" i="9" s="1"/>
  <c r="D5" i="9" a="1"/>
  <c r="D5" i="9" s="1"/>
  <c r="D4" i="9" a="1"/>
  <c r="D4" i="9" s="1"/>
  <c r="D3" i="9" a="1"/>
  <c r="D3" i="9" s="1"/>
  <c r="O5" i="9"/>
  <c r="D7" i="9" a="1"/>
  <c r="D7" i="9" s="1"/>
  <c r="D8" i="9" a="1"/>
  <c r="D8" i="9" s="1"/>
  <c r="D11" i="9" a="1"/>
  <c r="D11" i="9" s="1"/>
  <c r="D12" i="9" a="1"/>
  <c r="D12" i="9" s="1"/>
  <c r="D15" i="9" a="1"/>
  <c r="D15" i="9" s="1"/>
  <c r="D16" i="9" a="1"/>
  <c r="D16" i="9" s="1"/>
  <c r="D17" i="9" a="1"/>
  <c r="D17" i="9" s="1"/>
  <c r="D18" i="9" a="1"/>
  <c r="D18" i="9" s="1"/>
  <c r="D19" i="9" a="1"/>
  <c r="D19" i="9" s="1"/>
  <c r="D20" i="9" a="1"/>
  <c r="D20" i="9" s="1"/>
  <c r="D21" i="9" a="1"/>
  <c r="D21" i="9" s="1"/>
  <c r="D31" i="9" a="1"/>
  <c r="D31" i="9" s="1"/>
  <c r="D32" i="9" a="1"/>
  <c r="D32" i="9" s="1"/>
  <c r="D35" i="9" a="1"/>
  <c r="D35" i="9" s="1"/>
  <c r="D36" i="9" a="1"/>
  <c r="D36" i="9" s="1"/>
  <c r="D37" i="9" a="1"/>
  <c r="D37" i="9" s="1"/>
  <c r="D38" i="9" a="1"/>
  <c r="D38" i="9" s="1"/>
  <c r="D39" i="9" a="1"/>
  <c r="D39" i="9" s="1"/>
  <c r="D40" i="9" a="1"/>
  <c r="D40" i="9" s="1"/>
  <c r="D41" i="9" a="1"/>
  <c r="D41" i="9" s="1"/>
  <c r="D51" i="9" a="1"/>
  <c r="D51" i="9" s="1"/>
  <c r="D52" i="9" a="1"/>
  <c r="D52" i="9" s="1"/>
  <c r="D54" i="9" a="1"/>
  <c r="D54" i="9" s="1"/>
  <c r="D55" i="9" a="1"/>
  <c r="D55" i="9" s="1"/>
  <c r="D57" i="9" a="1"/>
  <c r="D57" i="9" s="1"/>
  <c r="D58" i="9" a="1"/>
  <c r="D58" i="9" s="1"/>
  <c r="D59" i="9" a="1"/>
  <c r="D59" i="9" s="1"/>
  <c r="D60" i="9" a="1"/>
  <c r="D60" i="9" s="1"/>
  <c r="D61" i="9" a="1"/>
  <c r="D61" i="9" s="1"/>
  <c r="D63" i="9" a="1"/>
  <c r="D63" i="9" s="1"/>
  <c r="D64" i="9" a="1"/>
  <c r="D64" i="9" s="1"/>
  <c r="D72" i="9" a="1"/>
  <c r="D72" i="9" s="1"/>
  <c r="D76" i="9" a="1"/>
  <c r="D76" i="9" s="1"/>
  <c r="D77" i="9" a="1"/>
  <c r="D77" i="9" s="1"/>
  <c r="D78" i="9" a="1"/>
  <c r="D78" i="9" s="1"/>
  <c r="D79" i="9" a="1"/>
  <c r="D79" i="9" s="1"/>
  <c r="D80" i="9" a="1"/>
  <c r="D80" i="9" s="1"/>
  <c r="D81" i="9" a="1"/>
  <c r="D81" i="9" s="1"/>
  <c r="D91" i="9" a="1"/>
  <c r="D91" i="9" s="1"/>
  <c r="D92" i="9" a="1"/>
  <c r="D92" i="9" s="1"/>
  <c r="D95" i="9" a="1"/>
  <c r="D95" i="9" s="1"/>
  <c r="D96" i="9" a="1"/>
  <c r="D96" i="9" s="1"/>
  <c r="D97" i="9" a="1"/>
  <c r="D97" i="9" s="1"/>
  <c r="D98" i="9" a="1"/>
  <c r="D98" i="9" s="1"/>
  <c r="D99" i="9" a="1"/>
  <c r="D99" i="9" s="1"/>
  <c r="D100" i="9" a="1"/>
  <c r="D100" i="9" s="1"/>
  <c r="D101" i="9" a="1"/>
  <c r="D101" i="9" s="1"/>
  <c r="D111" i="9" a="1"/>
  <c r="D111" i="9" s="1"/>
  <c r="D112" i="9" a="1"/>
  <c r="D112" i="9" s="1"/>
  <c r="D114" i="9" a="1"/>
  <c r="D114" i="9" s="1"/>
  <c r="D115" i="9" a="1"/>
  <c r="D115" i="9" s="1"/>
  <c r="D116" i="9" a="1"/>
  <c r="D116" i="9" s="1"/>
  <c r="D117" i="9" a="1"/>
  <c r="D117" i="9" s="1"/>
  <c r="D118" i="9" a="1"/>
  <c r="D118" i="9" s="1"/>
  <c r="D119" i="9" a="1"/>
  <c r="D119" i="9" s="1"/>
  <c r="D120" i="9" a="1"/>
  <c r="D120" i="9" s="1"/>
  <c r="D121" i="9" a="1"/>
  <c r="D121" i="9" s="1"/>
  <c r="D130" i="9" a="1"/>
  <c r="D130" i="9" s="1"/>
  <c r="D132" i="9" a="1"/>
  <c r="D132" i="9" s="1"/>
  <c r="D133" i="9" a="1"/>
  <c r="D133" i="9" s="1"/>
  <c r="D134" i="9" a="1"/>
  <c r="D134" i="9" s="1"/>
  <c r="D135" i="9" a="1"/>
  <c r="D135" i="9" s="1"/>
  <c r="D136" i="9" a="1"/>
  <c r="D136" i="9" s="1"/>
  <c r="D137" i="9" a="1"/>
  <c r="D137" i="9" s="1"/>
  <c r="D138" i="9" a="1"/>
  <c r="D138" i="9" s="1"/>
  <c r="D139" i="9" a="1"/>
  <c r="D139" i="9" s="1"/>
  <c r="D140" i="9" a="1"/>
  <c r="D140" i="9" s="1"/>
  <c r="D141" i="9" a="1"/>
  <c r="D141" i="9" s="1"/>
  <c r="D150" i="9" a="1"/>
  <c r="D150" i="9" s="1"/>
  <c r="D152" i="9" a="1"/>
  <c r="D152" i="9" s="1"/>
  <c r="D153" i="9" a="1"/>
  <c r="D153" i="9" s="1"/>
  <c r="D154" i="9" a="1"/>
  <c r="D154" i="9" s="1"/>
  <c r="D155" i="9" a="1"/>
  <c r="D155" i="9" s="1"/>
  <c r="D156" i="9" a="1"/>
  <c r="D156" i="9" s="1"/>
  <c r="D157" i="9" a="1"/>
  <c r="D157" i="9" s="1"/>
  <c r="D158" i="9" a="1"/>
  <c r="D158" i="9" s="1"/>
  <c r="D159" i="9" a="1"/>
  <c r="D159" i="9" s="1"/>
  <c r="D160" i="9" a="1"/>
  <c r="D160" i="9" s="1"/>
  <c r="D161" i="9" a="1"/>
  <c r="D161" i="9" s="1"/>
  <c r="D169" i="9" a="1"/>
  <c r="D169" i="9" s="1"/>
  <c r="D171" i="9" a="1"/>
  <c r="D171" i="9" s="1"/>
  <c r="D172" i="9" a="1"/>
  <c r="D172" i="9" s="1"/>
  <c r="D174" i="9" a="1"/>
  <c r="D174" i="9" s="1"/>
  <c r="D175" i="9" a="1"/>
  <c r="D175" i="9" s="1"/>
  <c r="D176" i="9" a="1"/>
  <c r="D176" i="9" s="1"/>
  <c r="D177" i="9" a="1"/>
  <c r="D177" i="9" s="1"/>
  <c r="D178" i="9" a="1"/>
  <c r="D178" i="9" s="1"/>
  <c r="D179" i="9" a="1"/>
  <c r="D179" i="9" s="1"/>
  <c r="D180" i="9" a="1"/>
  <c r="D180" i="9" s="1"/>
  <c r="D181" i="9" a="1"/>
  <c r="D181" i="9" s="1"/>
  <c r="D191" i="9" a="1"/>
  <c r="D191" i="9" s="1"/>
  <c r="D192" i="9" a="1"/>
  <c r="D192" i="9" s="1"/>
  <c r="D193" i="9" a="1"/>
  <c r="D193" i="9" s="1"/>
  <c r="D194" i="9" a="1"/>
  <c r="D194" i="9" s="1"/>
  <c r="D195" i="9" a="1"/>
  <c r="D195" i="9" s="1"/>
  <c r="D196" i="9" a="1"/>
  <c r="D196" i="9" s="1"/>
  <c r="D197" i="9" a="1"/>
  <c r="D197" i="9" s="1"/>
  <c r="D198" i="9" a="1"/>
  <c r="D198" i="9" s="1"/>
  <c r="D199" i="9" a="1"/>
  <c r="D199" i="9" s="1"/>
  <c r="D200" i="9" a="1"/>
  <c r="D200" i="9" s="1"/>
  <c r="D201" i="9" a="1"/>
  <c r="D201" i="9" s="1"/>
  <c r="D211" i="9" a="1"/>
  <c r="D211" i="9" s="1"/>
  <c r="D212" i="9" a="1"/>
  <c r="D212" i="9" s="1"/>
  <c r="D214" i="9" a="1"/>
  <c r="D214" i="9" s="1"/>
  <c r="D215" i="9" a="1"/>
  <c r="D215" i="9" s="1"/>
  <c r="D216" i="9" a="1"/>
  <c r="D216" i="9" s="1"/>
  <c r="D217" i="9" a="1"/>
  <c r="D217" i="9" s="1"/>
  <c r="D218" i="9" a="1"/>
  <c r="D218" i="9" s="1"/>
  <c r="D219" i="9" a="1"/>
  <c r="D219" i="9" s="1"/>
  <c r="D220" i="9" a="1"/>
  <c r="D220" i="9" s="1"/>
  <c r="D221" i="9" a="1"/>
  <c r="D221" i="9" s="1"/>
  <c r="D228" i="9" a="1"/>
  <c r="D228" i="9" s="1"/>
  <c r="D229" i="9" a="1"/>
  <c r="D229" i="9" s="1"/>
  <c r="D231" i="9" a="1"/>
  <c r="D231" i="9" s="1"/>
  <c r="D232" i="9" a="1"/>
  <c r="D232" i="9" s="1"/>
  <c r="D234" i="9" a="1"/>
  <c r="D234" i="9" s="1"/>
  <c r="D235" i="9" a="1"/>
  <c r="D235" i="9" s="1"/>
  <c r="D236" i="9" a="1"/>
  <c r="D236" i="9" s="1"/>
  <c r="D237" i="9" a="1"/>
  <c r="D237" i="9" s="1"/>
  <c r="D238" i="9" a="1"/>
  <c r="D238" i="9" s="1"/>
  <c r="D239" i="9" a="1"/>
  <c r="D239" i="9" s="1"/>
  <c r="D240" i="9" a="1"/>
  <c r="D240" i="9" s="1"/>
  <c r="D241" i="9" a="1"/>
  <c r="D241" i="9" s="1"/>
  <c r="D251" i="9" a="1"/>
  <c r="D251" i="9" s="1"/>
  <c r="D252" i="9" a="1"/>
  <c r="D252" i="9" s="1"/>
  <c r="D253" i="9" a="1"/>
  <c r="D253" i="9" s="1"/>
  <c r="D254" i="9" a="1"/>
  <c r="D254" i="9" s="1"/>
  <c r="D255" i="9" a="1"/>
  <c r="D255" i="9" s="1"/>
  <c r="D256" i="9" a="1"/>
  <c r="D256" i="9" s="1"/>
  <c r="D257" i="9" a="1"/>
  <c r="D257" i="9" s="1"/>
  <c r="D258" i="9" a="1"/>
  <c r="D258" i="9" s="1"/>
  <c r="D259" i="9" a="1"/>
  <c r="D259" i="9" s="1"/>
  <c r="D260" i="9" a="1"/>
  <c r="D260" i="9" s="1"/>
  <c r="D261" i="9" a="1"/>
  <c r="D261" i="9" s="1"/>
  <c r="D271" i="9" a="1"/>
  <c r="D271" i="9" s="1"/>
  <c r="D272" i="9" a="1"/>
  <c r="D272" i="9" s="1"/>
  <c r="D274" i="9" a="1"/>
  <c r="D274" i="9" s="1"/>
  <c r="D275" i="9" a="1"/>
  <c r="D275" i="9" s="1"/>
  <c r="D276" i="9" a="1"/>
  <c r="D276" i="9" s="1"/>
  <c r="D277" i="9" a="1"/>
  <c r="D277" i="9" s="1"/>
  <c r="D278" i="9" a="1"/>
  <c r="D278" i="9" s="1"/>
  <c r="D279" i="9" a="1"/>
  <c r="D279" i="9" s="1"/>
  <c r="D280" i="9" a="1"/>
  <c r="D280" i="9" s="1"/>
  <c r="D281" i="9" a="1"/>
  <c r="D281" i="9" s="1"/>
  <c r="D286" i="9" a="1"/>
  <c r="D286" i="9" s="1"/>
  <c r="D287" i="9" a="1"/>
  <c r="D287" i="9" s="1"/>
  <c r="D290" i="9" a="1"/>
  <c r="D290" i="9" s="1"/>
  <c r="D291" i="9" a="1"/>
  <c r="D291" i="9" s="1"/>
  <c r="D292" i="9" a="1"/>
  <c r="D292" i="9" s="1"/>
  <c r="D294" i="9" a="1"/>
  <c r="D294" i="9" s="1"/>
  <c r="D295" i="9" a="1"/>
  <c r="D295" i="9" s="1"/>
  <c r="D296" i="9" a="1"/>
  <c r="D296" i="9" s="1"/>
  <c r="D297" i="9" a="1"/>
  <c r="D297" i="9" s="1"/>
  <c r="D298" i="9" a="1"/>
  <c r="D298" i="9" s="1"/>
  <c r="D299" i="9" a="1"/>
  <c r="D299" i="9" s="1"/>
  <c r="D300" i="9" a="1"/>
  <c r="D300" i="9" s="1"/>
  <c r="D301" i="9" a="1"/>
  <c r="D301" i="9" s="1"/>
  <c r="D310" i="9" a="1"/>
  <c r="D310" i="9" s="1"/>
  <c r="D311" i="9" a="1"/>
  <c r="D311" i="9" s="1"/>
  <c r="D312" i="9" a="1"/>
  <c r="D312" i="9" s="1"/>
  <c r="D313" i="9" a="1"/>
  <c r="D313" i="9" s="1"/>
  <c r="D314" i="9" a="1"/>
  <c r="D314" i="9" s="1"/>
  <c r="D315" i="9" a="1"/>
  <c r="D315" i="9" s="1"/>
  <c r="D316" i="9" a="1"/>
  <c r="D316" i="9" s="1"/>
  <c r="D317" i="9" a="1"/>
  <c r="D317" i="9" s="1"/>
  <c r="D318" i="9" a="1"/>
  <c r="D318" i="9" s="1"/>
  <c r="D319" i="9" a="1"/>
  <c r="D319" i="9" s="1"/>
  <c r="D320" i="9" a="1"/>
  <c r="D320" i="9" s="1"/>
  <c r="D321" i="9" a="1"/>
  <c r="D321" i="9" s="1"/>
  <c r="D330" i="9" a="1"/>
  <c r="D330" i="9" s="1"/>
  <c r="D331" i="9" a="1"/>
  <c r="D331" i="9" s="1"/>
  <c r="D332" i="9" a="1"/>
  <c r="D332" i="9" s="1"/>
  <c r="D334" i="9" a="1"/>
  <c r="D334" i="9" s="1"/>
  <c r="D335" i="9" a="1"/>
  <c r="D335" i="9" s="1"/>
  <c r="D336" i="9" a="1"/>
  <c r="D336" i="9" s="1"/>
  <c r="D337" i="9" a="1"/>
  <c r="D337" i="9" s="1"/>
  <c r="D338" i="9" a="1"/>
  <c r="D338" i="9" s="1"/>
  <c r="D339" i="9" a="1"/>
  <c r="D339" i="9" s="1"/>
  <c r="D340" i="9" a="1"/>
  <c r="D340" i="9" s="1"/>
  <c r="D341" i="9" a="1"/>
  <c r="D341" i="9" s="1"/>
  <c r="D346" i="9" a="1"/>
  <c r="D346" i="9" s="1"/>
  <c r="D347" i="9" a="1"/>
  <c r="D347" i="9" s="1"/>
  <c r="D351" i="9" a="1"/>
  <c r="D351" i="9" s="1"/>
  <c r="D352" i="9" a="1"/>
  <c r="D352" i="9" s="1"/>
  <c r="D354" i="9" a="1"/>
  <c r="D354" i="9" s="1"/>
  <c r="D355" i="9" a="1"/>
  <c r="D355" i="9" s="1"/>
  <c r="D356" i="9" a="1"/>
  <c r="D356" i="9" s="1"/>
  <c r="D357" i="9" a="1"/>
  <c r="D357" i="9" s="1"/>
  <c r="D358" i="9" a="1"/>
  <c r="D358" i="9" s="1"/>
  <c r="D359" i="9" a="1"/>
  <c r="D359" i="9" s="1"/>
  <c r="D360" i="9" a="1"/>
  <c r="D360" i="9" s="1"/>
  <c r="D361" i="9" a="1"/>
  <c r="D361" i="9" s="1"/>
  <c r="D369" i="9" a="1"/>
  <c r="D369" i="9" s="1"/>
  <c r="D370" i="9" a="1"/>
  <c r="D370" i="9" s="1"/>
  <c r="D371" i="9" a="1"/>
  <c r="D371" i="9" s="1"/>
  <c r="D372" i="9" a="1"/>
  <c r="D372" i="9" s="1"/>
  <c r="D374" i="9" a="1"/>
  <c r="D374" i="9" s="1"/>
  <c r="D375" i="9" a="1"/>
  <c r="D375" i="9" s="1"/>
  <c r="D376" i="9" a="1"/>
  <c r="D376" i="9" s="1"/>
  <c r="D377" i="9" a="1"/>
  <c r="D377" i="9" s="1"/>
  <c r="D378" i="9" a="1"/>
  <c r="D378" i="9" s="1"/>
  <c r="D379" i="9" a="1"/>
  <c r="D379" i="9" s="1"/>
  <c r="D380" i="9" a="1"/>
  <c r="D380" i="9" s="1"/>
  <c r="D381" i="9" a="1"/>
  <c r="D381" i="9" s="1"/>
  <c r="D389" i="9" a="1"/>
  <c r="D389" i="9" s="1"/>
  <c r="D390" i="9" a="1"/>
  <c r="D390" i="9" s="1"/>
  <c r="D391" i="9" a="1"/>
  <c r="D391" i="9" s="1"/>
  <c r="D392" i="9" a="1"/>
  <c r="D392" i="9" s="1"/>
  <c r="D393" i="9" a="1"/>
  <c r="D393" i="9" s="1"/>
  <c r="D394" i="9" a="1"/>
  <c r="D394" i="9" s="1"/>
  <c r="D395" i="9" a="1"/>
  <c r="D395" i="9" s="1"/>
  <c r="D396" i="9" a="1"/>
  <c r="D396" i="9" s="1"/>
  <c r="D397" i="9" a="1"/>
  <c r="D397" i="9" s="1"/>
  <c r="D398" i="9" a="1"/>
  <c r="D398" i="9" s="1"/>
  <c r="D399" i="9" a="1"/>
  <c r="D399" i="9" s="1"/>
  <c r="D400" i="9" a="1"/>
  <c r="D400" i="9" s="1"/>
  <c r="D401" i="9" a="1"/>
  <c r="D401" i="9" s="1"/>
  <c r="D408" i="9" a="1"/>
  <c r="D408" i="9" s="1"/>
  <c r="D411" i="9" a="1"/>
  <c r="D411" i="9" s="1"/>
  <c r="D412" i="9" a="1"/>
  <c r="D412" i="9" s="1"/>
  <c r="D413" i="9" a="1"/>
  <c r="D413" i="9" s="1"/>
  <c r="D414" i="9" a="1"/>
  <c r="D414" i="9" s="1"/>
  <c r="D415" i="9" a="1"/>
  <c r="D415" i="9" s="1"/>
  <c r="D416" i="9" a="1"/>
  <c r="D416" i="9" s="1"/>
  <c r="D417" i="9" a="1"/>
  <c r="D417" i="9" s="1"/>
  <c r="D418" i="9" a="1"/>
  <c r="D418" i="9" s="1"/>
  <c r="D419" i="9" a="1"/>
  <c r="D419" i="9" s="1"/>
  <c r="D420" i="9" a="1"/>
  <c r="D420" i="9" s="1"/>
  <c r="D421" i="9" a="1"/>
  <c r="D421" i="9" s="1"/>
  <c r="D429" i="9" a="1"/>
  <c r="D429" i="9" s="1"/>
  <c r="D430" i="9" a="1"/>
  <c r="D430" i="9" s="1"/>
  <c r="D431" i="9" a="1"/>
  <c r="D431" i="9" s="1"/>
  <c r="D432" i="9" a="1"/>
  <c r="D432" i="9" s="1"/>
  <c r="D434" i="9" a="1"/>
  <c r="D434" i="9" s="1"/>
  <c r="D437" i="9" a="1"/>
  <c r="D437" i="9" s="1"/>
  <c r="D438" i="9" a="1"/>
  <c r="D438" i="9" s="1"/>
  <c r="D439" i="9" a="1"/>
  <c r="D439" i="9" s="1"/>
  <c r="D440" i="9" a="1"/>
  <c r="D440" i="9" s="1"/>
  <c r="D441" i="9" a="1"/>
  <c r="D441" i="9" s="1"/>
  <c r="D443" i="9" a="1"/>
  <c r="D443" i="9" s="1"/>
  <c r="D450" i="9" a="1"/>
  <c r="D450" i="9" s="1"/>
  <c r="D451" i="9" a="1"/>
  <c r="D451" i="9" s="1"/>
  <c r="D452" i="9" a="1"/>
  <c r="D452" i="9" s="1"/>
  <c r="D454" i="9" a="1"/>
  <c r="D454" i="9" s="1"/>
  <c r="D457" i="9" a="1"/>
  <c r="D457" i="9" s="1"/>
  <c r="D458" i="9" a="1"/>
  <c r="D458" i="9" s="1"/>
  <c r="D459" i="9" a="1"/>
  <c r="D459" i="9" s="1"/>
  <c r="D460" i="9" a="1"/>
  <c r="D460" i="9" s="1"/>
  <c r="D461" i="9" a="1"/>
  <c r="D461" i="9" s="1"/>
  <c r="D466" i="9" a="1"/>
  <c r="D466" i="9" s="1"/>
  <c r="D467" i="9" a="1"/>
  <c r="D467" i="9" s="1"/>
  <c r="D468" i="9" a="1"/>
  <c r="D468" i="9" s="1"/>
  <c r="D469" i="9" a="1"/>
  <c r="D469" i="9" s="1"/>
  <c r="D471" i="9" a="1"/>
  <c r="D471" i="9" s="1"/>
  <c r="D472" i="9" a="1"/>
  <c r="D472" i="9" s="1"/>
  <c r="D476" i="9" a="1"/>
  <c r="D476" i="9" s="1"/>
  <c r="D477" i="9" a="1"/>
  <c r="D477" i="9" s="1"/>
  <c r="D478" i="9" a="1"/>
  <c r="D478" i="9" s="1"/>
  <c r="D479" i="9" a="1"/>
  <c r="D479" i="9" s="1"/>
  <c r="D480" i="9" a="1"/>
  <c r="D480" i="9" s="1"/>
  <c r="D481" i="9" a="1"/>
  <c r="D481" i="9" s="1"/>
  <c r="D488" i="9" a="1"/>
  <c r="D488" i="9" s="1"/>
  <c r="D489" i="9" a="1"/>
  <c r="D489" i="9" s="1"/>
  <c r="D490" i="9" a="1"/>
  <c r="D490" i="9" s="1"/>
  <c r="D491" i="9" a="1"/>
  <c r="D491" i="9" s="1"/>
  <c r="D492" i="9" a="1"/>
  <c r="D492" i="9" s="1"/>
  <c r="D493" i="9" a="1"/>
  <c r="D493" i="9" s="1"/>
  <c r="D496" i="9" a="1"/>
  <c r="D496" i="9" s="1"/>
  <c r="D497" i="9" a="1"/>
  <c r="D497" i="9" s="1"/>
  <c r="D498" i="9" a="1"/>
  <c r="D498" i="9" s="1"/>
  <c r="D499" i="9" a="1"/>
  <c r="D499" i="9" s="1"/>
  <c r="D500" i="9" a="1"/>
  <c r="D500" i="9" s="1"/>
  <c r="D501" i="9" a="1"/>
  <c r="D501" i="9" s="1"/>
  <c r="D509" i="9" a="1"/>
  <c r="D509" i="9" s="1"/>
  <c r="D510" i="9" a="1"/>
  <c r="D510" i="9" s="1"/>
  <c r="D511" i="9" a="1"/>
  <c r="D511" i="9" s="1"/>
  <c r="D512" i="9" a="1"/>
  <c r="D512" i="9" s="1"/>
  <c r="D516" i="9" a="1"/>
  <c r="D516" i="9" s="1"/>
  <c r="D517" i="9" a="1"/>
  <c r="D517" i="9" s="1"/>
  <c r="D518" i="9" a="1"/>
  <c r="D518" i="9" s="1"/>
  <c r="D519" i="9" a="1"/>
  <c r="D519" i="9" s="1"/>
  <c r="D520" i="9" a="1"/>
  <c r="D520" i="9" s="1"/>
  <c r="D521" i="9" a="1"/>
  <c r="D521" i="9" s="1"/>
  <c r="D530" i="9" a="1"/>
  <c r="D530" i="9" s="1"/>
  <c r="D532" i="9" a="1"/>
  <c r="D532" i="9" s="1"/>
  <c r="D536" i="9" a="1"/>
  <c r="D536" i="9" s="1"/>
  <c r="D537" i="9" a="1"/>
  <c r="D537" i="9" s="1"/>
  <c r="D538" i="9" a="1"/>
  <c r="D538" i="9" s="1"/>
  <c r="D539" i="9" a="1"/>
  <c r="D539" i="9" s="1"/>
  <c r="D540" i="9" a="1"/>
  <c r="D540" i="9" s="1"/>
  <c r="D541" i="9" a="1"/>
  <c r="D541" i="9" s="1"/>
  <c r="D542" i="9" a="1"/>
  <c r="D542" i="9" s="1"/>
  <c r="D550" i="9" a="1"/>
  <c r="D550" i="9" s="1"/>
  <c r="D552" i="9" a="1"/>
  <c r="D552" i="9" s="1"/>
  <c r="D556" i="9" a="1"/>
  <c r="D556" i="9" s="1"/>
  <c r="D557" i="9" a="1"/>
  <c r="D557" i="9" s="1"/>
  <c r="D558" i="9" a="1"/>
  <c r="D558" i="9" s="1"/>
  <c r="D559" i="9" a="1"/>
  <c r="D559" i="9" s="1"/>
  <c r="D560" i="9" a="1"/>
  <c r="D560" i="9" s="1"/>
  <c r="D561" i="9" a="1"/>
  <c r="D561" i="9" s="1"/>
  <c r="D563" i="9" a="1"/>
  <c r="D563" i="9" s="1"/>
  <c r="D564" i="9" a="1"/>
  <c r="D564" i="9" s="1"/>
  <c r="D565" i="9" a="1"/>
  <c r="D565" i="9" s="1"/>
  <c r="D566" i="9" a="1"/>
  <c r="D566" i="9" s="1"/>
  <c r="D571" i="9" a="1"/>
  <c r="D571" i="9" s="1"/>
  <c r="D572" i="9" a="1"/>
  <c r="D572" i="9" s="1"/>
  <c r="D575" i="9" a="1"/>
  <c r="D575" i="9" s="1"/>
  <c r="D576" i="9" a="1"/>
  <c r="D576" i="9" s="1"/>
  <c r="D577" i="9" a="1"/>
  <c r="D577" i="9" s="1"/>
  <c r="D578" i="9" a="1"/>
  <c r="D578" i="9" s="1"/>
  <c r="D579" i="9" a="1"/>
  <c r="D579" i="9" s="1"/>
  <c r="D580" i="9" a="1"/>
  <c r="D580" i="9" s="1"/>
  <c r="D581" i="9" a="1"/>
  <c r="D581" i="9" s="1"/>
  <c r="D583" i="9" a="1"/>
  <c r="D583" i="9" s="1"/>
  <c r="D591" i="9" a="1"/>
  <c r="D591" i="9" s="1"/>
  <c r="D592" i="9" a="1"/>
  <c r="D592" i="9" s="1"/>
  <c r="D595" i="9" a="1"/>
  <c r="D595" i="9" s="1"/>
  <c r="D596" i="9" a="1"/>
  <c r="D596" i="9" s="1"/>
  <c r="D597" i="9" a="1"/>
  <c r="D597" i="9" s="1"/>
  <c r="D598" i="9" a="1"/>
  <c r="D598" i="9" s="1"/>
  <c r="D599" i="9" a="1"/>
  <c r="D599" i="9" s="1"/>
  <c r="D600" i="9" a="1"/>
  <c r="D600" i="9" s="1"/>
  <c r="D601" i="9" a="1"/>
  <c r="D601" i="9" s="1"/>
  <c r="D611" i="9" a="1"/>
  <c r="D611" i="9" s="1"/>
  <c r="D612" i="9" a="1"/>
  <c r="D612" i="9" s="1"/>
  <c r="D613" i="9" a="1"/>
  <c r="D613" i="9" s="1"/>
  <c r="D615" i="9" a="1"/>
  <c r="D615" i="9" s="1"/>
  <c r="D616" i="9" a="1"/>
  <c r="D616" i="9" s="1"/>
  <c r="D617" i="9" a="1"/>
  <c r="D617" i="9" s="1"/>
  <c r="D618" i="9" a="1"/>
  <c r="D618" i="9" s="1"/>
  <c r="D619" i="9" a="1"/>
  <c r="D619" i="9" s="1"/>
  <c r="D620" i="9" a="1"/>
  <c r="D620" i="9" s="1"/>
  <c r="D621" i="9" a="1"/>
  <c r="D621" i="9" s="1"/>
  <c r="D631" i="9" a="1"/>
  <c r="D631" i="9" s="1"/>
  <c r="D632" i="9" a="1"/>
  <c r="D632" i="9" s="1"/>
  <c r="D635" i="9" a="1"/>
  <c r="D635" i="9" s="1"/>
  <c r="D636" i="9" a="1"/>
  <c r="D636" i="9" s="1"/>
  <c r="D637" i="9" a="1"/>
  <c r="D637" i="9" s="1"/>
  <c r="D638" i="9" a="1"/>
  <c r="D638" i="9" s="1"/>
  <c r="D639" i="9" a="1"/>
  <c r="D639" i="9" s="1"/>
  <c r="D640" i="9" a="1"/>
  <c r="D640" i="9" s="1"/>
  <c r="D641" i="9" a="1"/>
  <c r="D641" i="9" s="1"/>
  <c r="D643" i="9" a="1"/>
  <c r="D643" i="9" s="1"/>
  <c r="D650" i="9" a="1"/>
  <c r="D650" i="9" s="1"/>
  <c r="D651" i="9" a="1"/>
  <c r="D651" i="9" s="1"/>
  <c r="D652" i="9" a="1"/>
  <c r="D652" i="9" s="1"/>
  <c r="D654" i="9" a="1"/>
  <c r="D654" i="9" s="1"/>
  <c r="D655" i="9" a="1"/>
  <c r="D655" i="9" s="1"/>
  <c r="D656" i="9" a="1"/>
  <c r="D656" i="9" s="1"/>
  <c r="D657" i="9" a="1"/>
  <c r="D657" i="9" s="1"/>
  <c r="D658" i="9" a="1"/>
  <c r="D658" i="9" s="1"/>
  <c r="D659" i="9" a="1"/>
  <c r="D659" i="9" s="1"/>
  <c r="D660" i="9" a="1"/>
  <c r="D660" i="9" s="1"/>
  <c r="D661" i="9" a="1"/>
  <c r="D661" i="9" s="1"/>
  <c r="D671" i="9" a="1"/>
  <c r="D671" i="9" s="1"/>
  <c r="D672" i="9" a="1"/>
  <c r="D672" i="9" s="1"/>
  <c r="D674" i="9" a="1"/>
  <c r="D674" i="9" s="1"/>
  <c r="D675" i="9" a="1"/>
  <c r="D675" i="9" s="1"/>
  <c r="D676" i="9" a="1"/>
  <c r="D676" i="9" s="1"/>
  <c r="D677" i="9" a="1"/>
  <c r="D677" i="9" s="1"/>
  <c r="D678" i="9" a="1"/>
  <c r="D678" i="9" s="1"/>
  <c r="D679" i="9" a="1"/>
  <c r="D679" i="9" s="1"/>
  <c r="D680" i="9" a="1"/>
  <c r="D680" i="9" s="1"/>
  <c r="D681" i="9" a="1"/>
  <c r="D681" i="9" s="1"/>
  <c r="D691" i="9" a="1"/>
  <c r="D691" i="9" s="1"/>
  <c r="D692" i="9" a="1"/>
  <c r="D692" i="9" s="1"/>
  <c r="D694" i="9" a="1"/>
  <c r="D694" i="9" s="1"/>
  <c r="D695" i="9" a="1"/>
  <c r="D695" i="9" s="1"/>
  <c r="D696" i="9" a="1"/>
  <c r="D696" i="9" s="1"/>
  <c r="D697" i="9" a="1"/>
  <c r="D697" i="9" s="1"/>
  <c r="D698" i="9" a="1"/>
  <c r="D698" i="9" s="1"/>
  <c r="D699" i="9" a="1"/>
  <c r="D699" i="9" s="1"/>
  <c r="D700" i="9" a="1"/>
  <c r="D700" i="9" s="1"/>
  <c r="D701" i="9" a="1"/>
  <c r="D701" i="9" s="1"/>
  <c r="D707" i="9" a="1"/>
  <c r="D707" i="9" s="1"/>
  <c r="D710" i="9" a="1"/>
  <c r="D710" i="9" s="1"/>
  <c r="D711" i="9" a="1"/>
  <c r="D711" i="9" s="1"/>
  <c r="D712" i="9" a="1"/>
  <c r="D712" i="9" s="1"/>
  <c r="D713" i="9" a="1"/>
  <c r="D713" i="9" s="1"/>
  <c r="D714" i="9" a="1"/>
  <c r="D714" i="9" s="1"/>
  <c r="D715" i="9" a="1"/>
  <c r="D715" i="9" s="1"/>
  <c r="D716" i="9" a="1"/>
  <c r="D716" i="9" s="1"/>
  <c r="D717" i="9" a="1"/>
  <c r="D717" i="9" s="1"/>
  <c r="D718" i="9" a="1"/>
  <c r="D718" i="9" s="1"/>
  <c r="D719" i="9" a="1"/>
  <c r="D719" i="9" s="1"/>
  <c r="D720" i="9" a="1"/>
  <c r="D720" i="9" s="1"/>
  <c r="D721" i="9" a="1"/>
  <c r="D721" i="9" s="1"/>
  <c r="D730" i="9" a="1"/>
  <c r="D730" i="9" s="1"/>
  <c r="D731" i="9" a="1"/>
  <c r="D731" i="9" s="1"/>
  <c r="D732" i="9" a="1"/>
  <c r="D732" i="9" s="1"/>
  <c r="D733" i="9" a="1"/>
  <c r="D733" i="9" s="1"/>
  <c r="D734" i="9" a="1"/>
  <c r="D734" i="9" s="1"/>
  <c r="D735" i="9" a="1"/>
  <c r="D735" i="9" s="1"/>
  <c r="D736" i="9" a="1"/>
  <c r="D736" i="9" s="1"/>
  <c r="D737" i="9" a="1"/>
  <c r="D737" i="9" s="1"/>
  <c r="D738" i="9" a="1"/>
  <c r="D738" i="9" s="1"/>
  <c r="D739" i="9" a="1"/>
  <c r="D739" i="9" s="1"/>
  <c r="D740" i="9" a="1"/>
  <c r="D740" i="9" s="1"/>
  <c r="D741" i="9" a="1"/>
  <c r="D741" i="9" s="1"/>
  <c r="D749" i="9" a="1"/>
  <c r="D749" i="9" s="1"/>
  <c r="D750" i="9" a="1"/>
  <c r="D750" i="9" s="1"/>
  <c r="D751" i="9" a="1"/>
  <c r="D751" i="9" s="1"/>
  <c r="D752" i="9" a="1"/>
  <c r="D752" i="9" s="1"/>
  <c r="D754" i="9" a="1"/>
  <c r="D754" i="9" s="1"/>
  <c r="D755" i="9" a="1"/>
  <c r="D755" i="9" s="1"/>
  <c r="D756" i="9" a="1"/>
  <c r="D756" i="9" s="1"/>
  <c r="D757" i="9" a="1"/>
  <c r="D757" i="9" s="1"/>
  <c r="D758" i="9" a="1"/>
  <c r="D758" i="9" s="1"/>
  <c r="D759" i="9" a="1"/>
  <c r="D759" i="9" s="1"/>
  <c r="D760" i="9" a="1"/>
  <c r="D760" i="9" s="1"/>
  <c r="D761" i="9" a="1"/>
  <c r="D761" i="9" s="1"/>
  <c r="D770" i="9" a="1"/>
  <c r="D770" i="9" s="1"/>
  <c r="D771" i="9" a="1"/>
  <c r="D771" i="9" s="1"/>
  <c r="D772" i="9" a="1"/>
  <c r="D772" i="9" s="1"/>
  <c r="D774" i="9" a="1"/>
  <c r="D774" i="9" s="1"/>
  <c r="D776" i="9" a="1"/>
  <c r="D776" i="9" s="1"/>
  <c r="D777" i="9" a="1"/>
  <c r="D777" i="9" s="1"/>
  <c r="D778" i="9" a="1"/>
  <c r="D778" i="9" s="1"/>
  <c r="D779" i="9" a="1"/>
  <c r="D779" i="9" s="1"/>
  <c r="D780" i="9" a="1"/>
  <c r="D780" i="9" s="1"/>
  <c r="D781" i="9" a="1"/>
  <c r="D781" i="9" s="1"/>
  <c r="D783" i="9" a="1"/>
  <c r="D783" i="9" s="1"/>
  <c r="D786" i="9" a="1"/>
  <c r="D786" i="9" s="1"/>
  <c r="D791" i="9" a="1"/>
  <c r="D791" i="9" s="1"/>
  <c r="D792" i="9" a="1"/>
  <c r="D792" i="9" s="1"/>
  <c r="D794" i="9" a="1"/>
  <c r="D794" i="9" s="1"/>
  <c r="D796" i="9" a="1"/>
  <c r="D796" i="9" s="1"/>
  <c r="D797" i="9" a="1"/>
  <c r="D797" i="9" s="1"/>
  <c r="D798" i="9" a="1"/>
  <c r="D798" i="9" s="1"/>
  <c r="D799" i="9" a="1"/>
  <c r="D799" i="9" s="1"/>
  <c r="D800" i="9" a="1"/>
  <c r="D800" i="9" s="1"/>
  <c r="D801" i="9" a="1"/>
  <c r="D801" i="9" s="1"/>
  <c r="D805" i="9" a="1"/>
  <c r="D805" i="9" s="1"/>
  <c r="D806" i="9" a="1"/>
  <c r="D806" i="9" s="1"/>
  <c r="D807" i="9" a="1"/>
  <c r="D807" i="9" s="1"/>
  <c r="D810" i="9" a="1"/>
  <c r="D810" i="9" s="1"/>
  <c r="D811" i="9" a="1"/>
  <c r="D811" i="9" s="1"/>
  <c r="D812" i="9" a="1"/>
  <c r="D812" i="9" s="1"/>
  <c r="D816" i="9" a="1"/>
  <c r="D816" i="9" s="1"/>
  <c r="D817" i="9" a="1"/>
  <c r="D817" i="9" s="1"/>
  <c r="D818" i="9" a="1"/>
  <c r="D818" i="9" s="1"/>
  <c r="D819" i="9" a="1"/>
  <c r="D819" i="9" s="1"/>
  <c r="D820" i="9" a="1"/>
  <c r="D820" i="9" s="1"/>
  <c r="D821" i="9" a="1"/>
  <c r="D821" i="9" s="1"/>
  <c r="D827" i="9" a="1"/>
  <c r="D827" i="9" s="1"/>
  <c r="D828" i="9" a="1"/>
  <c r="D828" i="9" s="1"/>
  <c r="D829" i="9" a="1"/>
  <c r="D829" i="9" s="1"/>
  <c r="D830" i="9" a="1"/>
  <c r="D830" i="9" s="1"/>
  <c r="D831" i="9" a="1"/>
  <c r="D831" i="9" s="1"/>
  <c r="D832" i="9" a="1"/>
  <c r="D832" i="9" s="1"/>
  <c r="D836" i="9" a="1"/>
  <c r="D836" i="9" s="1"/>
  <c r="D837" i="9" a="1"/>
  <c r="D837" i="9" s="1"/>
  <c r="D838" i="9" a="1"/>
  <c r="D838" i="9" s="1"/>
  <c r="D839" i="9" a="1"/>
  <c r="D839" i="9" s="1"/>
  <c r="D840" i="9" a="1"/>
  <c r="D840" i="9" s="1"/>
  <c r="D841" i="9" a="1"/>
  <c r="D841" i="9" s="1"/>
  <c r="D849" i="9" a="1"/>
  <c r="D849" i="9" s="1"/>
  <c r="D850" i="9" a="1"/>
  <c r="D850" i="9" s="1"/>
  <c r="D851" i="9" a="1"/>
  <c r="D851" i="9" s="1"/>
  <c r="D852" i="9" a="1"/>
  <c r="D852" i="9" s="1"/>
  <c r="D855" i="9" a="1"/>
  <c r="D855" i="9" s="1"/>
  <c r="D856" i="9" a="1"/>
  <c r="D856" i="9" s="1"/>
  <c r="D857" i="9" a="1"/>
  <c r="D857" i="9" s="1"/>
  <c r="D858" i="9" a="1"/>
  <c r="D858" i="9" s="1"/>
  <c r="D859" i="9" a="1"/>
  <c r="D859" i="9" s="1"/>
  <c r="D860" i="9" a="1"/>
  <c r="D860" i="9" s="1"/>
  <c r="D861" i="9" a="1"/>
  <c r="D861" i="9" s="1"/>
  <c r="D870" i="9" a="1"/>
  <c r="D870" i="9" s="1"/>
  <c r="D871" i="9" a="1"/>
  <c r="D871" i="9" s="1"/>
  <c r="D872" i="9" a="1"/>
  <c r="D872" i="9" s="1"/>
  <c r="D876" i="9" a="1"/>
  <c r="D876" i="9" s="1"/>
  <c r="D877" i="9" a="1"/>
  <c r="D877" i="9" s="1"/>
  <c r="D878" i="9" a="1"/>
  <c r="D878" i="9" s="1"/>
  <c r="D879" i="9" a="1"/>
  <c r="D879" i="9" s="1"/>
  <c r="D880" i="9" a="1"/>
  <c r="D880" i="9" s="1"/>
  <c r="D881" i="9" a="1"/>
  <c r="D881" i="9" s="1"/>
  <c r="D889" i="9" a="1"/>
  <c r="D889" i="9" s="1"/>
  <c r="D890" i="9" a="1"/>
  <c r="D890" i="9" s="1"/>
  <c r="D892" i="9" a="1"/>
  <c r="D892" i="9" s="1"/>
  <c r="D896" i="9" a="1"/>
  <c r="D896" i="9" s="1"/>
  <c r="D897" i="9" a="1"/>
  <c r="D897" i="9" s="1"/>
  <c r="D898" i="9" a="1"/>
  <c r="D898" i="9" s="1"/>
  <c r="D899" i="9" a="1"/>
  <c r="D899" i="9" s="1"/>
  <c r="D900" i="9" a="1"/>
  <c r="D900" i="9" s="1"/>
  <c r="D901" i="9" a="1"/>
  <c r="D901" i="9" s="1"/>
  <c r="D903" i="9" a="1"/>
  <c r="D903" i="9" s="1"/>
  <c r="D904" i="9" a="1"/>
  <c r="D904" i="9" s="1"/>
  <c r="D911" i="9" a="1"/>
  <c r="D911" i="9" s="1"/>
  <c r="D912" i="9" a="1"/>
  <c r="D912" i="9" s="1"/>
  <c r="D915" i="9" a="1"/>
  <c r="D915" i="9" s="1"/>
  <c r="D916" i="9" a="1"/>
  <c r="D916" i="9" s="1"/>
  <c r="D917" i="9" a="1"/>
  <c r="D917" i="9" s="1"/>
  <c r="D918" i="9" a="1"/>
  <c r="D918" i="9" s="1"/>
  <c r="D919" i="9" a="1"/>
  <c r="D919" i="9" s="1"/>
  <c r="D920" i="9" a="1"/>
  <c r="D920" i="9" s="1"/>
  <c r="D921" i="9" a="1"/>
  <c r="D921" i="9" s="1"/>
  <c r="D923" i="9" a="1"/>
  <c r="D923" i="9" s="1"/>
  <c r="D925" i="9" a="1"/>
  <c r="D925" i="9" s="1"/>
  <c r="D926" i="9" a="1"/>
  <c r="D926" i="9" s="1"/>
  <c r="D927" i="9" a="1"/>
  <c r="D927" i="9" s="1"/>
  <c r="D931" i="9" a="1"/>
  <c r="D931" i="9" s="1"/>
  <c r="D932" i="9" a="1"/>
  <c r="D932" i="9" s="1"/>
  <c r="D935" i="9" a="1"/>
  <c r="D935" i="9" s="1"/>
  <c r="D936" i="9" a="1"/>
  <c r="D936" i="9" s="1"/>
  <c r="D937" i="9" a="1"/>
  <c r="D937" i="9" s="1"/>
  <c r="D938" i="9" a="1"/>
  <c r="D938" i="9" s="1"/>
  <c r="D939" i="9" a="1"/>
  <c r="D939" i="9" s="1"/>
  <c r="D940" i="9" a="1"/>
  <c r="D940" i="9" s="1"/>
  <c r="D941" i="9" a="1"/>
  <c r="D941" i="9" s="1"/>
  <c r="D951" i="9" a="1"/>
  <c r="D951" i="9" s="1"/>
  <c r="D952" i="9" a="1"/>
  <c r="D952" i="9" s="1"/>
  <c r="D954" i="9" a="1"/>
  <c r="D954" i="9" s="1"/>
  <c r="D955" i="9" a="1"/>
  <c r="D955" i="9" s="1"/>
  <c r="D956" i="9" a="1"/>
  <c r="D956" i="9" s="1"/>
  <c r="D957" i="9" a="1"/>
  <c r="D957" i="9" s="1"/>
  <c r="D958" i="9" a="1"/>
  <c r="D958" i="9" s="1"/>
  <c r="D959" i="9" a="1"/>
  <c r="D959" i="9" s="1"/>
  <c r="D960" i="9" a="1"/>
  <c r="D960" i="9" s="1"/>
  <c r="D961" i="9" a="1"/>
  <c r="D961" i="9" s="1"/>
  <c r="D971" i="9" a="1"/>
  <c r="D971" i="9" s="1"/>
  <c r="D972" i="9" a="1"/>
  <c r="D972" i="9" s="1"/>
  <c r="D973" i="9" a="1"/>
  <c r="D973" i="9" s="1"/>
  <c r="D974" i="9" a="1"/>
  <c r="D974" i="9" s="1"/>
  <c r="D976" i="9" a="1"/>
  <c r="D976" i="9" s="1"/>
  <c r="D977" i="9" a="1"/>
  <c r="D977" i="9" s="1"/>
  <c r="D978" i="9" a="1"/>
  <c r="D978" i="9" s="1"/>
  <c r="D979" i="9" a="1"/>
  <c r="D979" i="9" s="1"/>
  <c r="D980" i="9" a="1"/>
  <c r="D980" i="9" s="1"/>
  <c r="D981" i="9" a="1"/>
  <c r="D981" i="9" s="1"/>
  <c r="D991" i="9" a="1"/>
  <c r="D991" i="9" s="1"/>
  <c r="D992" i="9" a="1"/>
  <c r="D992" i="9" s="1"/>
  <c r="D994" i="9" a="1"/>
  <c r="D994" i="9" s="1"/>
  <c r="D995" i="9" a="1"/>
  <c r="D995" i="9" s="1"/>
  <c r="D996" i="9" a="1"/>
  <c r="D996" i="9" s="1"/>
  <c r="D997" i="9" a="1"/>
  <c r="D997" i="9" s="1"/>
  <c r="D998" i="9" a="1"/>
  <c r="D998" i="9" s="1"/>
  <c r="D999" i="9" a="1"/>
  <c r="D999" i="9" s="1"/>
  <c r="D1000" i="9" a="1"/>
  <c r="D1000" i="9" s="1"/>
  <c r="D1001" i="9" a="1"/>
  <c r="D1001" i="9" s="1"/>
  <c r="D1010" i="9" a="1"/>
  <c r="D1010" i="9" s="1"/>
  <c r="D1011" i="9" a="1"/>
  <c r="D1011" i="9" s="1"/>
  <c r="D1012" i="9" a="1"/>
  <c r="D1012" i="9" s="1"/>
  <c r="D1014" i="9" a="1"/>
  <c r="D1014" i="9" s="1"/>
  <c r="D1015" i="9" a="1"/>
  <c r="D1015" i="9" s="1"/>
  <c r="D1016" i="9" a="1"/>
  <c r="D1016" i="9" s="1"/>
  <c r="D1017" i="9" a="1"/>
  <c r="D1017" i="9" s="1"/>
  <c r="D1018" i="9" a="1"/>
  <c r="D1018" i="9" s="1"/>
  <c r="D1019" i="9" a="1"/>
  <c r="D1019" i="9" s="1"/>
  <c r="D1020" i="9" a="1"/>
  <c r="D1020" i="9" s="1"/>
  <c r="D1021" i="9" a="1"/>
  <c r="D1021" i="9" s="1"/>
  <c r="D1030" i="9" a="1"/>
  <c r="D1030" i="9" s="1"/>
  <c r="D1031" i="9" a="1"/>
  <c r="D1031" i="9" s="1"/>
  <c r="D1032" i="9" a="1"/>
  <c r="D1032" i="9" s="1"/>
  <c r="D1033" i="9" a="1"/>
  <c r="D1033" i="9" s="1"/>
  <c r="D1034" i="9" a="1"/>
  <c r="D1034" i="9" s="1"/>
  <c r="D1035" i="9" a="1"/>
  <c r="D1035" i="9" s="1"/>
  <c r="D1036" i="9" a="1"/>
  <c r="D1036" i="9" s="1"/>
  <c r="D1037" i="9" a="1"/>
  <c r="D1037" i="9" s="1"/>
  <c r="D1038" i="9" a="1"/>
  <c r="D1038" i="9" s="1"/>
  <c r="D1039" i="9" a="1"/>
  <c r="D1039" i="9" s="1"/>
  <c r="D1040" i="9" a="1"/>
  <c r="D1040" i="9" s="1"/>
  <c r="D1041" i="9" a="1"/>
  <c r="D1041" i="9" s="1"/>
  <c r="D160" i="7" a="1"/>
  <c r="D160" i="7" s="1"/>
  <c r="D159" i="7" a="1"/>
  <c r="D159" i="7" s="1"/>
  <c r="D158" i="7" a="1"/>
  <c r="D158" i="7" s="1"/>
  <c r="D157" i="7" a="1"/>
  <c r="D157" i="7" s="1"/>
  <c r="D156" i="7" a="1"/>
  <c r="E156" i="7" s="1"/>
  <c r="D155" i="7" a="1"/>
  <c r="G155" i="7" s="1"/>
  <c r="D154" i="7" a="1"/>
  <c r="D154" i="7" s="1"/>
  <c r="D153" i="7" a="1"/>
  <c r="D153" i="7" s="1"/>
  <c r="D152" i="7" a="1"/>
  <c r="D152" i="7" s="1"/>
  <c r="D151" i="7" a="1"/>
  <c r="D151" i="7" s="1"/>
  <c r="D150" i="7" a="1"/>
  <c r="D150" i="7" s="1"/>
  <c r="D149" i="7" a="1"/>
  <c r="D149" i="7" s="1"/>
  <c r="D148" i="7" a="1"/>
  <c r="E148" i="7" s="1"/>
  <c r="D147" i="7" a="1"/>
  <c r="F147" i="7" s="1"/>
  <c r="D146" i="7" a="1"/>
  <c r="D146" i="7" s="1"/>
  <c r="D145" i="7" a="1"/>
  <c r="D145" i="7" s="1"/>
  <c r="D144" i="7" a="1"/>
  <c r="D144" i="7" s="1"/>
  <c r="D143" i="7" a="1"/>
  <c r="D143" i="7" s="1"/>
  <c r="D142" i="7" a="1"/>
  <c r="D142" i="7" s="1"/>
  <c r="D141" i="7" a="1"/>
  <c r="E141" i="7" s="1"/>
  <c r="D140" i="7" a="1"/>
  <c r="E140" i="7" s="1"/>
  <c r="D139" i="7" a="1"/>
  <c r="D139" i="7" s="1"/>
  <c r="D138" i="7" a="1"/>
  <c r="D138" i="7" s="1"/>
  <c r="D137" i="7" a="1"/>
  <c r="D137" i="7" s="1"/>
  <c r="D136" i="7" a="1"/>
  <c r="D136" i="7" s="1"/>
  <c r="D135" i="7" a="1"/>
  <c r="D135" i="7" s="1"/>
  <c r="D134" i="7" a="1"/>
  <c r="D134" i="7" s="1"/>
  <c r="D133" i="7" a="1"/>
  <c r="D133" i="7" s="1"/>
  <c r="D132" i="7" a="1"/>
  <c r="D132" i="7" s="1"/>
  <c r="D131" i="7" a="1"/>
  <c r="D131" i="7" s="1"/>
  <c r="D130" i="7" a="1"/>
  <c r="D130" i="7" s="1"/>
  <c r="D129" i="7" a="1"/>
  <c r="E129" i="7" s="1"/>
  <c r="D128" i="7" a="1"/>
  <c r="D128" i="7" s="1"/>
  <c r="D127" i="7" a="1"/>
  <c r="D127" i="7" s="1"/>
  <c r="D126" i="7" a="1"/>
  <c r="D126" i="7" s="1"/>
  <c r="D125" i="7" a="1"/>
  <c r="D125" i="7" s="1"/>
  <c r="D124" i="7" a="1"/>
  <c r="D124" i="7" s="1"/>
  <c r="D123" i="7" a="1"/>
  <c r="D123" i="7" s="1"/>
  <c r="D122" i="7" a="1"/>
  <c r="D122" i="7" s="1"/>
  <c r="D121" i="7" a="1"/>
  <c r="D121" i="7" s="1"/>
  <c r="D120" i="7" a="1"/>
  <c r="D120" i="7" s="1"/>
  <c r="D119" i="7" a="1"/>
  <c r="D119" i="7" s="1"/>
  <c r="D118" i="7" a="1"/>
  <c r="D118" i="7" s="1"/>
  <c r="D117" i="7" a="1"/>
  <c r="E117" i="7" s="1"/>
  <c r="D116" i="7" a="1"/>
  <c r="D116" i="7" s="1"/>
  <c r="D115" i="7" a="1"/>
  <c r="D115" i="7" s="1"/>
  <c r="D114" i="7" a="1"/>
  <c r="D114" i="7" s="1"/>
  <c r="D113" i="7" a="1"/>
  <c r="D113" i="7" s="1"/>
  <c r="D112" i="7" a="1"/>
  <c r="D112" i="7" s="1"/>
  <c r="D111" i="7" a="1"/>
  <c r="D111" i="7" s="1"/>
  <c r="D110" i="7" a="1"/>
  <c r="D110" i="7" s="1"/>
  <c r="D109" i="7" a="1"/>
  <c r="D109" i="7" s="1"/>
  <c r="D108" i="7" a="1"/>
  <c r="D108" i="7" s="1"/>
  <c r="D107" i="7" a="1"/>
  <c r="D107" i="7" s="1"/>
  <c r="D106" i="7" a="1"/>
  <c r="N106" i="7" s="1"/>
  <c r="D105" i="7" a="1"/>
  <c r="D105" i="7" s="1"/>
  <c r="D104" i="7" a="1"/>
  <c r="D104" i="7" s="1"/>
  <c r="D103" i="7" a="1"/>
  <c r="D103" i="7" s="1"/>
  <c r="D102" i="7" a="1"/>
  <c r="D102" i="7" s="1"/>
  <c r="D101" i="7" a="1"/>
  <c r="D101" i="7" s="1"/>
  <c r="D100" i="7" a="1"/>
  <c r="D100" i="7" s="1"/>
  <c r="D99" i="7" a="1"/>
  <c r="D99" i="7" s="1"/>
  <c r="D98" i="7" a="1"/>
  <c r="D98" i="7" s="1"/>
  <c r="D97" i="7" a="1"/>
  <c r="D97" i="7" s="1"/>
  <c r="D96" i="7" a="1"/>
  <c r="D96" i="7" s="1"/>
  <c r="D95" i="7" a="1"/>
  <c r="D95" i="7" s="1"/>
  <c r="D94" i="7" a="1"/>
  <c r="D94" i="7" s="1"/>
  <c r="D93" i="7" a="1"/>
  <c r="D93" i="7" s="1"/>
  <c r="D92" i="7" a="1"/>
  <c r="D92" i="7" s="1"/>
  <c r="D91" i="7" a="1"/>
  <c r="D91" i="7" s="1"/>
  <c r="D90" i="7" a="1"/>
  <c r="D90" i="7" s="1"/>
  <c r="D89" i="7" a="1"/>
  <c r="D89" i="7" s="1"/>
  <c r="D88" i="7" a="1"/>
  <c r="D88" i="7" s="1"/>
  <c r="D87" i="7" a="1"/>
  <c r="D87" i="7" s="1"/>
  <c r="D86" i="7" a="1"/>
  <c r="D86" i="7" s="1"/>
  <c r="D85" i="7" a="1"/>
  <c r="D85" i="7" s="1"/>
  <c r="D84" i="7" a="1"/>
  <c r="D84" i="7" s="1"/>
  <c r="D83" i="7" a="1"/>
  <c r="D83" i="7" s="1"/>
  <c r="D82" i="7" a="1"/>
  <c r="D82" i="7" s="1"/>
  <c r="D81" i="7" a="1"/>
  <c r="E81" i="7" s="1"/>
  <c r="D80" i="7" a="1"/>
  <c r="D80" i="7" s="1"/>
  <c r="D79" i="7" a="1"/>
  <c r="D79" i="7" s="1"/>
  <c r="D78" i="7" a="1"/>
  <c r="D78" i="7" s="1"/>
  <c r="D77" i="7" a="1"/>
  <c r="D77" i="7" s="1"/>
  <c r="D76" i="7" a="1"/>
  <c r="D76" i="7" s="1"/>
  <c r="D75" i="7" a="1"/>
  <c r="D75" i="7" s="1"/>
  <c r="D74" i="7" a="1"/>
  <c r="E74" i="7" s="1"/>
  <c r="D73" i="7" a="1"/>
  <c r="D73" i="7" s="1"/>
  <c r="D72" i="7" a="1"/>
  <c r="D72" i="7" s="1"/>
  <c r="D71" i="7" a="1"/>
  <c r="D71" i="7" s="1"/>
  <c r="D70" i="7" a="1"/>
  <c r="D70" i="7" s="1"/>
  <c r="D69" i="7" a="1"/>
  <c r="D69" i="7" s="1"/>
  <c r="D68" i="7" a="1"/>
  <c r="D68" i="7" s="1"/>
  <c r="D67" i="7" a="1"/>
  <c r="D67" i="7" s="1"/>
  <c r="D66" i="7" a="1"/>
  <c r="F66" i="7" s="1"/>
  <c r="D65" i="7" a="1"/>
  <c r="F65" i="7" s="1"/>
  <c r="D64" i="7" a="1"/>
  <c r="F64" i="7" s="1"/>
  <c r="D63" i="7" a="1"/>
  <c r="I63" i="7" s="1"/>
  <c r="D62" i="7" a="1"/>
  <c r="D62" i="7" s="1"/>
  <c r="D61" i="7" a="1"/>
  <c r="D61" i="7" s="1"/>
  <c r="D60" i="7" a="1"/>
  <c r="D60" i="7" s="1"/>
  <c r="D59" i="7" a="1"/>
  <c r="E59" i="7" s="1"/>
  <c r="D58" i="7" a="1"/>
  <c r="D58" i="7" s="1"/>
  <c r="D57" i="7" a="1"/>
  <c r="D57" i="7" s="1"/>
  <c r="D56" i="7" a="1"/>
  <c r="D56" i="7" s="1"/>
  <c r="D55" i="7" a="1"/>
  <c r="D55" i="7" s="1"/>
  <c r="D54" i="7" a="1"/>
  <c r="D54" i="7" s="1"/>
  <c r="D53" i="7" a="1"/>
  <c r="F53" i="7" s="1"/>
  <c r="D52" i="7" a="1"/>
  <c r="D52" i="7" s="1"/>
  <c r="D51" i="7" a="1"/>
  <c r="D51" i="7" s="1"/>
  <c r="D50" i="7" a="1"/>
  <c r="D50" i="7" s="1"/>
  <c r="D49" i="7" a="1"/>
  <c r="D49" i="7" s="1"/>
  <c r="D48" i="7" a="1"/>
  <c r="D48" i="7" s="1"/>
  <c r="D47" i="7" a="1"/>
  <c r="F47" i="7" s="1"/>
  <c r="D46" i="7" a="1"/>
  <c r="D46" i="7" s="1"/>
  <c r="D45" i="7" a="1"/>
  <c r="E45" i="7" s="1"/>
  <c r="D44" i="7" a="1"/>
  <c r="D44" i="7" s="1"/>
  <c r="D43" i="7" a="1"/>
  <c r="D43" i="7" s="1"/>
  <c r="D42" i="7" a="1"/>
  <c r="D42" i="7" s="1"/>
  <c r="D41" i="7" a="1"/>
  <c r="D41" i="7" s="1"/>
  <c r="D40" i="7" a="1"/>
  <c r="D40" i="7" s="1"/>
  <c r="D39" i="7" a="1"/>
  <c r="D39" i="7" s="1"/>
  <c r="D38" i="7" a="1"/>
  <c r="D38" i="7" s="1"/>
  <c r="D37" i="7" a="1"/>
  <c r="D37" i="7" s="1"/>
  <c r="D36" i="7" a="1"/>
  <c r="D36" i="7" s="1"/>
  <c r="D35" i="7" a="1"/>
  <c r="D35" i="7" s="1"/>
  <c r="D34" i="7" a="1"/>
  <c r="D34" i="7" s="1"/>
  <c r="D33" i="7" a="1"/>
  <c r="D33" i="7" s="1"/>
  <c r="D32" i="7" a="1"/>
  <c r="D32" i="7" s="1"/>
  <c r="D31" i="7" a="1"/>
  <c r="D31" i="7" s="1"/>
  <c r="D30" i="7" a="1"/>
  <c r="D30" i="7" s="1"/>
  <c r="D29" i="7" a="1"/>
  <c r="D29" i="7" s="1"/>
  <c r="D28" i="7" a="1"/>
  <c r="D28" i="7" s="1"/>
  <c r="D27" i="7" a="1"/>
  <c r="D27" i="7" s="1"/>
  <c r="D26" i="7" a="1"/>
  <c r="D26" i="7" s="1"/>
  <c r="D25" i="7" a="1"/>
  <c r="D25" i="7" s="1"/>
  <c r="D24" i="7" a="1"/>
  <c r="D24" i="7" s="1"/>
  <c r="D23" i="7" a="1"/>
  <c r="D23" i="7" s="1"/>
  <c r="D22" i="7" a="1"/>
  <c r="D22" i="7" s="1"/>
  <c r="D21" i="7" a="1"/>
  <c r="D21" i="7" s="1"/>
  <c r="D20" i="7" a="1"/>
  <c r="D20" i="7" s="1"/>
  <c r="D19" i="7" a="1"/>
  <c r="D19" i="7" s="1"/>
  <c r="D18" i="7" a="1"/>
  <c r="D18" i="7" s="1"/>
  <c r="D17" i="7" a="1"/>
  <c r="D17" i="7" s="1"/>
  <c r="D16" i="7" a="1"/>
  <c r="D16" i="7" s="1"/>
  <c r="D15" i="7" a="1"/>
  <c r="D15" i="7" s="1"/>
  <c r="D14" i="7" a="1"/>
  <c r="D14" i="7" s="1"/>
  <c r="D13" i="7" a="1"/>
  <c r="D13" i="7" s="1"/>
  <c r="D12" i="7" a="1"/>
  <c r="D12" i="7" s="1"/>
  <c r="D11" i="7" a="1"/>
  <c r="D11" i="7" s="1"/>
  <c r="D10" i="7" a="1"/>
  <c r="D10" i="7" s="1"/>
  <c r="D9" i="7" a="1"/>
  <c r="D9" i="7" s="1"/>
  <c r="D8" i="7" a="1"/>
  <c r="D8" i="7" s="1"/>
  <c r="D7" i="7" a="1"/>
  <c r="D7" i="7" s="1"/>
  <c r="D6" i="7" a="1"/>
  <c r="D6" i="7" s="1"/>
  <c r="D5" i="7" a="1"/>
  <c r="D5" i="7" s="1"/>
  <c r="D4" i="7" a="1"/>
  <c r="D4" i="7" s="1"/>
  <c r="D3" i="7" a="1"/>
  <c r="E3" i="7" s="1"/>
  <c r="D2" i="7" a="1"/>
  <c r="E2" i="7" s="1"/>
  <c r="I18" i="5"/>
  <c r="I17" i="5"/>
  <c r="I16" i="5"/>
  <c r="I15" i="5"/>
  <c r="I14" i="5"/>
  <c r="I13" i="5"/>
  <c r="I12" i="5"/>
  <c r="I11" i="5"/>
  <c r="I10" i="5"/>
  <c r="I9" i="5"/>
  <c r="I8" i="5"/>
  <c r="I7" i="5"/>
  <c r="I19" i="5" s="1"/>
  <c r="G18" i="4"/>
  <c r="G17" i="4"/>
  <c r="G16" i="4"/>
  <c r="G15" i="4"/>
  <c r="G14" i="4"/>
  <c r="G13" i="4"/>
  <c r="G12" i="4"/>
  <c r="G11" i="4"/>
  <c r="G10" i="4"/>
  <c r="G9" i="4"/>
  <c r="G8" i="4"/>
  <c r="G7" i="4"/>
  <c r="G19" i="4" s="1"/>
  <c r="I19" i="3"/>
  <c r="I18" i="3"/>
  <c r="I17" i="3"/>
  <c r="I16" i="3"/>
  <c r="I15" i="3"/>
  <c r="I14" i="3"/>
  <c r="I20" i="3" s="1"/>
  <c r="I13" i="3"/>
  <c r="I12" i="3"/>
  <c r="I11" i="3"/>
  <c r="I10" i="3"/>
  <c r="I9" i="3"/>
  <c r="I8" i="3"/>
  <c r="I7" i="3"/>
  <c r="G19" i="2"/>
  <c r="G18" i="2"/>
  <c r="G17" i="2"/>
  <c r="G16" i="2"/>
  <c r="G15" i="2"/>
  <c r="G14" i="2"/>
  <c r="G13" i="2"/>
  <c r="G12" i="2"/>
  <c r="G11" i="2"/>
  <c r="G10" i="2"/>
  <c r="G9" i="2"/>
  <c r="G8" i="2"/>
  <c r="G20" i="2" s="1"/>
  <c r="G7" i="2"/>
  <c r="D2" i="7" l="1"/>
  <c r="D147" i="7"/>
  <c r="D45" i="7"/>
  <c r="D3" i="7"/>
  <c r="D81" i="7"/>
  <c r="D53" i="7"/>
  <c r="D106" i="7"/>
  <c r="D2" i="9" a="1"/>
  <c r="D2" i="9" s="1"/>
  <c r="O3" i="9" s="1"/>
  <c r="O7" i="9" a="1"/>
  <c r="O7" i="9" s="1"/>
  <c r="O2" i="9"/>
  <c r="D66" i="7"/>
  <c r="D141" i="7"/>
  <c r="F106" i="7"/>
  <c r="D117" i="7"/>
  <c r="F140" i="7"/>
  <c r="D47" i="7"/>
  <c r="D65" i="7"/>
  <c r="G65" i="7"/>
  <c r="D155" i="7"/>
  <c r="E92" i="7"/>
  <c r="H106" i="7"/>
  <c r="D129" i="7"/>
  <c r="D140" i="7"/>
  <c r="E65" i="7"/>
  <c r="G106" i="7"/>
  <c r="G140" i="7"/>
  <c r="D63" i="7"/>
  <c r="D64" i="7"/>
  <c r="D74" i="7"/>
  <c r="G53" i="7"/>
  <c r="E155" i="7"/>
  <c r="E47" i="7"/>
  <c r="F63" i="7"/>
  <c r="E147" i="7"/>
  <c r="F155" i="7"/>
  <c r="G63" i="7"/>
  <c r="E106" i="7"/>
  <c r="D148" i="7"/>
  <c r="D156" i="7"/>
  <c r="E64" i="7"/>
  <c r="D59" i="7"/>
  <c r="K106" i="7"/>
  <c r="E102" i="7"/>
  <c r="E53" i="7"/>
  <c r="F117" i="7"/>
  <c r="F45" i="7"/>
  <c r="E66" i="7"/>
  <c r="H63" i="7"/>
  <c r="J106" i="7"/>
  <c r="L106" i="7"/>
  <c r="E63" i="7"/>
  <c r="M106" i="7"/>
  <c r="E60" i="7"/>
  <c r="I106" i="7"/>
  <c r="O6" i="9" l="1" a="1"/>
  <c r="O6" i="9" s="1"/>
  <c r="O9" i="9" s="1"/>
  <c r="O8" i="9" a="1"/>
  <c r="O8" i="9" s="1"/>
  <c r="O4"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Ahmad Sharaf Al Masri</author>
  </authors>
  <commentList>
    <comment ref="D850" authorId="0" shapeId="0" xr:uid="{7E8E80E1-C8B2-4960-AA7E-7B5A4AFAF41F}">
      <text>
        <r>
          <rPr>
            <sz val="11"/>
            <color theme="1"/>
            <rFont val="Calibri"/>
            <family val="2"/>
            <charset val="1"/>
          </rPr>
          <t>Ahmad Sharaf Al Masri:
HMI reads 56.3 C on IMG_9601.jpeg - by far the highest reading seen across all QNL drawings, against 19.6 C on FCU-1F-058 directly beneath it. Almost certainly a failed sensor; worth raising with the BMS team.</t>
        </r>
      </text>
    </comment>
    <comment ref="D893" authorId="0" shapeId="0" xr:uid="{1F82BB0B-B9B6-44D7-B413-817CFA4F4EA3}">
      <text>
        <r>
          <rPr>
            <sz val="11"/>
            <color theme="1"/>
            <rFont val="Calibri"/>
            <family val="2"/>
            <charset val="1"/>
          </rPr>
          <t>Ahmad Sharaf Al Masri:
IMG_9592.jpeg (Basement Zone-3-P2): FCU-B-001 is drawn outside the plan outline on the left with no leader line to any room. Nearest labels are 'IDF Rooom' and 'VIP Restroom', both of which would make this Not Included (technical / executive). Key Plan name used per the agreed rule - please confirm.</t>
        </r>
      </text>
    </comment>
    <comment ref="D930" authorId="0" shapeId="0" xr:uid="{070C9BD6-1AC4-4B8C-AC98-32F1582F1DE4}">
      <text>
        <r>
          <rPr>
            <sz val="11"/>
            <color theme="1"/>
            <rFont val="Calibri"/>
            <family val="2"/>
            <charset val="1"/>
          </rPr>
          <t>Ahmad Sharaf Al Masri:
FCU-B-038 shows '??????' instead of a temperature on the HMI (no sensor reading). Room name taken from its yellow leader line pointing into the Pantry.</t>
        </r>
      </text>
    </comment>
    <comment ref="D960" authorId="0" shapeId="0" xr:uid="{96834FD6-C970-43F8-AADA-6DC28282C7D5}">
      <text>
        <r>
          <rPr>
            <sz val="11"/>
            <color theme="1"/>
            <rFont val="Calibri"/>
            <family val="2"/>
            <charset val="1"/>
          </rPr>
          <t>Ahmad Sharaf Al Masri:
HMI reads 34.1 C on IMG_9599.jpeg - well above the ~17-20 C of the adjacent media studios. Consistent with an unconditioned store, but worth checking.</t>
        </r>
      </text>
    </comment>
    <comment ref="D1106" authorId="0" shapeId="0" xr:uid="{4A9E82FD-627F-4909-B20F-789D28BA69E8}">
      <text>
        <r>
          <rPr>
            <sz val="11"/>
            <color theme="1"/>
            <rFont val="Calibri"/>
            <family val="2"/>
            <charset val="1"/>
          </rPr>
          <t>Ahmad Sharaf Al Masri:
CONFLICT: previously recorded as 'Plant Room 1 / Plant Room 2 (IMG_9588.jpeg)', Not Included. Honeywell BMS VAV Summary Type-01 (IMG_9563.jpeg) groups VAV/B/S11/022 (Master) and /023 (Slave) together under 'Basement Zone 1 Corridor Leading To Reception &amp; Lounge B009'. Updated to match the BMS and changed to Included. Verify against the basement drawing before final sign-off.</t>
        </r>
      </text>
    </comment>
    <comment ref="D1142" authorId="0" shapeId="0" xr:uid="{2257BDC7-65C0-45CD-9A82-343E93A3C8F4}">
      <text>
        <r>
          <rPr>
            <sz val="11"/>
            <color theme="1"/>
            <rFont val="Calibri"/>
            <family val="2"/>
            <charset val="1"/>
          </rPr>
          <t>Ahmad Sharaf Al Masri:
HMI label on IMG_9589.jpeg reads 'VAV-B-S11-005'. Positionally it sits between VAV-B-S14-004 and VAV-B-S14-006 in the Digitization Room, and VAV_B_S11_005 (row 1075) is already assigned to Tech, Services &amp; Collections Office from IMG_9587.jpeg. Recorded here as S14_005 - please confirm the correct HMI tag.</t>
        </r>
      </text>
    </comment>
    <comment ref="D1174" authorId="0" shapeId="0" xr:uid="{6692F30D-2CAD-444C-9102-BEB31B962784}">
      <text>
        <r>
          <rPr>
            <sz val="11"/>
            <color theme="1"/>
            <rFont val="Calibri"/>
            <family val="2"/>
            <charset val="1"/>
          </rPr>
          <t>Ahmad Sharaf Al Masri:
Flagged for the executive-room rule, not for the room name. 'Asst. Head' is a management office - confirm whether it counts as an executive room (Not Included) or a senior staff office (currently Included).</t>
        </r>
      </text>
    </comment>
    <comment ref="D1175" authorId="0" shapeId="0" xr:uid="{E8D51BEB-925C-4CFD-87AF-DBCFCAF22528}">
      <text>
        <r>
          <rPr>
            <sz val="11"/>
            <color theme="1"/>
            <rFont val="Calibri"/>
            <family val="2"/>
            <charset val="1"/>
          </rPr>
          <t>Ahmad Sharaf Al Masri:
Flagged for the executive-room rule, not for the room name. 'Asst. Head' is a management office - confirm whether it counts as an executive room (Not Included) or a senior staff office (currently Included).</t>
        </r>
      </text>
    </comment>
    <comment ref="D1234" authorId="0" shapeId="0" xr:uid="{0392E5FD-B98F-4B51-B201-D59EEE4FCB5E}">
      <text>
        <r>
          <rPr>
            <b/>
            <sz val="9"/>
            <color indexed="81"/>
            <rFont val="Tahoma"/>
            <charset val="1"/>
          </rPr>
          <t>Ahmad Sharaf Al Masri:</t>
        </r>
        <r>
          <rPr>
            <sz val="9"/>
            <color indexed="81"/>
            <rFont val="Tahoma"/>
            <charset val="1"/>
          </rPr>
          <t xml:space="preserve">
No B083 in the room-name list supplied (list jumps B082 TRANSFORMER ROOM to B084 UPS BATTERY ROOM). Name needed.</t>
        </r>
      </text>
    </comment>
    <comment ref="D1235" authorId="0" shapeId="0" xr:uid="{BAA5E4CD-60FB-4723-A94A-BE317C6144CD}">
      <text>
        <r>
          <rPr>
            <b/>
            <sz val="9"/>
            <color indexed="81"/>
            <rFont val="Tahoma"/>
            <charset val="1"/>
          </rPr>
          <t>Ahmad Sharaf Al Masri:</t>
        </r>
        <r>
          <rPr>
            <sz val="9"/>
            <color indexed="81"/>
            <rFont val="Tahoma"/>
            <charset val="1"/>
          </rPr>
          <t xml:space="preserve">
No B083 in the room-name list supplied (list jumps B082 TRANSFORMER ROOM to B084 UPS BATTERY ROOM). Name needed.</t>
        </r>
      </text>
    </comment>
    <comment ref="D1246" authorId="0" shapeId="0" xr:uid="{906E436E-F3DC-40C7-8354-A075652F27D6}">
      <text>
        <r>
          <rPr>
            <b/>
            <sz val="9"/>
            <color indexed="81"/>
            <rFont val="Tahoma"/>
            <charset val="1"/>
          </rPr>
          <t>Ahmad Sharaf Al Masri:</t>
        </r>
        <r>
          <rPr>
            <sz val="9"/>
            <color indexed="81"/>
            <rFont val="Tahoma"/>
            <charset val="1"/>
          </rPr>
          <t xml:space="preserve">
No B045 / B045A in the room-name list supplied. Name needed.</t>
        </r>
      </text>
    </comment>
    <comment ref="D1247" authorId="0" shapeId="0" xr:uid="{4D9BD79C-E207-4962-BBB3-1057E1618FAD}">
      <text>
        <r>
          <rPr>
            <b/>
            <sz val="9"/>
            <color indexed="81"/>
            <rFont val="Tahoma"/>
            <charset val="1"/>
          </rPr>
          <t>Ahmad Sharaf Al Masri:</t>
        </r>
        <r>
          <rPr>
            <sz val="9"/>
            <color indexed="81"/>
            <rFont val="Tahoma"/>
            <charset val="1"/>
          </rPr>
          <t xml:space="preserve">
No B045 / B045A in the room-name list supplied. Name needed.</t>
        </r>
      </text>
    </comment>
    <comment ref="D1248" authorId="0" shapeId="0" xr:uid="{4D260E7F-F9AD-48D7-AA89-F349E4DC4BB6}">
      <text>
        <r>
          <rPr>
            <b/>
            <sz val="9"/>
            <color indexed="81"/>
            <rFont val="Tahoma"/>
            <charset val="1"/>
          </rPr>
          <t>Ahmad Sharaf Al Masri:</t>
        </r>
        <r>
          <rPr>
            <sz val="9"/>
            <color indexed="81"/>
            <rFont val="Tahoma"/>
            <charset val="1"/>
          </rPr>
          <t xml:space="preserve">
No B045 / B045A in the room-name list supplied. Name needed.</t>
        </r>
      </text>
    </comment>
    <comment ref="D1250" authorId="0" shapeId="0" xr:uid="{D4633AE2-B9E5-4989-8F8D-155F06E34D99}">
      <text>
        <r>
          <rPr>
            <b/>
            <sz val="9"/>
            <color indexed="81"/>
            <rFont val="Tahoma"/>
            <charset val="1"/>
          </rPr>
          <t>Ahmad Sharaf Al Masri:</t>
        </r>
        <r>
          <rPr>
            <sz val="9"/>
            <color indexed="81"/>
            <rFont val="Tahoma"/>
            <charset val="1"/>
          </rPr>
          <t xml:space="preserve">
DX/RP/21 is a Roof unit (Zone C) — no room number on HMI.</t>
        </r>
      </text>
    </comment>
    <comment ref="D1251" authorId="0" shapeId="0" xr:uid="{4AFADFC5-1B3D-4E92-94DE-5B6E76BEC679}">
      <text>
        <r>
          <rPr>
            <b/>
            <sz val="9"/>
            <color indexed="81"/>
            <rFont val="Tahoma"/>
            <charset val="1"/>
          </rPr>
          <t>Ahmad Sharaf Al Masri:</t>
        </r>
        <r>
          <rPr>
            <sz val="9"/>
            <color indexed="81"/>
            <rFont val="Tahoma"/>
            <charset val="1"/>
          </rPr>
          <t xml:space="preserve">
Ambiguous: list has two B106 entries - 'REST ROOM SECURITY B106_RES' and 'SECURITY STORES SECURITY UPS B106_SEC'. Confirm which applies to DX_B22.</t>
        </r>
      </text>
    </comment>
    <comment ref="D1253" authorId="0" shapeId="0" xr:uid="{BEB560C8-96D3-4F8B-8A42-1C89243C35D9}">
      <text>
        <r>
          <rPr>
            <b/>
            <sz val="9"/>
            <color indexed="81"/>
            <rFont val="Tahoma"/>
            <charset val="1"/>
          </rPr>
          <t>Ahmad Sharaf Al Masri:</t>
        </r>
        <r>
          <rPr>
            <sz val="9"/>
            <color indexed="81"/>
            <rFont val="Tahoma"/>
            <charset val="1"/>
          </rPr>
          <t xml:space="preserve">
DX/RP/21 is a Roof unit (Zone C) — no room number on HMI.</t>
        </r>
      </text>
    </comment>
    <comment ref="D1308" authorId="0" shapeId="0" xr:uid="{702B3CA4-9D9A-4674-B059-5BB01A821055}">
      <text>
        <r>
          <rPr>
            <b/>
            <sz val="9"/>
            <color indexed="81"/>
            <rFont val="Tahoma"/>
            <charset val="1"/>
          </rPr>
          <t>Ahmad Sharaf Al Masri:</t>
        </r>
        <r>
          <rPr>
            <sz val="9"/>
            <color indexed="81"/>
            <rFont val="Tahoma"/>
            <charset val="1"/>
          </rPr>
          <t xml:space="preserve">
Ambiguous: list has two B141 entries - 'HL PLANT ROOM B141_HLP' and 'VAULT B141_VAU'. Confirm which applies to CCU_B08.</t>
        </r>
      </text>
    </comment>
    <comment ref="D1309" authorId="0" shapeId="0" xr:uid="{885BDC28-CE74-4FCD-8CD1-AF71223D3112}">
      <text>
        <r>
          <rPr>
            <b/>
            <sz val="9"/>
            <color indexed="81"/>
            <rFont val="Tahoma"/>
            <charset val="1"/>
          </rPr>
          <t>Ahmad Sharaf Al Masri:</t>
        </r>
        <r>
          <rPr>
            <sz val="9"/>
            <color indexed="81"/>
            <rFont val="Tahoma"/>
            <charset val="1"/>
          </rPr>
          <t xml:space="preserve">
Ambiguous: list has two B141 entries - 'HL PLANT ROOM B141_HLP' and 'VAULT B141_VAU'. Confirm which applies to CCU_B09.</t>
        </r>
      </text>
    </comment>
    <comment ref="D1627" authorId="0" shapeId="0" xr:uid="{00000000-0006-0000-0500-00000A000000}">
      <text>
        <r>
          <rPr>
            <sz val="11"/>
            <color theme="1"/>
            <rFont val="Calibri"/>
            <family val="2"/>
            <charset val="1"/>
          </rPr>
          <t>Ahmad Sharaf Al Masri:
Corrected from Emergency Elec. N-0333. B2.1 places AT-6205/EV-6206 (20.8 C) at Conference N-0331 and AT-6220/EV-6221 (18.1 C) at Emergency Elec. N-0333 - the two rows were swapped. Temperatures support it: 18.1 C is an electrical room, 20.8 C an occupied conference room.</t>
        </r>
      </text>
    </comment>
    <comment ref="D1629" authorId="0" shapeId="0" xr:uid="{00000000-0006-0000-0500-00000B000000}">
      <text>
        <r>
          <rPr>
            <sz val="11"/>
            <color theme="1"/>
            <rFont val="Calibri"/>
            <family val="2"/>
            <charset val="1"/>
          </rPr>
          <t>Ahmad Sharaf Al Masri:
Corrected from Conf N-0331 - swapped with row 1463. See note on D1463.</t>
        </r>
      </text>
    </comment>
    <comment ref="D1649" authorId="0" shapeId="0" xr:uid="{00000000-0006-0000-0500-00000C000000}">
      <text>
        <r>
          <rPr>
            <sz val="11"/>
            <color theme="1"/>
            <rFont val="Calibri"/>
            <family val="2"/>
            <charset val="1"/>
          </rPr>
          <t>Ahmad Sharaf Al Masri:
Corrected from Office N-0376. B2.1 places AT-6380 (22.9 C) at Workstation N-0378 and AT-6370 (23.3 C) at Office N-0376; N-0376 is now held by VAV6370 (row 1483).</t>
        </r>
      </text>
    </comment>
    <comment ref="D1681" authorId="0" shapeId="0" xr:uid="{00000000-0006-0000-0500-00000D000000}">
      <text>
        <r>
          <rPr>
            <sz val="11"/>
            <color theme="1"/>
            <rFont val="Calibri"/>
            <family val="2"/>
            <charset val="1"/>
          </rPr>
          <t>Ahmad Sharaf Al Masri:
Corrected from Office N-0427, which duplicated row 1518. B2.2 places AT-7145 (22.9 C) at Office N-0425 and AT-7155 (21.1 C) at Office N-0427.</t>
        </r>
      </text>
    </comment>
    <comment ref="D1683" authorId="0" shapeId="0" xr:uid="{00000000-0006-0000-0500-00000E000000}">
      <text>
        <r>
          <rPr>
            <sz val="11"/>
            <color theme="1"/>
            <rFont val="Calibri"/>
            <family val="2"/>
            <charset val="1"/>
          </rPr>
          <t>Ahmad Sharaf Al Masri:
Corrected from Office N-0428. B2.2 places AT-7165 (20.5 C) at Office N-0429; no room N-0428 appears on the Level 0 drawing.</t>
        </r>
      </text>
    </comment>
    <comment ref="D1687" authorId="0" shapeId="0" xr:uid="{00000000-0006-0000-0500-00000F000000}">
      <text>
        <r>
          <rPr>
            <sz val="11"/>
            <color theme="1"/>
            <rFont val="Calibri"/>
            <family val="2"/>
            <charset val="1"/>
          </rPr>
          <t>Ahmad Sharaf Al Masri:
Corrected from Office N-0426. B2.2 places AT-7185/EV-7186 at Emer. Elec. Room N-0433 - it reads 15.0 C, consistent with an electrical room, not an office.</t>
        </r>
      </text>
    </comment>
    <comment ref="D1732" authorId="0" shapeId="0" xr:uid="{00000000-0006-0000-0500-000010000000}">
      <text>
        <r>
          <rPr>
            <sz val="11"/>
            <color theme="1"/>
            <rFont val="Calibri"/>
            <family val="2"/>
            <charset val="1"/>
          </rPr>
          <t>Ahmad Sharaf Al Masri:
Resolved by elimination, NOT read directly off a drawing. VAV0509 was the only unassigned VAV row in the South Building Level 1 block and NCIR Office S-1115 the only unassigned room in the AT-0510/0511/0512/0513/0514 group (S-1115A, S-1116, S-1117, S-1118, S-1119). B1.1 shows a sensor inside S-1115 labelled AT-0503, but A1.3 - the dedicated close-up of that core - places AT-0503 at Women S-1106B in a clean 0502/0503/0505 -&gt; S-1105/S-1106B/S-1107B sequence. Most likely the B1.1 graphic is mislabelled and that sensor is AT-0509. VERIFY AGAINST THE BMS POINT LIST before relying on this row.</t>
        </r>
      </text>
    </comment>
    <comment ref="D2051" authorId="0" shapeId="0" xr:uid="{00000000-0006-0000-0500-000011000000}">
      <text>
        <r>
          <rPr>
            <sz val="11"/>
            <color theme="1"/>
            <rFont val="Calibri"/>
            <family val="2"/>
            <charset val="1"/>
          </rPr>
          <t>Ahmad Sharaf Al Masri:
Corrected from Office N-1126. A2.2 labels N-1126 as CORRIDOR (the label appears twice along the corridor run); AT-5685/EV-5686 sit on that corridor, not in an office.</t>
        </r>
      </text>
    </comment>
    <comment ref="D2072" authorId="0" shapeId="0" xr:uid="{00000000-0006-0000-0500-000012000000}">
      <text>
        <r>
          <rPr>
            <sz val="11"/>
            <color theme="1"/>
            <rFont val="Calibri"/>
            <family val="2"/>
            <charset val="1"/>
          </rPr>
          <t>Ahmad Sharaf Al Masri:
Corrected from Office N-1163, which duplicated row 1923. On A2.2 the bottom office band has exactly 17 tags for 17 rooms (AT-5860 to AT-5940), all accounted for; AT-5840 is the extra tag and sits above the band on the Corridor N-1150 run beside EV-5941. N-1163 is held by VAV5905 (row 1923).</t>
        </r>
      </text>
    </comment>
    <comment ref="D2198" authorId="0" shapeId="0" xr:uid="{00000000-0006-0000-0500-000013000000}">
      <text>
        <r>
          <rPr>
            <sz val="11"/>
            <color theme="1"/>
            <rFont val="Calibri"/>
            <family val="2"/>
            <charset val="1"/>
          </rPr>
          <t>Ahmad Sharaf Al Masri:
Corrected from Flow Cyto N-1450C, which duplicated row 2034. B2.2 (Level 1) places VEV-7781 at iPS-TC N-1450F and VEV-7751 at Flow Cyto N-1450C.</t>
        </r>
      </text>
    </comment>
    <comment ref="D2235" authorId="0" shapeId="0" xr:uid="{00000000-0006-0000-0500-000014000000}">
      <text>
        <r>
          <rPr>
            <sz val="11"/>
            <color theme="1"/>
            <rFont val="Calibri"/>
            <family val="2"/>
            <charset val="1"/>
          </rPr>
          <t>Ahmad Sharaf Al Masri:
Corrected from Corridor N-1138. On A2.2 FCU-5983 and FCU-5984 are adjacent boxes serving the JC N-1139 / IDF N-1140 pair; Corridor N-1138 is further west where AT-5745 sits.</t>
        </r>
      </text>
    </comment>
    <comment ref="D2236" authorId="0" shapeId="0" xr:uid="{00000000-0006-0000-0500-000015000000}">
      <text>
        <r>
          <rPr>
            <sz val="11"/>
            <color theme="1"/>
            <rFont val="Calibri"/>
            <family val="2"/>
            <charset val="1"/>
          </rPr>
          <t>Ahmad Sharaf Al Masri:
Corrected from Corridor N-1138. On A2.2 FCU-5983 and FCU-5984 are adjacent boxes serving the JC N-1139 / IDF N-1140 pair; Corridor N-1138 is further west where AT-5745 sits.</t>
        </r>
      </text>
    </comment>
    <comment ref="D2281" authorId="0" shapeId="0" xr:uid="{00000000-0006-0000-0500-000016000000}">
      <text>
        <r>
          <rPr>
            <sz val="11"/>
            <color theme="1"/>
            <rFont val="Calibri"/>
            <family val="2"/>
            <charset val="1"/>
          </rPr>
          <t>Ahmad Sharaf Al Masri:
Corrected from Stair 5 N-0STO5. B2.2 (Level 0) places FCU-7981 (20.9 C) at IDF N-0419; Stair 5 N-0ST05 is served by FCU-7993 (26.5 C on the same drawing), appended at row 2631.</t>
        </r>
      </text>
    </comment>
    <comment ref="D2282" authorId="0" shapeId="0" xr:uid="{00000000-0006-0000-0500-000017000000}">
      <text>
        <r>
          <rPr>
            <sz val="11"/>
            <color theme="1"/>
            <rFont val="Calibri"/>
            <family val="2"/>
            <charset val="1"/>
          </rPr>
          <t>Ahmad Sharaf Al Masri:
Corrected from Service Corridor N-0344. B2.2 (Level 0) places FCU-7982 (21.2 C) at Mech/FPC N-0434, directly below FCU-7981.</t>
        </r>
      </text>
    </comment>
    <comment ref="D2290" authorId="0" shapeId="0" xr:uid="{00000000-0006-0000-0500-000018000000}">
      <text>
        <r>
          <rPr>
            <sz val="11"/>
            <color theme="1"/>
            <rFont val="Calibri"/>
            <family val="2"/>
            <charset val="1"/>
          </rPr>
          <t>Ahmad Sharaf Al Masri:
From B1.1 (South Building Level 1): FCU-0502 (21.3 C) sits beside FPC S-1108 / Service Vestibule S-1105.</t>
        </r>
      </text>
    </comment>
    <comment ref="D2291" authorId="0" shapeId="0" xr:uid="{00000000-0006-0000-0500-000019000000}">
      <text>
        <r>
          <rPr>
            <sz val="11"/>
            <color theme="1"/>
            <rFont val="Calibri"/>
            <family val="2"/>
            <charset val="1"/>
          </rPr>
          <t>Ahmad Sharaf Al Masri:
From B1.1 (South Building Level 1): FCU-0503 (20.9 C) sits beside Normal Elec. Room S-1107C / UPS S-1107D.</t>
        </r>
      </text>
    </comment>
    <comment ref="D2333" authorId="0" shapeId="0" xr:uid="{00000000-0006-0000-0500-00001A000000}">
      <text>
        <r>
          <rPr>
            <sz val="11"/>
            <color theme="1"/>
            <rFont val="Calibri"/>
            <family val="2"/>
            <charset val="1"/>
          </rPr>
          <t>Ahmad Sharaf Al Masri:
BMS screen shows the room name as "IDF-S-0271"; written as "IDF ROOM" for consistency with the other IDF entries.</t>
        </r>
      </text>
    </comment>
    <comment ref="D2335" authorId="0" shapeId="0" xr:uid="{00000000-0006-0000-0500-00001B000000}">
      <text>
        <r>
          <rPr>
            <sz val="11"/>
            <color theme="1"/>
            <rFont val="Calibri"/>
            <family val="2"/>
            <charset val="1"/>
          </rPr>
          <t>Ahmad Sharaf Al Masri:
BMS screen shows the room name as "STAIR-OST04"; written as "STAIR-04" for consistency with the other stair entries.</t>
        </r>
      </text>
    </comment>
    <comment ref="D2350" authorId="0" shapeId="0" xr:uid="{00000000-0006-0000-0500-00001C000000}">
      <text>
        <r>
          <rPr>
            <sz val="11"/>
            <color theme="1"/>
            <rFont val="Calibri"/>
            <family val="2"/>
            <charset val="1"/>
          </rPr>
          <t>Ahmad Sharaf Al Masri:
BMS screen shows no room number for FCU-8502/8503/8504/8505 (merged room-name cell).</t>
        </r>
      </text>
    </comment>
    <comment ref="D2875" authorId="0" shapeId="0" xr:uid="{00000000-0006-0000-0500-00001D000000}">
      <text>
        <r>
          <rPr>
            <sz val="11"/>
            <color theme="1"/>
            <rFont val="Calibri"/>
            <family val="2"/>
            <charset val="1"/>
          </rPr>
          <t>Ahmad Sharaf Al Masri:
CONFLICT between drawings. A1.3 (close-up of the Level 1 core) places AT-0503 at Women S-1106B, forming a clean sequence with AT-0502 -&gt; Vestibule S-1105 and AT-0505 -&gt; Emergency Elec. S-1107B. B1.1 instead shows a sensor labelled AT-0503 reading 22.5 C inside NCIR Office S-1115. A1.3 was taken as authoritative; the S-1115 sensor is most likely AT-0509 (see note on D1569). Verify against the BMS point list.</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<sst xmlns="http://schemas.openxmlformats.org/spreadsheetml/2006/main" count="27532" uniqueCount="9324">
  <si>
    <t>Controllable Asset Registry</t>
  </si>
  <si>
    <t>Tag No.</t>
  </si>
  <si>
    <t>Equipment Type</t>
  </si>
  <si>
    <t>Inluded/ Not Inlcuded</t>
  </si>
  <si>
    <t>ROOM NAME AS PER DRAWINGS</t>
  </si>
  <si>
    <t>HQ</t>
  </si>
  <si>
    <t>AHU12_0001</t>
  </si>
  <si>
    <t>AHU</t>
  </si>
  <si>
    <t>Not Included</t>
  </si>
  <si>
    <t>AHU12_0002</t>
  </si>
  <si>
    <t>Included</t>
  </si>
  <si>
    <t>AHU12_0003</t>
  </si>
  <si>
    <t>AHU12_0004</t>
  </si>
  <si>
    <t>AHU12_0006</t>
  </si>
  <si>
    <t>COMMUNIC DIR COMMUNICATION DIRECTOR 12.001</t>
  </si>
  <si>
    <t>AHU12_0007</t>
  </si>
  <si>
    <t>SHEIKHA WING SHEIKHA ENSUIT 12.202</t>
  </si>
  <si>
    <t>AHU12_0008</t>
  </si>
  <si>
    <t>AHU12_0009</t>
  </si>
  <si>
    <t>AHU12_0010</t>
  </si>
  <si>
    <t>TOILET 12.405</t>
  </si>
  <si>
    <t>AHU2_0001</t>
  </si>
  <si>
    <t>SPA PLANT ROOM 2.302</t>
  </si>
  <si>
    <t>AHU5_0001</t>
  </si>
  <si>
    <t>PLANT ROOM 5.301</t>
  </si>
  <si>
    <t>AHU5_0002</t>
  </si>
  <si>
    <t>AHU9_0001</t>
  </si>
  <si>
    <t>PLANT ROOM 9.111</t>
  </si>
  <si>
    <t>AHU9_0002</t>
  </si>
  <si>
    <t>AHU9_0003</t>
  </si>
  <si>
    <t>AHU ROOM 9.109</t>
  </si>
  <si>
    <t>AHUB_0001</t>
  </si>
  <si>
    <t>B.001</t>
  </si>
  <si>
    <t>AHUB_0002</t>
  </si>
  <si>
    <t>AHUB_0003</t>
  </si>
  <si>
    <t>B.006</t>
  </si>
  <si>
    <t>AHUB_0004</t>
  </si>
  <si>
    <t>AHUB_0005</t>
  </si>
  <si>
    <t>B.016</t>
  </si>
  <si>
    <t>AHUB_0006</t>
  </si>
  <si>
    <t>AHUB_0007</t>
  </si>
  <si>
    <t>B.022</t>
  </si>
  <si>
    <t>AHUB_0008</t>
  </si>
  <si>
    <t>AHUB_0009</t>
  </si>
  <si>
    <t>B.019</t>
  </si>
  <si>
    <t>AHUB_0010</t>
  </si>
  <si>
    <t>AHUB_0011</t>
  </si>
  <si>
    <t>FCU0001</t>
  </si>
  <si>
    <t>FCU</t>
  </si>
  <si>
    <t>IDF ROOM B.512</t>
  </si>
  <si>
    <t>FCU0002</t>
  </si>
  <si>
    <t>SECURITY CONTROL B.003</t>
  </si>
  <si>
    <t>FCU0003</t>
  </si>
  <si>
    <t>DOCK MASTER OFFICE B.107</t>
  </si>
  <si>
    <t>FCU0004</t>
  </si>
  <si>
    <t>HH SECURITY B.113</t>
  </si>
  <si>
    <t>FCU0005</t>
  </si>
  <si>
    <t>MALE TOILET B.401</t>
  </si>
  <si>
    <t>FCU0006</t>
  </si>
  <si>
    <t>ROOM B.122</t>
  </si>
  <si>
    <t>FCU0007</t>
  </si>
  <si>
    <t>ROOM B.123</t>
  </si>
  <si>
    <t>FCU0008</t>
  </si>
  <si>
    <t>ROOM B.014</t>
  </si>
  <si>
    <t>FCU0009</t>
  </si>
  <si>
    <t>FCU0010</t>
  </si>
  <si>
    <t>ROOM B.124</t>
  </si>
  <si>
    <t>FCU0011</t>
  </si>
  <si>
    <t>CHAUFFEUR ROOM B.117</t>
  </si>
  <si>
    <t>FCU0012</t>
  </si>
  <si>
    <t>IDF ROOM G.531</t>
  </si>
  <si>
    <t>FCU0013</t>
  </si>
  <si>
    <t>FCU0014</t>
  </si>
  <si>
    <t>IDF ROOM G.512</t>
  </si>
  <si>
    <t>FCU0015</t>
  </si>
  <si>
    <t>NURSERY CONSULT. G.031</t>
  </si>
  <si>
    <t>FCU0016</t>
  </si>
  <si>
    <t>COPY PRINT G.017</t>
  </si>
  <si>
    <t>FCU0017</t>
  </si>
  <si>
    <t>CONTROL CENTER G.005</t>
  </si>
  <si>
    <t>FCU0018</t>
  </si>
  <si>
    <t>VESTIBULE G.511</t>
  </si>
  <si>
    <t>FCU0019</t>
  </si>
  <si>
    <t>IDF ROOM 1.531</t>
  </si>
  <si>
    <t>FCU0020</t>
  </si>
  <si>
    <t>FCU0021</t>
  </si>
  <si>
    <t>IDF ROOM 1.512</t>
  </si>
  <si>
    <t>FCU0022</t>
  </si>
  <si>
    <t>PRINT COPY 1.112</t>
  </si>
  <si>
    <t>FCU0023</t>
  </si>
  <si>
    <t>IDF ROOM 2.531</t>
  </si>
  <si>
    <t>FCU0024</t>
  </si>
  <si>
    <t>FCU0025</t>
  </si>
  <si>
    <t>TERRACE 2.701</t>
  </si>
  <si>
    <t>FCU0026</t>
  </si>
  <si>
    <t>FCU0027</t>
  </si>
  <si>
    <t>FCU0028</t>
  </si>
  <si>
    <t>PRINT COPY 2.103</t>
  </si>
  <si>
    <t>FCU0029</t>
  </si>
  <si>
    <t>SPA LOUNGE BAR 2.207</t>
  </si>
  <si>
    <t>FCU0030</t>
  </si>
  <si>
    <t>FCU0031</t>
  </si>
  <si>
    <t>SPA FITNESS STUDIO 2.208</t>
  </si>
  <si>
    <t>FCU0032</t>
  </si>
  <si>
    <t>FCU0033</t>
  </si>
  <si>
    <t>FCU0034</t>
  </si>
  <si>
    <t>SPA OFFICE 2.209</t>
  </si>
  <si>
    <t>FCU0035</t>
  </si>
  <si>
    <t>STAFF FEMALE WC 2.210</t>
  </si>
  <si>
    <t>FCU0036</t>
  </si>
  <si>
    <t>SPA. FM BEAUTY SALON 2.211</t>
  </si>
  <si>
    <t>FCU0037</t>
  </si>
  <si>
    <t>FCU0038</t>
  </si>
  <si>
    <t>SPA FM TREATMENT 2.212</t>
  </si>
  <si>
    <t>FCU0039</t>
  </si>
  <si>
    <t>SPA CHANGING ROOM 2.213</t>
  </si>
  <si>
    <t>FCU0040</t>
  </si>
  <si>
    <t>FCU0041</t>
  </si>
  <si>
    <t>SPA FM TREATMENT 2.214</t>
  </si>
  <si>
    <t>FCU0042</t>
  </si>
  <si>
    <t>SPA FM TREATMENT 2.215</t>
  </si>
  <si>
    <t>FCU0043</t>
  </si>
  <si>
    <t>SPA FM RELAXATION 2.216</t>
  </si>
  <si>
    <t>FCU0044</t>
  </si>
  <si>
    <t>FCU0045</t>
  </si>
  <si>
    <t>SPA MALE RELAXATION 2.201</t>
  </si>
  <si>
    <t>FCU0046</t>
  </si>
  <si>
    <t>FCU0047</t>
  </si>
  <si>
    <t>FCU0048</t>
  </si>
  <si>
    <t>SPA MALE TREATMENT 3 2.202</t>
  </si>
  <si>
    <t>FCU0049</t>
  </si>
  <si>
    <t>SPA MALE TREATMENT 2 2.203</t>
  </si>
  <si>
    <t>FCU0050</t>
  </si>
  <si>
    <t>SPA MALE TREATMENT 1 2.204</t>
  </si>
  <si>
    <t>FCU0051</t>
  </si>
  <si>
    <t>MALE CHANGING ROOM 2.205</t>
  </si>
  <si>
    <t>FCU0052</t>
  </si>
  <si>
    <t>FCU0053</t>
  </si>
  <si>
    <t>SPA ENTRANCE 2.206</t>
  </si>
  <si>
    <t>FCU0054</t>
  </si>
  <si>
    <t>SPA LOBBY 2.603</t>
  </si>
  <si>
    <t>FCU0055</t>
  </si>
  <si>
    <t>FCU0056</t>
  </si>
  <si>
    <t>IDF ROOM 2.512</t>
  </si>
  <si>
    <t>FCU0057</t>
  </si>
  <si>
    <t>FCU0058</t>
  </si>
  <si>
    <t>FCU0059</t>
  </si>
  <si>
    <t>IDF ROOM 3.531</t>
  </si>
  <si>
    <t>FCU0060</t>
  </si>
  <si>
    <t>FCU0061</t>
  </si>
  <si>
    <t>IDF ROOM 3.512</t>
  </si>
  <si>
    <t>FCU0062</t>
  </si>
  <si>
    <t>COPY/PRINT 3.203</t>
  </si>
  <si>
    <t>FCU0063</t>
  </si>
  <si>
    <t>PRINT COPY 3.103</t>
  </si>
  <si>
    <t>FCU0064</t>
  </si>
  <si>
    <t>CORRIDOR BRIDGE 3.63</t>
  </si>
  <si>
    <t>FCU0065</t>
  </si>
  <si>
    <t>FCU0066</t>
  </si>
  <si>
    <t>FCU0067</t>
  </si>
  <si>
    <t>NORTH EAST ZONE</t>
  </si>
  <si>
    <t>FCU0068</t>
  </si>
  <si>
    <t>FCU0069</t>
  </si>
  <si>
    <t>FCU0070</t>
  </si>
  <si>
    <t>FCU0071</t>
  </si>
  <si>
    <t>IDF ROOM 04.531</t>
  </si>
  <si>
    <t>FCU0072</t>
  </si>
  <si>
    <t>FCU0073</t>
  </si>
  <si>
    <t>IDF ROOM 04.512</t>
  </si>
  <si>
    <t>FCU0074</t>
  </si>
  <si>
    <t>PRINT COPY 05.202</t>
  </si>
  <si>
    <t>FCU0075</t>
  </si>
  <si>
    <t>GSM ROOM 05.214</t>
  </si>
  <si>
    <t>FCU0076</t>
  </si>
  <si>
    <t>FCU0077</t>
  </si>
  <si>
    <t>FCU0078</t>
  </si>
  <si>
    <t>FCU0079</t>
  </si>
  <si>
    <t>FCU0080</t>
  </si>
  <si>
    <t>FCU0081</t>
  </si>
  <si>
    <t>TERRACE 04.702</t>
  </si>
  <si>
    <t>FCU0082</t>
  </si>
  <si>
    <t>TERRACE 04.703</t>
  </si>
  <si>
    <t>FCU0083</t>
  </si>
  <si>
    <t>FCU0084</t>
  </si>
  <si>
    <t>PRINT COPY 04.110</t>
  </si>
  <si>
    <t>FCU0085</t>
  </si>
  <si>
    <t>IDF ROOM 5.531</t>
  </si>
  <si>
    <t>FCU0086</t>
  </si>
  <si>
    <t>FCU0087</t>
  </si>
  <si>
    <t>IDF ROOM 5.512</t>
  </si>
  <si>
    <t>FCU0088</t>
  </si>
  <si>
    <t>PRINT COPY 5.103</t>
  </si>
  <si>
    <t>FCU0089</t>
  </si>
  <si>
    <t>BRIDGE 06.604</t>
  </si>
  <si>
    <t>FCU0090</t>
  </si>
  <si>
    <t>FCU0091</t>
  </si>
  <si>
    <t>FCU0092</t>
  </si>
  <si>
    <t>BRIDGE 5.602</t>
  </si>
  <si>
    <t>FCU0093</t>
  </si>
  <si>
    <t>FCU0094</t>
  </si>
  <si>
    <t>FCU0095</t>
  </si>
  <si>
    <t>FCU0096</t>
  </si>
  <si>
    <t>IDF ROOM 06.531</t>
  </si>
  <si>
    <t>FCU0097</t>
  </si>
  <si>
    <t>NOT FOUND ON THE DRAWING OR SCHEDULE</t>
  </si>
  <si>
    <t>FCU0098</t>
  </si>
  <si>
    <t>IDF ROOM 06.512</t>
  </si>
  <si>
    <t>FCU0099</t>
  </si>
  <si>
    <t>BRIDGE 07.602</t>
  </si>
  <si>
    <t>FCU0100</t>
  </si>
  <si>
    <t>FCU0101</t>
  </si>
  <si>
    <t>FCU0102</t>
  </si>
  <si>
    <t>PRINT COPY 06.104</t>
  </si>
  <si>
    <t>FCU0103</t>
  </si>
  <si>
    <t>PRINT COPY 06.208</t>
  </si>
  <si>
    <t>FCU0104</t>
  </si>
  <si>
    <t>IDF ROOM 7.531</t>
  </si>
  <si>
    <t>FCU0105</t>
  </si>
  <si>
    <t>FCU0106</t>
  </si>
  <si>
    <t>IDF ROOM 7.512</t>
  </si>
  <si>
    <t>FCU0107</t>
  </si>
  <si>
    <t>PRINT COPY 7.101</t>
  </si>
  <si>
    <t>FCU0108</t>
  </si>
  <si>
    <t>PRINT COPY 7.104</t>
  </si>
  <si>
    <t>FCU0109</t>
  </si>
  <si>
    <t>IDF ROOM 8.512</t>
  </si>
  <si>
    <t>FCU0110</t>
  </si>
  <si>
    <t>IDF ROOM 9.531</t>
  </si>
  <si>
    <t>FCU0111</t>
  </si>
  <si>
    <t>FCU0112</t>
  </si>
  <si>
    <t>IDF ROOM 9.512</t>
  </si>
  <si>
    <t>FCU0113</t>
  </si>
  <si>
    <t>IDF ROOM 10.531</t>
  </si>
  <si>
    <t>FCU0114</t>
  </si>
  <si>
    <t>STAFF LOUNGE STORAGE 1.114</t>
  </si>
  <si>
    <t>FCU0115</t>
  </si>
  <si>
    <t>IDF ROOM 10.512</t>
  </si>
  <si>
    <t>FCU0116</t>
  </si>
  <si>
    <t>PRINT COPY 10.038</t>
  </si>
  <si>
    <t>FCU0117</t>
  </si>
  <si>
    <t>PRINT COPY 10.014</t>
  </si>
  <si>
    <t>FCU0118</t>
  </si>
  <si>
    <t>TRANSLATOR ROOM 10.111</t>
  </si>
  <si>
    <t>FCU0119</t>
  </si>
  <si>
    <t>IDF ROOM 11.531</t>
  </si>
  <si>
    <t>FCU0120</t>
  </si>
  <si>
    <t>FCU0121</t>
  </si>
  <si>
    <t>ELECT. CLOSET 11.110</t>
  </si>
  <si>
    <t>FCU0122</t>
  </si>
  <si>
    <t>MCC/ELEC ROOM 11.106</t>
  </si>
  <si>
    <t>FCU0123</t>
  </si>
  <si>
    <t>PRINT COPY ROOM 11.108</t>
  </si>
  <si>
    <t>FCU0124</t>
  </si>
  <si>
    <t>AV ROOM 11.107</t>
  </si>
  <si>
    <t>FCU0125</t>
  </si>
  <si>
    <t>IDF ROOM 11.512</t>
  </si>
  <si>
    <t>FCU0126</t>
  </si>
  <si>
    <t>12.002 MCC CLOSET</t>
  </si>
  <si>
    <t>FCU0127</t>
  </si>
  <si>
    <t>FCU0128</t>
  </si>
  <si>
    <t>12.003 MCC CLOSET</t>
  </si>
  <si>
    <t>FCU0129</t>
  </si>
  <si>
    <t>FCU0130</t>
  </si>
  <si>
    <t>12.004 MCC CLOSET</t>
  </si>
  <si>
    <t>FCU0131</t>
  </si>
  <si>
    <t>ROOF PLANT / WALKWAY (NEAR CSRR-0008)</t>
  </si>
  <si>
    <t>FCU0132</t>
  </si>
  <si>
    <t>VISITOR CENTER 9.101</t>
  </si>
  <si>
    <t>VAV0001</t>
  </si>
  <si>
    <t>VAV</t>
  </si>
  <si>
    <t>STAFF ENTRANCE B.004</t>
  </si>
  <si>
    <t>VAV0002</t>
  </si>
  <si>
    <t>STAFF LOBBY B.103</t>
  </si>
  <si>
    <t>VAV0003</t>
  </si>
  <si>
    <t>VAV0004</t>
  </si>
  <si>
    <t>SPORT SPACE B.110</t>
  </si>
  <si>
    <t>VAV0005</t>
  </si>
  <si>
    <t>LOBBY B.116</t>
  </si>
  <si>
    <t>VAV0006</t>
  </si>
  <si>
    <t>VAV0007</t>
  </si>
  <si>
    <t>CONTROL ROOM G.008</t>
  </si>
  <si>
    <t>VAV0008</t>
  </si>
  <si>
    <t>PR &amp; MARKET MANAGER G.009</t>
  </si>
  <si>
    <t>VAV0009</t>
  </si>
  <si>
    <t>PR &amp; MARKET STAFF G.010</t>
  </si>
  <si>
    <t>VAV0011</t>
  </si>
  <si>
    <t>PR &amp; MARK. MANA. G.011</t>
  </si>
  <si>
    <t>VAV0012</t>
  </si>
  <si>
    <t>PR &amp; MARKET STAFF G.012</t>
  </si>
  <si>
    <t>VAV0013</t>
  </si>
  <si>
    <t>VISITOR OFF. G.014</t>
  </si>
  <si>
    <t>VAV0014</t>
  </si>
  <si>
    <t>PR &amp; MARKET STAFF G.015</t>
  </si>
  <si>
    <t>VAV0015</t>
  </si>
  <si>
    <t>PR &amp; MAR. STAFF G.018</t>
  </si>
  <si>
    <t>VAV0016</t>
  </si>
  <si>
    <t>PR &amp; MAR. STAFF G.019</t>
  </si>
  <si>
    <t>VAV0017</t>
  </si>
  <si>
    <t>PR &amp; MAR. STAFF G.020</t>
  </si>
  <si>
    <t>VAV0018</t>
  </si>
  <si>
    <t>PR &amp; MAR. STAFF G.021</t>
  </si>
  <si>
    <t>VAV0019</t>
  </si>
  <si>
    <t>PR &amp; MARKET SEC. G.022</t>
  </si>
  <si>
    <t>VAV0020</t>
  </si>
  <si>
    <t>PR &amp; MARKET STAFF G.023</t>
  </si>
  <si>
    <t>VAV0021</t>
  </si>
  <si>
    <t>CORRIDOR G.601</t>
  </si>
  <si>
    <t>VAV0022</t>
  </si>
  <si>
    <t>VAV0023</t>
  </si>
  <si>
    <t>SHOP G.105</t>
  </si>
  <si>
    <t>VAV0024</t>
  </si>
  <si>
    <t>LOBBY G.104</t>
  </si>
  <si>
    <t>VAV0025</t>
  </si>
  <si>
    <t>VAV0026</t>
  </si>
  <si>
    <t>BMS ROOM G.103</t>
  </si>
  <si>
    <t>VAV0027</t>
  </si>
  <si>
    <t>PR &amp; MARKET MANAGER G.004</t>
  </si>
  <si>
    <t>VAV0028</t>
  </si>
  <si>
    <t>PR &amp; MARKET MANAGER G.003</t>
  </si>
  <si>
    <t>VAV0029</t>
  </si>
  <si>
    <t>PR &amp; MARKET MANAGER G.002</t>
  </si>
  <si>
    <t>VAV0030</t>
  </si>
  <si>
    <t>G.CORIDOR</t>
  </si>
  <si>
    <t>VAV0031</t>
  </si>
  <si>
    <t>PR &amp; MARKET STAFF G.001</t>
  </si>
  <si>
    <t>VAV0032</t>
  </si>
  <si>
    <t>PR &amp; MARKET STAFF G.038</t>
  </si>
  <si>
    <t>VAV0033</t>
  </si>
  <si>
    <t>PR &amp; MARKET STAFF G.037</t>
  </si>
  <si>
    <t>VAV0034</t>
  </si>
  <si>
    <t>PR &amp; MARKET STAFF G.036</t>
  </si>
  <si>
    <t>VAV0035</t>
  </si>
  <si>
    <t>PR &amp; MARKET STAFF G.035</t>
  </si>
  <si>
    <t>VAV0036</t>
  </si>
  <si>
    <t>PR &amp; MARKET STAFF G.034</t>
  </si>
  <si>
    <t>VAV0037</t>
  </si>
  <si>
    <t>PR &amp; MARKET STAFF G.033</t>
  </si>
  <si>
    <t>VAV0038</t>
  </si>
  <si>
    <t>PR &amp; MARKET STAFF G.032</t>
  </si>
  <si>
    <t>VAV0039</t>
  </si>
  <si>
    <t>STAFF G.030</t>
  </si>
  <si>
    <t>VAV0040</t>
  </si>
  <si>
    <t>SENSORY G.029</t>
  </si>
  <si>
    <t>VAV0041</t>
  </si>
  <si>
    <t>VAV0042</t>
  </si>
  <si>
    <t>PR&amp; MARKET DIRECTOR ENSUIT G.028</t>
  </si>
  <si>
    <t>VAV0043</t>
  </si>
  <si>
    <t>FINANCE CASHIER G.026</t>
  </si>
  <si>
    <t>VAV0044</t>
  </si>
  <si>
    <t>VIP LOUNGE G.025</t>
  </si>
  <si>
    <t>VAV0045</t>
  </si>
  <si>
    <t>E-TOWER LOBBY G.107</t>
  </si>
  <si>
    <t>VAV0046</t>
  </si>
  <si>
    <t>CORRIDOR (SOUTH EAST) G.602</t>
  </si>
  <si>
    <t>VAV0047</t>
  </si>
  <si>
    <t>CORRIDOR (SOUTH EAST) G.603</t>
  </si>
  <si>
    <t>VAV0048</t>
  </si>
  <si>
    <t>CONFERENCE ROOM G.101</t>
  </si>
  <si>
    <t>VAV0049</t>
  </si>
  <si>
    <t>VAV0050</t>
  </si>
  <si>
    <t>VAV0051</t>
  </si>
  <si>
    <t>VAV0052</t>
  </si>
  <si>
    <t>SOFT PLAY &amp; CREATIVE LEARNING G.108</t>
  </si>
  <si>
    <t>VAV0053</t>
  </si>
  <si>
    <t>VAV0054</t>
  </si>
  <si>
    <t>FINANCE MANAGER 1.011</t>
  </si>
  <si>
    <t>VAV0055</t>
  </si>
  <si>
    <t>FINANCE MANAGER 1.012</t>
  </si>
  <si>
    <t>VAV0056</t>
  </si>
  <si>
    <t>FINANCE MANAGER 1.013</t>
  </si>
  <si>
    <t>VAV0057</t>
  </si>
  <si>
    <t>FINANCE STAFF 1.014</t>
  </si>
  <si>
    <t>VAV0058</t>
  </si>
  <si>
    <t>FINANCE STAFF 1.015</t>
  </si>
  <si>
    <t>VAV0059</t>
  </si>
  <si>
    <t>FINANCE SECRETARY 1.016</t>
  </si>
  <si>
    <t>VAV0060</t>
  </si>
  <si>
    <t>FINANCE DIRECTOR 1.017</t>
  </si>
  <si>
    <t>VAV0061</t>
  </si>
  <si>
    <t>FINANCE MANAGER 1.018</t>
  </si>
  <si>
    <t>VAV0062</t>
  </si>
  <si>
    <t>FINANCE MANAGER 1.019</t>
  </si>
  <si>
    <t>VAV0063</t>
  </si>
  <si>
    <t>FINANCE MANAGER 1.020</t>
  </si>
  <si>
    <t>VAV0064</t>
  </si>
  <si>
    <t>FINANCE SEC 1.021</t>
  </si>
  <si>
    <t>VAV0065</t>
  </si>
  <si>
    <t>FINANCE SEC 1.022</t>
  </si>
  <si>
    <t>VAV0066</t>
  </si>
  <si>
    <t>FINANCE AUDIT 1.023</t>
  </si>
  <si>
    <t>VAV0067</t>
  </si>
  <si>
    <t>FINANCE AUDIT 1.024</t>
  </si>
  <si>
    <t>VAV0068</t>
  </si>
  <si>
    <t>FINANCE STAFF 1.025</t>
  </si>
  <si>
    <t>VAV0069</t>
  </si>
  <si>
    <t>FINANCE STAFF 1.026</t>
  </si>
  <si>
    <t>VAV0070</t>
  </si>
  <si>
    <t>FINANCE MANAGER 1.027</t>
  </si>
  <si>
    <t>VAV0071</t>
  </si>
  <si>
    <t>FINANCE MANAGER 1.028</t>
  </si>
  <si>
    <t>VAV0072</t>
  </si>
  <si>
    <t>FINANCE MANAGER 1.029</t>
  </si>
  <si>
    <t>VAV0073</t>
  </si>
  <si>
    <t>FINANCE SECRETARY 1.001</t>
  </si>
  <si>
    <t>VAV0074</t>
  </si>
  <si>
    <t>FINANCE MANAGER 1.002</t>
  </si>
  <si>
    <t>VAV0075</t>
  </si>
  <si>
    <t>FINANCE MANAGER 1.003</t>
  </si>
  <si>
    <t>VAV0076</t>
  </si>
  <si>
    <t>FINANCE MANAGER 1.004</t>
  </si>
  <si>
    <t>VAV0077</t>
  </si>
  <si>
    <t>FINANCE SECRETARY 1.005</t>
  </si>
  <si>
    <t>VAV0078</t>
  </si>
  <si>
    <t>FINANCE STAFF 1.006</t>
  </si>
  <si>
    <t>VAV0079</t>
  </si>
  <si>
    <t>FINANCE STAFF 1.007</t>
  </si>
  <si>
    <t>VAV0080</t>
  </si>
  <si>
    <t>GROUND FLOOR VIP ENTRANCE 1.401</t>
  </si>
  <si>
    <t>VAV0081</t>
  </si>
  <si>
    <t>VAV0082</t>
  </si>
  <si>
    <t>VAV0083</t>
  </si>
  <si>
    <t>STAFF LOUNGE 1.101</t>
  </si>
  <si>
    <t>VAV0084</t>
  </si>
  <si>
    <t>VAV0085</t>
  </si>
  <si>
    <t>VAV0086</t>
  </si>
  <si>
    <t>VAV0087</t>
  </si>
  <si>
    <t>FINANCE MEETING ROOM 1.108</t>
  </si>
  <si>
    <t>VAV0088</t>
  </si>
  <si>
    <t>CONSULTANT SPACE 1.109</t>
  </si>
  <si>
    <t>VAV0089</t>
  </si>
  <si>
    <t>VAV0090</t>
  </si>
  <si>
    <t>CONFERENCE ROOM 1.110</t>
  </si>
  <si>
    <t>VAV0091</t>
  </si>
  <si>
    <t>PRAYER ROOM 1.105</t>
  </si>
  <si>
    <t>VAV0092</t>
  </si>
  <si>
    <t>FINANCE CASHIER 1.106</t>
  </si>
  <si>
    <t>VAV0093</t>
  </si>
  <si>
    <t>FINANCE ROOM 1.116</t>
  </si>
  <si>
    <t>VAV0094</t>
  </si>
  <si>
    <t>FINANCE AUDITOR 1.117</t>
  </si>
  <si>
    <t>VAV0095</t>
  </si>
  <si>
    <t>FINANCE AUDITOR 1.115</t>
  </si>
  <si>
    <t>VAV0096</t>
  </si>
  <si>
    <t>VAV0097</t>
  </si>
  <si>
    <t>CORRIDOR 1.602</t>
  </si>
  <si>
    <t>VAV0098</t>
  </si>
  <si>
    <t>VAV0099</t>
  </si>
  <si>
    <t>SOUTH EAST ZONE</t>
  </si>
  <si>
    <t>VAV0100</t>
  </si>
  <si>
    <t>FINANCE RECORD STORAGE 1.111</t>
  </si>
  <si>
    <t>VAV0101</t>
  </si>
  <si>
    <t>FOOD HEAT UP 1.702</t>
  </si>
  <si>
    <t>VAV0102</t>
  </si>
  <si>
    <t>WASHING AREA 1.706</t>
  </si>
  <si>
    <t>VAV0103</t>
  </si>
  <si>
    <t>LOBBY (GROUND FLOOR)</t>
  </si>
  <si>
    <t>VAV0104</t>
  </si>
  <si>
    <t>VAV0105</t>
  </si>
  <si>
    <t>VAV0106</t>
  </si>
  <si>
    <t>VAV0107</t>
  </si>
  <si>
    <t>STAFF CAFETERIA 1.701</t>
  </si>
  <si>
    <t>VAV0108</t>
  </si>
  <si>
    <t>VAV0109</t>
  </si>
  <si>
    <t>DIRECTOR ENSUIT 2.018</t>
  </si>
  <si>
    <t>VAV0110</t>
  </si>
  <si>
    <t>SUPP. SER. ADMIN 2.019</t>
  </si>
  <si>
    <t>VAV0111</t>
  </si>
  <si>
    <t>SUPP. SER. ADMIN 2.020</t>
  </si>
  <si>
    <t>VAV0112</t>
  </si>
  <si>
    <t>SUPP. SER. ADMIN 2.021</t>
  </si>
  <si>
    <t>VAV0113</t>
  </si>
  <si>
    <t>SUPP. SER. SECRETARY 2.022</t>
  </si>
  <si>
    <t>VAV0114</t>
  </si>
  <si>
    <t>SUPP. SER. ADMIN 2.023</t>
  </si>
  <si>
    <t>VAV0115</t>
  </si>
  <si>
    <t>SUPP. SER. ADMIN 2.024</t>
  </si>
  <si>
    <t>VAV0116</t>
  </si>
  <si>
    <t>SUPP. SER. ADMIN 2.025</t>
  </si>
  <si>
    <t>VAV0117</t>
  </si>
  <si>
    <t>SUPP. SER. SECRETARY 2.026</t>
  </si>
  <si>
    <t>VAV0118</t>
  </si>
  <si>
    <t>SUPP. SER. ADMIN 2.027</t>
  </si>
  <si>
    <t>VAV0119</t>
  </si>
  <si>
    <t>SUPP. SER. ADMIN 2.028</t>
  </si>
  <si>
    <t>VAV0120</t>
  </si>
  <si>
    <t>SUPP. SER. ADMIN 2.029</t>
  </si>
  <si>
    <t>VAV0121</t>
  </si>
  <si>
    <t>SUPP. SER. SECRETARY 2.030</t>
  </si>
  <si>
    <t>VAV0122</t>
  </si>
  <si>
    <t>SUPP. SER. ADMIN 2.031</t>
  </si>
  <si>
    <t>VAV0123</t>
  </si>
  <si>
    <t>SUPP. SER. ADMIN 2.032</t>
  </si>
  <si>
    <t>VAV0124</t>
  </si>
  <si>
    <t>SUPP. SER. ADMIN 2.033</t>
  </si>
  <si>
    <t>VAV0125</t>
  </si>
  <si>
    <t>SUPP. SER. SECRETARY 2.034</t>
  </si>
  <si>
    <t>VAV0126</t>
  </si>
  <si>
    <t>SUPP. SER. ADMIN 2.035</t>
  </si>
  <si>
    <t>VAV0127</t>
  </si>
  <si>
    <t>SUPP. SER. ADMIN 2.036</t>
  </si>
  <si>
    <t>VAV0128</t>
  </si>
  <si>
    <t>OFFICE SPACE 2.110A</t>
  </si>
  <si>
    <t>VAV0129</t>
  </si>
  <si>
    <t>02.CORIDOR</t>
  </si>
  <si>
    <t>VAV0130</t>
  </si>
  <si>
    <t>VAV0131</t>
  </si>
  <si>
    <t>FEMALE PRAYER ROOM 2.109</t>
  </si>
  <si>
    <t>VAV0132</t>
  </si>
  <si>
    <t>MEETING ROOM 2.108</t>
  </si>
  <si>
    <t>VAV0133</t>
  </si>
  <si>
    <t>VAV0134</t>
  </si>
  <si>
    <t>LOUNGE 2.105</t>
  </si>
  <si>
    <t>VAV0135</t>
  </si>
  <si>
    <t>CONSULTANT SPACE 2.104</t>
  </si>
  <si>
    <t>VAV0136</t>
  </si>
  <si>
    <t>VAV0137</t>
  </si>
  <si>
    <t>CONSULTANT SPACE 2.102</t>
  </si>
  <si>
    <t>VAV0138</t>
  </si>
  <si>
    <t>SUPP. SER. SECRETARY 2.017</t>
  </si>
  <si>
    <t>VAV0139</t>
  </si>
  <si>
    <t>SUPP. SER. ADMIN 2.016</t>
  </si>
  <si>
    <t>VAV0140</t>
  </si>
  <si>
    <t>SUPP. SER. ADMIN 2.015</t>
  </si>
  <si>
    <t>VAV0141</t>
  </si>
  <si>
    <t>SUPP. SER. ADMIN 2.014</t>
  </si>
  <si>
    <t>VAV0142</t>
  </si>
  <si>
    <t>SUPP. SER. SECRETARY 2.013</t>
  </si>
  <si>
    <t>VAV0143</t>
  </si>
  <si>
    <t>SUPP. SER. ADMIN 2.012</t>
  </si>
  <si>
    <t>VAV0144</t>
  </si>
  <si>
    <t>SUPP. SER. ADMIN 2.011</t>
  </si>
  <si>
    <t>VAV0145</t>
  </si>
  <si>
    <t>SUPP. SER. ADMIN 2.010</t>
  </si>
  <si>
    <t>VAV0146</t>
  </si>
  <si>
    <t>SUPP. SER. SECRETARY 2.009</t>
  </si>
  <si>
    <t>VAV0147</t>
  </si>
  <si>
    <t>DEBATE EXECUTIVE 2.008</t>
  </si>
  <si>
    <t>VAV0148</t>
  </si>
  <si>
    <t>DEBATE EXECUTIVE 2.007</t>
  </si>
  <si>
    <t>VAV0149</t>
  </si>
  <si>
    <t>DEBATE EXECUTIVE 2.006</t>
  </si>
  <si>
    <t>VAV0150</t>
  </si>
  <si>
    <t>DEBATE EXECUTIVE 2.005</t>
  </si>
  <si>
    <t>VAV0151</t>
  </si>
  <si>
    <t>DEBATE SECRETARY 2.004</t>
  </si>
  <si>
    <t>VAV0152</t>
  </si>
  <si>
    <t>DEBATE EXECUTIVE 2.003</t>
  </si>
  <si>
    <t>VAV0153</t>
  </si>
  <si>
    <t>DEBATE EXECUTIVE 2.002</t>
  </si>
  <si>
    <t>VAV0154</t>
  </si>
  <si>
    <t>STORAGE ROOM 2.001</t>
  </si>
  <si>
    <t>VAV0155</t>
  </si>
  <si>
    <t>OFFICE SPACE 2.101A</t>
  </si>
  <si>
    <t>VAV0156</t>
  </si>
  <si>
    <t>VAV0157</t>
  </si>
  <si>
    <t>HR IMMIG STAFF 3.017</t>
  </si>
  <si>
    <t>VAV0158</t>
  </si>
  <si>
    <t>HR IMMIG STAFF 3.018</t>
  </si>
  <si>
    <t>VAV0159</t>
  </si>
  <si>
    <t>HR IMMIG STAFF 3.019</t>
  </si>
  <si>
    <t>VAV0160</t>
  </si>
  <si>
    <t>HR IMMIG STAFF 3.020</t>
  </si>
  <si>
    <t>VAV0161</t>
  </si>
  <si>
    <t>HR IMMIG STAFF 3.021</t>
  </si>
  <si>
    <t>VAV0162</t>
  </si>
  <si>
    <t>HR IMMIG STAFF 3.022</t>
  </si>
  <si>
    <t>VAV0163</t>
  </si>
  <si>
    <t>HR IMMIG STAFF 3.023</t>
  </si>
  <si>
    <t>VAV0164</t>
  </si>
  <si>
    <t>HR IMMIG STAFF 3.024</t>
  </si>
  <si>
    <t>VAV0165</t>
  </si>
  <si>
    <t>HR IMMIG STAFF 3.025</t>
  </si>
  <si>
    <t>VAV0166</t>
  </si>
  <si>
    <t>HR IMMIG STAFF 3.026</t>
  </si>
  <si>
    <t>VAV0167</t>
  </si>
  <si>
    <t>HR IMMIG STAFF 3.027</t>
  </si>
  <si>
    <t>VAV0168</t>
  </si>
  <si>
    <t>HR IMMIG STAFF 3.028</t>
  </si>
  <si>
    <t>VAV0169</t>
  </si>
  <si>
    <t>HR IMMIG STAFF 3.029</t>
  </si>
  <si>
    <t>VAV0170</t>
  </si>
  <si>
    <t>HR IMMIG STAFF 3.030</t>
  </si>
  <si>
    <t>VAV0171</t>
  </si>
  <si>
    <t>HR IMMIG STAFF 3.031</t>
  </si>
  <si>
    <t>VAV0172</t>
  </si>
  <si>
    <t>HR IMMIG STAFF 3.032</t>
  </si>
  <si>
    <t>VAV0173</t>
  </si>
  <si>
    <t>MEETING ROOM 3.033</t>
  </si>
  <si>
    <t>VAV0174</t>
  </si>
  <si>
    <t>VAV0175</t>
  </si>
  <si>
    <t>OFFICE SPACE 3.105B</t>
  </si>
  <si>
    <t>VAV0176</t>
  </si>
  <si>
    <t>03.CORIDOR</t>
  </si>
  <si>
    <t>VAV0177</t>
  </si>
  <si>
    <t>ABLUTION ROOM 3.36</t>
  </si>
  <si>
    <t>VAV0178</t>
  </si>
  <si>
    <t>FEMALE PRAYER ROOM 3.105A</t>
  </si>
  <si>
    <t>VAV0179</t>
  </si>
  <si>
    <t>VAV0180</t>
  </si>
  <si>
    <t>LOUNGE 3.001</t>
  </si>
  <si>
    <t>VAV0181</t>
  </si>
  <si>
    <t>CONSULTANT SPACE TRAINEES 3.102</t>
  </si>
  <si>
    <t>VAV0182</t>
  </si>
  <si>
    <t>VAV0183</t>
  </si>
  <si>
    <t>VAV0184</t>
  </si>
  <si>
    <t>HR IMMG SECRETARY 3.104</t>
  </si>
  <si>
    <t>VAV0185</t>
  </si>
  <si>
    <t>HR IMMIG STAFF 3.012</t>
  </si>
  <si>
    <t>VAV0186</t>
  </si>
  <si>
    <t>HR IMMIG STAFF 3.013</t>
  </si>
  <si>
    <t>VAV0187</t>
  </si>
  <si>
    <t>HR IMMIG STAFF 3.014</t>
  </si>
  <si>
    <t>VAV0188</t>
  </si>
  <si>
    <t>HR IMMIG STAFF 3.015</t>
  </si>
  <si>
    <t>VAV0189</t>
  </si>
  <si>
    <t>HR IMMIG STAFF 3.016</t>
  </si>
  <si>
    <t>VAV0190</t>
  </si>
  <si>
    <t>HR IMMIG STAFF 3.003</t>
  </si>
  <si>
    <t>VAV0191</t>
  </si>
  <si>
    <t>HR IMMIG STAFF 3.004</t>
  </si>
  <si>
    <t>VAV0192</t>
  </si>
  <si>
    <t>HR IMMIG STAFF 3.005</t>
  </si>
  <si>
    <t>VAV0193</t>
  </si>
  <si>
    <t>HR IMMIG STAFF 3.006</t>
  </si>
  <si>
    <t>VAV0194</t>
  </si>
  <si>
    <t>HR IMMIG STAFF 3.007</t>
  </si>
  <si>
    <t>VAV0195</t>
  </si>
  <si>
    <t>HR IMMIG STAFF 3.008</t>
  </si>
  <si>
    <t>VAV0196</t>
  </si>
  <si>
    <t>HR IMMIG STAFF 3.009</t>
  </si>
  <si>
    <t>VAV0197</t>
  </si>
  <si>
    <t>HR IMMIG STAFF 3.010</t>
  </si>
  <si>
    <t>VAV0198</t>
  </si>
  <si>
    <t>HR IMMIG STAFF 3.011</t>
  </si>
  <si>
    <t>VAV0199</t>
  </si>
  <si>
    <t>OFFICE SPACE 3.101</t>
  </si>
  <si>
    <t>VAV0200</t>
  </si>
  <si>
    <t>HR IMMIG STAFF 3.002</t>
  </si>
  <si>
    <t>VAV0201</t>
  </si>
  <si>
    <t>VAV0202</t>
  </si>
  <si>
    <t>OFFICE SPACE 3.202A</t>
  </si>
  <si>
    <t>VAV0203</t>
  </si>
  <si>
    <t>OFFICE SPACE 3.202B</t>
  </si>
  <si>
    <t>VAV0204</t>
  </si>
  <si>
    <t>HR IMMIGRATION 3.205</t>
  </si>
  <si>
    <t>VAV0205</t>
  </si>
  <si>
    <t>HR IMMIG MANAGER 3.206</t>
  </si>
  <si>
    <t>VAV0206</t>
  </si>
  <si>
    <t>HR IMMIG MANAGER 3.207</t>
  </si>
  <si>
    <t>VAV0207</t>
  </si>
  <si>
    <t>HR IMMIG MANAGER 3.208</t>
  </si>
  <si>
    <t>VAV0208</t>
  </si>
  <si>
    <t>HR IMMIG MANAGER 3.209</t>
  </si>
  <si>
    <t>VAV0209</t>
  </si>
  <si>
    <t>HR IMMIG OFFICER 3.210</t>
  </si>
  <si>
    <t>VAV0210</t>
  </si>
  <si>
    <t>VAV0211</t>
  </si>
  <si>
    <t>HR IMMIG MANAGER 3.211</t>
  </si>
  <si>
    <t>VAV0212</t>
  </si>
  <si>
    <t>HR IMMIG SEC. 3.212</t>
  </si>
  <si>
    <t>VAV0213</t>
  </si>
  <si>
    <t>HR IMMIG DIR. ENSUIT 3.213</t>
  </si>
  <si>
    <t>VAV0214</t>
  </si>
  <si>
    <t>IT DIR. ENSUIT 3.214</t>
  </si>
  <si>
    <t>VAV0215</t>
  </si>
  <si>
    <t>IT DIR. ENSUIT 3.215</t>
  </si>
  <si>
    <t>VAV0216</t>
  </si>
  <si>
    <t>PROC. CONTR. SECRETARY 3.216</t>
  </si>
  <si>
    <t>VAV0217</t>
  </si>
  <si>
    <t>PROC. &amp; CONTR. DIR. E 3.201</t>
  </si>
  <si>
    <t>VAV0218</t>
  </si>
  <si>
    <t>PROC. &amp; CONTR. MEETING ROOM 3.301</t>
  </si>
  <si>
    <t>VAV0219</t>
  </si>
  <si>
    <t>VAV0220</t>
  </si>
  <si>
    <t>HR IMMG. MEETING ROOM 3.302</t>
  </si>
  <si>
    <t>VAV0221</t>
  </si>
  <si>
    <t>SOUTH EAST CORRIDOR 3.602</t>
  </si>
  <si>
    <t>VAV0222</t>
  </si>
  <si>
    <t>STR. PL. DIR. ENSUIT 04.004</t>
  </si>
  <si>
    <t>VAV0223</t>
  </si>
  <si>
    <t>STR. PL. DIR. MEETING ROOM 04.005</t>
  </si>
  <si>
    <t>VAV0224</t>
  </si>
  <si>
    <t>STR. PL. DIR. MANAGER 04.006</t>
  </si>
  <si>
    <t>VAV0225</t>
  </si>
  <si>
    <t>STR. PL. DIR. MANAGER 04.007</t>
  </si>
  <si>
    <t>VAV0226</t>
  </si>
  <si>
    <t>STR. PL. DIR. MANAGER 04.008</t>
  </si>
  <si>
    <t>VAV0227</t>
  </si>
  <si>
    <t>STR. PL. DIR. HEAD OF PL. 04.009</t>
  </si>
  <si>
    <t>VAV0228</t>
  </si>
  <si>
    <t>STR. PL. DIR. HEAD OF PL. 04.010</t>
  </si>
  <si>
    <t>VAV0229</t>
  </si>
  <si>
    <t>STR. PL. DIR. HEAD OF PL. 04.011</t>
  </si>
  <si>
    <t>VAV0230</t>
  </si>
  <si>
    <t>STR. PL. DIR. HEAD OF PL. 04.012</t>
  </si>
  <si>
    <t>VAV0231</t>
  </si>
  <si>
    <t>STR. PL. DIR. HEAD OF PL. 04.013</t>
  </si>
  <si>
    <t>VAV0232</t>
  </si>
  <si>
    <t>STR. PL. DIR. MANAGER 04.014</t>
  </si>
  <si>
    <t>VAV0233</t>
  </si>
  <si>
    <t>OFFICE SPACE 04.015C</t>
  </si>
  <si>
    <t>VAV0234</t>
  </si>
  <si>
    <t>OFFICE SPACE 04.015A</t>
  </si>
  <si>
    <t>VAV0235</t>
  </si>
  <si>
    <t>VAV0236</t>
  </si>
  <si>
    <t>VP EDU STORAGE 04.109</t>
  </si>
  <si>
    <t>VAV0237</t>
  </si>
  <si>
    <t>VAV0238</t>
  </si>
  <si>
    <t>STR. PL. DIR. TECH. STAFF 04.108</t>
  </si>
  <si>
    <t>VAV0239</t>
  </si>
  <si>
    <t>STR. PL. DIR. TECH. STAFF 04.107</t>
  </si>
  <si>
    <t>VAV0240</t>
  </si>
  <si>
    <t>WAITING LOUNGE 04.104</t>
  </si>
  <si>
    <t>VAV0241</t>
  </si>
  <si>
    <t>VAV0242</t>
  </si>
  <si>
    <t>STR. PL. DIR. MANAGER 04.002</t>
  </si>
  <si>
    <t>VAV0243</t>
  </si>
  <si>
    <t>STR. PL. DIR. EXEC. SECRE. 04.003</t>
  </si>
  <si>
    <t>VAV0244</t>
  </si>
  <si>
    <t>OFFICE SPACE 04.001B</t>
  </si>
  <si>
    <t>VAV0245</t>
  </si>
  <si>
    <t>OFFICE SPACE 04.001D</t>
  </si>
  <si>
    <t>VAV0246</t>
  </si>
  <si>
    <t>OFFICE SPACE 04.001F</t>
  </si>
  <si>
    <t>VAV0247</t>
  </si>
  <si>
    <t>OFFICE SPACE 04.001G</t>
  </si>
  <si>
    <t>VAV0248</t>
  </si>
  <si>
    <t>STORAGE SPACE 04.103</t>
  </si>
  <si>
    <t>VAV0249</t>
  </si>
  <si>
    <t>OFFICE SPACE 04.102</t>
  </si>
  <si>
    <t>VAV0250</t>
  </si>
  <si>
    <t>OFFICE SPACE 04.101</t>
  </si>
  <si>
    <t>VAV0251</t>
  </si>
  <si>
    <t>VAV0252</t>
  </si>
  <si>
    <t>OFFICE SPACE 04.201</t>
  </si>
  <si>
    <t>VAV0253</t>
  </si>
  <si>
    <t>OFFICE SPACE 04.204</t>
  </si>
  <si>
    <t>VAV0254</t>
  </si>
  <si>
    <t>VP ADM MANAGER 04.205</t>
  </si>
  <si>
    <t>VAV0255</t>
  </si>
  <si>
    <t>VP ADM MANAGER 04.206</t>
  </si>
  <si>
    <t>VAV0256</t>
  </si>
  <si>
    <t>VP ADM SEC. 04.208</t>
  </si>
  <si>
    <t>VAV0257</t>
  </si>
  <si>
    <t>VAV0258</t>
  </si>
  <si>
    <t>VP ADM MANAGER 04.209</t>
  </si>
  <si>
    <t>VAV0259</t>
  </si>
  <si>
    <t>VP ADM MANAGER 04.210</t>
  </si>
  <si>
    <t>VAV0260</t>
  </si>
  <si>
    <t>VP ADM MANAGER 04.211</t>
  </si>
  <si>
    <t>VAV0261</t>
  </si>
  <si>
    <t>VP ADM PERS. ASS. 04.212</t>
  </si>
  <si>
    <t>VAV0262</t>
  </si>
  <si>
    <t>VP ADM ENSUIT 04.213</t>
  </si>
  <si>
    <t>VAV0263</t>
  </si>
  <si>
    <t>VP ADM MEETING ROOM 04.301</t>
  </si>
  <si>
    <t>VAV0264</t>
  </si>
  <si>
    <t>VAV0265</t>
  </si>
  <si>
    <t>VAV0266</t>
  </si>
  <si>
    <t>VAV0267</t>
  </si>
  <si>
    <t>VP EDU DIR ENSUIT 5.012</t>
  </si>
  <si>
    <t>VAV0268</t>
  </si>
  <si>
    <t>VP EDU SECR. 5.013</t>
  </si>
  <si>
    <t>VAV0269</t>
  </si>
  <si>
    <t>VP EDU ASSIS. 5.014</t>
  </si>
  <si>
    <t>VAV0270</t>
  </si>
  <si>
    <t>VP EDU ASSIS. 5.015</t>
  </si>
  <si>
    <t>VAV0271</t>
  </si>
  <si>
    <t>VP EDU ASSIS. 5.016</t>
  </si>
  <si>
    <t>VAV0272</t>
  </si>
  <si>
    <t>VP EDU ASSIS. 5.017</t>
  </si>
  <si>
    <t>VAV0273</t>
  </si>
  <si>
    <t>VP EDU OFF. 5.018</t>
  </si>
  <si>
    <t>VAV0274</t>
  </si>
  <si>
    <t>VP EDU OFF. 5.019</t>
  </si>
  <si>
    <t>VAV0275</t>
  </si>
  <si>
    <t>VP EDU OFF. 5.020</t>
  </si>
  <si>
    <t>VAV0276</t>
  </si>
  <si>
    <t>VP EDU OFF. 5.021</t>
  </si>
  <si>
    <t>VAV0277</t>
  </si>
  <si>
    <t>VP EDU OFF. 5.022</t>
  </si>
  <si>
    <t>VAV0278</t>
  </si>
  <si>
    <t>VP EDU OFF. 5.023</t>
  </si>
  <si>
    <t>VAV0279</t>
  </si>
  <si>
    <t>VP EDU SEC. 5.024</t>
  </si>
  <si>
    <t>VAV0280</t>
  </si>
  <si>
    <t>VP EDU DIR ENSUIT 5.025</t>
  </si>
  <si>
    <t>VAV0281</t>
  </si>
  <si>
    <t>VP EDU ASS. 5.026</t>
  </si>
  <si>
    <t>VAV0282</t>
  </si>
  <si>
    <t>05.CORIDOR</t>
  </si>
  <si>
    <t>VAV0283</t>
  </si>
  <si>
    <t>VP EDU OFF. 5.110</t>
  </si>
  <si>
    <t>VAV0284</t>
  </si>
  <si>
    <t>VP EDU ASS. 5.109</t>
  </si>
  <si>
    <t>VAV0285</t>
  </si>
  <si>
    <t>VP EDU SEC. 5.108</t>
  </si>
  <si>
    <t>VAV0286</t>
  </si>
  <si>
    <t>VP EDU SEC. 5.107</t>
  </si>
  <si>
    <t>VAV0287</t>
  </si>
  <si>
    <t>VAV0288</t>
  </si>
  <si>
    <t>VP EDU LOUNGE WAITING 5.104</t>
  </si>
  <si>
    <t>VAV0289</t>
  </si>
  <si>
    <t>VAV0290</t>
  </si>
  <si>
    <t>VP EDU OFFICERS 5.009</t>
  </si>
  <si>
    <t>VAV0291</t>
  </si>
  <si>
    <t>VP EDU OFFICERS 5.010</t>
  </si>
  <si>
    <t>VAV0292</t>
  </si>
  <si>
    <t>VP EDU ASSISTANT 5.011</t>
  </si>
  <si>
    <t>VAV0293</t>
  </si>
  <si>
    <t>VP EDU OFF. DIR ENSUIT 5.002</t>
  </si>
  <si>
    <t>VAV0294</t>
  </si>
  <si>
    <t>VP EDU SECRE. 5.003</t>
  </si>
  <si>
    <t>VAV0295</t>
  </si>
  <si>
    <t>VP EDU ASSISTANT 5.004</t>
  </si>
  <si>
    <t>VAV0296</t>
  </si>
  <si>
    <t>VP EDU OFFICERS 5.005</t>
  </si>
  <si>
    <t>VAV0297</t>
  </si>
  <si>
    <t>VP EDU OFFICERS 5.006</t>
  </si>
  <si>
    <t>VAV0298</t>
  </si>
  <si>
    <t>VP EDU ASSISTANT 5.007</t>
  </si>
  <si>
    <t>VAV0299</t>
  </si>
  <si>
    <t>VP EDU ASSISTANT 5.008</t>
  </si>
  <si>
    <t>VAV0300</t>
  </si>
  <si>
    <t>MEETING ROOM 5.102</t>
  </si>
  <si>
    <t>VAV0301</t>
  </si>
  <si>
    <t>VAV0302</t>
  </si>
  <si>
    <t>VP EDU SECRETARY 5.101</t>
  </si>
  <si>
    <t>VAV0303</t>
  </si>
  <si>
    <t>VP EDU ASSISTANT 5.001</t>
  </si>
  <si>
    <t>VAV0304</t>
  </si>
  <si>
    <t>VAV0305</t>
  </si>
  <si>
    <t>VP EDU MEMB. 5.201</t>
  </si>
  <si>
    <t>VAV0306</t>
  </si>
  <si>
    <t>VP EDU MEMB. 5.202</t>
  </si>
  <si>
    <t>VAV0307</t>
  </si>
  <si>
    <t>VP EDU MEMB. 5.203</t>
  </si>
  <si>
    <t>VAV0308</t>
  </si>
  <si>
    <t>VP EDU MEMB. 5.205</t>
  </si>
  <si>
    <t>VAV0309</t>
  </si>
  <si>
    <t>VAV0310</t>
  </si>
  <si>
    <t>VP EDU MEMB. 5.206</t>
  </si>
  <si>
    <t>VAV0311</t>
  </si>
  <si>
    <t>VP EDU MEMB. 5.207</t>
  </si>
  <si>
    <t>VAV0312</t>
  </si>
  <si>
    <t>VP EDU MEMB. 5.208</t>
  </si>
  <si>
    <t>VAV0313</t>
  </si>
  <si>
    <t>VP EDU MEMB. 5.209</t>
  </si>
  <si>
    <t>VAV0314</t>
  </si>
  <si>
    <t>VP EDU ENSUIT 5.210</t>
  </si>
  <si>
    <t>VAV0315</t>
  </si>
  <si>
    <t>VP EDU SEC. 5.211</t>
  </si>
  <si>
    <t>VAV0316</t>
  </si>
  <si>
    <t>VP EDU MEMB. 5.212</t>
  </si>
  <si>
    <t>VAV0317</t>
  </si>
  <si>
    <t>VP EDU DIR. ENSUIT 5.213</t>
  </si>
  <si>
    <t>VAV0318</t>
  </si>
  <si>
    <t>VAV0319</t>
  </si>
  <si>
    <t>VAV0320</t>
  </si>
  <si>
    <t>VAV0321</t>
  </si>
  <si>
    <t>VAV0322</t>
  </si>
  <si>
    <t>VP EDU OFF. 5.027</t>
  </si>
  <si>
    <t>VAV0323</t>
  </si>
  <si>
    <t>INT. AUDIT 06.012</t>
  </si>
  <si>
    <t>VAV0324</t>
  </si>
  <si>
    <t>INT. AUDIT SEC. 06.013</t>
  </si>
  <si>
    <t>VAV0325</t>
  </si>
  <si>
    <t>ACA. AUDIT 06.014</t>
  </si>
  <si>
    <t>VAV0326</t>
  </si>
  <si>
    <t>ACA. AUDIT 06.015</t>
  </si>
  <si>
    <t>VAV0327</t>
  </si>
  <si>
    <t>ACA. AUDIT 06.016</t>
  </si>
  <si>
    <t>VAV0328</t>
  </si>
  <si>
    <t>ACA. AUDIT 06.017</t>
  </si>
  <si>
    <t>VAV0329</t>
  </si>
  <si>
    <t>ACA. AUDIT 06.018</t>
  </si>
  <si>
    <t>VAV0330</t>
  </si>
  <si>
    <t>ACA. AUDIT 06.019</t>
  </si>
  <si>
    <t>VAV0331</t>
  </si>
  <si>
    <t>ACA. AUDIT 06.020</t>
  </si>
  <si>
    <t>VAV0332</t>
  </si>
  <si>
    <t>ACA. AUDIT SEC. 06.021</t>
  </si>
  <si>
    <t>VAV0333</t>
  </si>
  <si>
    <t>ACA. AUDIT SEC. 06.022</t>
  </si>
  <si>
    <t>VAV0334</t>
  </si>
  <si>
    <t>ACA. SEN. AUDIT 06.023</t>
  </si>
  <si>
    <t>VAV0335</t>
  </si>
  <si>
    <t>ACA. SEN. AUDIT 06.024</t>
  </si>
  <si>
    <t>VAV0336</t>
  </si>
  <si>
    <t>FACI. MANA. SEC. 06.025</t>
  </si>
  <si>
    <t>VAV0337</t>
  </si>
  <si>
    <t>FACILITY MANAG. DIR. ENSUIT 06.026</t>
  </si>
  <si>
    <t>VAV0338</t>
  </si>
  <si>
    <t>VP CAPITAL CONSUL. 06.027</t>
  </si>
  <si>
    <t>VAV0339</t>
  </si>
  <si>
    <t>VP CAPITAL CONSUL. 06.028</t>
  </si>
  <si>
    <t>VAV0340</t>
  </si>
  <si>
    <t>VAV0341</t>
  </si>
  <si>
    <t>VP CAPITAL WORK ASSIST 06.109</t>
  </si>
  <si>
    <t>VAV0342</t>
  </si>
  <si>
    <t>VP CAPITAL PROJ. COORD 06.108</t>
  </si>
  <si>
    <t>VAV0343</t>
  </si>
  <si>
    <t>VAV0344</t>
  </si>
  <si>
    <t>LOUNGE 06.105</t>
  </si>
  <si>
    <t>VAV0345</t>
  </si>
  <si>
    <t>VAV0346</t>
  </si>
  <si>
    <t>INT. AUDIT SUPP. AUDIT 06.009</t>
  </si>
  <si>
    <t>VAV0347</t>
  </si>
  <si>
    <t>INT. AUDIT SEC. 06.010</t>
  </si>
  <si>
    <t>VAV0348</t>
  </si>
  <si>
    <t>INT. AUDIT 06.011</t>
  </si>
  <si>
    <t>VAV0349</t>
  </si>
  <si>
    <t>INT. AUDIT ARCHIVE ROOM 06.002</t>
  </si>
  <si>
    <t>VAV0350</t>
  </si>
  <si>
    <t>INT. AUDIT SUPP. AUDIT 06.003</t>
  </si>
  <si>
    <t>VAV0351</t>
  </si>
  <si>
    <t>INT. AUDIT SUPP. AUDIT 06.004</t>
  </si>
  <si>
    <t>VAV0352</t>
  </si>
  <si>
    <t>INT. AUDIT SUPP. AUDIT 06.005</t>
  </si>
  <si>
    <t>VAV0353</t>
  </si>
  <si>
    <t>INT. AUDIT SUPP. AUDIT 06.006</t>
  </si>
  <si>
    <t>VAV0354</t>
  </si>
  <si>
    <t>INT. AUDIT SUPP. AUDIT 06.007</t>
  </si>
  <si>
    <t>VAV0355</t>
  </si>
  <si>
    <t>INT. AUDIT SUPP. AUDIT 06.008</t>
  </si>
  <si>
    <t>VAV0356</t>
  </si>
  <si>
    <t>OFFICE SPACE 06.103</t>
  </si>
  <si>
    <t>VAV0357</t>
  </si>
  <si>
    <t>OFFICE SPACE 06.102</t>
  </si>
  <si>
    <t>VAV0358</t>
  </si>
  <si>
    <t>OFFICE SPACE 06.101</t>
  </si>
  <si>
    <t>VAV0359</t>
  </si>
  <si>
    <t>AUDIT ARCHIVE 06.001</t>
  </si>
  <si>
    <t>VAV0360</t>
  </si>
  <si>
    <t>VAV0361</t>
  </si>
  <si>
    <t>VP CAPITAL PROJ. MANAGER 06.201</t>
  </si>
  <si>
    <t>VAV0362</t>
  </si>
  <si>
    <t>VP CAPITAL PROJ. MANAGER 06.202</t>
  </si>
  <si>
    <t>VAV0363</t>
  </si>
  <si>
    <t>VP CAPITAL PROJ. MANAGER 06.204</t>
  </si>
  <si>
    <t>VAV0364</t>
  </si>
  <si>
    <t>VP CAPITAL CONSU. 06.205</t>
  </si>
  <si>
    <t>VAV0365</t>
  </si>
  <si>
    <t>VP CAPITAL STORAGE 06.206</t>
  </si>
  <si>
    <t>VAV0366</t>
  </si>
  <si>
    <t>VP CAPITAL SEC. 06.207</t>
  </si>
  <si>
    <t>VAV0367</t>
  </si>
  <si>
    <t>VP CAPITAL ENSUIT 06.209</t>
  </si>
  <si>
    <t>VAV0368</t>
  </si>
  <si>
    <t>VP CAPITAL SEC. 06.210</t>
  </si>
  <si>
    <t>VAV0369</t>
  </si>
  <si>
    <t>VP CAPITAL SEC. 06.211</t>
  </si>
  <si>
    <t>VAV0370</t>
  </si>
  <si>
    <t>VP CAPITAL DIR. ENSUIT 06.212</t>
  </si>
  <si>
    <t>VAV0371</t>
  </si>
  <si>
    <t>VAV0372</t>
  </si>
  <si>
    <t>VAV0373</t>
  </si>
  <si>
    <t>CA ENSUIT 7.017</t>
  </si>
  <si>
    <t>VAV0374</t>
  </si>
  <si>
    <t>CA SEC. 7.018</t>
  </si>
  <si>
    <t>VAV0375</t>
  </si>
  <si>
    <t>BD UNIT SEC. 7.019</t>
  </si>
  <si>
    <t>VAV0376</t>
  </si>
  <si>
    <t>BD UNIT EXECU. 7.020</t>
  </si>
  <si>
    <t>VAV0377</t>
  </si>
  <si>
    <t>BD UNIT EXECU. 7.021</t>
  </si>
  <si>
    <t>VAV0378</t>
  </si>
  <si>
    <t>BD UNIT EXECU. 7.022</t>
  </si>
  <si>
    <t>VAV0379</t>
  </si>
  <si>
    <t>BD UNIT EXECU. 7.023</t>
  </si>
  <si>
    <t>VAV0380</t>
  </si>
  <si>
    <t>BD UNIT EXECU. 7.024</t>
  </si>
  <si>
    <t>VAV0381</t>
  </si>
  <si>
    <t>BD UNIT EXECU. 7.025</t>
  </si>
  <si>
    <t>VAV0382</t>
  </si>
  <si>
    <t>BD UNIT EXECU. 7.026</t>
  </si>
  <si>
    <t>VAV0383</t>
  </si>
  <si>
    <t>BD UNIT EXECU. 7.027</t>
  </si>
  <si>
    <t>VAV0384</t>
  </si>
  <si>
    <t>BD UNIT EXECU. 7.028</t>
  </si>
  <si>
    <t>VAV0385</t>
  </si>
  <si>
    <t>MEETING ROOM 7.029</t>
  </si>
  <si>
    <t>VAV0386</t>
  </si>
  <si>
    <t>VAV0387</t>
  </si>
  <si>
    <t>OFFICE SPACE 7.030</t>
  </si>
  <si>
    <t>VAV0388</t>
  </si>
  <si>
    <t>OFFICE SPACE 7.031A</t>
  </si>
  <si>
    <t>VAV0389</t>
  </si>
  <si>
    <t>VAV0390</t>
  </si>
  <si>
    <t>VAV0391</t>
  </si>
  <si>
    <t>OFFICE SPACE 7.032</t>
  </si>
  <si>
    <t>VAV0392</t>
  </si>
  <si>
    <t>VAV0393</t>
  </si>
  <si>
    <t>LOUNGE 7.106</t>
  </si>
  <si>
    <t>VAV0394</t>
  </si>
  <si>
    <t>CA SECRETARY 7.105</t>
  </si>
  <si>
    <t>VAV0395</t>
  </si>
  <si>
    <t>CA SECRETARY 7.103</t>
  </si>
  <si>
    <t>VAV0396</t>
  </si>
  <si>
    <t>CA SECRETARY 7.102</t>
  </si>
  <si>
    <t>VAV0397</t>
  </si>
  <si>
    <t>DOC. UNIT EMPLOYEE 07.001</t>
  </si>
  <si>
    <t>VAV0398</t>
  </si>
  <si>
    <t>DOC. UNIT MULTIMEDIA STUDIO 07.002</t>
  </si>
  <si>
    <t>VAV0399</t>
  </si>
  <si>
    <t>VAV0400</t>
  </si>
  <si>
    <t>VAV0401</t>
  </si>
  <si>
    <t>DOC. UNIT EMPLOYEE 7.003</t>
  </si>
  <si>
    <t>VAV0402</t>
  </si>
  <si>
    <t>DOC. UNIT EMPLOYEE 7.004</t>
  </si>
  <si>
    <t>VAV0403</t>
  </si>
  <si>
    <t>DOC. UNIT EMPLOYEE 7.005</t>
  </si>
  <si>
    <t>VAV0404</t>
  </si>
  <si>
    <t>DOC. UNIT EMPLOYEE 7.006</t>
  </si>
  <si>
    <t>VAV0405</t>
  </si>
  <si>
    <t>CA COORD 7.007</t>
  </si>
  <si>
    <t>VAV0406</t>
  </si>
  <si>
    <t>CA COORD 7.008</t>
  </si>
  <si>
    <t>VAV0407</t>
  </si>
  <si>
    <t>CA COORD 7.009</t>
  </si>
  <si>
    <t>VAV0408</t>
  </si>
  <si>
    <t>CA COORD 7.010</t>
  </si>
  <si>
    <t>VAV0409</t>
  </si>
  <si>
    <t>CA COORD 7.011</t>
  </si>
  <si>
    <t>VAV0410</t>
  </si>
  <si>
    <t>CA COORD 7.012</t>
  </si>
  <si>
    <t>VAV0411</t>
  </si>
  <si>
    <t>CA COORD 7.013</t>
  </si>
  <si>
    <t>VAV0412</t>
  </si>
  <si>
    <t>CA COORD 7.014</t>
  </si>
  <si>
    <t>VAV0413</t>
  </si>
  <si>
    <t>CA COORD 7.015</t>
  </si>
  <si>
    <t>VAV0414</t>
  </si>
  <si>
    <t>CA COORD 7.016</t>
  </si>
  <si>
    <t>VAV0415</t>
  </si>
  <si>
    <t>CONSULTANT SPACE 7.201</t>
  </si>
  <si>
    <t>VAV0416</t>
  </si>
  <si>
    <t>PRE. EXEC. OFFICE 7.202</t>
  </si>
  <si>
    <t>VAV0417</t>
  </si>
  <si>
    <t>PRE. EXEC. OFFICE 7.204</t>
  </si>
  <si>
    <t>VAV0418</t>
  </si>
  <si>
    <t>VAV0419</t>
  </si>
  <si>
    <t>PRE. EXEC. OFFICE 7.205</t>
  </si>
  <si>
    <t>VAV0420</t>
  </si>
  <si>
    <t>VAV0421</t>
  </si>
  <si>
    <t>PRESIDENT SUPP. SEC. 7.208</t>
  </si>
  <si>
    <t>VAV0422</t>
  </si>
  <si>
    <t>E-TOWER CORRIDOR 7.603</t>
  </si>
  <si>
    <t>VAV0423</t>
  </si>
  <si>
    <t>PRESIDENT EXEC. SEC. 7.209</t>
  </si>
  <si>
    <t>VAV0424</t>
  </si>
  <si>
    <t>PRESIDENT EXEC. SEC. 7.210</t>
  </si>
  <si>
    <t>VAV0425</t>
  </si>
  <si>
    <t>PRESIDENT ENSUIT 7.211</t>
  </si>
  <si>
    <t>VAV0426</t>
  </si>
  <si>
    <t>PRESIDENT MEETING ROOM 7.212</t>
  </si>
  <si>
    <t>VAV0427</t>
  </si>
  <si>
    <t>VICE CHAIRPERSON ENSULT 7.213</t>
  </si>
  <si>
    <t>VAV0428</t>
  </si>
  <si>
    <t>VICE CHAIRPERSON SEC. 7.214</t>
  </si>
  <si>
    <t>VAV0429</t>
  </si>
  <si>
    <t>MEETING ROOM 7.215</t>
  </si>
  <si>
    <t>VAV0430</t>
  </si>
  <si>
    <t>MEETING ROOM 7.301</t>
  </si>
  <si>
    <t>VAV0431</t>
  </si>
  <si>
    <t>VAV0432</t>
  </si>
  <si>
    <t>VAV0433</t>
  </si>
  <si>
    <t>OBSERVATION SPACE 8.001</t>
  </si>
  <si>
    <t>VAV0434</t>
  </si>
  <si>
    <t>VAV0435</t>
  </si>
  <si>
    <t>VAV0436</t>
  </si>
  <si>
    <t>VAV0437</t>
  </si>
  <si>
    <t>VAV0438</t>
  </si>
  <si>
    <t>VISITORS CENTER OFFICE 8.002</t>
  </si>
  <si>
    <t>VAV0439</t>
  </si>
  <si>
    <t>VISITORS CENTER CORRIDOR 8.602</t>
  </si>
  <si>
    <t>VAV0440</t>
  </si>
  <si>
    <t>VAV0441</t>
  </si>
  <si>
    <t>VAV0442</t>
  </si>
  <si>
    <t>VAV0443</t>
  </si>
  <si>
    <t>VAV0444</t>
  </si>
  <si>
    <t>BMO EXEC. ASSIST. 9.011</t>
  </si>
  <si>
    <t>VAV0445</t>
  </si>
  <si>
    <t>BMO EXEC. ASSIST. 9.012</t>
  </si>
  <si>
    <t>VAV0446</t>
  </si>
  <si>
    <t>BMO EXEC. ASSIST. 9.013</t>
  </si>
  <si>
    <t>VAV0447</t>
  </si>
  <si>
    <t>BMO EXEC. ASSIST. 9.014</t>
  </si>
  <si>
    <t>VAV0448</t>
  </si>
  <si>
    <t>BMO EXEC. ASSIST. 9.015</t>
  </si>
  <si>
    <t>VAV0449</t>
  </si>
  <si>
    <t>BMO EXEC. ASSIST. 9.016</t>
  </si>
  <si>
    <t>VAV0450</t>
  </si>
  <si>
    <t>BMO EXEC. ASSIST. 9.017</t>
  </si>
  <si>
    <t>VAV0451</t>
  </si>
  <si>
    <t>BMO EXEC. SEC. 9.018</t>
  </si>
  <si>
    <t>VAV0452</t>
  </si>
  <si>
    <t>BMO EXEC. SEC. 9.019</t>
  </si>
  <si>
    <t>VAV0453</t>
  </si>
  <si>
    <t>BMO EXEC. SEC. 9.020</t>
  </si>
  <si>
    <t>VAV0454</t>
  </si>
  <si>
    <t>BMO OPER. DIR. ENSUIT 9.021</t>
  </si>
  <si>
    <t>VAV0455</t>
  </si>
  <si>
    <t>BMO EXEC. ASSIST. 9.022</t>
  </si>
  <si>
    <t>VAV0456</t>
  </si>
  <si>
    <t>BMO EXEC. SEC. 9.023</t>
  </si>
  <si>
    <t>VAV0457</t>
  </si>
  <si>
    <t>BMO EXEC. SEC. 9.024</t>
  </si>
  <si>
    <t>VAV0458</t>
  </si>
  <si>
    <t>BMO EXEC. SEC. 9.025</t>
  </si>
  <si>
    <t>VAV0459</t>
  </si>
  <si>
    <t>VAV0460</t>
  </si>
  <si>
    <t>BMO SUPP. SEC. 9.026</t>
  </si>
  <si>
    <t>VAV0461</t>
  </si>
  <si>
    <t>BMO SUPP. SEC. 9.027</t>
  </si>
  <si>
    <t>VAV0462</t>
  </si>
  <si>
    <t>BMO SUPP. SEC. 9.028</t>
  </si>
  <si>
    <t>VAV0463</t>
  </si>
  <si>
    <t>BMO SUPP. SEC. 9.029</t>
  </si>
  <si>
    <t>VAV0464</t>
  </si>
  <si>
    <t>BMO SUPP. SEC. 9.030</t>
  </si>
  <si>
    <t>VAV0465</t>
  </si>
  <si>
    <t>BMO PRINT COPY 9.031</t>
  </si>
  <si>
    <t>VAV0466</t>
  </si>
  <si>
    <t>BMO STORAGE 9.032</t>
  </si>
  <si>
    <t>VAV0467</t>
  </si>
  <si>
    <t>HR EDU. ADV. ENSUIT 9.033</t>
  </si>
  <si>
    <t>VAV0468</t>
  </si>
  <si>
    <t>HR EDU. ADV. ENSUIT 9.034</t>
  </si>
  <si>
    <t>VAV0469</t>
  </si>
  <si>
    <t>HR EDU. ADV. ENSUIT 9.035</t>
  </si>
  <si>
    <t>VAV0470</t>
  </si>
  <si>
    <t>BOD EXECUTIVE 9.036</t>
  </si>
  <si>
    <t>VAV0471</t>
  </si>
  <si>
    <t>BOD SEC. 9.037</t>
  </si>
  <si>
    <t>VAV0472</t>
  </si>
  <si>
    <t>BOD EXECUTIVE 9.038</t>
  </si>
  <si>
    <t>VAV0473</t>
  </si>
  <si>
    <t>VAV0474</t>
  </si>
  <si>
    <t>VAV0475</t>
  </si>
  <si>
    <t>MEETING ROOM 9.039</t>
  </si>
  <si>
    <t>VAV0476</t>
  </si>
  <si>
    <t>BMO SAFE 9.040</t>
  </si>
  <si>
    <t>VAV0477</t>
  </si>
  <si>
    <t>BMO ARCHIVE ROOM 9.041</t>
  </si>
  <si>
    <t>VAV0478</t>
  </si>
  <si>
    <t>VAV0479</t>
  </si>
  <si>
    <t>LEGAL ARCHIVE 9.001</t>
  </si>
  <si>
    <t>VAV0480</t>
  </si>
  <si>
    <t>LEGAL CONSULE 9.002</t>
  </si>
  <si>
    <t>VAV0481</t>
  </si>
  <si>
    <t>LEGAL CONSULE 9.003</t>
  </si>
  <si>
    <t>VAV0482</t>
  </si>
  <si>
    <t>LEGAL CONSULE 9.004</t>
  </si>
  <si>
    <t>VAV0483</t>
  </si>
  <si>
    <t>LEGAL CONSULE 9.005</t>
  </si>
  <si>
    <t>VAV0484</t>
  </si>
  <si>
    <t>LEGAL CONSULE 9.006</t>
  </si>
  <si>
    <t>VAV0485</t>
  </si>
  <si>
    <t>LEGAL CONSULE 9.007</t>
  </si>
  <si>
    <t>VAV0486</t>
  </si>
  <si>
    <t>LEGAL SUP. SEC. 9.008</t>
  </si>
  <si>
    <t>VAV0487</t>
  </si>
  <si>
    <t>LEGAL SUP. SEC. 9.009</t>
  </si>
  <si>
    <t>VAV0488</t>
  </si>
  <si>
    <t>LEGAL ADV. ENSUIT 9.010</t>
  </si>
  <si>
    <t>VAV0489</t>
  </si>
  <si>
    <t>LOUNGE 9.105</t>
  </si>
  <si>
    <t>VAV0490</t>
  </si>
  <si>
    <t>BMO WAITING AREA 9.104</t>
  </si>
  <si>
    <t>VAV0491</t>
  </si>
  <si>
    <t>NORTH WEST TOILETS 9.403</t>
  </si>
  <si>
    <t>VAV0492</t>
  </si>
  <si>
    <t>VAV0493</t>
  </si>
  <si>
    <t>SHEIKA WING DINING AREA 9.110</t>
  </si>
  <si>
    <t>VAV0494</t>
  </si>
  <si>
    <t>VAV0495</t>
  </si>
  <si>
    <t>SOUTH EAST CORRIDOR 9.11</t>
  </si>
  <si>
    <t>VAV0496</t>
  </si>
  <si>
    <t>KITCHEN 9.108</t>
  </si>
  <si>
    <t>VAV0497</t>
  </si>
  <si>
    <t>VAV0498</t>
  </si>
  <si>
    <t>ARCHIVE 10.005</t>
  </si>
  <si>
    <t>VAV0499</t>
  </si>
  <si>
    <t>EXEC. DIR. ARCH. COORD 10.006</t>
  </si>
  <si>
    <t>VAV0500</t>
  </si>
  <si>
    <t>EXEC. DIR. PROT. ASSIS. 10.007</t>
  </si>
  <si>
    <t>VAV0501</t>
  </si>
  <si>
    <t>SCHED OFFICER 10.008</t>
  </si>
  <si>
    <t>VAV0502</t>
  </si>
  <si>
    <t>CEREM. OFFICER 10.009</t>
  </si>
  <si>
    <t>VAV0503</t>
  </si>
  <si>
    <t>CEREM. OFFICER 10.010</t>
  </si>
  <si>
    <t>VAV0504</t>
  </si>
  <si>
    <t>CEREM. OFFICER 10.011</t>
  </si>
  <si>
    <t>VAV0505</t>
  </si>
  <si>
    <t>TR. &amp; VIS. OFFICER 10.012</t>
  </si>
  <si>
    <t>VAV0506</t>
  </si>
  <si>
    <t>TR. &amp; VIS. OFFICER 10.013</t>
  </si>
  <si>
    <t>VAV0507</t>
  </si>
  <si>
    <t>SCHED OFFICER 10.015</t>
  </si>
  <si>
    <t>VAV0508</t>
  </si>
  <si>
    <t>PLANNING ANALYST 10.016</t>
  </si>
  <si>
    <t>VAV0509</t>
  </si>
  <si>
    <t>STRAT. PLANNER 10.017</t>
  </si>
  <si>
    <t>VAV0510</t>
  </si>
  <si>
    <t>PLANNING DIR. EXT. COORD 10.018</t>
  </si>
  <si>
    <t>VAV0511</t>
  </si>
  <si>
    <t>SEN. POLICY ANALYST 10.019</t>
  </si>
  <si>
    <t>VAV0512</t>
  </si>
  <si>
    <t>SEN. RESEARCH ANALYST 10.020</t>
  </si>
  <si>
    <t>VAV0513</t>
  </si>
  <si>
    <t>RESEARCH ANALYST 10.021</t>
  </si>
  <si>
    <t>VAV0514</t>
  </si>
  <si>
    <t>RESEARCH ANALYST 10.022</t>
  </si>
  <si>
    <t>VAV0515</t>
  </si>
  <si>
    <t>HR OFFICER 10.023</t>
  </si>
  <si>
    <t>VAV0516</t>
  </si>
  <si>
    <t>HR ASSISTANT 10.024</t>
  </si>
  <si>
    <t>VAV0517</t>
  </si>
  <si>
    <t>PROCUR. REPRESENT 10.025</t>
  </si>
  <si>
    <t>VAV0518</t>
  </si>
  <si>
    <t>SERVICE COORD 10.026</t>
  </si>
  <si>
    <t>VAV0519</t>
  </si>
  <si>
    <t>SERV. SUPERVISOR 10.027</t>
  </si>
  <si>
    <t>VAV0520</t>
  </si>
  <si>
    <t>FINANCE CONTROL 10.028</t>
  </si>
  <si>
    <t>VAV0521</t>
  </si>
  <si>
    <t>SERV. DIR. TR. &amp; GU. SERV. 10.029</t>
  </si>
  <si>
    <t>VAV0522</t>
  </si>
  <si>
    <t>VAV0523</t>
  </si>
  <si>
    <t>COMM. DIR. DESIG. 10.031</t>
  </si>
  <si>
    <t>VAV0524</t>
  </si>
  <si>
    <t>COMM. DIR. EDITOR 10.032</t>
  </si>
  <si>
    <t>VAV0525</t>
  </si>
  <si>
    <t>COMM. DIR. TRANSLTOR 10.033</t>
  </si>
  <si>
    <t>VAV0526</t>
  </si>
  <si>
    <t>COMM. DIR. COORD 10.034</t>
  </si>
  <si>
    <t>VAV0527</t>
  </si>
  <si>
    <t>SUPP. OFFICER 10.035</t>
  </si>
  <si>
    <t>VAV0528</t>
  </si>
  <si>
    <t>SH. SERV. DIR. ACCOUNUT. 10.036</t>
  </si>
  <si>
    <t>VAV0529</t>
  </si>
  <si>
    <t>SH. SERV. DIR. SR. ACCOUNT. 10.037</t>
  </si>
  <si>
    <t>VAV0530</t>
  </si>
  <si>
    <t>SHEIKHA WING STORAGE 10.001</t>
  </si>
  <si>
    <t>VAV0531</t>
  </si>
  <si>
    <t>VAV0532</t>
  </si>
  <si>
    <t>VAV0533</t>
  </si>
  <si>
    <t>BOARD ROOM WAITING 10.003</t>
  </si>
  <si>
    <t>VAV0534</t>
  </si>
  <si>
    <t>VAV0535</t>
  </si>
  <si>
    <t>ARCHIVE COORD 10.004</t>
  </si>
  <si>
    <t>VAV0536</t>
  </si>
  <si>
    <t>LOUNGE 10.106</t>
  </si>
  <si>
    <t>VAV0537</t>
  </si>
  <si>
    <t>NW LOUNGE 10.106</t>
  </si>
  <si>
    <t>VAV0538</t>
  </si>
  <si>
    <t>BOARD PREP. ROOM 10.109</t>
  </si>
  <si>
    <t>VAV0539</t>
  </si>
  <si>
    <t>CONSULTANT SPACE 10.101</t>
  </si>
  <si>
    <t>VAV0540</t>
  </si>
  <si>
    <t>VAV0541</t>
  </si>
  <si>
    <t>AV ROOM 10.112</t>
  </si>
  <si>
    <t>VAV0542</t>
  </si>
  <si>
    <t>VAV0543</t>
  </si>
  <si>
    <t>VAV0544</t>
  </si>
  <si>
    <t>VAV0545</t>
  </si>
  <si>
    <t>VAV0546</t>
  </si>
  <si>
    <t>VAV0547</t>
  </si>
  <si>
    <t>SHEIKHA WING MULTIPURPOSE ROOM 10.102</t>
  </si>
  <si>
    <t>VAV0548</t>
  </si>
  <si>
    <t>OFFICE SPACE 10.002E</t>
  </si>
  <si>
    <t>VAV0549</t>
  </si>
  <si>
    <t>OFFICE SPACE 10.002D</t>
  </si>
  <si>
    <t>VAV0550</t>
  </si>
  <si>
    <t>OFFICE SPACE 10.002C</t>
  </si>
  <si>
    <t>VAV0551</t>
  </si>
  <si>
    <t>OFFICE SPACE 10.002A</t>
  </si>
  <si>
    <t>VAV0552</t>
  </si>
  <si>
    <t>PLANNING DIR. 11.012</t>
  </si>
  <si>
    <t>VAV0553</t>
  </si>
  <si>
    <t>EXEC. DIR. CORR. 11.013</t>
  </si>
  <si>
    <t>VAV0554</t>
  </si>
  <si>
    <t>EXEC. DIR. CORR. MANAGER 11.014</t>
  </si>
  <si>
    <t>VAV0555</t>
  </si>
  <si>
    <t>EXEC. DIR. CORR. 11.015</t>
  </si>
  <si>
    <t>VAV0556</t>
  </si>
  <si>
    <t>LEGAL ASSIST. 11.016</t>
  </si>
  <si>
    <t>VAV0557</t>
  </si>
  <si>
    <t>LEGAL ADVISOR 11.017</t>
  </si>
  <si>
    <t>VAV0558</t>
  </si>
  <si>
    <t>VAV0559</t>
  </si>
  <si>
    <t>LEGAL ADVISOR 11.018</t>
  </si>
  <si>
    <t>VAV0560</t>
  </si>
  <si>
    <t>DEP. EXEC. DIRECTOR 11.019</t>
  </si>
  <si>
    <t>VAV0561</t>
  </si>
  <si>
    <t>EXEC. ASSI. 11.020</t>
  </si>
  <si>
    <t>VAV0562</t>
  </si>
  <si>
    <t>EXEC. DIRECTOR 11.021</t>
  </si>
  <si>
    <t>VAV0564</t>
  </si>
  <si>
    <t>SHEIKHA WING WAITING ROOM 11.022</t>
  </si>
  <si>
    <t>VAV0565</t>
  </si>
  <si>
    <t>VAV0567</t>
  </si>
  <si>
    <t>SECURITY ROOM 11.023</t>
  </si>
  <si>
    <t>VAV0568</t>
  </si>
  <si>
    <t>COMMUNICATION DIR. 11.001</t>
  </si>
  <si>
    <t>VAV0570</t>
  </si>
  <si>
    <t>MED. REL. OFFICER 11.002</t>
  </si>
  <si>
    <t>VAV0571</t>
  </si>
  <si>
    <t>DIR. SHARED SERVICES 11.003</t>
  </si>
  <si>
    <t>VAV0573</t>
  </si>
  <si>
    <t>ADM. ASSI. 11.004</t>
  </si>
  <si>
    <t>VAV0574</t>
  </si>
  <si>
    <t>PROTOCOL DIR. 11.005</t>
  </si>
  <si>
    <t>VAV0575</t>
  </si>
  <si>
    <t>GIFT DIR. 11.006</t>
  </si>
  <si>
    <t>VAV0576</t>
  </si>
  <si>
    <t>EXEC. DIR. CONSULTANT 11.008</t>
  </si>
  <si>
    <t>VAV0577</t>
  </si>
  <si>
    <t>SEC. 11.009</t>
  </si>
  <si>
    <t>VAV0578</t>
  </si>
  <si>
    <t>DIR. OF POL. &amp; RES. 11.010</t>
  </si>
  <si>
    <t>VAV0579</t>
  </si>
  <si>
    <t>SECRETARY 11.011</t>
  </si>
  <si>
    <t>VAV0580</t>
  </si>
  <si>
    <t>SHEIKHA WING BUSINESS LOUNGE 11.103</t>
  </si>
  <si>
    <t>VAV0581</t>
  </si>
  <si>
    <t>VAV0582</t>
  </si>
  <si>
    <t>SHEIKHA WING LOBBY 11.201</t>
  </si>
  <si>
    <t>VAV0583</t>
  </si>
  <si>
    <t>VAV0584</t>
  </si>
  <si>
    <t>SHEIKHA WING SHEIKHA ENSUIT 11.202</t>
  </si>
  <si>
    <t>VAV0585</t>
  </si>
  <si>
    <t>VAV0586</t>
  </si>
  <si>
    <t>VAV0587</t>
  </si>
  <si>
    <t>VAV0588</t>
  </si>
  <si>
    <t>SHEIKHA WING RELAX AREA 11.203</t>
  </si>
  <si>
    <t>VAV0589</t>
  </si>
  <si>
    <t>VAV0590</t>
  </si>
  <si>
    <t>SHEIKHA WING MEETING ROOM 11.204</t>
  </si>
  <si>
    <t>VAV0591</t>
  </si>
  <si>
    <t>VAV0592</t>
  </si>
  <si>
    <t>VISITORS CENTER 08</t>
  </si>
  <si>
    <t>VAV0593</t>
  </si>
  <si>
    <t>VAV0594</t>
  </si>
  <si>
    <t>VAV0595</t>
  </si>
  <si>
    <t>ROOM B.109</t>
  </si>
  <si>
    <t>VAV0596</t>
  </si>
  <si>
    <t>OFFICE SPACE 04.015B</t>
  </si>
  <si>
    <t>VAV0597</t>
  </si>
  <si>
    <t>OFFICE SPACE 04.001A</t>
  </si>
  <si>
    <t>VAV0598</t>
  </si>
  <si>
    <t>OFFICE SPACE 04.001E</t>
  </si>
  <si>
    <t>VAV0599</t>
  </si>
  <si>
    <t>OFFICE SPACE 04.001C</t>
  </si>
  <si>
    <t>VAV0600</t>
  </si>
  <si>
    <t>OFFICE SPACE 04.001H</t>
  </si>
  <si>
    <t>VAV0601</t>
  </si>
  <si>
    <t>OFFICE SPACE 10.002B</t>
  </si>
  <si>
    <t>VAV0602</t>
  </si>
  <si>
    <t>EXEC. DIR. CONSULTANT 11.007</t>
  </si>
  <si>
    <t>VAV0603</t>
  </si>
  <si>
    <t>VAV0604</t>
  </si>
  <si>
    <t>VAV0605</t>
  </si>
  <si>
    <t>HH WING BUSINESS LOUNGE 11.102</t>
  </si>
  <si>
    <t>VAV0606</t>
  </si>
  <si>
    <t>VAV0607</t>
  </si>
  <si>
    <t>PR &amp; MARKET STAFF G.013</t>
  </si>
  <si>
    <t>VAV0608</t>
  </si>
  <si>
    <t>TOILET G.405</t>
  </si>
  <si>
    <t>VAV/12/01</t>
  </si>
  <si>
    <t>SHEIKHA WING SHEIKHA ENSUIT 12.201</t>
  </si>
  <si>
    <t>VAV/12/02</t>
  </si>
  <si>
    <t>VAV/12/03</t>
  </si>
  <si>
    <t>VAV/12/04</t>
  </si>
  <si>
    <t>VAV/12/05</t>
  </si>
  <si>
    <t>VAV/12/06</t>
  </si>
  <si>
    <t>VAV/12/07</t>
  </si>
  <si>
    <t>SHEIKHA WING RELAX AREA 12.203</t>
  </si>
  <si>
    <t>VAV/12/08</t>
  </si>
  <si>
    <t>VAV/12/09</t>
  </si>
  <si>
    <t>SHEIKHA WING RELAX AREA 12.204</t>
  </si>
  <si>
    <t>VAV/12/10</t>
  </si>
  <si>
    <t>VAV/12/11</t>
  </si>
  <si>
    <t>VAV/12/12</t>
  </si>
  <si>
    <t>VAV/12/13</t>
  </si>
  <si>
    <t>QNL</t>
  </si>
  <si>
    <t>AHUB001</t>
  </si>
  <si>
    <t>Basement Level Zone 4 Plant Room 4 B.220</t>
  </si>
  <si>
    <t>AHUB002</t>
  </si>
  <si>
    <t>Basement Level Zone 1 Plant Room 1 B.063</t>
  </si>
  <si>
    <t>AHUB003</t>
  </si>
  <si>
    <t>Basement Level Zone 1 Plant Room 2 B.070</t>
  </si>
  <si>
    <t>AHUB004</t>
  </si>
  <si>
    <t>Basement Level Zone 2 Plant Room 3 B.110</t>
  </si>
  <si>
    <t>AHUB005</t>
  </si>
  <si>
    <t>AHUB006</t>
  </si>
  <si>
    <t>AHUB007</t>
  </si>
  <si>
    <t>AHUB008</t>
  </si>
  <si>
    <t>AHUB009</t>
  </si>
  <si>
    <t>AHUB010</t>
  </si>
  <si>
    <t>AHUB011</t>
  </si>
  <si>
    <t>AHUB012</t>
  </si>
  <si>
    <t>AHUB013</t>
  </si>
  <si>
    <t>AHUB014</t>
  </si>
  <si>
    <t>AHUB015</t>
  </si>
  <si>
    <t>FCU_1F_001</t>
  </si>
  <si>
    <t>FCU_1F_002</t>
  </si>
  <si>
    <t>ICT Room 02 L1.030</t>
  </si>
  <si>
    <t>FCU_1F_003</t>
  </si>
  <si>
    <t>IDF Room 02 L1.099</t>
  </si>
  <si>
    <t>FCU_1F_004</t>
  </si>
  <si>
    <t>FCU_1F_005</t>
  </si>
  <si>
    <t>FCU_1F_006</t>
  </si>
  <si>
    <t>FCU_1F_007</t>
  </si>
  <si>
    <t>FCU_1F_008</t>
  </si>
  <si>
    <t>FCU_1F_009</t>
  </si>
  <si>
    <t>FCU_1F_010</t>
  </si>
  <si>
    <t>FCU_1F_011</t>
  </si>
  <si>
    <t>FCU_1F_012</t>
  </si>
  <si>
    <t>FCU_1F_013</t>
  </si>
  <si>
    <t>FCU_1F_014</t>
  </si>
  <si>
    <t>FCU_1F_015</t>
  </si>
  <si>
    <t>FCU_1F_016</t>
  </si>
  <si>
    <t>FCU_1F_017</t>
  </si>
  <si>
    <t>FCU_1F_018</t>
  </si>
  <si>
    <t>FCU_1F_019</t>
  </si>
  <si>
    <t>FCU_1F_020</t>
  </si>
  <si>
    <t>FCU_1F_021</t>
  </si>
  <si>
    <t>FCU_1F_022</t>
  </si>
  <si>
    <t>FCU_1F_023</t>
  </si>
  <si>
    <t>FCU_1F_024</t>
  </si>
  <si>
    <t>FCU_1F_025</t>
  </si>
  <si>
    <t>FCU_1F_026</t>
  </si>
  <si>
    <t>FCU_1F_027</t>
  </si>
  <si>
    <t>FCU_1F_028</t>
  </si>
  <si>
    <t>FCU_1F_029</t>
  </si>
  <si>
    <t>FCU_1F_030</t>
  </si>
  <si>
    <t>FCU_1F_031</t>
  </si>
  <si>
    <t>FCU_1F_032</t>
  </si>
  <si>
    <t>FCU_1F_033</t>
  </si>
  <si>
    <t>FCU_1F_034</t>
  </si>
  <si>
    <t>FCU_1F_035</t>
  </si>
  <si>
    <t>FCU_1F_036</t>
  </si>
  <si>
    <t>FCU_1F_037</t>
  </si>
  <si>
    <t>FCU_1F_038</t>
  </si>
  <si>
    <t>FCU_1F_039</t>
  </si>
  <si>
    <t>FCU_1F_040</t>
  </si>
  <si>
    <t>FCU_1F_041</t>
  </si>
  <si>
    <t>FCU_1F_042</t>
  </si>
  <si>
    <t>FCU_1F_043</t>
  </si>
  <si>
    <t>FCU_1F_044</t>
  </si>
  <si>
    <t>FCU_1F_045</t>
  </si>
  <si>
    <t>FCU_1F_046</t>
  </si>
  <si>
    <t>FCU_1F_047</t>
  </si>
  <si>
    <t>FCU_1F_048</t>
  </si>
  <si>
    <t>FCU_1F_049</t>
  </si>
  <si>
    <t>FCU_1F_050</t>
  </si>
  <si>
    <t>FCU_1F_051</t>
  </si>
  <si>
    <t>FCU_1F_052</t>
  </si>
  <si>
    <t>FCU_1F_053</t>
  </si>
  <si>
    <t>FCU_1F_054</t>
  </si>
  <si>
    <t>FCU_1F_055</t>
  </si>
  <si>
    <t>VESTIBULE L1</t>
  </si>
  <si>
    <t>FCU_1F_056</t>
  </si>
  <si>
    <t>External Book Drop L1</t>
  </si>
  <si>
    <t>FCU_1F_057</t>
  </si>
  <si>
    <t>FCU_1F_058</t>
  </si>
  <si>
    <t>FCU_1F_059</t>
  </si>
  <si>
    <t>Restaurant L1.150</t>
  </si>
  <si>
    <t>FCU_1F_060</t>
  </si>
  <si>
    <t>FCU_1F_061</t>
  </si>
  <si>
    <t>FCU_1F_062</t>
  </si>
  <si>
    <t>FCU_1F_063</t>
  </si>
  <si>
    <t>FCU_1F_064</t>
  </si>
  <si>
    <t>FCU_1F_065</t>
  </si>
  <si>
    <t>FCU_2F_001</t>
  </si>
  <si>
    <t>FCU_2F_002</t>
  </si>
  <si>
    <t>FCU_2F_003</t>
  </si>
  <si>
    <t>FCU_2F_004</t>
  </si>
  <si>
    <t>FCU_2F_005</t>
  </si>
  <si>
    <t>MDF Room L2.009</t>
  </si>
  <si>
    <t>FCU_2F_034</t>
  </si>
  <si>
    <t>Auditorium High Levlel in Ceiling Void L2.087</t>
  </si>
  <si>
    <t>FCU_2F_035</t>
  </si>
  <si>
    <t>FCU_2F_036</t>
  </si>
  <si>
    <t>FCU_2F_037</t>
  </si>
  <si>
    <t>FCU_2F_038</t>
  </si>
  <si>
    <t>Auditorium Booths L2.087</t>
  </si>
  <si>
    <t>FCU_2F_039</t>
  </si>
  <si>
    <t>FCU_2F_040</t>
  </si>
  <si>
    <t>FCU_2F_041</t>
  </si>
  <si>
    <t>Bridge Raised Floor L2.088</t>
  </si>
  <si>
    <t>FCU_2F_042</t>
  </si>
  <si>
    <t>STUDY AREA L2.088</t>
  </si>
  <si>
    <t>FCU_2F_043</t>
  </si>
  <si>
    <t>Bridge L2.088</t>
  </si>
  <si>
    <t>FCU_2F_044</t>
  </si>
  <si>
    <t>FCU_2F_045</t>
  </si>
  <si>
    <t>Group Study Room L2.081</t>
  </si>
  <si>
    <t>FCU_2F_046</t>
  </si>
  <si>
    <t>Group Study Room L2.076</t>
  </si>
  <si>
    <t>FCU_2F_047</t>
  </si>
  <si>
    <t>FCU_2F_048</t>
  </si>
  <si>
    <t>INDIVIDUAL STUDY ROOM L2.070</t>
  </si>
  <si>
    <t>FCU_2F_049</t>
  </si>
  <si>
    <t>FCU_2F_050</t>
  </si>
  <si>
    <t>FCU_2F_051</t>
  </si>
  <si>
    <t>INDIVIDUAL STUDY ROOM L2.073</t>
  </si>
  <si>
    <t>FCU_2F_052</t>
  </si>
  <si>
    <t>FCU_2F_053</t>
  </si>
  <si>
    <t>FCU_2F_054</t>
  </si>
  <si>
    <t>FCU_2F_055</t>
  </si>
  <si>
    <t>FCU_2F_056</t>
  </si>
  <si>
    <t>FCU_2F_057</t>
  </si>
  <si>
    <t>North East Core T1.021</t>
  </si>
  <si>
    <t>FCU_2F_058</t>
  </si>
  <si>
    <t>FCU_2F_059</t>
  </si>
  <si>
    <t>FCU_2F_060</t>
  </si>
  <si>
    <t>North West Core T1.020</t>
  </si>
  <si>
    <t>FCU_2F_061</t>
  </si>
  <si>
    <t>FCU_2F_062</t>
  </si>
  <si>
    <t>FCU_B_001</t>
  </si>
  <si>
    <t>IDF ROOM B.155</t>
  </si>
  <si>
    <t>FCU_B_002</t>
  </si>
  <si>
    <t>FUMIGATION B.085</t>
  </si>
  <si>
    <t>FCU_B_003</t>
  </si>
  <si>
    <t>IDF (Corridor) B.062</t>
  </si>
  <si>
    <t>FCU_B_004</t>
  </si>
  <si>
    <t>IDF FM Storage B.215</t>
  </si>
  <si>
    <t>FCU_B_005</t>
  </si>
  <si>
    <t>HL Plant Room B.140</t>
  </si>
  <si>
    <t>FCU_B_006</t>
  </si>
  <si>
    <t>Fire Command ROOM  B.071</t>
  </si>
  <si>
    <t>FCU_B_007</t>
  </si>
  <si>
    <t>Sprinklers Pumps ROOM B.072</t>
  </si>
  <si>
    <t>FCU_B_008</t>
  </si>
  <si>
    <t>GAS SUPPRESSION ROOM B.087</t>
  </si>
  <si>
    <t>FCU_B_009</t>
  </si>
  <si>
    <t>PEOPLE MOVER ROOM B.088</t>
  </si>
  <si>
    <t>FCU_B_010</t>
  </si>
  <si>
    <t>Security Contol Room B.105</t>
  </si>
  <si>
    <t>FCU_B_011</t>
  </si>
  <si>
    <t>Plant Room 1 B.063</t>
  </si>
  <si>
    <t>FCU_B_012</t>
  </si>
  <si>
    <t>FCU_B_013</t>
  </si>
  <si>
    <t>Plant Room 2 B.070</t>
  </si>
  <si>
    <t>FCU_B_014</t>
  </si>
  <si>
    <t>FCU_B_015</t>
  </si>
  <si>
    <t>Plant Room 3 B.110</t>
  </si>
  <si>
    <t>FCU_B_016</t>
  </si>
  <si>
    <t>FCU_B_017</t>
  </si>
  <si>
    <t>FCU_B_018</t>
  </si>
  <si>
    <t>Plant Room 4 B.220</t>
  </si>
  <si>
    <t>FCU_B_019</t>
  </si>
  <si>
    <t>FCU_B_020</t>
  </si>
  <si>
    <t>FCU_B_021</t>
  </si>
  <si>
    <t>FCU_B_022</t>
  </si>
  <si>
    <t>FM Storage B.210</t>
  </si>
  <si>
    <t>FCU_B_023</t>
  </si>
  <si>
    <t>FCU_B_024</t>
  </si>
  <si>
    <t>PH Plant ROOM B.211</t>
  </si>
  <si>
    <t>FCU_B_025</t>
  </si>
  <si>
    <t>MISTING PUMP ROOM B.212</t>
  </si>
  <si>
    <t>FCU_B_026</t>
  </si>
  <si>
    <t>FCU_B_027</t>
  </si>
  <si>
    <t>Sorting Shelving Room B.121</t>
  </si>
  <si>
    <t>FCU_B_028</t>
  </si>
  <si>
    <t>FCU_B_029</t>
  </si>
  <si>
    <t xml:space="preserve"> B.145.05</t>
  </si>
  <si>
    <t>FCU_B_030</t>
  </si>
  <si>
    <t>WATER FEATURE ROOM B.226</t>
  </si>
  <si>
    <t>FCU_B_031</t>
  </si>
  <si>
    <t>IDF ROOM B.215A</t>
  </si>
  <si>
    <t>FCU_B_032</t>
  </si>
  <si>
    <t>Shell Space-Special Collection B.132</t>
  </si>
  <si>
    <t>FCU_B_033</t>
  </si>
  <si>
    <t>FCU_B_034</t>
  </si>
  <si>
    <t>FCU_B_035</t>
  </si>
  <si>
    <t>FCU_B_036</t>
  </si>
  <si>
    <t>IT Office B.122</t>
  </si>
  <si>
    <t>FCU_B_037</t>
  </si>
  <si>
    <t>DIGITALIZATION SERVER SPACE B.215A</t>
  </si>
  <si>
    <t>FCU_B_038</t>
  </si>
  <si>
    <t>ELEC. B.145</t>
  </si>
  <si>
    <t>VAV_1F_S11_001</t>
  </si>
  <si>
    <t>Group Study Room1 L1.026</t>
  </si>
  <si>
    <t>VAV_1F_S11_002</t>
  </si>
  <si>
    <t>Group Study Room2 L1.027</t>
  </si>
  <si>
    <t>VAV_1F_S11_003</t>
  </si>
  <si>
    <t>Group Study Room3 L1.028</t>
  </si>
  <si>
    <t>VAV_1F_S11_004</t>
  </si>
  <si>
    <t>Information Literacy Instr 1 L1.020</t>
  </si>
  <si>
    <t>VAV_1F_S11_005</t>
  </si>
  <si>
    <t>VAV_1F_S11_006</t>
  </si>
  <si>
    <t>Infor. Lteracy Instr.2 L1.021</t>
  </si>
  <si>
    <t>VAV_1F_S11_007</t>
  </si>
  <si>
    <t>VAV_1F_S11_008</t>
  </si>
  <si>
    <t>VAV_1F_S11_009</t>
  </si>
  <si>
    <t>VAV_1F_S11_010</t>
  </si>
  <si>
    <t>VAV_1F_S11_011</t>
  </si>
  <si>
    <t>VAV_1F_S11_012</t>
  </si>
  <si>
    <t>VAV_1F_S11_013</t>
  </si>
  <si>
    <t>VAV_1F_S11_014</t>
  </si>
  <si>
    <t>Computer Classroom L1.022</t>
  </si>
  <si>
    <t>VAV_1F_S11_015</t>
  </si>
  <si>
    <t>VAV_1F_S11_016</t>
  </si>
  <si>
    <t>VAV_1F_S11_017</t>
  </si>
  <si>
    <t>VAV_1F_S11_018</t>
  </si>
  <si>
    <t>VAV_1F_S11_019</t>
  </si>
  <si>
    <t>VAV_1F_S11_020</t>
  </si>
  <si>
    <t>VAV_1F_S11_021</t>
  </si>
  <si>
    <t>VAV_1F_S11_022</t>
  </si>
  <si>
    <t>Group Study Room 4 L1.029</t>
  </si>
  <si>
    <t>VAV_1F_S11_087</t>
  </si>
  <si>
    <t>CHILDRENS LIBRARY SLOPE  CORRIDOR L1.023</t>
  </si>
  <si>
    <t>VAV_1F_S11_088</t>
  </si>
  <si>
    <t>VAV_1F_S11_089</t>
  </si>
  <si>
    <t>VAV_1F_S11_090</t>
  </si>
  <si>
    <t>VAV_1F_S15_001</t>
  </si>
  <si>
    <t>Media Studio1 L1.063</t>
  </si>
  <si>
    <t>VAV_1F_S15_002</t>
  </si>
  <si>
    <t>VAV_1F_S15_003</t>
  </si>
  <si>
    <t>Media Studio2 L1.065</t>
  </si>
  <si>
    <t>VAV_1F_S15_004</t>
  </si>
  <si>
    <t>VAV_1F_S15_005</t>
  </si>
  <si>
    <t>Head Librarian Office L1.040</t>
  </si>
  <si>
    <t>VAV_1F_S15_006</t>
  </si>
  <si>
    <t>Children Library - Pre School Reading &amp; Playing L1.047</t>
  </si>
  <si>
    <t>VAV_1F_S15_007</t>
  </si>
  <si>
    <t>VAV_1F_S15_008</t>
  </si>
  <si>
    <t>VAV_1F_S15_009</t>
  </si>
  <si>
    <t>CHILDRENS LIBRARY-PRE SCHOOL COLLECTION L1.047</t>
  </si>
  <si>
    <t>VAV_1F_S15_010</t>
  </si>
  <si>
    <t>VAV_1F_S15_011</t>
  </si>
  <si>
    <t>VAV_1F_S15_012</t>
  </si>
  <si>
    <t>Staff Office L1.048</t>
  </si>
  <si>
    <t>VAV_1F_S15_021</t>
  </si>
  <si>
    <t>Prayer Room (Female) L1.104</t>
  </si>
  <si>
    <t>VAV_1F_S15_022</t>
  </si>
  <si>
    <t>VAV_1F_S15_023</t>
  </si>
  <si>
    <t>Prayer Room (Male) L1.104</t>
  </si>
  <si>
    <t>VAV_1F_S15_024</t>
  </si>
  <si>
    <t>VAV_1F_S15_025</t>
  </si>
  <si>
    <t>Ablution (Women) L1.106</t>
  </si>
  <si>
    <t>VAV_1F_S15_038</t>
  </si>
  <si>
    <t>Ablution (Men) L1.105</t>
  </si>
  <si>
    <t>VAV_1F_S15_039</t>
  </si>
  <si>
    <t>Green Room L1.002A</t>
  </si>
  <si>
    <t>VAV_1F_S15_039S</t>
  </si>
  <si>
    <t>VAV_1F_S15_040</t>
  </si>
  <si>
    <t>VAV_1F_S15_096</t>
  </si>
  <si>
    <t>Multipurpose Room L1.041</t>
  </si>
  <si>
    <t>VAV_1F_S15_097</t>
  </si>
  <si>
    <t>VAV_1F_S15_098</t>
  </si>
  <si>
    <t>VAV_2F_S10_001</t>
  </si>
  <si>
    <t>VAV_2F_S10_002</t>
  </si>
  <si>
    <t>VAV_2F_S10_003</t>
  </si>
  <si>
    <t>VAV_2F_S10_004</t>
  </si>
  <si>
    <t>VAV_2F_S10_005</t>
  </si>
  <si>
    <t>VAV_2F_S10_006</t>
  </si>
  <si>
    <t>VAV_2F_S12_001</t>
  </si>
  <si>
    <t>OPEN READING AREA L1.001</t>
  </si>
  <si>
    <t>VAV_2F_S12_002</t>
  </si>
  <si>
    <t>VAV_2F_S12_003</t>
  </si>
  <si>
    <t>VAV_2F_S12_004</t>
  </si>
  <si>
    <t>VAV_2F_S12_005</t>
  </si>
  <si>
    <t>VAV_2F_S12_006</t>
  </si>
  <si>
    <t>VAV_2F_S12_007</t>
  </si>
  <si>
    <t>VAV_2F_S12_008</t>
  </si>
  <si>
    <t>VAV_2F_S12_009</t>
  </si>
  <si>
    <t>VAV_2F_S12_010</t>
  </si>
  <si>
    <t>BRAILLE READER L1.002</t>
  </si>
  <si>
    <t>VAV_2F_S12_011</t>
  </si>
  <si>
    <t>VAV_2F_S12_012</t>
  </si>
  <si>
    <t>TUTORING HEAD L1.003</t>
  </si>
  <si>
    <t>VAV_2F_S12_013</t>
  </si>
  <si>
    <t>WRITING ROOM 1 L1.004</t>
  </si>
  <si>
    <t>VAV_2F_S12_014</t>
  </si>
  <si>
    <t>WRITING HEAD L1.005</t>
  </si>
  <si>
    <t>VAV_2F_S12_015</t>
  </si>
  <si>
    <t>WRITING ROOM 2 L1.005</t>
  </si>
  <si>
    <t>VAV_2F_S12_016</t>
  </si>
  <si>
    <t>STUDENT CARRELS L1.007</t>
  </si>
  <si>
    <t>VAV_2F_S12_017</t>
  </si>
  <si>
    <t>VAV_2F_S12_018</t>
  </si>
  <si>
    <t>VAV_2F_S12_019</t>
  </si>
  <si>
    <t>VAV_2F_S12_020</t>
  </si>
  <si>
    <t>VAV_2F_S12_021</t>
  </si>
  <si>
    <t>Breakout Space L2.010</t>
  </si>
  <si>
    <t>VAV_2F_S12_022</t>
  </si>
  <si>
    <t>Circulation Office L2.011</t>
  </si>
  <si>
    <t>VAV_2F_S12_023</t>
  </si>
  <si>
    <t>Office SpL Collection L2.012</t>
  </si>
  <si>
    <t>VAV_2F_S12_024</t>
  </si>
  <si>
    <t>Office SpL Collection L2.013</t>
  </si>
  <si>
    <t>VAV_2F_S12_025</t>
  </si>
  <si>
    <t>CORRIDOR L2</t>
  </si>
  <si>
    <t>VAV_2F_S12_026</t>
  </si>
  <si>
    <t>Group Study Room 5 L2.015</t>
  </si>
  <si>
    <t>VAV_2F_S12_027</t>
  </si>
  <si>
    <t>Group Study Room 7 L2.017</t>
  </si>
  <si>
    <t>VAV_2F_S12_028</t>
  </si>
  <si>
    <t>Meeting Room L2.018</t>
  </si>
  <si>
    <t>VAV_2F_S12_029</t>
  </si>
  <si>
    <t>Group Study Room 6 L2.016</t>
  </si>
  <si>
    <t>VAV_2F_S12_097</t>
  </si>
  <si>
    <t>Group Study Room 8 L2.018</t>
  </si>
  <si>
    <t>VAV_2F_S13_001</t>
  </si>
  <si>
    <t>Lib. Director's Room L2.044</t>
  </si>
  <si>
    <t>VAV_2F_S13_002</t>
  </si>
  <si>
    <t>VAV_2F_S13_003</t>
  </si>
  <si>
    <t>Service &amp; Lounge L2.043</t>
  </si>
  <si>
    <t>VAV_2F_S13_004</t>
  </si>
  <si>
    <t>OPEN OFFICE L2.025</t>
  </si>
  <si>
    <t>VAV_2F_S13_005</t>
  </si>
  <si>
    <t>ACADEMIC PERS. LIBRARIA L2.022</t>
  </si>
  <si>
    <t>VAV_2F_S13_006</t>
  </si>
  <si>
    <t>ACD PERS LIBRARIAN L2.022</t>
  </si>
  <si>
    <t>VAV_2F_S13_007</t>
  </si>
  <si>
    <t>AD ADMIN &amp; PLANNING L2.023</t>
  </si>
  <si>
    <t>VAV_2F_S13_008</t>
  </si>
  <si>
    <t>Office Coord L2.024</t>
  </si>
  <si>
    <t>VAV_2F_S13_009</t>
  </si>
  <si>
    <t>VAV_2F_S13_010</t>
  </si>
  <si>
    <t>VAV_2F_S13_011</t>
  </si>
  <si>
    <t>VAV_2F_S13_012</t>
  </si>
  <si>
    <t>VAV_2F_S13_013</t>
  </si>
  <si>
    <t>VAV_2F_S13_014</t>
  </si>
  <si>
    <t>VAV_2F_S13_015</t>
  </si>
  <si>
    <t>VAV_2F_S13_016</t>
  </si>
  <si>
    <t>VIP Waiting ROOM L2.048</t>
  </si>
  <si>
    <t>VAV_2F_S14_001</t>
  </si>
  <si>
    <t>PUBLIC SERVICES L1.080</t>
  </si>
  <si>
    <t>VAV_2F_S14_002</t>
  </si>
  <si>
    <t>VAV_2F_S14_003</t>
  </si>
  <si>
    <t>VAV_2F_S14_004</t>
  </si>
  <si>
    <t>VAV_2F_S14_005</t>
  </si>
  <si>
    <t>VAV_2F_S14_006</t>
  </si>
  <si>
    <t>VAV_2F_S14_007</t>
  </si>
  <si>
    <t>SPEC COLL &amp; ARCH L1.083</t>
  </si>
  <si>
    <t>VAV_2F_S14_008</t>
  </si>
  <si>
    <t>R&amp;L SERVICES L1.084</t>
  </si>
  <si>
    <t>VAV_2F_S14_009</t>
  </si>
  <si>
    <t>AD. PUBLIC SERVICE L1.085</t>
  </si>
  <si>
    <t>VAV_2F_S14_010</t>
  </si>
  <si>
    <t>REF LIBRARIAN L1.086</t>
  </si>
  <si>
    <t>VAV_2F_S14_011</t>
  </si>
  <si>
    <t>REF LIBRARIAN L1.087</t>
  </si>
  <si>
    <t>VAV_2F_S14_012</t>
  </si>
  <si>
    <t>REF LIBRARIAN L1.088</t>
  </si>
  <si>
    <t>VAV_2F_S14_013</t>
  </si>
  <si>
    <t>REF LIBRARIAN L1.089</t>
  </si>
  <si>
    <t>VAV_2F_S14_014</t>
  </si>
  <si>
    <t>REF LIBRARIAN L1.090</t>
  </si>
  <si>
    <t>VAV_2F_S14_015</t>
  </si>
  <si>
    <t>REF LIBRARIAN L1.091</t>
  </si>
  <si>
    <t>VAV_2F_S14_016</t>
  </si>
  <si>
    <t>REF LIBRARIAN L1.092</t>
  </si>
  <si>
    <t>VAV_2F_S14_017</t>
  </si>
  <si>
    <t>REF LIBRARIAN L1.093</t>
  </si>
  <si>
    <t>VAV_2F_S14_018</t>
  </si>
  <si>
    <t>REF LIBRARIAN L1.094</t>
  </si>
  <si>
    <t>VAV_2F_S14_019</t>
  </si>
  <si>
    <t>REF LIBRARIAN L1.095</t>
  </si>
  <si>
    <t>VAV_2F_S14_020</t>
  </si>
  <si>
    <t>REF LIBRARIAN L1.096</t>
  </si>
  <si>
    <t>VAV_2F_S14_021</t>
  </si>
  <si>
    <t>REF LIBRARIAN L1.097</t>
  </si>
  <si>
    <t>VAV_2F_S15_001</t>
  </si>
  <si>
    <t>VIP Room L2.051</t>
  </si>
  <si>
    <t>VAV_2F_S15_002</t>
  </si>
  <si>
    <t>VAV_2F_S15_003</t>
  </si>
  <si>
    <t>VAV_2F_S15_004</t>
  </si>
  <si>
    <t>VAV_2F_S15_005</t>
  </si>
  <si>
    <t>MAJLIS-VIP Meeting L2.046</t>
  </si>
  <si>
    <t>VAV_B_S10_001</t>
  </si>
  <si>
    <t>DIGITISATION AREA B.200</t>
  </si>
  <si>
    <t>VAV_B_S10_002</t>
  </si>
  <si>
    <t>VAV_B_S10_003</t>
  </si>
  <si>
    <t>VAV_B_S10_004</t>
  </si>
  <si>
    <t>VAV_B_S10_005</t>
  </si>
  <si>
    <t>VAV_B_S10_006</t>
  </si>
  <si>
    <t>VAV_B_S10_007</t>
  </si>
  <si>
    <t>VAV_B_S10_008</t>
  </si>
  <si>
    <t>VAV_B_S10_009</t>
  </si>
  <si>
    <t>VAV_B_S10_010</t>
  </si>
  <si>
    <t>TECHNICAL SERVICES B.204</t>
  </si>
  <si>
    <t>VAV_B_S10_011</t>
  </si>
  <si>
    <t>VAV_B_S10_012</t>
  </si>
  <si>
    <t>CR6 CONVERSATION WORK AREA B.209</t>
  </si>
  <si>
    <t>VAV_B_S10_013</t>
  </si>
  <si>
    <t>VAV_B_S10_014</t>
  </si>
  <si>
    <t>VAV_B_S10_015</t>
  </si>
  <si>
    <t>INSTRUCTION OUTREACH B.206</t>
  </si>
  <si>
    <t>VAV_B_S10_016</t>
  </si>
  <si>
    <t>MULTIMEDIA PRESENTATION B.205</t>
  </si>
  <si>
    <t>VAV_B_S10_017</t>
  </si>
  <si>
    <t>VAV_B_S10_018</t>
  </si>
  <si>
    <t>VAV_B_S10_019</t>
  </si>
  <si>
    <t xml:space="preserve">CR6 PROF LIBRARIAN B.208 </t>
  </si>
  <si>
    <t>VAV_B_S10_020</t>
  </si>
  <si>
    <t>Reserchers Reading Area B.207</t>
  </si>
  <si>
    <t>VAV_B_S10_021</t>
  </si>
  <si>
    <t>VAV_B_S10_022</t>
  </si>
  <si>
    <t>VAV_B_S10_023</t>
  </si>
  <si>
    <t>VAV_B_S10_024</t>
  </si>
  <si>
    <t>VAV_B_S11_001</t>
  </si>
  <si>
    <t>Break Out Area B.001A</t>
  </si>
  <si>
    <t>VAV_B_S11_002</t>
  </si>
  <si>
    <t>VAV_B_S11_003</t>
  </si>
  <si>
    <t>Tech, Services &amp; Collections Office B.001</t>
  </si>
  <si>
    <t>VAV_B_S11_004</t>
  </si>
  <si>
    <t>VAV_B_S11_005</t>
  </si>
  <si>
    <t>VAV_B_S11_006</t>
  </si>
  <si>
    <t>VAV_B_S11_007</t>
  </si>
  <si>
    <t>VAV_B_S11_008</t>
  </si>
  <si>
    <t>VAV_B_S11_009</t>
  </si>
  <si>
    <t>VAV_B_S11_010</t>
  </si>
  <si>
    <t>VAV_B_S11_011</t>
  </si>
  <si>
    <t>VAV_B_S11_012</t>
  </si>
  <si>
    <t>VAV_B_S11_013</t>
  </si>
  <si>
    <t>VAV_B_S11_014</t>
  </si>
  <si>
    <t>VAV_B_S11_015</t>
  </si>
  <si>
    <t>VAV_B_S11_016</t>
  </si>
  <si>
    <t>VAV_B_S11_017</t>
  </si>
  <si>
    <t>VAV_B_S11_018</t>
  </si>
  <si>
    <t>VAV_B_S11_019</t>
  </si>
  <si>
    <t>VAV_B_S11_020</t>
  </si>
  <si>
    <t>VAV_B_S11_021</t>
  </si>
  <si>
    <t>Reception &amp; Lounge B.009</t>
  </si>
  <si>
    <t>VAV_B_S11_022</t>
  </si>
  <si>
    <t>Corridor Leading To Reception &amp; Lounge B.009</t>
  </si>
  <si>
    <t>VAV_B_S11_023</t>
  </si>
  <si>
    <t>VAV_B_S11_024</t>
  </si>
  <si>
    <t>Kitchen B.002</t>
  </si>
  <si>
    <t>VAV_B_S11_025</t>
  </si>
  <si>
    <t>Storage B.028</t>
  </si>
  <si>
    <t>VAV_B_S11_026</t>
  </si>
  <si>
    <t>AD TECH SERVICES DIRECTOR B.003</t>
  </si>
  <si>
    <t>VAV_B_S11_027</t>
  </si>
  <si>
    <t>VAV_B_S11_028</t>
  </si>
  <si>
    <t>Analogue Resources B.004</t>
  </si>
  <si>
    <t>VAV_B_S11_029</t>
  </si>
  <si>
    <t>Digital Resources B.005</t>
  </si>
  <si>
    <t>VAV_B_S11_030</t>
  </si>
  <si>
    <t>Budget &amp; Payment 1 B.006</t>
  </si>
  <si>
    <t>VAV_B_S11_031</t>
  </si>
  <si>
    <t>Budget &amp; Payment 2 B.007</t>
  </si>
  <si>
    <t>VAV_B_S11_032</t>
  </si>
  <si>
    <t>Ad Collection B.024</t>
  </si>
  <si>
    <t>VAV_B_S11_033</t>
  </si>
  <si>
    <t>VAV_B_S11_034</t>
  </si>
  <si>
    <t>Engineering B.020</t>
  </si>
  <si>
    <t>VAV_B_S11_035</t>
  </si>
  <si>
    <t>Arabic Sudies B.021</t>
  </si>
  <si>
    <t>VAV_B_S11_036</t>
  </si>
  <si>
    <t>Licensing Expert B.022</t>
  </si>
  <si>
    <t>VAV_B_S11_037</t>
  </si>
  <si>
    <t>Art &amp; Humanities B.023</t>
  </si>
  <si>
    <t>VAV_B_S11_038</t>
  </si>
  <si>
    <t>HARD &amp; HEALTH SCIENCES B.027</t>
  </si>
  <si>
    <t>VAV_B_S11_039</t>
  </si>
  <si>
    <t>Business Computing B.026</t>
  </si>
  <si>
    <t>VAV_B_S11_040</t>
  </si>
  <si>
    <t>Social Sciences B.025</t>
  </si>
  <si>
    <t>VAV_B_S11_041</t>
  </si>
  <si>
    <t>Literature Language B.029</t>
  </si>
  <si>
    <t>VAV_B_S11_042</t>
  </si>
  <si>
    <t>GENERAL B.030</t>
  </si>
  <si>
    <t>VAV_B_S11_043</t>
  </si>
  <si>
    <t>Receiving Area B.008</t>
  </si>
  <si>
    <t>VAV_B_S11_044</t>
  </si>
  <si>
    <t>VAV_B_S11_045</t>
  </si>
  <si>
    <t>VAV_B_S11_046</t>
  </si>
  <si>
    <t>VAV_B_S13_001</t>
  </si>
  <si>
    <t>Meeting Room B.034</t>
  </si>
  <si>
    <t>VAV_B_S13_002</t>
  </si>
  <si>
    <t>VAV_B_S13_003</t>
  </si>
  <si>
    <t>Processing Room B.103</t>
  </si>
  <si>
    <t>VAV_B_S13_004</t>
  </si>
  <si>
    <t>VAV_B_S13_005</t>
  </si>
  <si>
    <t>VAV_B_S13_006</t>
  </si>
  <si>
    <t>Fumigation Room B.085</t>
  </si>
  <si>
    <t>VAV_B_S13_007</t>
  </si>
  <si>
    <t>Shipping CLIRK B.101</t>
  </si>
  <si>
    <t>VAV_B_S13_008</t>
  </si>
  <si>
    <t>SECURITY CONTROL ROOM B.105</t>
  </si>
  <si>
    <t>VAV_B_S14_001</t>
  </si>
  <si>
    <t>Office B.040</t>
  </si>
  <si>
    <t>VAV_B_S14_002</t>
  </si>
  <si>
    <t>Office Dig Init B.056</t>
  </si>
  <si>
    <t>VAV_B_S14_003</t>
  </si>
  <si>
    <t>Office AD For LIT B.057</t>
  </si>
  <si>
    <t>VAV_B_S14_004</t>
  </si>
  <si>
    <t>Digitization Room B.041</t>
  </si>
  <si>
    <t>VAV_B_S14_005</t>
  </si>
  <si>
    <t>VAV_B_S14_006</t>
  </si>
  <si>
    <t>VAV_B_S14_007</t>
  </si>
  <si>
    <t>Shell Space B.58</t>
  </si>
  <si>
    <t>VAV_B_S14_008</t>
  </si>
  <si>
    <t>Shell Space B.59</t>
  </si>
  <si>
    <t>VAV_B_S14_009</t>
  </si>
  <si>
    <t>VAV_B_S14_010</t>
  </si>
  <si>
    <t>VAV_B_S14_011</t>
  </si>
  <si>
    <t>VAV_B_S14_012</t>
  </si>
  <si>
    <t>VAV_B_S14_013</t>
  </si>
  <si>
    <t>VAV_B_S14_014</t>
  </si>
  <si>
    <t>VAV_B_S14_015</t>
  </si>
  <si>
    <t>VAV_B_S14_016</t>
  </si>
  <si>
    <t>VAV_B_S14_040</t>
  </si>
  <si>
    <t>BOH Kitchen B.044</t>
  </si>
  <si>
    <t>VAV_B_S14_041</t>
  </si>
  <si>
    <t>Fine Binding B.044</t>
  </si>
  <si>
    <t>VAV_B_S14_042</t>
  </si>
  <si>
    <t>Binding &amp; Preservation B.043</t>
  </si>
  <si>
    <t>VAV_B_S14_043</t>
  </si>
  <si>
    <t>VAV_B_S14_044</t>
  </si>
  <si>
    <t>VAV_B_S14_045</t>
  </si>
  <si>
    <t>VAV_B_S14_046</t>
  </si>
  <si>
    <t>VAV_B_S14_047</t>
  </si>
  <si>
    <t xml:space="preserve"> Fine Binding B.044</t>
  </si>
  <si>
    <t>VAV_B_S14_048</t>
  </si>
  <si>
    <t>VAV_B_S14_049</t>
  </si>
  <si>
    <t>VAV_B_S14_050</t>
  </si>
  <si>
    <t>VAV_B_S14_051</t>
  </si>
  <si>
    <t>VAV_B_S15_001</t>
  </si>
  <si>
    <t>Prof. Librarian B.153</t>
  </si>
  <si>
    <t>VAV_B_S15_002</t>
  </si>
  <si>
    <t>Lobby and Security B.145</t>
  </si>
  <si>
    <t>VAV_B_S15_003</t>
  </si>
  <si>
    <t>VAV_B_S15_004</t>
  </si>
  <si>
    <t>VAV_B_S15_005</t>
  </si>
  <si>
    <t>VAV_B_S15_006</t>
  </si>
  <si>
    <t>VAV_B_S15_007</t>
  </si>
  <si>
    <t>HC SECURITY ROOM B.152</t>
  </si>
  <si>
    <t>VAV_B_S15_008</t>
  </si>
  <si>
    <t>RESEARCH &amp; DOC RECORD MGMT B.151</t>
  </si>
  <si>
    <t>VAV_B_S15_009</t>
  </si>
  <si>
    <t>HC DIRECTOR HEAD B.149</t>
  </si>
  <si>
    <t>VAV_B_S15_010</t>
  </si>
  <si>
    <t>VAV_B_S15_011</t>
  </si>
  <si>
    <t>VIP Majlis B.149</t>
  </si>
  <si>
    <t>VAV_B_S15_012</t>
  </si>
  <si>
    <t>VAV_B_S15_013</t>
  </si>
  <si>
    <t>CAV_1F_S11_001</t>
  </si>
  <si>
    <t>CAV</t>
  </si>
  <si>
    <t>CORRIDOR L1.023</t>
  </si>
  <si>
    <t>CAV_1F_S11_002</t>
  </si>
  <si>
    <t>CAV_1F_S11_006</t>
  </si>
  <si>
    <t>CHILDRENS LIBRRY CIRCULATION NW GLAZED L1.047</t>
  </si>
  <si>
    <t>CAV_1F_S11_007</t>
  </si>
  <si>
    <t>CAV_1F_S11_008</t>
  </si>
  <si>
    <t>CAV_1F_S11_009</t>
  </si>
  <si>
    <t>CAV_1F_S15_002</t>
  </si>
  <si>
    <t>CAV_1F_S15_004</t>
  </si>
  <si>
    <t>AERIAL PLATFORM PARKING L1.100</t>
  </si>
  <si>
    <t>CAV_1F_S15_005</t>
  </si>
  <si>
    <t>CAV_1F_S15_006</t>
  </si>
  <si>
    <t>CAV_1F_S15_010</t>
  </si>
  <si>
    <t>CAV_1F_S15_011</t>
  </si>
  <si>
    <t>CAV_1F_S15_012</t>
  </si>
  <si>
    <t>CAV_1F_S15_013</t>
  </si>
  <si>
    <t>CAV_1F_S15_014</t>
  </si>
  <si>
    <t>CAV_1F_S15_015</t>
  </si>
  <si>
    <t>CAV_1F_S15_016</t>
  </si>
  <si>
    <t>CAV_1F_S15_017</t>
  </si>
  <si>
    <t>CAV_1F_S15_018</t>
  </si>
  <si>
    <t>AREAL PLATFORM PARK L1.100</t>
  </si>
  <si>
    <t>CAV_1F_S15_019</t>
  </si>
  <si>
    <t>FURNITURE STORE L1.153</t>
  </si>
  <si>
    <t>CAV_B_S12_001</t>
  </si>
  <si>
    <t>CORRIDOR B.061</t>
  </si>
  <si>
    <t>CAV_B_S12_002</t>
  </si>
  <si>
    <t>CAV_B_S12_003</t>
  </si>
  <si>
    <t>CAV_B_S13_001</t>
  </si>
  <si>
    <t>Corridor 2 B.064</t>
  </si>
  <si>
    <t>CAV_B_S13_002</t>
  </si>
  <si>
    <t>CAV_B_S13_003</t>
  </si>
  <si>
    <t>CAV_B_S13_004</t>
  </si>
  <si>
    <t>CAV_B_S13_005</t>
  </si>
  <si>
    <t>CAV_B_S13_006</t>
  </si>
  <si>
    <t>CORRIDOR 4 B.035</t>
  </si>
  <si>
    <t>CAV_B_S13_007</t>
  </si>
  <si>
    <t>CAV_B_S13_008</t>
  </si>
  <si>
    <t>CAV_B_S13_009</t>
  </si>
  <si>
    <t>IT STORAGE B.104</t>
  </si>
  <si>
    <t>CAV_B_S13_010</t>
  </si>
  <si>
    <t>CAV_B_S13_011</t>
  </si>
  <si>
    <t>CAV_B_S13_012</t>
  </si>
  <si>
    <t>Fire Command B.071</t>
  </si>
  <si>
    <t>CAV_B_S13_013</t>
  </si>
  <si>
    <t>GAS SUPPRESSION B.087</t>
  </si>
  <si>
    <t>CAV_B_S13_014</t>
  </si>
  <si>
    <t>PEOPLE MOVER B.088</t>
  </si>
  <si>
    <t>CAV_B_S13_015</t>
  </si>
  <si>
    <t>Server Room B.089</t>
  </si>
  <si>
    <t>CAV_B_S13_020</t>
  </si>
  <si>
    <t>UPS BATTERY ROOM B.084</t>
  </si>
  <si>
    <t>CAV_B_S13_021</t>
  </si>
  <si>
    <t>Sprinklers Pumps &amp; Zones Valves B.072</t>
  </si>
  <si>
    <t>CAV_B_S13_050</t>
  </si>
  <si>
    <t>PLANT ROOM B.104A</t>
  </si>
  <si>
    <t>CAV_B_S14_001</t>
  </si>
  <si>
    <t>CORRIDOR 3 B.051</t>
  </si>
  <si>
    <t>CAV_B_S14_002</t>
  </si>
  <si>
    <t>CORRIDOR 3 B.052</t>
  </si>
  <si>
    <t>CAV_B_S14_003</t>
  </si>
  <si>
    <t>PLANT ROOM 3 B.110</t>
  </si>
  <si>
    <t>CAV_B_S14_004</t>
  </si>
  <si>
    <t>CAV_B_S14_005</t>
  </si>
  <si>
    <t>CAV_B_S14_006</t>
  </si>
  <si>
    <t>Referigerate Store Kitchen Lobby B.044</t>
  </si>
  <si>
    <t>CAV_B_S14_007</t>
  </si>
  <si>
    <t>Washing Area &amp; Fine Binding B.044</t>
  </si>
  <si>
    <t>CAV_B_S15_001</t>
  </si>
  <si>
    <t>Corridor 5 B.063</t>
  </si>
  <si>
    <t>CAV_B_S15_002</t>
  </si>
  <si>
    <t>CAV_B_S15_003</t>
  </si>
  <si>
    <t>SSC</t>
  </si>
  <si>
    <t>CHILLED WATER B.013</t>
  </si>
  <si>
    <t>entity:SSC_B1_013_CHILLED_WATER</t>
  </si>
  <si>
    <t>VENT PLANT B.014</t>
  </si>
  <si>
    <t>entity:SSC_B1_014_VENT_PLANT</t>
  </si>
  <si>
    <t>VENT PLANT B.008</t>
  </si>
  <si>
    <t>entity:SSC_B1_008_VENT_PLANT</t>
  </si>
  <si>
    <t>SPRINKLER AND WATER B.016</t>
  </si>
  <si>
    <t>entity:SSC_B1_016_SPRINKLER_&amp;_WATER</t>
  </si>
  <si>
    <t>MAIN SEC. CONTROL ROOM B.025</t>
  </si>
  <si>
    <t>entity:SSC_B1_025_MAIN_SEC._CONTROL_ROOM</t>
  </si>
  <si>
    <t>B.M.S B.039</t>
  </si>
  <si>
    <t>entity:SSC_B1_039_BMS</t>
  </si>
  <si>
    <t>AV ROOM 1.008</t>
  </si>
  <si>
    <t>entity:SSC_01_008_AV_ROOM</t>
  </si>
  <si>
    <t>IDF-1 1.027</t>
  </si>
  <si>
    <t>entity:SSC_01_027_IDF_1</t>
  </si>
  <si>
    <t>IDF-2 1.039</t>
  </si>
  <si>
    <t>entity:SSC_01_039_IDF_2</t>
  </si>
  <si>
    <t>CORRIDOR 1.028</t>
  </si>
  <si>
    <t>entity:SSC_01_028_CORRIDOR</t>
  </si>
  <si>
    <t>CORRIDOR 1.010</t>
  </si>
  <si>
    <t>entity:SSC_01_010_CORRIDOR</t>
  </si>
  <si>
    <t>PRINTING 03.033</t>
  </si>
  <si>
    <t>entity:SSC_03_033_PRINTING</t>
  </si>
  <si>
    <t>ENTRANCE B.015</t>
  </si>
  <si>
    <t>entity:SSC_B1_015_ENTRANCE</t>
  </si>
  <si>
    <t>SHARED OFFICE 01.014</t>
  </si>
  <si>
    <t>entity:SSC_01_014_SHELL_SPACE</t>
  </si>
  <si>
    <t>SHARED OFFICE 01.015</t>
  </si>
  <si>
    <t>entity:SSC_01_015_SHELL_SPACE</t>
  </si>
  <si>
    <t>CORRIDOR 01.024</t>
  </si>
  <si>
    <t>entity:SSC_01_024_CORRIDOR</t>
  </si>
  <si>
    <t>PRAYER ROOM 01.019</t>
  </si>
  <si>
    <t>entity:SSC_01_019_PRAYER_ROOM</t>
  </si>
  <si>
    <t>VAV0010</t>
  </si>
  <si>
    <t>ROOM NO 42</t>
  </si>
  <si>
    <t>entity:SSC_01_029_ROOM_NO_42</t>
  </si>
  <si>
    <t>ROOM NO 43</t>
  </si>
  <si>
    <t>ROOM NO 44</t>
  </si>
  <si>
    <t>SHARED OFFICE 01.029</t>
  </si>
  <si>
    <t>entity:SSC_01_029_SHELL_SPACE</t>
  </si>
  <si>
    <t>CORRIDOR 01.013</t>
  </si>
  <si>
    <t>entity:SSC_01_013_CORRIDOR</t>
  </si>
  <si>
    <t>OPEN SPACE 01.003</t>
  </si>
  <si>
    <t>entity:SSC_01_003_OPEN_SPACE</t>
  </si>
  <si>
    <t>CORRIDOR 01.001</t>
  </si>
  <si>
    <t>entity:SSC_01_001_CORRIDOR</t>
  </si>
  <si>
    <t>TEAM SPACE 01.002</t>
  </si>
  <si>
    <t>entity:SSC_01_002_SHELL_SPACE</t>
  </si>
  <si>
    <t>PRINT COPY 01.016</t>
  </si>
  <si>
    <t>entity:SSC_01_016_SHELL_SPACE</t>
  </si>
  <si>
    <t>CORRIDOR 01.018</t>
  </si>
  <si>
    <t>entity:SSC_01_018_CORRIDOR</t>
  </si>
  <si>
    <t>CORRIDOR 01.028</t>
  </si>
  <si>
    <t>CORRIDOR 01.010</t>
  </si>
  <si>
    <t>ABLUTION ROOM 01.022</t>
  </si>
  <si>
    <t>entity:SSC_01_022_ABLUTION_ROOM</t>
  </si>
  <si>
    <t>ST-4 STAIR 4</t>
  </si>
  <si>
    <t>entity:SSC_01_ST-4_STAIR_4</t>
  </si>
  <si>
    <t>CONFERENCE ROOM 02.006</t>
  </si>
  <si>
    <t>entity:SSC_02_006_CONFERENCE_ROOM</t>
  </si>
  <si>
    <t>EXECUTIVE CONFERENCE ROOM 02.005</t>
  </si>
  <si>
    <t>entity:SSC_02_005_EXECUTIVE_CONFERENCE_ROOM</t>
  </si>
  <si>
    <t>CORRIDOR 02.004</t>
  </si>
  <si>
    <t>entity:SSC_02_004_CORRIDOR</t>
  </si>
  <si>
    <t>FOYER 02.001</t>
  </si>
  <si>
    <t>entity:SSC_02_001_FOYER</t>
  </si>
  <si>
    <t>LOBBY 02.002</t>
  </si>
  <si>
    <t>entity:SSC_02_002_LOBBY</t>
  </si>
  <si>
    <t>CORRIDOR 02.003</t>
  </si>
  <si>
    <t>entity:SSC_02_003_CORRIDOR</t>
  </si>
  <si>
    <t>RESEARCHER OFFICE 03.015</t>
  </si>
  <si>
    <t>entity:SSC_03_015_RESEARCHERS_OFFICE</t>
  </si>
  <si>
    <t>FOUND ON THE MECH DRAWINGS BUT MISSED ON THE BMS DRAWINGS</t>
  </si>
  <si>
    <t>VISITOR'S CUBICLE 03.014</t>
  </si>
  <si>
    <t>entity:SSC_03_014_VISITORS_CUBICLE</t>
  </si>
  <si>
    <t>RESEARCHER OFFICE 03.013</t>
  </si>
  <si>
    <t>entity:SSC_03_013_RESEARCHERS_OFFICE</t>
  </si>
  <si>
    <t>RESEARCHER OFFICE 03.012</t>
  </si>
  <si>
    <t>entity:SSC_03_012_RESEARCHERS_OFFICE</t>
  </si>
  <si>
    <t>VISITOR'S CUBICLE 03.011</t>
  </si>
  <si>
    <t>entity:SSC_03_011_VISITORS_CUBICLE</t>
  </si>
  <si>
    <t>RESEARCHER OFFICE 03.010</t>
  </si>
  <si>
    <t>entity:SSC_03_010_RESEARCHERS_OFFICE</t>
  </si>
  <si>
    <t>RESEARCHER OFFICE 03.009</t>
  </si>
  <si>
    <t>entity:SSC_03_009_RESEARCHERS_OFFICE</t>
  </si>
  <si>
    <t>VISITOR'S CUBICLE 03.008</t>
  </si>
  <si>
    <t>entity:SSC_03_008_VISITORS_CUBICLE</t>
  </si>
  <si>
    <t>OPERATION MANAGERS 03.007</t>
  </si>
  <si>
    <t>entity:SSC_03_007_OPERATIONS_MANAGER</t>
  </si>
  <si>
    <t>ROOM 03.006B</t>
  </si>
  <si>
    <t>entity:SSC_03_006_MEETING_ROOM</t>
  </si>
  <si>
    <t>(NOT FOUND ON DRAWING LEVEL 3)</t>
  </si>
  <si>
    <t>ROOM 03.006A</t>
  </si>
  <si>
    <t>RESEARCHER OFFICE 03.005</t>
  </si>
  <si>
    <t>entity:SSC_03_005_RESEARCHERS_OFFICE</t>
  </si>
  <si>
    <t>VISITOR'S CUBICLE 03.004</t>
  </si>
  <si>
    <t>entity:SSC_03_004_VISITORS_CUBICLE</t>
  </si>
  <si>
    <t>RESEARCHER OFFICE 03.003</t>
  </si>
  <si>
    <t>entity:SSC_03_003_RESEARCHERS_OFFICE</t>
  </si>
  <si>
    <t>DIRECTOR MEETING ROOM 03.002</t>
  </si>
  <si>
    <t>entity:SSC_03_002_DIRECTORS_MEETING_ROOM</t>
  </si>
  <si>
    <t>DIRECTOR'S OFFICE 03.001</t>
  </si>
  <si>
    <t>entity:SSC_03_001_DIRECTORS_OFFICE</t>
  </si>
  <si>
    <t>GENERAL OFFICE AREA 03.002</t>
  </si>
  <si>
    <t>ASSOC. DOR. OFFICE 03.031</t>
  </si>
  <si>
    <t>entity:SSC_03_031_ASSOC._DIRECTORS_OFFICE</t>
  </si>
  <si>
    <t>ASSOC. DIR. MEETING ROOM 03.030</t>
  </si>
  <si>
    <t>entity:SSC_03_030_ASSOC._DIRECTORS_MEETING_ROOM</t>
  </si>
  <si>
    <t>RESEARCHER OFFICE 03.029</t>
  </si>
  <si>
    <t>entity:SSC_03_029_RESEARCHERS_OFFICE</t>
  </si>
  <si>
    <t>VISITOR'S CUBICLE 03.028</t>
  </si>
  <si>
    <t>entity:SSC_03_028_VISITORS_CUBICLE</t>
  </si>
  <si>
    <t>RESEARCHER OFFICE 03.027</t>
  </si>
  <si>
    <t>entity:SSC_03_027_RESEARCHERS_OFFICE</t>
  </si>
  <si>
    <t>MEETING ROOM 03.026</t>
  </si>
  <si>
    <t>entity:SSC_03_026_MEETING_ROOM</t>
  </si>
  <si>
    <t>SECRETARIAL AREA 03.025</t>
  </si>
  <si>
    <t>entity:SSC_03_025_SECRETARIAL_AREA</t>
  </si>
  <si>
    <t>VISITOR'S CUBICLE 03.024</t>
  </si>
  <si>
    <t>entity:SSC_03_024_VISITORS_CUBICLE</t>
  </si>
  <si>
    <t>RESEARCHER OFFICE 03.023</t>
  </si>
  <si>
    <t>entity:SSC_03_023_RESEARCHERS_OFFICE</t>
  </si>
  <si>
    <t>RESEARCHER OFFICE 03.022</t>
  </si>
  <si>
    <t>entity:SSC_03_022_RESEARCHERS_OFFICE</t>
  </si>
  <si>
    <t>VISITOR'S CUBICLE 03.021</t>
  </si>
  <si>
    <t>entity:SSC_03_021_VISITORS_CUBICLE</t>
  </si>
  <si>
    <t>RESEARCHER OFFICE 03.020</t>
  </si>
  <si>
    <t>entity:SSC_03_020_RESEARCHERS_OFFICE</t>
  </si>
  <si>
    <t>IT MANAGERS'S OFFICE 03.019</t>
  </si>
  <si>
    <t>entity:SSC_03_019_IT_MANAGERS_OFFICE</t>
  </si>
  <si>
    <t>VISITOR'S CUBICLE 03.018</t>
  </si>
  <si>
    <t>entity:SSC_03_018_VISITORS_CUBICLE</t>
  </si>
  <si>
    <t>RESEARCHER OFFICE 03.017</t>
  </si>
  <si>
    <t>entity:SSC_03_017_RESEARCHERS_OFFICE</t>
  </si>
  <si>
    <t>LOUNGE 03.016</t>
  </si>
  <si>
    <t>entity:SSC_03_016_LOUNGE</t>
  </si>
  <si>
    <t>IT OFFICE 03.049</t>
  </si>
  <si>
    <t>entity:SSC_03_049_IT_OFFICE</t>
  </si>
  <si>
    <t>CORRIDOR 03.042</t>
  </si>
  <si>
    <t>entity:SSC_03_042_CORRIDOR</t>
  </si>
  <si>
    <t>CORRIDOR 03.041</t>
  </si>
  <si>
    <t>entity:SSC_03_041_CORRIDOR</t>
  </si>
  <si>
    <t>CORRIDOR 03.044</t>
  </si>
  <si>
    <t>entity:SSC_03_044_CORRIDOR</t>
  </si>
  <si>
    <t>CORRIDOR 03.034</t>
  </si>
  <si>
    <t>entity:SSC_03_034_CORRIDOR</t>
  </si>
  <si>
    <t>RDC</t>
  </si>
  <si>
    <t>RDC_NB_AHU8511</t>
  </si>
  <si>
    <t>NORTH BUILDING PENT HOUSE N-2101</t>
  </si>
  <si>
    <t>RDC_NB_AHU8512</t>
  </si>
  <si>
    <t>RDC_NB_2F_2F_AHU8513</t>
  </si>
  <si>
    <t>RDC_NB_2F_AHU8514</t>
  </si>
  <si>
    <t>RDC_NB_2F_AHU8515</t>
  </si>
  <si>
    <t>RDC_NB_2F_AHU8516</t>
  </si>
  <si>
    <t>RDC_NB_2F_AHU8517</t>
  </si>
  <si>
    <t>RDC_NB_2F_AHU8518</t>
  </si>
  <si>
    <t>RDC_NB_2F_AHU8519</t>
  </si>
  <si>
    <t>RDC_NB_2F_AHU8520</t>
  </si>
  <si>
    <t>RDC_NB_2F_AHU8521</t>
  </si>
  <si>
    <t>RDC_SB_2F_AHU8011</t>
  </si>
  <si>
    <t>SOUTH BUILDING PENTHOUSE S-2101</t>
  </si>
  <si>
    <t>RDC_SB_2F_AHU8012</t>
  </si>
  <si>
    <t>RDC_SB_2F_AHU8021</t>
  </si>
  <si>
    <t>RDC_SB_2F_AHU8022</t>
  </si>
  <si>
    <t>RDC_SB_2F_AHU8023</t>
  </si>
  <si>
    <t>RDC_SB_2F_AHU8024</t>
  </si>
  <si>
    <t>RDC_SB_2F_AHU8025</t>
  </si>
  <si>
    <t>RDC_SB_2F_AHU8026</t>
  </si>
  <si>
    <t>RDC_SB_GF_AHU8031</t>
  </si>
  <si>
    <t>COMPUTER RESEARCH LAB S-1112</t>
  </si>
  <si>
    <t>RDC_SB_GF_AHU8032</t>
  </si>
  <si>
    <t>RDC_SB_GF_AHU8033</t>
  </si>
  <si>
    <t>RDC_SB_GF_AHU8034</t>
  </si>
  <si>
    <t>RDC_SB_GF_AHU8035</t>
  </si>
  <si>
    <t>RDC_SB_GF_AHU8036</t>
  </si>
  <si>
    <t>RDC_SB_GF_AHU8037</t>
  </si>
  <si>
    <t>RDC_SB_GF_AHU8041</t>
  </si>
  <si>
    <t>UPS ROOM S-0145</t>
  </si>
  <si>
    <t>RDC_SB_GF_AHU8042</t>
  </si>
  <si>
    <t>RDC_UB_AHU8601</t>
  </si>
  <si>
    <t>UTILITY BUILDING MECHANICAL ROOM U-1101</t>
  </si>
  <si>
    <t>RDC_UB_AHU8602</t>
  </si>
  <si>
    <t>RDC_UB_AHU8603</t>
  </si>
  <si>
    <t>RDC_UB_AHU8604</t>
  </si>
  <si>
    <t>RDC_UB_AHU8605</t>
  </si>
  <si>
    <t>RDC_UB_AHU8606</t>
  </si>
  <si>
    <t>RDC_UB_AHU8607</t>
  </si>
  <si>
    <t>RDC_UB_AHU8608</t>
  </si>
  <si>
    <t>RDC_UB_AHU8609</t>
  </si>
  <si>
    <t>RDC_NB_GF_VAV4001</t>
  </si>
  <si>
    <t>Store N-0201</t>
  </si>
  <si>
    <t>RDC_NB_GF_VAV4005_EV4006</t>
  </si>
  <si>
    <t>Electrical N-0202</t>
  </si>
  <si>
    <t>RDC_NB_GF_VAV4040</t>
  </si>
  <si>
    <t>Air Quality High Bay N-0215A</t>
  </si>
  <si>
    <t>RDC_NB_GF_VAV4050_VEV4051</t>
  </si>
  <si>
    <t>CSP High Bay N-0215B</t>
  </si>
  <si>
    <t>RDC_NB_GF_VAV4060_VEV4061</t>
  </si>
  <si>
    <t>Machine Shop N-0215C</t>
  </si>
  <si>
    <t>RDC_NB_GF_VAV4070A_VEV4073A</t>
  </si>
  <si>
    <t>Open High Bay Lab N-0215D</t>
  </si>
  <si>
    <t>RDC_NB_GF_VAV4070B_VEV4073B</t>
  </si>
  <si>
    <t>RDC_NB_GF_VAV4071A_VEV4074A</t>
  </si>
  <si>
    <t>RDC_NB_GF_VAV4071B_VEV4074B</t>
  </si>
  <si>
    <t>RDC_NB_GF_VAV4072A_VEV4075A</t>
  </si>
  <si>
    <t>RDC_NB_GF_VAV4072B_VEV4075B</t>
  </si>
  <si>
    <t>RDC_NB_GF_VAV4080A_VEV4082A</t>
  </si>
  <si>
    <t>Desal High Bay Lab N-0215E</t>
  </si>
  <si>
    <t>RDC_NB_GF_VAV4080B_VEV4082B</t>
  </si>
  <si>
    <t>RDC_NB_GF_VAV4081A_VEV4083A</t>
  </si>
  <si>
    <t>RDC_NB_GF_VAV4081B_VEV4083B</t>
  </si>
  <si>
    <t>RDC_NB_GF_VAV4090_VEV4091</t>
  </si>
  <si>
    <t>Support Lab N-0215F</t>
  </si>
  <si>
    <t>RDC_NB_GF_VAV4100_EV4101</t>
  </si>
  <si>
    <t>Emergency Elec. Room N-0225</t>
  </si>
  <si>
    <t>RDC_NB_GF_VAV4105_EV4106</t>
  </si>
  <si>
    <t>Normal Electrical Room N-0225</t>
  </si>
  <si>
    <t>RDC_NB_GF_VAV4110_EV4111</t>
  </si>
  <si>
    <t>Conference Room N-0227</t>
  </si>
  <si>
    <t>RDC_NB_GF_VAV4115_EV4116</t>
  </si>
  <si>
    <t>Office N-0228</t>
  </si>
  <si>
    <t>RDC_NB_GF_VAV4120_EV4121</t>
  </si>
  <si>
    <t>Office N-0229</t>
  </si>
  <si>
    <t>RDC_NB_GF_VAV4125_EV4126</t>
  </si>
  <si>
    <t>Office N-0230</t>
  </si>
  <si>
    <t>RDC_NB_GF_VAV4130_EV4131</t>
  </si>
  <si>
    <t>Office N-0231</t>
  </si>
  <si>
    <t>RDC_NB_GF_VAV4135_EV4136</t>
  </si>
  <si>
    <t>Office N-0232</t>
  </si>
  <si>
    <t>RDC_NB_GF_VAV4140_EV4141</t>
  </si>
  <si>
    <t>Conference Room N-0233</t>
  </si>
  <si>
    <t>RDC_NB_GF_VAV4145_EV4146</t>
  </si>
  <si>
    <t>Office N-0234</t>
  </si>
  <si>
    <t>RDC_NB_GF_VAV4165_EV4166</t>
  </si>
  <si>
    <t>Office N-0236</t>
  </si>
  <si>
    <t>RDC_NB_GF_VAV4180_VEV4181</t>
  </si>
  <si>
    <t>Test Room N-0240A</t>
  </si>
  <si>
    <t>RDC_NB_GF_VAV4190_VEV4192</t>
  </si>
  <si>
    <t>CSP Lab N-0240B</t>
  </si>
  <si>
    <t>RDC_NB_GF_VAV4191</t>
  </si>
  <si>
    <t>RDC_NB_GF_VAV4200_VEV4201</t>
  </si>
  <si>
    <t>Test Room 1 N-0240C</t>
  </si>
  <si>
    <t>RDC_NB_GF_VAV4210</t>
  </si>
  <si>
    <t>Desalination Lab N-0240D</t>
  </si>
  <si>
    <t>RDC_NB_GF_VAV4211</t>
  </si>
  <si>
    <t>RDC_NB_GF_VAV4212</t>
  </si>
  <si>
    <t>RDC_NB_GF_VAV4225</t>
  </si>
  <si>
    <t>Office N-0247</t>
  </si>
  <si>
    <t>RDC_NB_GF_VAV4230</t>
  </si>
  <si>
    <t>Office N-0248</t>
  </si>
  <si>
    <t>RDC_NB_GF_VAV4235</t>
  </si>
  <si>
    <t>Office 05 -8WS- N-0250</t>
  </si>
  <si>
    <t>RDC_NB_GF_VAV4240</t>
  </si>
  <si>
    <t>Office 04 N-0251</t>
  </si>
  <si>
    <t>RDC_NB_GF_VAV4245</t>
  </si>
  <si>
    <t>Office N-0252</t>
  </si>
  <si>
    <t>RDC_NB_GF_VAV4250</t>
  </si>
  <si>
    <t>Office N-0253</t>
  </si>
  <si>
    <t>RDC_NB_GF_VAV4255</t>
  </si>
  <si>
    <t>Office N-0254</t>
  </si>
  <si>
    <t>RDC_NB_GF_VAV4260</t>
  </si>
  <si>
    <t>Office 05 -8WS- N-0255</t>
  </si>
  <si>
    <t>RDC_NB_GF_VAV4265</t>
  </si>
  <si>
    <t>Office N-0256</t>
  </si>
  <si>
    <t>RDC_NB_GF_VAV4270</t>
  </si>
  <si>
    <t>Office N-0257</t>
  </si>
  <si>
    <t>RDC_NB_GF_VAV4275</t>
  </si>
  <si>
    <t>Office N-0258</t>
  </si>
  <si>
    <t>RDC_NB_GF_VAV4280</t>
  </si>
  <si>
    <t>Office N-0259</t>
  </si>
  <si>
    <t>RDC_NB_GF_VAV4285</t>
  </si>
  <si>
    <t>Workstation N-0260</t>
  </si>
  <si>
    <t>RDC_NB_GF_VAV4290</t>
  </si>
  <si>
    <t>Office 04 N-0261</t>
  </si>
  <si>
    <t>RDC_NB_GF_VAV4295</t>
  </si>
  <si>
    <t>Office N-0262</t>
  </si>
  <si>
    <t>RDC_NB_GF_VAV4300</t>
  </si>
  <si>
    <t>Office N-0263</t>
  </si>
  <si>
    <t>RDC_NB_GF_VAV4305</t>
  </si>
  <si>
    <t>Office N-0264</t>
  </si>
  <si>
    <t>RDC_NB_GF_VAV4310</t>
  </si>
  <si>
    <t>Workstation N-0265</t>
  </si>
  <si>
    <t>RDC_NB_GF_VAV4312</t>
  </si>
  <si>
    <t>Breakout N-0265B</t>
  </si>
  <si>
    <t>RDC_NB_GF_VAV5000_EV5002</t>
  </si>
  <si>
    <t>Lobby North N-0101</t>
  </si>
  <si>
    <t>RDC_NB_GF_VAV5001_EV5003</t>
  </si>
  <si>
    <t>RDC_NB_GF_VAV5010_EV5011</t>
  </si>
  <si>
    <t>Conf N-0106</t>
  </si>
  <si>
    <t>RDC_NB_GF_VAV5015_EV5016</t>
  </si>
  <si>
    <t>Conference N-0107</t>
  </si>
  <si>
    <t>RDC_NB_GF_VAV5025</t>
  </si>
  <si>
    <t>Corridor N-0110</t>
  </si>
  <si>
    <t>RDC_NB_GF_VAV5030_EV5031</t>
  </si>
  <si>
    <t>Confr Room N-0112</t>
  </si>
  <si>
    <t>RDC_NB_GF_VAV5040_EV5041</t>
  </si>
  <si>
    <t>Normal Elec. N-0113</t>
  </si>
  <si>
    <t>RDC_NB_GF_VAV5045_EV5046</t>
  </si>
  <si>
    <t>Emergency Elec. N-0114</t>
  </si>
  <si>
    <t>RDC_NB_GF_VAV5050</t>
  </si>
  <si>
    <t>Analytical Core Lab 1 N-0114A</t>
  </si>
  <si>
    <t>RDC_NB_GF_VAV5051</t>
  </si>
  <si>
    <t>RDC_NB_GF_VAV5054</t>
  </si>
  <si>
    <t>Clean Lab N-0114B</t>
  </si>
  <si>
    <t>RDC_NB_GF_VAV5060_CEV5061</t>
  </si>
  <si>
    <t>RDC_NB_GF_VAV5070</t>
  </si>
  <si>
    <t>Dirty Lab N-0114C</t>
  </si>
  <si>
    <t>RDC_NB_GF_VAV5080_VEV5081</t>
  </si>
  <si>
    <t>Bio Analyt N-0114D</t>
  </si>
  <si>
    <t>RDC_NB_GF_VAV5090</t>
  </si>
  <si>
    <t>Air Quality N-0114F</t>
  </si>
  <si>
    <t>RDC_NB_GF_VAV5091</t>
  </si>
  <si>
    <t>RDC_NB_GF_VAV5100_EV5101</t>
  </si>
  <si>
    <t>Office N-0115</t>
  </si>
  <si>
    <t>RDC_NB_GF_VAV5105</t>
  </si>
  <si>
    <t>Office N-0116</t>
  </si>
  <si>
    <t>RDC_NB_GF_VAV5110</t>
  </si>
  <si>
    <t>Office N-0117</t>
  </si>
  <si>
    <t>RDC_NB_GF_VAV5115</t>
  </si>
  <si>
    <t>Office N-0118</t>
  </si>
  <si>
    <t>RDC_NB_GF_VAV5120</t>
  </si>
  <si>
    <t>Office N-0119</t>
  </si>
  <si>
    <t>RDC_NB_GF_VAV5125</t>
  </si>
  <si>
    <t>Office N-0120</t>
  </si>
  <si>
    <t>RDC_NB_GF_VAV5130</t>
  </si>
  <si>
    <t>Office N-0121</t>
  </si>
  <si>
    <t>RDC_NB_GF_VAV5135</t>
  </si>
  <si>
    <t>Office N-0122</t>
  </si>
  <si>
    <t>RDC_NB_GF_VAV5140</t>
  </si>
  <si>
    <t>Office N-0123</t>
  </si>
  <si>
    <t>RDC_NB_GF_VAV5145</t>
  </si>
  <si>
    <t>Office N-0124</t>
  </si>
  <si>
    <t>RDC_NB_GF_VAV5150</t>
  </si>
  <si>
    <t>Office N-0125</t>
  </si>
  <si>
    <t>RDC_NB_GF_VAV5152</t>
  </si>
  <si>
    <t>Office N-0126</t>
  </si>
  <si>
    <t>RDC_NB_GF_VAV5155</t>
  </si>
  <si>
    <t>Office N-0127</t>
  </si>
  <si>
    <t>RDC_NB_GF_VAV5156</t>
  </si>
  <si>
    <t>Office 04 N-0129</t>
  </si>
  <si>
    <t>RDC_NB_GF_VAV5165_EV5166</t>
  </si>
  <si>
    <t>Corridor N-0134</t>
  </si>
  <si>
    <t>RDC_NB_GF_VAV5180</t>
  </si>
  <si>
    <t>Analytical Core Lab 2 N-0140A</t>
  </si>
  <si>
    <t>RDC_NB_GF_VAV5181</t>
  </si>
  <si>
    <t>RDC_NB_GF_VAV5190</t>
  </si>
  <si>
    <t>Furnace Room N-0140B</t>
  </si>
  <si>
    <t>RDC_NB_GF_VAV5200</t>
  </si>
  <si>
    <t>Prep Lab N-0140C</t>
  </si>
  <si>
    <t>RDC_NB_GF_VAV5210</t>
  </si>
  <si>
    <t>Sputter Room N-0140D</t>
  </si>
  <si>
    <t>RDC_NB_GF_VAV5220</t>
  </si>
  <si>
    <t>MBE/Evap Room N-0140E</t>
  </si>
  <si>
    <t>RDC_NB_GF_VAV5230</t>
  </si>
  <si>
    <t>ALD Room N-0140F</t>
  </si>
  <si>
    <t>RDC_NB_GF_VAV5250_VEV5251</t>
  </si>
  <si>
    <t>Support Room N-0140H</t>
  </si>
  <si>
    <t>RDC_NB_GF_VAV5260_VEV5261</t>
  </si>
  <si>
    <t>PLD Room N-0140J</t>
  </si>
  <si>
    <t>RDC_NB_GF_VAV5270A</t>
  </si>
  <si>
    <t>Organic Chemistry Lab N-0140K</t>
  </si>
  <si>
    <t>RDC_NB_GF_VAV5270B</t>
  </si>
  <si>
    <t>Org Chem N-0140K</t>
  </si>
  <si>
    <t>RDC_NB_GF_VAV5295_EV5296</t>
  </si>
  <si>
    <t>Conference Room N-0149</t>
  </si>
  <si>
    <t>RDC_NB_GF_VAV5300</t>
  </si>
  <si>
    <t>Corridor N-0150</t>
  </si>
  <si>
    <t>RDC_NB_GF_VAV5305</t>
  </si>
  <si>
    <t>Office N-0151</t>
  </si>
  <si>
    <t>RDC_NB_GF_VAV5310</t>
  </si>
  <si>
    <t>Office N-0152</t>
  </si>
  <si>
    <t>RDC_NB_GF_VAV5315</t>
  </si>
  <si>
    <t>Open Office N-0153</t>
  </si>
  <si>
    <t>RDC_NB_GF_VAV5325</t>
  </si>
  <si>
    <t>Office N-0155</t>
  </si>
  <si>
    <t>RDC_NB_GF_VAV5330</t>
  </si>
  <si>
    <t>Office N-0156</t>
  </si>
  <si>
    <t>RDC_NB_GF_VAV5335</t>
  </si>
  <si>
    <t>Office N-0157</t>
  </si>
  <si>
    <t>RDC_NB_GF_VAV5340</t>
  </si>
  <si>
    <t>Office N-0158</t>
  </si>
  <si>
    <t>RDC_NB_GF_VAV5345</t>
  </si>
  <si>
    <t>Office N-0159</t>
  </si>
  <si>
    <t>RDC_NB_GF_VAV5355</t>
  </si>
  <si>
    <t>Office N-0161</t>
  </si>
  <si>
    <t>RDC_NB_GF_VAV5360</t>
  </si>
  <si>
    <t>Office N-0162</t>
  </si>
  <si>
    <t>RDC_NB_GF_VAV5365</t>
  </si>
  <si>
    <t>Office N-0163</t>
  </si>
  <si>
    <t>RDC_NB_GF_VAV5370</t>
  </si>
  <si>
    <t>Office N-0164</t>
  </si>
  <si>
    <t>RDC_NB_GF_VAV5380</t>
  </si>
  <si>
    <t>Office N-0166</t>
  </si>
  <si>
    <t>RDC_NB_GF_VAV5385</t>
  </si>
  <si>
    <t>Office N-0167A</t>
  </si>
  <si>
    <t>RDC_NB_GF_VAV5390</t>
  </si>
  <si>
    <t>Office 04 N-0168</t>
  </si>
  <si>
    <t>RDC_NB_GF_VAV5395</t>
  </si>
  <si>
    <t>Exp. Office N-0169</t>
  </si>
  <si>
    <t>RDC_NB_GF_VAV5400</t>
  </si>
  <si>
    <t>Reception Area N-0170</t>
  </si>
  <si>
    <t>RDC_NB_GF_VAV5405</t>
  </si>
  <si>
    <t>Exp. Office N-0172</t>
  </si>
  <si>
    <t>RDC_NB_GF_VAV5410_EV5411</t>
  </si>
  <si>
    <t>Conf Room N-0173</t>
  </si>
  <si>
    <t>RDC_NB_GF_VAV5415</t>
  </si>
  <si>
    <t>Office 04 N-0174</t>
  </si>
  <si>
    <t>RDC_NB_GF_VAV6000_EV6001</t>
  </si>
  <si>
    <t>Conf Room N-0301</t>
  </si>
  <si>
    <t>RDC_NB_GF_VAV6010_EV6011</t>
  </si>
  <si>
    <t>Conf N-0304</t>
  </si>
  <si>
    <t>RDC_NB_GF_VAV6025_EV6026</t>
  </si>
  <si>
    <t>Normal Elec. N-0310</t>
  </si>
  <si>
    <t>RDC_NB_GF_VAV6130_EV6131</t>
  </si>
  <si>
    <t>Store N-0315</t>
  </si>
  <si>
    <t>RDC_NB_GF_VAV6135</t>
  </si>
  <si>
    <t>Store N-0316</t>
  </si>
  <si>
    <t>RDC_NB_GF_VAV6140</t>
  </si>
  <si>
    <t>Workstation N-0317</t>
  </si>
  <si>
    <t>RDC_NB_GF_VAV6145</t>
  </si>
  <si>
    <t>Office N-0318</t>
  </si>
  <si>
    <t>RDC_NB_GF_VAV6150</t>
  </si>
  <si>
    <t>Office N-0319</t>
  </si>
  <si>
    <t>RDC_NB_GF_VAV6155</t>
  </si>
  <si>
    <t>Workstation N-0320</t>
  </si>
  <si>
    <t>RDC_NB_GF_VAV6160</t>
  </si>
  <si>
    <t>Office N-0321</t>
  </si>
  <si>
    <t>RDC_NB_GF_VAV6170</t>
  </si>
  <si>
    <t>Office N-0323</t>
  </si>
  <si>
    <t>RDC_NB_GF_VAV6175</t>
  </si>
  <si>
    <t>Workstation N-0324</t>
  </si>
  <si>
    <t>RDC_NB_GF_VAV6180</t>
  </si>
  <si>
    <t>Office N-0325</t>
  </si>
  <si>
    <t>RDC_NB_GF_VAV6185_EV6186</t>
  </si>
  <si>
    <t>Office N-0326</t>
  </si>
  <si>
    <t>RDC_NB_GF_VAV6190_EV6191</t>
  </si>
  <si>
    <t>Normal Elec. N-0328</t>
  </si>
  <si>
    <t>RDC_NB_GF_VAV6195</t>
  </si>
  <si>
    <t>Store N-0329</t>
  </si>
  <si>
    <t>RDC_NB_GF_VAV6200_EV6201</t>
  </si>
  <si>
    <t>Conf N-0330</t>
  </si>
  <si>
    <t>RDC_NB_GF_VAV6205_EV6206</t>
  </si>
  <si>
    <t>Conf N-0331</t>
  </si>
  <si>
    <t>RDC_NB_GF_VAV6210</t>
  </si>
  <si>
    <t>Corr. +N-033B N-0332C</t>
  </si>
  <si>
    <t>RDC_NB_GF_VAV6220_EV6221</t>
  </si>
  <si>
    <t>Emergency Elec. N-0333</t>
  </si>
  <si>
    <t>RDC_NB_GF_VAV6240_EV6241</t>
  </si>
  <si>
    <t>Emergency Electrical N-0350A</t>
  </si>
  <si>
    <t>RDC_NB_GF_VAV6285_EV6286</t>
  </si>
  <si>
    <t>Conf N-0358</t>
  </si>
  <si>
    <t>RDC_NB_GF_VAV6295_EV6296</t>
  </si>
  <si>
    <t>Conference N-0360</t>
  </si>
  <si>
    <t>RDC_NB_GF_VAV6300</t>
  </si>
  <si>
    <t>Store N-0362B</t>
  </si>
  <si>
    <t>RDC_NB_GF_VAV6305</t>
  </si>
  <si>
    <t>Office N-0363</t>
  </si>
  <si>
    <t>RDC_NB_GF_VAV6310</t>
  </si>
  <si>
    <t>Office N-0364</t>
  </si>
  <si>
    <t>RDC_NB_GF_VAV6315_EV6316</t>
  </si>
  <si>
    <t>Conf Room N-0364A</t>
  </si>
  <si>
    <t>RDC_NB_GF_VAV6320</t>
  </si>
  <si>
    <t>Corridor N-0365</t>
  </si>
  <si>
    <t>RDC_NB_GF_VAV6325</t>
  </si>
  <si>
    <t>Office N-0366</t>
  </si>
  <si>
    <t>RDC_NB_GF_VAV6330</t>
  </si>
  <si>
    <t>Office 04 N-0367</t>
  </si>
  <si>
    <t>RDC_NB_GF_VAV6335</t>
  </si>
  <si>
    <t>Office N-0368</t>
  </si>
  <si>
    <t>RDC_NB_GF_VAV6340</t>
  </si>
  <si>
    <t>Office N-0369</t>
  </si>
  <si>
    <t>RDC_NB_GF_VAV6345</t>
  </si>
  <si>
    <t>Office N-0370</t>
  </si>
  <si>
    <t>RDC_NB_GF_VAV6350</t>
  </si>
  <si>
    <t>Office N-0371</t>
  </si>
  <si>
    <t>RDC_NB_GF_VAV6355</t>
  </si>
  <si>
    <t>Workstation N-0372</t>
  </si>
  <si>
    <t>RDC_NB_GF_VAV6360</t>
  </si>
  <si>
    <t>Office N-0374</t>
  </si>
  <si>
    <t>RDC_NB_GF_VAV6365</t>
  </si>
  <si>
    <t>Office N-0375</t>
  </si>
  <si>
    <t>RDC_NB_GF_VAV6370</t>
  </si>
  <si>
    <t>Office N-0376</t>
  </si>
  <si>
    <t>RDC_NB_GF_VAV6375</t>
  </si>
  <si>
    <t>Office N-0377</t>
  </si>
  <si>
    <t>RDC_NB_GF_VAV6380</t>
  </si>
  <si>
    <t>Workstation N-0378</t>
  </si>
  <si>
    <t>RDC_NB_GF_VAV6390</t>
  </si>
  <si>
    <t>Office N-0379</t>
  </si>
  <si>
    <t>RDC_NB_GF_VAV6395</t>
  </si>
  <si>
    <t>Office N-0380</t>
  </si>
  <si>
    <t>RDC_NB_GF_VAV6400</t>
  </si>
  <si>
    <t>Workstation N-0381</t>
  </si>
  <si>
    <t>RDC_NB_GF_VAV6405</t>
  </si>
  <si>
    <t>Office N-0382</t>
  </si>
  <si>
    <t>RDC_NB_GF_VAV6410</t>
  </si>
  <si>
    <t>Office N-0383</t>
  </si>
  <si>
    <t>RDC_NB_GF_VAV7000</t>
  </si>
  <si>
    <t>Vestibule Staging N-0401</t>
  </si>
  <si>
    <t>RDC_NB_GF_VAV7020A</t>
  </si>
  <si>
    <t>NMR Lab N-0404A</t>
  </si>
  <si>
    <t>RDC_NB_GF_VAV7020B</t>
  </si>
  <si>
    <t>RDC_NB_GF_VAV7021A</t>
  </si>
  <si>
    <t>RDC_NB_GF_VAV7021B</t>
  </si>
  <si>
    <t>RDC_NB_GF_VAV7030_VEV7031</t>
  </si>
  <si>
    <t>CONTROL ROOM N-0404B</t>
  </si>
  <si>
    <t>RDC_NB_GF_VAV7040</t>
  </si>
  <si>
    <t>Service Equipm. Room N-0404C</t>
  </si>
  <si>
    <t>RDC_NB_GF_VAV7050_VEV7051</t>
  </si>
  <si>
    <t>EM Prep 1 - MAT N-0404D</t>
  </si>
  <si>
    <t>RDC_NB_GF_VAV7060_VEV7061</t>
  </si>
  <si>
    <t>EM Prep 2 - BIO N-0404E</t>
  </si>
  <si>
    <t>RDC_NB_GF_VAV7070A</t>
  </si>
  <si>
    <t>Surf Analysis Lab N-0404F</t>
  </si>
  <si>
    <t>RDC_NB_GF_VAV7070B</t>
  </si>
  <si>
    <t>RDC_NB_GF_VAV7071A</t>
  </si>
  <si>
    <t>RDC_NB_GF_VAV7071B</t>
  </si>
  <si>
    <t>RDC_NB_GF_VAV7080</t>
  </si>
  <si>
    <t>Exp. Office N-0410</t>
  </si>
  <si>
    <t>RDC_NB_GF_VAV7085</t>
  </si>
  <si>
    <t>Office N-0411</t>
  </si>
  <si>
    <t>RDC_NB_GF_VAV7090</t>
  </si>
  <si>
    <t>Office N-0412</t>
  </si>
  <si>
    <t>RDC_NB_GF_VAV7095</t>
  </si>
  <si>
    <t>Office N-0413</t>
  </si>
  <si>
    <t>RDC_NB_GF_VAV7100</t>
  </si>
  <si>
    <t>Office N-0414</t>
  </si>
  <si>
    <t>RDC_NB_GF_VAV7105</t>
  </si>
  <si>
    <t>Office N-0415</t>
  </si>
  <si>
    <t>RDC_NB_GF_VAV7110</t>
  </si>
  <si>
    <t>Office N-0416</t>
  </si>
  <si>
    <t>RDC_NB_GF_VAV7115</t>
  </si>
  <si>
    <t>Office N-0417</t>
  </si>
  <si>
    <t>RDC_NB_GF_VAV7120</t>
  </si>
  <si>
    <t>Office N-0418</t>
  </si>
  <si>
    <t>RDC_NB_GF_VAV7125_EV7126</t>
  </si>
  <si>
    <t>Normal Elec. Room N-0420</t>
  </si>
  <si>
    <t>RDC_NB_GF_VAV7130</t>
  </si>
  <si>
    <t>Office N-0421</t>
  </si>
  <si>
    <t>RDC_NB_GF_VAV7135</t>
  </si>
  <si>
    <t>Office N-0422</t>
  </si>
  <si>
    <t>RDC_NB_GF_VAV7140_EV7141</t>
  </si>
  <si>
    <t>Conference N-0423</t>
  </si>
  <si>
    <t>RDC_NB_GF_VAV7145</t>
  </si>
  <si>
    <t>Office N-0425</t>
  </si>
  <si>
    <t>RDC_NB_GF_VAV7155</t>
  </si>
  <si>
    <t>Office N-0427</t>
  </si>
  <si>
    <t>RDC_NB_GF_VAV7165</t>
  </si>
  <si>
    <t>Office N-0429</t>
  </si>
  <si>
    <t>RDC_NB_GF_VAV7175</t>
  </si>
  <si>
    <t>Office 05-15-WS N-0431</t>
  </si>
  <si>
    <t>RDC_NB_GF_VAV7176</t>
  </si>
  <si>
    <t>RDC_NB_GF_VAV7180</t>
  </si>
  <si>
    <t>Corridor N-0432</t>
  </si>
  <si>
    <t>RDC_NB_GF_VAV7185_EV7186</t>
  </si>
  <si>
    <t>Emer. Elec. Room N-0433</t>
  </si>
  <si>
    <t>RDC_NB_GF_VAV7195</t>
  </si>
  <si>
    <t>Office 04 N-0436</t>
  </si>
  <si>
    <t>RDC_NB_GF_VAV7205</t>
  </si>
  <si>
    <t>Office 04 N-0438</t>
  </si>
  <si>
    <t>RDC_NB_GF_VAV7215_EV7216</t>
  </si>
  <si>
    <t>Conference Room N-0440</t>
  </si>
  <si>
    <t>RDC_NB_GF_VAV7220_CEV7221</t>
  </si>
  <si>
    <t>Service Corridor N-0441</t>
  </si>
  <si>
    <t>RDC_NB_GF_VAV7230_VEV7231</t>
  </si>
  <si>
    <t>Inter Lab N-0442A</t>
  </si>
  <si>
    <t>RDC_NB_GF_VAV7240_VEV7241A</t>
  </si>
  <si>
    <t>Optical Lab N-0442B</t>
  </si>
  <si>
    <t>RDC_NB_GF_VAV7250_VEV7251</t>
  </si>
  <si>
    <t>CONF N-0442C</t>
  </si>
  <si>
    <t>RDC_NB_GF_VAV7260_VEV7261</t>
  </si>
  <si>
    <t>SEM 1 Room N-0442D</t>
  </si>
  <si>
    <t>RDC_NB_GF_VAV7270_VEV7271</t>
  </si>
  <si>
    <t>SERV 1 N-0442E</t>
  </si>
  <si>
    <t>RDC_NB_GF_VAV7280_VEV7281</t>
  </si>
  <si>
    <t>Confocal 2 Room N-0442F</t>
  </si>
  <si>
    <t>RDC_NB_GF_VAV7290_VEV7291</t>
  </si>
  <si>
    <t>SEM 2 N-0442G</t>
  </si>
  <si>
    <t>RDC_NB_GF_VAV7300</t>
  </si>
  <si>
    <t>Air Lock 1 N-0442H</t>
  </si>
  <si>
    <t>RDC_NB_GF_VAV7310_VEV7311</t>
  </si>
  <si>
    <t>SEM 3 N-0442J</t>
  </si>
  <si>
    <t>RDC_NB_GF_VAV7320_VEV7321</t>
  </si>
  <si>
    <t>SEM 4 N-0442K</t>
  </si>
  <si>
    <t>RDC_NB_GF_VAV7330_VEV7331</t>
  </si>
  <si>
    <t>SEM 5 N-0442L</t>
  </si>
  <si>
    <t>RDC_NB_GF_VAV7340_VEV7341</t>
  </si>
  <si>
    <t>SERV 2 N-0442M</t>
  </si>
  <si>
    <t>RDC_NB_GF_VAV7350_VEV7351</t>
  </si>
  <si>
    <t>SEM Lab N-0442N</t>
  </si>
  <si>
    <t>RDC_NB_GF_VAV7360_VEV7361</t>
  </si>
  <si>
    <t>SEM Lab N-0442p</t>
  </si>
  <si>
    <t>RDC_NB_GF_VAV7370_VEV7371</t>
  </si>
  <si>
    <t>A/L 2 N-0442R</t>
  </si>
  <si>
    <t>RDC_NB_GF_VAV7385</t>
  </si>
  <si>
    <t>Office N-0444</t>
  </si>
  <si>
    <t>RDC_NB_GF_VAV7390</t>
  </si>
  <si>
    <t>Office 04 N-0445</t>
  </si>
  <si>
    <t>RDC_NB_GF_VAV7395</t>
  </si>
  <si>
    <t>Workstation N-0446</t>
  </si>
  <si>
    <t>RDC_NB_GF_VAV7400</t>
  </si>
  <si>
    <t>Office N-0447</t>
  </si>
  <si>
    <t>RDC_NB_GF_VAV7405</t>
  </si>
  <si>
    <t>Office N-0448</t>
  </si>
  <si>
    <t>RDC_NB_GF_VAV7410</t>
  </si>
  <si>
    <t>Office N-0449</t>
  </si>
  <si>
    <t>RDC_NB_GF_VAV7415</t>
  </si>
  <si>
    <t>Office N-0450</t>
  </si>
  <si>
    <t>RDC_NB_GF_VAV7425</t>
  </si>
  <si>
    <t>Office 05-8-WKS N-0452</t>
  </si>
  <si>
    <t>RDC_NB_GF_VAV7430</t>
  </si>
  <si>
    <t>Office N-0453</t>
  </si>
  <si>
    <t>RDC_NB_GF_VAV7435</t>
  </si>
  <si>
    <t>Office N-0454</t>
  </si>
  <si>
    <t>RDC_NB_GF_VAV7440</t>
  </si>
  <si>
    <t>Office N-0455</t>
  </si>
  <si>
    <t>RDC_NB_GF_VAV7445</t>
  </si>
  <si>
    <t>Office 04 N-0456</t>
  </si>
  <si>
    <t>RDC_NB_GF_VAV7460</t>
  </si>
  <si>
    <t>Office 05-8-WKS N-0457</t>
  </si>
  <si>
    <t>RDC_NB_GF_VAV7465</t>
  </si>
  <si>
    <t>Office N-0458</t>
  </si>
  <si>
    <t>RDC_NB_GF_VAV7470</t>
  </si>
  <si>
    <t>Office N-0459</t>
  </si>
  <si>
    <t>RDC_NB_GF_VAV7475</t>
  </si>
  <si>
    <t>Office N-0460</t>
  </si>
  <si>
    <t>RDC_NB_GF_VAV7480</t>
  </si>
  <si>
    <t>Office N-0461</t>
  </si>
  <si>
    <t>RDC_NB_GF_VAV7485</t>
  </si>
  <si>
    <t>Office 05-8-WKS N-0462</t>
  </si>
  <si>
    <t>RDC_NB_GF_VAV7490_EV7495</t>
  </si>
  <si>
    <t>Confer N-0463</t>
  </si>
  <si>
    <t>RDC_NB_GF_VAV7496</t>
  </si>
  <si>
    <t>Office 04 N-0464</t>
  </si>
  <si>
    <t>RDC_NB_GF_VAV7498</t>
  </si>
  <si>
    <t>Office N-0465</t>
  </si>
  <si>
    <t>RDC_NB_GF_VAV7499</t>
  </si>
  <si>
    <t>Office 04 N-0466</t>
  </si>
  <si>
    <t>RDC_SB_1F_VAV0506</t>
  </si>
  <si>
    <t>Conf. S-1110</t>
  </si>
  <si>
    <t>RDC_SB_1F_VAV0507</t>
  </si>
  <si>
    <t>Computer Research Lab-4 S-1112</t>
  </si>
  <si>
    <t>RDC_SB_1F_VAV0508</t>
  </si>
  <si>
    <t>Conf S-1113</t>
  </si>
  <si>
    <t>RDC_SB_1F_VAV0509</t>
  </si>
  <si>
    <t>NCIR Office S-1115</t>
  </si>
  <si>
    <t>RDC_SB_1F_VAV0510</t>
  </si>
  <si>
    <t>Workstation S-1115A</t>
  </si>
  <si>
    <t>RDC_SB_1F_VAV0511</t>
  </si>
  <si>
    <t>NCIR Office S-1116</t>
  </si>
  <si>
    <t>RDC_SB_1F_VAV0512</t>
  </si>
  <si>
    <t>NCIR Office S-1117</t>
  </si>
  <si>
    <t>RDC_SB_1F_VAV0513</t>
  </si>
  <si>
    <t>NCIR Office S-1118</t>
  </si>
  <si>
    <t>RDC_SB_1F_VAV0514</t>
  </si>
  <si>
    <t>NCIR Office S-1119</t>
  </si>
  <si>
    <t>RDC_SB_1F_VAV0518</t>
  </si>
  <si>
    <t>Office S-1161</t>
  </si>
  <si>
    <t>RDC_SB_1F_VAV0519</t>
  </si>
  <si>
    <t>Office S-1162</t>
  </si>
  <si>
    <t>RDC_SB_1F_VAV0520</t>
  </si>
  <si>
    <t>Office S-1163</t>
  </si>
  <si>
    <t>RDC_SB_1F_VAV0521</t>
  </si>
  <si>
    <t>Office S-1164</t>
  </si>
  <si>
    <t>RDC_SB_1F_VAV0522</t>
  </si>
  <si>
    <t>Office S-1165</t>
  </si>
  <si>
    <t>RDC_SB_1F_VAV0523</t>
  </si>
  <si>
    <t>Office S-1166</t>
  </si>
  <si>
    <t>RDC_SB_1F_VAV0526</t>
  </si>
  <si>
    <t>Office S-1171</t>
  </si>
  <si>
    <t>RDC_SB_1F_VAV0527</t>
  </si>
  <si>
    <t>Office S-1172</t>
  </si>
  <si>
    <t>RDC_SB_1F_VAV0528</t>
  </si>
  <si>
    <t>Office S-1173</t>
  </si>
  <si>
    <t>RDC_SB_1F_VAV0529</t>
  </si>
  <si>
    <t>Corridor S-1174</t>
  </si>
  <si>
    <t>RDC_SB_1F_VAV0530</t>
  </si>
  <si>
    <t>Situation Room S-1175</t>
  </si>
  <si>
    <t>RDC_SB_1F_VAV0531</t>
  </si>
  <si>
    <t>Immersive Viz Lab S-1176</t>
  </si>
  <si>
    <t>RDC_SB_1F_VAV0532</t>
  </si>
  <si>
    <t>Conference Room S-1177</t>
  </si>
  <si>
    <t>RDC_SB_1F_VAV0533</t>
  </si>
  <si>
    <t>Telepresence S-1179</t>
  </si>
  <si>
    <t>RDC_SB_1F_VAV0538</t>
  </si>
  <si>
    <t>Workstation S-1151A</t>
  </si>
  <si>
    <t>RDC_SB_1F_VAV1501</t>
  </si>
  <si>
    <t>Workstation S-1119A</t>
  </si>
  <si>
    <t>RDC_SB_1F_VAV1502</t>
  </si>
  <si>
    <t>NCIR Office S-1120</t>
  </si>
  <si>
    <t>RDC_SB_1F_VAV1503</t>
  </si>
  <si>
    <t>NCIR Office S-1121</t>
  </si>
  <si>
    <t>RDC_SB_1F_VAV1505</t>
  </si>
  <si>
    <t>SC. Comp Office 2 S-1123</t>
  </si>
  <si>
    <t>RDC_SB_1F_VAV1506</t>
  </si>
  <si>
    <t>SC. Comp Office 3 S-1124</t>
  </si>
  <si>
    <t>RDC_SB_1F_VAV1507</t>
  </si>
  <si>
    <t>Workstation S-1124A</t>
  </si>
  <si>
    <t>RDC_SB_1F_VAV1508</t>
  </si>
  <si>
    <t>Scientific Comp. Office 1 S-1125</t>
  </si>
  <si>
    <t>RDC_SB_1F_VAV1509</t>
  </si>
  <si>
    <t>Scientific Comp. Office S-1126</t>
  </si>
  <si>
    <t>RDC_SB_1F_VAV1510</t>
  </si>
  <si>
    <t>ALT Office 2 S-1127</t>
  </si>
  <si>
    <t>RDC_SB_1F_VAV1511</t>
  </si>
  <si>
    <t>ALT Office 3 S-1128</t>
  </si>
  <si>
    <t>RDC_SB_1F_VAV1512</t>
  </si>
  <si>
    <t>Workstation S-1128A</t>
  </si>
  <si>
    <t>RDC_SB_1F_VAV1513</t>
  </si>
  <si>
    <t>ALT Office 1 S-1129</t>
  </si>
  <si>
    <t>RDC_SB_1F_VAV1514</t>
  </si>
  <si>
    <t>ALT Office S-1130</t>
  </si>
  <si>
    <t>RDC_SB_1F_VAV1515</t>
  </si>
  <si>
    <t>Distub. Syst Office 1 S-1131</t>
  </si>
  <si>
    <t>RDC_SB_1F_VAV1516</t>
  </si>
  <si>
    <t>Distub. Syst Office S-1132</t>
  </si>
  <si>
    <t>RDC_SB_1F_VAV1517</t>
  </si>
  <si>
    <t>Workstation S-1132A</t>
  </si>
  <si>
    <t>RDC_SB_1F_VAV1518</t>
  </si>
  <si>
    <t>Distub. Syst Office S-1133</t>
  </si>
  <si>
    <t>RDC_SB_1F_VAV1519</t>
  </si>
  <si>
    <t>Distub. Syst Office S-1134</t>
  </si>
  <si>
    <t>RDC_SB_1F_VAV1520</t>
  </si>
  <si>
    <t>Data Analytic Office S-1135</t>
  </si>
  <si>
    <t>RDC_SB_1F_VAV1521</t>
  </si>
  <si>
    <t>Data Analytic Office S-1136</t>
  </si>
  <si>
    <t>RDC_SB_1F_VAV1522</t>
  </si>
  <si>
    <t>Workstation S-1136A</t>
  </si>
  <si>
    <t>RDC_SB_1F_VAV1523</t>
  </si>
  <si>
    <t>Data Analytic Office S-1137</t>
  </si>
  <si>
    <t>RDC_SB_1F_VAV1524</t>
  </si>
  <si>
    <t>Data Analytic Office S-1138</t>
  </si>
  <si>
    <t>RDC_SB_1F_VAV1525</t>
  </si>
  <si>
    <t>Office S-1139</t>
  </si>
  <si>
    <t>RDC_SB_1F_VAV1526</t>
  </si>
  <si>
    <t>Office S-1140</t>
  </si>
  <si>
    <t>RDC_SB_1F_VAV1527</t>
  </si>
  <si>
    <t>Conference Room S-1141</t>
  </si>
  <si>
    <t>RDC_SB_1F_VAV1528</t>
  </si>
  <si>
    <t>Office S-1142</t>
  </si>
  <si>
    <t>RDC_SB_1F_VAV1529</t>
  </si>
  <si>
    <t>Office S-1144</t>
  </si>
  <si>
    <t>RDC_SB_1F_VAV1530</t>
  </si>
  <si>
    <t>Office S-1145</t>
  </si>
  <si>
    <t>RDC_SB_1F_VAV1531</t>
  </si>
  <si>
    <t>Office S-1146</t>
  </si>
  <si>
    <t>RDC_SB_1F_VAV1532</t>
  </si>
  <si>
    <t>Workstation S-1146A</t>
  </si>
  <si>
    <t>RDC_SB_1F_VAV1533</t>
  </si>
  <si>
    <t>Office S-1148</t>
  </si>
  <si>
    <t>RDC_SB_1F_VAV1534</t>
  </si>
  <si>
    <t>Office S-1149</t>
  </si>
  <si>
    <t>RDC_SB_1F_VAV1536</t>
  </si>
  <si>
    <t>Office S-1150</t>
  </si>
  <si>
    <t>RDC_SB_1F_VAV1539</t>
  </si>
  <si>
    <t>Video Conf. Room S-1154</t>
  </si>
  <si>
    <t>RDC_SB_1F_VAV1540</t>
  </si>
  <si>
    <t>Conf S-1159</t>
  </si>
  <si>
    <t>RDC_SB_1F_VAV1542</t>
  </si>
  <si>
    <t>Office S-1182</t>
  </si>
  <si>
    <t>RDC_SB_1F_VAV1543</t>
  </si>
  <si>
    <t>Workstation S-1182A</t>
  </si>
  <si>
    <t>RDC_SB_1F_VAV1544</t>
  </si>
  <si>
    <t>Office S-1182C</t>
  </si>
  <si>
    <t>RDC_SB_1F_VAV1545</t>
  </si>
  <si>
    <t>Office S-1182D</t>
  </si>
  <si>
    <t>RDC_SB_1F_VAV1546</t>
  </si>
  <si>
    <t>Office S-1182E</t>
  </si>
  <si>
    <t>RDC_SB_1F_VAV1547</t>
  </si>
  <si>
    <t>Office S-1182F</t>
  </si>
  <si>
    <t>RDC_SB_1F_VAV1548</t>
  </si>
  <si>
    <t>Office S-1183</t>
  </si>
  <si>
    <t>RDC_SB_1F_VAV1549</t>
  </si>
  <si>
    <t>Workstation S-1183A</t>
  </si>
  <si>
    <t>RDC_SB_1F_VAV1550</t>
  </si>
  <si>
    <t>Office S-1184</t>
  </si>
  <si>
    <t>RDC_SB_1F_VAV1551</t>
  </si>
  <si>
    <t>Social Comp Office S-1185</t>
  </si>
  <si>
    <t>RDC_SB_1F_VAV1552</t>
  </si>
  <si>
    <t>Social Comp Office S-1186</t>
  </si>
  <si>
    <t>RDC_SB_1F_VAV1553</t>
  </si>
  <si>
    <t>Workstation S-1186A</t>
  </si>
  <si>
    <t>RDC_SB_1F_VAV1554</t>
  </si>
  <si>
    <t>Social Comp Office S-1187</t>
  </si>
  <si>
    <t>RDC_SB_1F_VAV1555</t>
  </si>
  <si>
    <t>Social Comp Office S-1188</t>
  </si>
  <si>
    <t>RDC_SB_1F_VAV1556</t>
  </si>
  <si>
    <t>Cyber Sec Office S-1189</t>
  </si>
  <si>
    <t>RDC_SB_1F_VAV1557</t>
  </si>
  <si>
    <t>Cyber Sec Office S-1190</t>
  </si>
  <si>
    <t>RDC_SB_1F_VAV1558</t>
  </si>
  <si>
    <t>Workstation S-1190A</t>
  </si>
  <si>
    <t>RDC_SB_1F_VAV1559</t>
  </si>
  <si>
    <t>Office S-1191</t>
  </si>
  <si>
    <t>RDC_SB_1F_VAV1560</t>
  </si>
  <si>
    <t>Cyber Sec Office S-1192</t>
  </si>
  <si>
    <t>RDC_SB_1F_VAV1561</t>
  </si>
  <si>
    <t>Cyber Sec Office S-1193</t>
  </si>
  <si>
    <t>RDC_SB_1F_VAV2501</t>
  </si>
  <si>
    <t>Lobby S-1201</t>
  </si>
  <si>
    <t>RDC_SB_1F_VAV2502</t>
  </si>
  <si>
    <t>Lobby S-1202</t>
  </si>
  <si>
    <t>RDC_SB_1F_VAV2503</t>
  </si>
  <si>
    <t>RDC_SB_1F_VAV2504</t>
  </si>
  <si>
    <t>RDC_SB_1F_VAV2505</t>
  </si>
  <si>
    <t>RDC_SB_1F_VAV2506</t>
  </si>
  <si>
    <t>RDC_SB_1F_VAV2508</t>
  </si>
  <si>
    <t>Female Prayer S-1207</t>
  </si>
  <si>
    <t>RDC_SB_1F_VAV2509</t>
  </si>
  <si>
    <t>Open Plan S-1210</t>
  </si>
  <si>
    <t>RDC_SB_1F_VAV2510</t>
  </si>
  <si>
    <t>Exc. Dir. Office S-1211</t>
  </si>
  <si>
    <t>RDC_SB_1F_VAV2511</t>
  </si>
  <si>
    <t>Office S-1212</t>
  </si>
  <si>
    <t>RDC_SB_1F_VAV2512</t>
  </si>
  <si>
    <t>Office S-1213</t>
  </si>
  <si>
    <t>RDC_SB_1F_VAV2513</t>
  </si>
  <si>
    <t>Office S-1214</t>
  </si>
  <si>
    <t>RDC_SB_1F_VAV2514</t>
  </si>
  <si>
    <t>Office S-1215</t>
  </si>
  <si>
    <t>RDC_SB_1F_VAV2515</t>
  </si>
  <si>
    <t>Office S-1216</t>
  </si>
  <si>
    <t>RDC_SB_1F_VAV2516</t>
  </si>
  <si>
    <t>Executive Director Office S-1217</t>
  </si>
  <si>
    <t>RDC_SB_1F_VAV2517</t>
  </si>
  <si>
    <t>Executive Director Office S-1218</t>
  </si>
  <si>
    <t>RDC_SB_1F_VAV2518</t>
  </si>
  <si>
    <t>Office S-1219</t>
  </si>
  <si>
    <t>RDC_SB_1F_VAV2519</t>
  </si>
  <si>
    <t>Office S-1220</t>
  </si>
  <si>
    <t>RDC_SB_1F_VAV2520</t>
  </si>
  <si>
    <t>Office S-1221</t>
  </si>
  <si>
    <t>RDC_SB_1F_VAV2521</t>
  </si>
  <si>
    <t>Office S-1222</t>
  </si>
  <si>
    <t>RDC_SB_1F_VAV2522</t>
  </si>
  <si>
    <t>Office S-1223</t>
  </si>
  <si>
    <t>RDC_SB_1F_VAV2523</t>
  </si>
  <si>
    <t>Office S-1224</t>
  </si>
  <si>
    <t>RDC_SB_1F_VAV2524</t>
  </si>
  <si>
    <t>Office S-1225</t>
  </si>
  <si>
    <t>RDC_SB_1F_VAV2525</t>
  </si>
  <si>
    <t>Office S-1226</t>
  </si>
  <si>
    <t>RDC_SB_1F_VAV2526</t>
  </si>
  <si>
    <t>Open Plan S-1227</t>
  </si>
  <si>
    <t>RDC_SB_1F_VAV2527</t>
  </si>
  <si>
    <t>Director Office S-1228</t>
  </si>
  <si>
    <t>RDC_SB_1F_VAV2528</t>
  </si>
  <si>
    <t>Director Office S-1230</t>
  </si>
  <si>
    <t>RDC_SB_1F_VAV2529</t>
  </si>
  <si>
    <t>Office S-1231</t>
  </si>
  <si>
    <t>RDC_SB_1F_VAV2530</t>
  </si>
  <si>
    <t>Office S-1232</t>
  </si>
  <si>
    <t>RDC_SB_1F_VAV2531</t>
  </si>
  <si>
    <t>Director Office S-1241</t>
  </si>
  <si>
    <t>RDC_SB_1F_VAV2532</t>
  </si>
  <si>
    <t>Office S-1242</t>
  </si>
  <si>
    <t>RDC_SB_1F_VAV2533</t>
  </si>
  <si>
    <t>Cooridor S-1246</t>
  </si>
  <si>
    <t>RDC_SB_1F_VAV2534</t>
  </si>
  <si>
    <t>Meeting Room S-1247</t>
  </si>
  <si>
    <t>RDC_SB_1F_VAV2535</t>
  </si>
  <si>
    <t>Store S-1248</t>
  </si>
  <si>
    <t>RDC_SB_1F_VAV2536</t>
  </si>
  <si>
    <t>Normal Elec. S-1251</t>
  </si>
  <si>
    <t>RDC_SB_1F_VAV2538</t>
  </si>
  <si>
    <t>Office S-1257</t>
  </si>
  <si>
    <t>RDC_SB_1F_VAV2539</t>
  </si>
  <si>
    <t>Office S-1257B</t>
  </si>
  <si>
    <t>RDC_SB_1F_VAV2540</t>
  </si>
  <si>
    <t>Executive Director S-1260</t>
  </si>
  <si>
    <t>RDC_SB_1F_VAV2541</t>
  </si>
  <si>
    <t>Assistant S-1261</t>
  </si>
  <si>
    <t>RDC_SB_1F_VAV2542</t>
  </si>
  <si>
    <t>Open Plan S-1263</t>
  </si>
  <si>
    <t>RDC_SB_1F_VAV2543</t>
  </si>
  <si>
    <t>Office S-1264</t>
  </si>
  <si>
    <t>RDC_SB_1F_VAV2544</t>
  </si>
  <si>
    <t>Office S-1265</t>
  </si>
  <si>
    <t>RDC_SB_1F_VAV2545</t>
  </si>
  <si>
    <t>Office S-1266</t>
  </si>
  <si>
    <t>RDC_SB_1F_VAV2546</t>
  </si>
  <si>
    <t>Office S-1267</t>
  </si>
  <si>
    <t>RDC_SB_1F_VAV2547</t>
  </si>
  <si>
    <t>Office S-1268</t>
  </si>
  <si>
    <t>RDC_SB_1F_VAV2548</t>
  </si>
  <si>
    <t>Office S-1269</t>
  </si>
  <si>
    <t>RDC_SB_1F_VAV2549</t>
  </si>
  <si>
    <t>Office S-1270</t>
  </si>
  <si>
    <t>RDC_SB_1F_VAV2550</t>
  </si>
  <si>
    <t>Office S-1271</t>
  </si>
  <si>
    <t>RDC_SB_1F_VAV2551</t>
  </si>
  <si>
    <t>Meeting Room S-1272</t>
  </si>
  <si>
    <t>RDC_SB_1F_VAV2552</t>
  </si>
  <si>
    <t>Vestibule S-1273</t>
  </si>
  <si>
    <t>RDC_SB_1F_VAV2553</t>
  </si>
  <si>
    <t>Male Prayer S-1278</t>
  </si>
  <si>
    <t>RDC_SB_1F_VAV3504</t>
  </si>
  <si>
    <t>Open Plan S-1229</t>
  </si>
  <si>
    <t>RDC_SB_1F_VAV3505</t>
  </si>
  <si>
    <t>RDC_SB_1F_VAV3506</t>
  </si>
  <si>
    <t>Office S-1233</t>
  </si>
  <si>
    <t>RDC_SB_1F_VAV3507</t>
  </si>
  <si>
    <t>Office S-1234</t>
  </si>
  <si>
    <t>RDC_SB_1F_VAV3508</t>
  </si>
  <si>
    <t>Office S-1235</t>
  </si>
  <si>
    <t>RDC_SB_1F_VAV3509</t>
  </si>
  <si>
    <t>Policy Director Office S-1237</t>
  </si>
  <si>
    <t>RDC_SB_1F_VAV3510</t>
  </si>
  <si>
    <t>Policy Executive Director Office S-1240</t>
  </si>
  <si>
    <t>RDC_SB_1F_VAV3511</t>
  </si>
  <si>
    <t>Corridor S-1280</t>
  </si>
  <si>
    <t>RDC_SB_1F_VAV3512</t>
  </si>
  <si>
    <t>Pantry S-1282</t>
  </si>
  <si>
    <t>RDC_SB_1F_VAV3513</t>
  </si>
  <si>
    <t>Office S-1283</t>
  </si>
  <si>
    <t>RDC_SB_1F_VAV3514</t>
  </si>
  <si>
    <t>Office S-1284</t>
  </si>
  <si>
    <t>RDC_SB_1F_VAV3515</t>
  </si>
  <si>
    <t>S-1285 VP R&amp;D</t>
  </si>
  <si>
    <t>RDC_SB_1F_VAV3516</t>
  </si>
  <si>
    <t>Meeting Room S-1288</t>
  </si>
  <si>
    <t>RDC_SB_1F_VAV3517</t>
  </si>
  <si>
    <t>Dressing Room S-1290</t>
  </si>
  <si>
    <t>RDC_SB_1F_VAV3518</t>
  </si>
  <si>
    <t>Waiting Area S-1292</t>
  </si>
  <si>
    <t>RDC_SB_1F_VAV3519</t>
  </si>
  <si>
    <t>Open Plan S-1293</t>
  </si>
  <si>
    <t>RDC_SB_1F_VAV3520</t>
  </si>
  <si>
    <t>Office S-1294</t>
  </si>
  <si>
    <t>RDC_SB_1F_VAV3521</t>
  </si>
  <si>
    <t>Office S-1295</t>
  </si>
  <si>
    <t>RDC_SB_1F_VAV3522</t>
  </si>
  <si>
    <t>Conference Room S-1296</t>
  </si>
  <si>
    <t>RDC_SB_1F_VAV3523</t>
  </si>
  <si>
    <t>Office S-1299</t>
  </si>
  <si>
    <t>RDC_SB_1F_VAV3524</t>
  </si>
  <si>
    <t>Normal Elec. S-1238</t>
  </si>
  <si>
    <t>RDC_SB_GF_VAV0001</t>
  </si>
  <si>
    <t>Vestibule S-0101</t>
  </si>
  <si>
    <t>RDC_SB_GF_VAV0002</t>
  </si>
  <si>
    <t>Main Lobby S-0102</t>
  </si>
  <si>
    <t>RDC_SB_GF_VAV0003</t>
  </si>
  <si>
    <t>Entrance Lobby S-0102</t>
  </si>
  <si>
    <t>RDC_SB_GF_VAV0007</t>
  </si>
  <si>
    <t>Conference S-0109</t>
  </si>
  <si>
    <t>RDC_SB_GF_VAV0008</t>
  </si>
  <si>
    <t>Computer Research Lab 3 S-0110</t>
  </si>
  <si>
    <t>RDC_SB_GF_VAV0009</t>
  </si>
  <si>
    <t>Phone Booth S-0111</t>
  </si>
  <si>
    <t>RDC_SB_GF_VAV0010</t>
  </si>
  <si>
    <t>Phone Booth S-0112</t>
  </si>
  <si>
    <t>RDC_SB_GF_VAV0011</t>
  </si>
  <si>
    <t>Conference S-0113</t>
  </si>
  <si>
    <t>RDC_SB_GF_VAV0012</t>
  </si>
  <si>
    <t>Computer Research Lab 2 S-0114</t>
  </si>
  <si>
    <t>RDC_SB_GF_VAV0013</t>
  </si>
  <si>
    <t>Phone Booth S-0115</t>
  </si>
  <si>
    <t>RDC_SB_GF_VAV0014</t>
  </si>
  <si>
    <t>Phone Booth S-0116</t>
  </si>
  <si>
    <t>RDC_SB_GF_VAV0016</t>
  </si>
  <si>
    <t>Conference S-0118</t>
  </si>
  <si>
    <t>RDC_SB_GF_VAV0017</t>
  </si>
  <si>
    <t>Computer Research Lab 1 S-0119</t>
  </si>
  <si>
    <t>RDC_SB_GF_VAV0018</t>
  </si>
  <si>
    <t>Restaurant S-0123</t>
  </si>
  <si>
    <t>RDC_SB_GF_VAV0019</t>
  </si>
  <si>
    <t>RDC_SB_GF_VAV0025</t>
  </si>
  <si>
    <t>Alt Recording Sound S-0135</t>
  </si>
  <si>
    <t>RDC_SB_GF_VAV1003_VEV1002</t>
  </si>
  <si>
    <t>NOC Lab S-0140A</t>
  </si>
  <si>
    <t>RDC_SB_GF_VAV1004</t>
  </si>
  <si>
    <t>Corridor S-0137 / S-0143</t>
  </si>
  <si>
    <t>RDC_SB_GF_VAV1008</t>
  </si>
  <si>
    <t>Cyber Embedded Sys. S-0146</t>
  </si>
  <si>
    <t>RDC_SB_GF_VAV2002</t>
  </si>
  <si>
    <t>Conference Room S-0207</t>
  </si>
  <si>
    <t>RDC_SB_GF_VAV2003</t>
  </si>
  <si>
    <t>Multi Purpose Hall S-0208</t>
  </si>
  <si>
    <t>RDC_SB_GF_VAV2004</t>
  </si>
  <si>
    <t>RDC_SB_GF_VAV2005</t>
  </si>
  <si>
    <t>Technical Open Plan S-0211</t>
  </si>
  <si>
    <t>RDC_SB_GF_VAV2006</t>
  </si>
  <si>
    <t>Meeting Room S-0212</t>
  </si>
  <si>
    <t>RDC_SB_GF_VAV2007</t>
  </si>
  <si>
    <t>Office S-0213</t>
  </si>
  <si>
    <t>RDC_SB_GF_VAV2008</t>
  </si>
  <si>
    <t>Office S-0214</t>
  </si>
  <si>
    <t>RDC_SB_GF_VAV2009</t>
  </si>
  <si>
    <t>Office S-0215</t>
  </si>
  <si>
    <t>RDC_SB_GF_VAV2010</t>
  </si>
  <si>
    <t>Office S-0216</t>
  </si>
  <si>
    <t>RDC_SB_GF_VAV2011</t>
  </si>
  <si>
    <t>Office S-0217</t>
  </si>
  <si>
    <t>RDC_SB_GF_VAV2012</t>
  </si>
  <si>
    <t>Director Office S-0218</t>
  </si>
  <si>
    <t>RDC_SB_GF_VAV2013</t>
  </si>
  <si>
    <t>Office S-0219</t>
  </si>
  <si>
    <t>RDC_SB_GF_VAV2014</t>
  </si>
  <si>
    <t>Office S-0220</t>
  </si>
  <si>
    <t>RDC_SB_GF_VAV2015</t>
  </si>
  <si>
    <t>Director Office S-0221</t>
  </si>
  <si>
    <t>RDC_SB_GF_VAV2016</t>
  </si>
  <si>
    <t>Director Office S-0222</t>
  </si>
  <si>
    <t>RDC_SB_GF_VAV2017</t>
  </si>
  <si>
    <t>Meeting Room S-0223</t>
  </si>
  <si>
    <t>RDC_SB_GF_VAV2018</t>
  </si>
  <si>
    <t>Print Hub S-0225</t>
  </si>
  <si>
    <t>RDC_SB_GF_VAV2019</t>
  </si>
  <si>
    <t>Office S-0227</t>
  </si>
  <si>
    <t>RDC_SB_GF_VAV2020</t>
  </si>
  <si>
    <t>Informal Meeting S-0231</t>
  </si>
  <si>
    <t>RDC_SB_GF_VAV2021</t>
  </si>
  <si>
    <t>Open Plan S-0228</t>
  </si>
  <si>
    <t>RDC_SB_GF_VAV2022</t>
  </si>
  <si>
    <t>Director Office S-0229</t>
  </si>
  <si>
    <t>RDC_SB_GF_VAV2023</t>
  </si>
  <si>
    <t>Office S-0230</t>
  </si>
  <si>
    <t>RDC_SB_GF_VAV2024</t>
  </si>
  <si>
    <t>Executive Director Office S-0232</t>
  </si>
  <si>
    <t>RDC_SB_GF_VAV2025</t>
  </si>
  <si>
    <t>Executive Director Office S-0233</t>
  </si>
  <si>
    <t>RDC_SB_GF_VAV2026</t>
  </si>
  <si>
    <t>Office S-0234</t>
  </si>
  <si>
    <t>RDC_SB_GF_VAV2027</t>
  </si>
  <si>
    <t>Office S-0235</t>
  </si>
  <si>
    <t>RDC_SB_GF_VAV2028</t>
  </si>
  <si>
    <t>Office S-0236</t>
  </si>
  <si>
    <t>RDC_SB_GF_VAV2029</t>
  </si>
  <si>
    <t>Waiting Area S-0251</t>
  </si>
  <si>
    <t>RDC_SB_GF_VAV2030</t>
  </si>
  <si>
    <t>Office S-0259</t>
  </si>
  <si>
    <t>RDC_SB_GF_VAV2031</t>
  </si>
  <si>
    <t>Office S-0260</t>
  </si>
  <si>
    <t>RDC_SB_GF_VAV2032</t>
  </si>
  <si>
    <t>Open Plan S-0269</t>
  </si>
  <si>
    <t>RDC_SB_GF_VAV2033</t>
  </si>
  <si>
    <t>Store S-0275</t>
  </si>
  <si>
    <t>RDC_SB_GF_VAV2034</t>
  </si>
  <si>
    <t>Meeting Room S-0274</t>
  </si>
  <si>
    <t>RDC_SB_GF_VAV2035</t>
  </si>
  <si>
    <t>Pantry S-0270</t>
  </si>
  <si>
    <t>RDC_SB_GF_VAV2036</t>
  </si>
  <si>
    <t>Emergency Elec. Room S-0278</t>
  </si>
  <si>
    <t>RDC_SB_GF_VAV2037</t>
  </si>
  <si>
    <t>Men S-0284</t>
  </si>
  <si>
    <t>RDC_SB_GF_VAV2038</t>
  </si>
  <si>
    <t>Informal Meeting S-0285</t>
  </si>
  <si>
    <t>RDC_SB_GF_VAV2039</t>
  </si>
  <si>
    <t>Meeting Room S-0286</t>
  </si>
  <si>
    <t>RDC_SB_GF_VAV2040</t>
  </si>
  <si>
    <t>Open Plan S-0289</t>
  </si>
  <si>
    <t>RDC_SB_GF_VAV2041</t>
  </si>
  <si>
    <t>RDC_SB_GF_VAV2042</t>
  </si>
  <si>
    <t>Corridor S-0273</t>
  </si>
  <si>
    <t>RDC_SB_GF_VAV2043</t>
  </si>
  <si>
    <t>Women S-0281</t>
  </si>
  <si>
    <t>RDC_SB_GF_VAV2044</t>
  </si>
  <si>
    <t>Lobby S-0294</t>
  </si>
  <si>
    <t>RDC_SB_GF_VAV2045</t>
  </si>
  <si>
    <t>RDC_SB_GF_VAV2046</t>
  </si>
  <si>
    <t>RDC_SB_GF_VAV2047</t>
  </si>
  <si>
    <t>RDC_SB_GF_VAV3001</t>
  </si>
  <si>
    <t>Director Office S-0237</t>
  </si>
  <si>
    <t>RDC_SB_GF_VAV3002</t>
  </si>
  <si>
    <t>Office S-0238</t>
  </si>
  <si>
    <t>RDC_SB_GF_VAV3003</t>
  </si>
  <si>
    <t>Office S-0239</t>
  </si>
  <si>
    <t>RDC_SB_GF_VAV3004</t>
  </si>
  <si>
    <t>Office S-0240</t>
  </si>
  <si>
    <t>RDC_SB_GF_VAV3005</t>
  </si>
  <si>
    <t>Office S-0241</t>
  </si>
  <si>
    <t>RDC_SB_GF_VAV3006</t>
  </si>
  <si>
    <t>Office S-0242</t>
  </si>
  <si>
    <t>RDC_SB_GF_VAV3007</t>
  </si>
  <si>
    <t>Director Office S-0243</t>
  </si>
  <si>
    <t>RDC_SB_GF_VAV3008</t>
  </si>
  <si>
    <t>Open Plan S-0244</t>
  </si>
  <si>
    <t>RDC_SB_GF_VAV3009</t>
  </si>
  <si>
    <t>RDC_SB_GF_VAV3010</t>
  </si>
  <si>
    <t>RDC_SB_GF_VAV3011</t>
  </si>
  <si>
    <t>Meeting Room S-0245</t>
  </si>
  <si>
    <t>RDC_SB_GF_VAV3012</t>
  </si>
  <si>
    <t>Office S-0246</t>
  </si>
  <si>
    <t>RDC_SB_GF_VAV3013</t>
  </si>
  <si>
    <t>Office S-0247</t>
  </si>
  <si>
    <t>RDC_SB_GF_VAV3014</t>
  </si>
  <si>
    <t>Office S-0248</t>
  </si>
  <si>
    <t>RDC_SB_GF_VAV3015</t>
  </si>
  <si>
    <t>Security S-0249</t>
  </si>
  <si>
    <t>RDC_SB_GF_VAV3016</t>
  </si>
  <si>
    <t>Corridor S-0250</t>
  </si>
  <si>
    <t>RDC_SB_GF_VAV3017</t>
  </si>
  <si>
    <t>Office S-0251</t>
  </si>
  <si>
    <t>RDC_SB_GF_VAV3018</t>
  </si>
  <si>
    <t>Corridor S-0251</t>
  </si>
  <si>
    <t>RDC_SB_GF_VAV3019</t>
  </si>
  <si>
    <t>RDC_SB_GF_VAV3020</t>
  </si>
  <si>
    <t>Office S-0252</t>
  </si>
  <si>
    <t>RDC_SB_GF_VAV3021</t>
  </si>
  <si>
    <t>RDC_SB_GF_VAV3022</t>
  </si>
  <si>
    <t>Office S-0253</t>
  </si>
  <si>
    <t>RDC_SB_GF_VAV3023</t>
  </si>
  <si>
    <t>RDC_SB_GF_VAV3024</t>
  </si>
  <si>
    <t>Office S-0254</t>
  </si>
  <si>
    <t>RDC_SB_GF_VAV3025</t>
  </si>
  <si>
    <t>Office S-0255</t>
  </si>
  <si>
    <t>RDC_SB_GF_VAV3026</t>
  </si>
  <si>
    <t>Office S-0256</t>
  </si>
  <si>
    <t>RDC_SB_GF_VAV3027</t>
  </si>
  <si>
    <t>Office S-0257</t>
  </si>
  <si>
    <t>RDC_SB_GF_VAV3028</t>
  </si>
  <si>
    <t>Office S-0258</t>
  </si>
  <si>
    <t>RDC_SB_GF_VAV3029</t>
  </si>
  <si>
    <t>Open Plan S-0261</t>
  </si>
  <si>
    <t>RDC_SB_GF_VAV3030</t>
  </si>
  <si>
    <t>Open Plan S-0262</t>
  </si>
  <si>
    <t>RDC_SB_GF_VAV3031</t>
  </si>
  <si>
    <t>Server S-0264</t>
  </si>
  <si>
    <t>RDC_SB_GF_VAV3032</t>
  </si>
  <si>
    <t>Open Plan S-0265</t>
  </si>
  <si>
    <t>RDC_SB_GF_VAV3033</t>
  </si>
  <si>
    <t>Corridor / Print / Emergency Elec Rm / Normal Elec Rm S-0251 / S-0263 / S-0266 / S-0267</t>
  </si>
  <si>
    <t>RDC_SB_GF_VAV3034</t>
  </si>
  <si>
    <t>Vestibule S-0293</t>
  </si>
  <si>
    <t>RDC_SB_GF_VAV3035</t>
  </si>
  <si>
    <t>RDC_SB_GF_VAV3036</t>
  </si>
  <si>
    <t>RDC_SB_GF_VAV3501</t>
  </si>
  <si>
    <t>RDC_SB_GF_VAV3502</t>
  </si>
  <si>
    <t>RDC_SB_GF_VAV3503</t>
  </si>
  <si>
    <t>RDC_NB_1F_VAV4510</t>
  </si>
  <si>
    <t>Corridor N-1202A</t>
  </si>
  <si>
    <t>RDC_NB_1F_VAV4515_EV4516</t>
  </si>
  <si>
    <t>Emergency Electrical Room N-1203</t>
  </si>
  <si>
    <t>RDC_NB_1F_VAV4520_EV4521</t>
  </si>
  <si>
    <t>Normal Electrical Room N-1204</t>
  </si>
  <si>
    <t>RDC_NB_1F_VAV4525_EV4526</t>
  </si>
  <si>
    <t>Conference Room N-1205</t>
  </si>
  <si>
    <t>RDC_NB_1F_VAV4530_EV4531</t>
  </si>
  <si>
    <t>Office N-1206</t>
  </si>
  <si>
    <t>RDC_NB_1F_VAV4535_EV4536</t>
  </si>
  <si>
    <t>Office N-1207</t>
  </si>
  <si>
    <t>RDC_NB_1F_VAV4540_EV4541</t>
  </si>
  <si>
    <t>Office N-1208</t>
  </si>
  <si>
    <t>RDC_NB_1F_VAV4545_EV4546</t>
  </si>
  <si>
    <t>Office N-1209</t>
  </si>
  <si>
    <t>RDC_NB_1F_VAV4550_EV4551</t>
  </si>
  <si>
    <t>Office N-1210</t>
  </si>
  <si>
    <t>RDC_NB_1F_VAV4555_EV4556</t>
  </si>
  <si>
    <t>Confer Room N-1211</t>
  </si>
  <si>
    <t>RDC_NB_1F_VAV4560_EV4561</t>
  </si>
  <si>
    <t>Office N-1212</t>
  </si>
  <si>
    <t>RDC_NB_1F_VAV4565_EV4566</t>
  </si>
  <si>
    <t>Conference N-1213</t>
  </si>
  <si>
    <t>RDC_NB_1F_VAV4570_EV4571</t>
  </si>
  <si>
    <t>Office 04 N-1214</t>
  </si>
  <si>
    <t>RDC_NB_1F_VAV4575_EV4576</t>
  </si>
  <si>
    <t>Storage N-1215</t>
  </si>
  <si>
    <t>RDC_NB_1F_VAV4580</t>
  </si>
  <si>
    <t>Photovoltaic Lab N-1216A</t>
  </si>
  <si>
    <t>RDC_NB_1F_VAV4600</t>
  </si>
  <si>
    <t>Testing Room N-1216B</t>
  </si>
  <si>
    <t>RDC_NB_1F_VAV4601</t>
  </si>
  <si>
    <t>RDC_NB_1F_VAV4620_VEV4621</t>
  </si>
  <si>
    <t>EL Shop N-1216C</t>
  </si>
  <si>
    <t>RDC_NB_1F_VAV4630_VEV4631</t>
  </si>
  <si>
    <t>GIS N-1216D</t>
  </si>
  <si>
    <t>RDC_NB_1F_VAV4650</t>
  </si>
  <si>
    <t>Breakout N-1225</t>
  </si>
  <si>
    <t>RDC_NB_1F_VAV4660</t>
  </si>
  <si>
    <t>Expansion Workstation N-1227</t>
  </si>
  <si>
    <t>RDC_NB_1F_VAV4665</t>
  </si>
  <si>
    <t>Office N-1228</t>
  </si>
  <si>
    <t>RDC_NB_1F_VAV4670</t>
  </si>
  <si>
    <t>Office N-1229</t>
  </si>
  <si>
    <t>RDC_NB_1F_VAV4675</t>
  </si>
  <si>
    <t>Office N-1230</t>
  </si>
  <si>
    <t>RDC_NB_1F_VAV4680</t>
  </si>
  <si>
    <t>Office N-1231</t>
  </si>
  <si>
    <t>RDC_NB_1F_VAV4685</t>
  </si>
  <si>
    <t>Workstation N-1232</t>
  </si>
  <si>
    <t>RDC_NB_1F_VAV4690</t>
  </si>
  <si>
    <t>Office N-1233</t>
  </si>
  <si>
    <t>RDC_NB_1F_VAV4695</t>
  </si>
  <si>
    <t>Office N-1234</t>
  </si>
  <si>
    <t>RDC_NB_1F_VAV4700</t>
  </si>
  <si>
    <t>Office N-1235</t>
  </si>
  <si>
    <t>RDC_NB_1F_VAV4705</t>
  </si>
  <si>
    <t>Office N-1236</t>
  </si>
  <si>
    <t>RDC_NB_1F_VAV4710</t>
  </si>
  <si>
    <t>Workstation N-1237</t>
  </si>
  <si>
    <t>RDC_NB_1F_VAV4715</t>
  </si>
  <si>
    <t>Office N-1238</t>
  </si>
  <si>
    <t>RDC_NB_1F_VAV4720</t>
  </si>
  <si>
    <t>Office N-1239</t>
  </si>
  <si>
    <t>RDC_NB_1F_VAV4725</t>
  </si>
  <si>
    <t>Office N-1240</t>
  </si>
  <si>
    <t>RDC_NB_1F_VAV4730</t>
  </si>
  <si>
    <t>Office N-1241</t>
  </si>
  <si>
    <t>RDC_NB_1F_VAV4735</t>
  </si>
  <si>
    <t>Workstation N-1242</t>
  </si>
  <si>
    <t>RDC_NB_1F_VAV4740</t>
  </si>
  <si>
    <t>Exp Office N-1243</t>
  </si>
  <si>
    <t>RDC_NB_1F_VAV4745</t>
  </si>
  <si>
    <t>Office N-1244</t>
  </si>
  <si>
    <t>RDC_NB_1F_VAV4900P</t>
  </si>
  <si>
    <t>Normal Electric N-2102</t>
  </si>
  <si>
    <t>RDC_NB_1F_VAV4910P</t>
  </si>
  <si>
    <t>Emergency Electr N-2103</t>
  </si>
  <si>
    <t>RDC_NB_1F_VAV5500</t>
  </si>
  <si>
    <t>Lobby N-1101</t>
  </si>
  <si>
    <t>RDC_NB_1F_VAV5501</t>
  </si>
  <si>
    <t>RDC_NB_1F_VAV5510_EV5511</t>
  </si>
  <si>
    <t>Conference N-1101A</t>
  </si>
  <si>
    <t>RDC_NB_1F_VAV5515_EV5516</t>
  </si>
  <si>
    <t>Emergency Electrical Room N-1102</t>
  </si>
  <si>
    <t>RDC_NB_1F_VAV5520_EV5521</t>
  </si>
  <si>
    <t>Conference N-1106</t>
  </si>
  <si>
    <t>RDC_NB_1F_VAV5525_EV5526</t>
  </si>
  <si>
    <t>Conference N-1107</t>
  </si>
  <si>
    <t>RDC_NB_1F_VAV5535_EV5536</t>
  </si>
  <si>
    <t>Conference N-1112</t>
  </si>
  <si>
    <t>RDC_NB_1F_VAV5540_EV5541</t>
  </si>
  <si>
    <t>Normal Electrical Room N-1113</t>
  </si>
  <si>
    <t>RDC_NB_1F_VAV5550_VEV5551</t>
  </si>
  <si>
    <t>PCR N-1115A</t>
  </si>
  <si>
    <t>RDC_NB_1F_VAV5560_VEV5561</t>
  </si>
  <si>
    <t>PRE-PCR N-1115B</t>
  </si>
  <si>
    <t>RDC_NB_1F_VAV5570</t>
  </si>
  <si>
    <t>Met/Prot Lab N-1115C</t>
  </si>
  <si>
    <t>RDC_NB_1F_VAV5571</t>
  </si>
  <si>
    <t>RDC_NB_1F_VAV5580_VEV5581</t>
  </si>
  <si>
    <t>DNA/RNA N-1115D</t>
  </si>
  <si>
    <t>RDC_NB_1F_VAV5590</t>
  </si>
  <si>
    <t>Cell Culture N-1115E</t>
  </si>
  <si>
    <t>RDC_NB_1F_VAV5600_VEV5601</t>
  </si>
  <si>
    <t>Library N-1115H</t>
  </si>
  <si>
    <t>RDC_NB_1F_VAV5610_VEV5611</t>
  </si>
  <si>
    <t>Robotics N-1115J</t>
  </si>
  <si>
    <t>RDC_NB_1F_VAV5620_VEV5622</t>
  </si>
  <si>
    <t>Sequence Lab N-1115K</t>
  </si>
  <si>
    <t>RDC_NB_1F_VAV5621_VEV5623</t>
  </si>
  <si>
    <t>RDC_NB_1F_VAV5630_VEV5631</t>
  </si>
  <si>
    <t>Genom Med Lab N-1115K1</t>
  </si>
  <si>
    <t>RDC_NB_1F_VAV5650</t>
  </si>
  <si>
    <t>Office N-1120</t>
  </si>
  <si>
    <t>RDC_NB_1F_VAV5655_EV5656</t>
  </si>
  <si>
    <t>Store N-1120B</t>
  </si>
  <si>
    <t>RDC_NB_1F_VAV5660</t>
  </si>
  <si>
    <t>Office N-1121</t>
  </si>
  <si>
    <t>RDC_NB_1F_VAV5665</t>
  </si>
  <si>
    <t>Office N-1122</t>
  </si>
  <si>
    <t>RDC_NB_1F_VAV5670</t>
  </si>
  <si>
    <t>Office N-1123</t>
  </si>
  <si>
    <t>RDC_NB_1F_VAV5675</t>
  </si>
  <si>
    <t>Office N-1124</t>
  </si>
  <si>
    <t>RDC_NB_1F_VAV5680</t>
  </si>
  <si>
    <t>Office N-1125</t>
  </si>
  <si>
    <t>RDC_NB_1F_VAV5685</t>
  </si>
  <si>
    <t>Corridor N-1126</t>
  </si>
  <si>
    <t>RDC_NB_1F_VAV5690</t>
  </si>
  <si>
    <t>Office N-1127</t>
  </si>
  <si>
    <t>RDC_NB_1F_VAV5695</t>
  </si>
  <si>
    <t>Office N-1128</t>
  </si>
  <si>
    <t>RDC_NB_1F_VAV5700</t>
  </si>
  <si>
    <t>Office N-1129</t>
  </si>
  <si>
    <t>RDC_NB_1F_VAV5705</t>
  </si>
  <si>
    <t>Office N-1130</t>
  </si>
  <si>
    <t>RDC_NB_1F_VAV5710</t>
  </si>
  <si>
    <t>Office N-1131</t>
  </si>
  <si>
    <t>RDC_NB_1F_VAV5715_EV5716</t>
  </si>
  <si>
    <t>Conf Rm N-1132</t>
  </si>
  <si>
    <t>RDC_NB_1F_VAV5730_EV5731</t>
  </si>
  <si>
    <t>Store N-1135</t>
  </si>
  <si>
    <t>RDC_NB_1F_VAV5735_EV5736</t>
  </si>
  <si>
    <t>Normal Elec. N-1136</t>
  </si>
  <si>
    <t>RDC_NB_1F_VAV5740_EV5741</t>
  </si>
  <si>
    <t>Emer. Elec. N-1137</t>
  </si>
  <si>
    <t>RDC_NB_1F_VAV5745</t>
  </si>
  <si>
    <t>Corridor N-1138</t>
  </si>
  <si>
    <t>RDC_NB_1F_VAV5760_EV5761</t>
  </si>
  <si>
    <t>Conf N-1143</t>
  </si>
  <si>
    <t>RDC_NB_1F_VAV5770_VEV5771</t>
  </si>
  <si>
    <t>Histology N-1144A</t>
  </si>
  <si>
    <t>RDC_NB_1F_VAV5780_VEV5781</t>
  </si>
  <si>
    <t>Culture &amp; Gel Rm N-1144B</t>
  </si>
  <si>
    <t>RDC_NB_1F_VAV5790</t>
  </si>
  <si>
    <t>Shafallah N-1144C</t>
  </si>
  <si>
    <t>RDC_NB_1F_VAV5792_VEV5793</t>
  </si>
  <si>
    <t>Sample Accession N-1144C1</t>
  </si>
  <si>
    <t>RDC_NB_1F_VAV5794_VEV5795A</t>
  </si>
  <si>
    <t>Storage and Archives N-1144C2</t>
  </si>
  <si>
    <t>RDC_NB_1F_VAV5800_VEV5801</t>
  </si>
  <si>
    <t>Pre-PCR N-1144D</t>
  </si>
  <si>
    <t>RDC_NB_1F_VAV5810</t>
  </si>
  <si>
    <t>Nano Lab N-1144E</t>
  </si>
  <si>
    <t>RDC_NB_1F_VAV5814</t>
  </si>
  <si>
    <t>RDC_NB_1F_VAV5835_EV5836</t>
  </si>
  <si>
    <t>P/C/S Pantry N-1146</t>
  </si>
  <si>
    <t>RDC_NB_1F_VAV5840</t>
  </si>
  <si>
    <t>Corridor N-1150</t>
  </si>
  <si>
    <t>RDC_NB_1F_VAV5845</t>
  </si>
  <si>
    <t>Reception+N-1151B Storage N-1151</t>
  </si>
  <si>
    <t>RDC_NB_1F_VAV5850</t>
  </si>
  <si>
    <t>Office 04 N-1151A</t>
  </si>
  <si>
    <t>RDC_NB_1F_VAV5855</t>
  </si>
  <si>
    <t>Office 04 N-1152</t>
  </si>
  <si>
    <t>RDC_NB_1F_VAV5860</t>
  </si>
  <si>
    <t>Office N-1154</t>
  </si>
  <si>
    <t>RDC_NB_1F_VAV5865</t>
  </si>
  <si>
    <t>Office N-1155</t>
  </si>
  <si>
    <t>RDC_NB_1F_VAV5870</t>
  </si>
  <si>
    <t>Exp Office N-1156</t>
  </si>
  <si>
    <t>RDC_NB_1F_VAV5875</t>
  </si>
  <si>
    <t>Office N-1157</t>
  </si>
  <si>
    <t>RDC_NB_1F_VAV5880</t>
  </si>
  <si>
    <t>Office N-1158</t>
  </si>
  <si>
    <t>RDC_NB_1F_VAV5885</t>
  </si>
  <si>
    <t>Office N-1159</t>
  </si>
  <si>
    <t>RDC_NB_1F_VAV5890</t>
  </si>
  <si>
    <t>Workstation N-1160</t>
  </si>
  <si>
    <t>RDC_NB_1F_VAV5895</t>
  </si>
  <si>
    <t>Office N-1161</t>
  </si>
  <si>
    <t>RDC_NB_1F_VAV5900</t>
  </si>
  <si>
    <t>Office N-1162</t>
  </si>
  <si>
    <t>RDC_NB_1F_VAV5905</t>
  </si>
  <si>
    <t>Office N-1163</t>
  </si>
  <si>
    <t>RDC_NB_1F_VAV5910</t>
  </si>
  <si>
    <t>Office N-1164</t>
  </si>
  <si>
    <t>RDC_NB_1F_VAV5915</t>
  </si>
  <si>
    <t>Office N-1167</t>
  </si>
  <si>
    <t>RDC_NB_1F_VAV5920</t>
  </si>
  <si>
    <t>Workstation N-1168</t>
  </si>
  <si>
    <t>RDC_NB_1F_VAV5925</t>
  </si>
  <si>
    <t>Office N-1169</t>
  </si>
  <si>
    <t>RDC_NB_1F_VAV5930</t>
  </si>
  <si>
    <t>Office N-1170</t>
  </si>
  <si>
    <t>RDC_NB_1F_VAV5930P</t>
  </si>
  <si>
    <t>Normal Elec. N-2105</t>
  </si>
  <si>
    <t>RDC_NB_1F_VAV5935</t>
  </si>
  <si>
    <t>Office N-1166</t>
  </si>
  <si>
    <t>RDC_NB_1F_VAV5940</t>
  </si>
  <si>
    <t>Workstation N-1165</t>
  </si>
  <si>
    <t>RDC_NB_1F_VAV5940P</t>
  </si>
  <si>
    <t>Emer. Elec. N-2106</t>
  </si>
  <si>
    <t>RDC_NB_1F_VAV6505_EV6506</t>
  </si>
  <si>
    <t>Conference N-1302</t>
  </si>
  <si>
    <t>RDC_NB_1F_VAV6510_EV6511</t>
  </si>
  <si>
    <t>Conference N-1303</t>
  </si>
  <si>
    <t>RDC_NB_1F_VAV6525_EV6526</t>
  </si>
  <si>
    <t>Normal Electrical Room N-1310</t>
  </si>
  <si>
    <t>RDC_NB_1F_VAV6530_VEV6531</t>
  </si>
  <si>
    <t>AAV N-1316A</t>
  </si>
  <si>
    <t>RDC_NB_1F_VAV6540</t>
  </si>
  <si>
    <t>Tissure Culture 1 N-1316B</t>
  </si>
  <si>
    <t>RDC_NB_1F_VAV6550</t>
  </si>
  <si>
    <t>Gene Therapy Lab N-1316C</t>
  </si>
  <si>
    <t>RDC_NB_1F_VAV6551</t>
  </si>
  <si>
    <t>RDC_NB_1F_VAV6560_VEV6561</t>
  </si>
  <si>
    <t>TC2 N-1316D</t>
  </si>
  <si>
    <t>RDC_NB_1F_VAV6570_VEV6571</t>
  </si>
  <si>
    <t>STORE ROOM N-1316E</t>
  </si>
  <si>
    <t>RDC_NB_1F_VAV6590_VEV6591</t>
  </si>
  <si>
    <t>LENTIV N-1316G</t>
  </si>
  <si>
    <t>RDC_NB_1F_VAV6600_VEV6601</t>
  </si>
  <si>
    <t>Analytical Core N-1316H</t>
  </si>
  <si>
    <t>RDC_NB_1F_VAV6610_VEV6611</t>
  </si>
  <si>
    <t>Microscope Room N-1316H</t>
  </si>
  <si>
    <t>RDC_NB_1F_VAV6620_VEV6621</t>
  </si>
  <si>
    <t>Mscopy1 N-1316K</t>
  </si>
  <si>
    <t>RDC_NB_1F_VAV6630A</t>
  </si>
  <si>
    <t>Bio-Med Chem Lab 1 N-1316L</t>
  </si>
  <si>
    <t>RDC_NB_1F_VAV6630B</t>
  </si>
  <si>
    <t>RDC_NB_1F_VAV6631A</t>
  </si>
  <si>
    <t>RDC_NB_1F_VAV6631B</t>
  </si>
  <si>
    <t>RDC_NB_1F_VAV6650</t>
  </si>
  <si>
    <t>Office N-1319</t>
  </si>
  <si>
    <t>RDC_NB_1F_VAV6655</t>
  </si>
  <si>
    <t>Office N-1320</t>
  </si>
  <si>
    <t>RDC_NB_1F_VAV6660</t>
  </si>
  <si>
    <t>Workstation N-1321</t>
  </si>
  <si>
    <t>RDC_NB_1F_VAV6665</t>
  </si>
  <si>
    <t>Office N-1322</t>
  </si>
  <si>
    <t>RDC_NB_1F_VAV6670</t>
  </si>
  <si>
    <t>Office N-1323</t>
  </si>
  <si>
    <t>RDC_NB_1F_VAV6675</t>
  </si>
  <si>
    <t>Workstation N-1324</t>
  </si>
  <si>
    <t>RDC_NB_1F_VAV6680</t>
  </si>
  <si>
    <t>Office N-1325</t>
  </si>
  <si>
    <t>RDC_NB_1F_VAV6685</t>
  </si>
  <si>
    <t>Office N-1326</t>
  </si>
  <si>
    <t>RDC_NB_1F_VAV6690</t>
  </si>
  <si>
    <t>Exp. Workstation N-1327</t>
  </si>
  <si>
    <t>RDC_NB_1F_VAV6695</t>
  </si>
  <si>
    <t>Office N-1328</t>
  </si>
  <si>
    <t>RDC_NB_1F_VAV6700_EV6701</t>
  </si>
  <si>
    <t>NORMAL ELEC. N-1329</t>
  </si>
  <si>
    <t>RDC_NB_1F_VAV6705</t>
  </si>
  <si>
    <t>Office N-1330</t>
  </si>
  <si>
    <t>RDC_NB_1F_VAV6710</t>
  </si>
  <si>
    <t>Office N-1331</t>
  </si>
  <si>
    <t>RDC_NB_1F_VAV6715</t>
  </si>
  <si>
    <t>Office N-1332</t>
  </si>
  <si>
    <t>RDC_NB_1F_VAV6720</t>
  </si>
  <si>
    <t>Corridor N-1335</t>
  </si>
  <si>
    <t>RDC_NB_1F_VAV6725_EV6726</t>
  </si>
  <si>
    <t>Emer. Elec. N-1336</t>
  </si>
  <si>
    <t>RDC_NB_1F_VAV6750</t>
  </si>
  <si>
    <t>Tissue Culture 1 N-1345A</t>
  </si>
  <si>
    <t>RDC_NB_1F_VAV6760</t>
  </si>
  <si>
    <t>Diabetes Lab N-1345B</t>
  </si>
  <si>
    <t>RDC_NB_1F_VAV6761</t>
  </si>
  <si>
    <t>RDC_NB_1F_VAV6800_VEV6801</t>
  </si>
  <si>
    <t>Tissue Culture 3 N-1345D</t>
  </si>
  <si>
    <t>RDC_NB_1F_VAV6810_VEV6811</t>
  </si>
  <si>
    <t>Calc Imaging N-1345E</t>
  </si>
  <si>
    <t>RDC_NB_1F_VAV6820_VEV6821</t>
  </si>
  <si>
    <t>Electro Physics N-1345F</t>
  </si>
  <si>
    <t>RDC_NB_1F_VAV6830_VEV6831</t>
  </si>
  <si>
    <t>Shared Cold Lab N-1345G</t>
  </si>
  <si>
    <t>RDC_NB_1F_VAV6840_VEV6841</t>
  </si>
  <si>
    <t>Bacterlgy Lab N-1345H</t>
  </si>
  <si>
    <t>RDC_NB_1F_VAV6850</t>
  </si>
  <si>
    <t>Bio-Med Chem Lab 2 N-1345J</t>
  </si>
  <si>
    <t>RDC_NB_1F_VAV6851</t>
  </si>
  <si>
    <t>RDC_NB_1F_VAV6870_EV6871</t>
  </si>
  <si>
    <t>Emergency Electrical Room N-1353</t>
  </si>
  <si>
    <t>RDC_NB_1F_VAV6880</t>
  </si>
  <si>
    <t>Reception+N-1355C Storage N-1355</t>
  </si>
  <si>
    <t>RDC_NB_1F_VAV6885</t>
  </si>
  <si>
    <t>Office 04 N-1355A</t>
  </si>
  <si>
    <t>RDC_NB_1F_VAV6890_EV6891</t>
  </si>
  <si>
    <t>Conference Room N-1355B</t>
  </si>
  <si>
    <t>RDC_NB_1F_VAV6895</t>
  </si>
  <si>
    <t>Office 04 N-1356</t>
  </si>
  <si>
    <t>RDC_NB_1F_VAV6900</t>
  </si>
  <si>
    <t>Office N-1357</t>
  </si>
  <si>
    <t>RDC_NB_1F_VAV6905</t>
  </si>
  <si>
    <t>Open Plan N-1358</t>
  </si>
  <si>
    <t>RDC_NB_1F_VAV6910</t>
  </si>
  <si>
    <t>Office N-1359</t>
  </si>
  <si>
    <t>RDC_NB_1F_VAV6915</t>
  </si>
  <si>
    <t>Office N-1360</t>
  </si>
  <si>
    <t>RDC_NB_1F_VAV6920</t>
  </si>
  <si>
    <t>Office N-1360B</t>
  </si>
  <si>
    <t>RDC_NB_1F_VAV6925</t>
  </si>
  <si>
    <t>Office N-1361</t>
  </si>
  <si>
    <t>RDC_NB_1F_VAV6930</t>
  </si>
  <si>
    <t>Office N-1362</t>
  </si>
  <si>
    <t>RDC_NB_1F_VAV6935</t>
  </si>
  <si>
    <t>Workstation N-1363</t>
  </si>
  <si>
    <t>RDC_NB_1F_VAV6940</t>
  </si>
  <si>
    <t>Office N-1364</t>
  </si>
  <si>
    <t>RDC_NB_1F_VAV6945</t>
  </si>
  <si>
    <t>Office N-1365</t>
  </si>
  <si>
    <t>RDC_NB_1F_VAV6950</t>
  </si>
  <si>
    <t>Office N-1366</t>
  </si>
  <si>
    <t>RDC_NB_1F_VAV6955</t>
  </si>
  <si>
    <t>Office N-1367</t>
  </si>
  <si>
    <t>RDC_NB_1F_VAV6960</t>
  </si>
  <si>
    <t>Workstation N-1368</t>
  </si>
  <si>
    <t>RDC_NB_1F_VAV6965</t>
  </si>
  <si>
    <t>Office N-1369</t>
  </si>
  <si>
    <t>RDC_NB_1F_VAV6967</t>
  </si>
  <si>
    <t>Office N-1370</t>
  </si>
  <si>
    <t>RDC_NB_1F_VAV6968</t>
  </si>
  <si>
    <t>Workstation N-1371</t>
  </si>
  <si>
    <t>RDC_NB_1F_VAV6970_EV6971</t>
  </si>
  <si>
    <t>PANTRY N-1372</t>
  </si>
  <si>
    <t>RDC_NB_1F_VAV6972</t>
  </si>
  <si>
    <t>Office N-1374</t>
  </si>
  <si>
    <t>RDC_NB_1F_VAV6974</t>
  </si>
  <si>
    <t>Office N-1375</t>
  </si>
  <si>
    <t>RDC_NB_1F_VAV6976</t>
  </si>
  <si>
    <t>Office N-1376</t>
  </si>
  <si>
    <t>RDC_NB_1F_VAV6978</t>
  </si>
  <si>
    <t>Office N-1377</t>
  </si>
  <si>
    <t>RDC_NB_1F_VAV6979P</t>
  </si>
  <si>
    <t>Normal Elec. N-2107</t>
  </si>
  <si>
    <t>RDC_NB_1F_VAV6980P</t>
  </si>
  <si>
    <t>Emer. Elec. N-2108</t>
  </si>
  <si>
    <t>RDC_NB_1F_VAV7510_VEV7511</t>
  </si>
  <si>
    <t>TC1 N-1404A</t>
  </si>
  <si>
    <t>RDC_NB_1F_VAV7530_VEV7532</t>
  </si>
  <si>
    <t>Cell Bio N-1404C</t>
  </si>
  <si>
    <t>RDC_NB_1F_VAV7531_VEV7533</t>
  </si>
  <si>
    <t>RDC_NB_1F_VAV7540_VEV7541</t>
  </si>
  <si>
    <t>Shared Eq Rm N-1404D</t>
  </si>
  <si>
    <t>RDC_NB_1F_VAV7550_VEV7551</t>
  </si>
  <si>
    <t>TC2 N-1404E</t>
  </si>
  <si>
    <t>RDC_NB_1F_VAV7560_VEV7561</t>
  </si>
  <si>
    <t>Imaging N-1404F</t>
  </si>
  <si>
    <t>RDC_NB_1F_VAV7570_VEV7571</t>
  </si>
  <si>
    <t>Cell Bio Lab2 N-1404G</t>
  </si>
  <si>
    <t>RDC_NB_1F_VAV7580_VEV7581</t>
  </si>
  <si>
    <t>TC3 N-1404H</t>
  </si>
  <si>
    <t>RDC_NB_1F_VAV7600_VEV7601</t>
  </si>
  <si>
    <t>Cell Bio Lab3 N-1404K</t>
  </si>
  <si>
    <t>RDC_NB_1F_VAV7620</t>
  </si>
  <si>
    <t>Office N-1415</t>
  </si>
  <si>
    <t>RDC_NB_1F_VAV7625</t>
  </si>
  <si>
    <t>Office N-1416</t>
  </si>
  <si>
    <t>RDC_NB_1F_VAV7630</t>
  </si>
  <si>
    <t>Office 05 - 2 WKS- N-1407</t>
  </si>
  <si>
    <t>RDC_NB_1F_VAV7635</t>
  </si>
  <si>
    <t>Office N-1418</t>
  </si>
  <si>
    <t>RDC_NB_1F_VAV7640</t>
  </si>
  <si>
    <t>Office N-1419</t>
  </si>
  <si>
    <t>RDC_NB_1F_VAV7645</t>
  </si>
  <si>
    <t>Exp. Workstation N-1420</t>
  </si>
  <si>
    <t>RDC_NB_1F_VAV7650</t>
  </si>
  <si>
    <t>Office N-1421</t>
  </si>
  <si>
    <t>RDC_NB_1F_VAV7655</t>
  </si>
  <si>
    <t>Office N-1422</t>
  </si>
  <si>
    <t>RDC_NB_1F_VAV7660</t>
  </si>
  <si>
    <t>Office 05 - 2 WKS- N-1401</t>
  </si>
  <si>
    <t>RDC_NB_1F_VAV7665_EV7666</t>
  </si>
  <si>
    <t>Normal Elec. N-1425</t>
  </si>
  <si>
    <t>RDC_NB_1F_VAV7670</t>
  </si>
  <si>
    <t>Office N-1426</t>
  </si>
  <si>
    <t>RDC_NB_1F_VAV7675</t>
  </si>
  <si>
    <t>Office N-1428</t>
  </si>
  <si>
    <t>RDC_NB_1F_VAV7680_EV7681</t>
  </si>
  <si>
    <t>Conf N-1429</t>
  </si>
  <si>
    <t>RDC_NB_1F_VAV7685</t>
  </si>
  <si>
    <t>Office N-1433</t>
  </si>
  <si>
    <t>RDC_NB_1F_VAV7690</t>
  </si>
  <si>
    <t>Office N-1435</t>
  </si>
  <si>
    <t>RDC_NB_1F_VAV7695</t>
  </si>
  <si>
    <t>Office N-1437</t>
  </si>
  <si>
    <t>RDC_NB_1F_VAV7700_EV7701</t>
  </si>
  <si>
    <t>Emer. Elec. N-1438</t>
  </si>
  <si>
    <t>RDC_NB_1F_VAV7705</t>
  </si>
  <si>
    <t>Office 05 - 24 WKS + N-1441 Room N-1442</t>
  </si>
  <si>
    <t>RDC_NB_1F_VAV7710</t>
  </si>
  <si>
    <t>Workstation N-1442</t>
  </si>
  <si>
    <t>RDC_NB_1F_VAV7730_VEV7731</t>
  </si>
  <si>
    <t>Microscope 2 N-1450A</t>
  </si>
  <si>
    <t>RDC_NB_1F_VAV7740_VEV7741</t>
  </si>
  <si>
    <t>LN2 Stor N-1450B</t>
  </si>
  <si>
    <t>RDC_NB_1F_VAV7750_VEV7751</t>
  </si>
  <si>
    <t>Flow Cyto N-1450C</t>
  </si>
  <si>
    <t>RDC_NB_1F_VAV7770_VEV7771</t>
  </si>
  <si>
    <t>Qurnt N-1450E</t>
  </si>
  <si>
    <t>RDC_NB_1F_VAV7780_VEV7781</t>
  </si>
  <si>
    <t>iPS-TC N-1450F</t>
  </si>
  <si>
    <t>RDC_NB_1F_VAV7800_VEV7801</t>
  </si>
  <si>
    <t>IPS TISSUE CULTURE N-1450J</t>
  </si>
  <si>
    <t>RDC_NB_1F_VAV7810_VEV7811</t>
  </si>
  <si>
    <t>TC1 N-1450L</t>
  </si>
  <si>
    <t>RDC_NB_1F_VAV7820_VEV7822</t>
  </si>
  <si>
    <t>STEM/PCR Open Lab N-1450M</t>
  </si>
  <si>
    <t>RDC_NB_1F_VAV7821_VEV7823</t>
  </si>
  <si>
    <t>RDC_NB_1F_VAV7830_VEV7831</t>
  </si>
  <si>
    <t>TC2 N-1450N</t>
  </si>
  <si>
    <t>RDC_NB_1F_VAV7840_EV7841</t>
  </si>
  <si>
    <t>Conf N-1458</t>
  </si>
  <si>
    <t>RDC_NB_1F_VAV7845_EV7846</t>
  </si>
  <si>
    <t>Conf N-1459</t>
  </si>
  <si>
    <t>RDC_NB_1F_VAV7850</t>
  </si>
  <si>
    <t>Office N-1459A</t>
  </si>
  <si>
    <t>RDC_NB_1F_VAV7860</t>
  </si>
  <si>
    <t>Exp. Workstation N-1461</t>
  </si>
  <si>
    <t>RDC_NB_1F_VAV7865</t>
  </si>
  <si>
    <t>Workstation N-1461A</t>
  </si>
  <si>
    <t>RDC_NB_1F_VAV7870</t>
  </si>
  <si>
    <t>Office N-1462</t>
  </si>
  <si>
    <t>RDC_NB_1F_VAV7875</t>
  </si>
  <si>
    <t>Office N-1463</t>
  </si>
  <si>
    <t>RDC_NB_1F_VAV7880</t>
  </si>
  <si>
    <t>Office N-1464</t>
  </si>
  <si>
    <t>RDC_NB_1F_VAV7885</t>
  </si>
  <si>
    <t>Office N-1465</t>
  </si>
  <si>
    <t>RDC_NB_1F_VAV7890</t>
  </si>
  <si>
    <t>Workstation N-1466</t>
  </si>
  <si>
    <t>RDC_NB_1F_VAV7895</t>
  </si>
  <si>
    <t>Office N-1467</t>
  </si>
  <si>
    <t>RDC_NB_1F_VAV7900</t>
  </si>
  <si>
    <t>Office N-1468</t>
  </si>
  <si>
    <t>RDC_NB_1F_VAV7905</t>
  </si>
  <si>
    <t>Office N-1469</t>
  </si>
  <si>
    <t>RDC_NB_1F_VAV7910</t>
  </si>
  <si>
    <t>Office N-1470</t>
  </si>
  <si>
    <t>RDC_NB_1F_VAV7915</t>
  </si>
  <si>
    <t>Workstation N-1471</t>
  </si>
  <si>
    <t>RDC_NB_1F_VAV7920</t>
  </si>
  <si>
    <t>Office N-1472</t>
  </si>
  <si>
    <t>RDC_NB_1F_VAV7925</t>
  </si>
  <si>
    <t>Office N-1473</t>
  </si>
  <si>
    <t>RDC_NB_1F_VAV7930</t>
  </si>
  <si>
    <t>Office N-1474</t>
  </si>
  <si>
    <t>RDC_NB_1F_VAV7935</t>
  </si>
  <si>
    <t>Office N-1475</t>
  </si>
  <si>
    <t>RDC_NB_1F_VAV7940</t>
  </si>
  <si>
    <t>Workstation N-1476</t>
  </si>
  <si>
    <t>RDC_NB_1F_VAV7945</t>
  </si>
  <si>
    <t>Office N-1477</t>
  </si>
  <si>
    <t>RDC_NB_1F_VAV7950</t>
  </si>
  <si>
    <t>Office N-1478</t>
  </si>
  <si>
    <t>RDC_NB_1F_VAV7955</t>
  </si>
  <si>
    <t>Office N-1479</t>
  </si>
  <si>
    <t>RDC_NB_1F_VAV7960</t>
  </si>
  <si>
    <t>Office N-1480</t>
  </si>
  <si>
    <t>RDC_NB_1F_VAV7975P</t>
  </si>
  <si>
    <t>Normal Elec. N-2111</t>
  </si>
  <si>
    <t>RDC_NB_1F_VAV7980P</t>
  </si>
  <si>
    <t>Emer. Elec. N-2112</t>
  </si>
  <si>
    <t>RDC_NB_1F_FCU4910</t>
  </si>
  <si>
    <t>Stair 1 N-1ST01</t>
  </si>
  <si>
    <t>RDC_NB_1F_FCU4914</t>
  </si>
  <si>
    <t>Mech/ FPC  N- L1 A2.1</t>
  </si>
  <si>
    <t>RDC_NB_1F_FCU4915</t>
  </si>
  <si>
    <t>MDF N-1201</t>
  </si>
  <si>
    <t>RDC_NB_1F_FCU4916</t>
  </si>
  <si>
    <t>RDC_NB_1F_FCU4917</t>
  </si>
  <si>
    <t>Stair N-1ST02</t>
  </si>
  <si>
    <t>RDC_NB_1F_FCU5983</t>
  </si>
  <si>
    <t>IDF N-1140</t>
  </si>
  <si>
    <t>RDC_NB_1F_FCU5984</t>
  </si>
  <si>
    <t>ROBOTICS N-115J</t>
  </si>
  <si>
    <t>RDC_NB_1F_FCU5985</t>
  </si>
  <si>
    <t>Corridor N-1142</t>
  </si>
  <si>
    <t>RDC_NB_1F_FCU5986</t>
  </si>
  <si>
    <t>RDC_NB_1F_FCU5987</t>
  </si>
  <si>
    <t>Stair 3 N-L1 A2.3</t>
  </si>
  <si>
    <t>RDC_NB_1F_FCU5993</t>
  </si>
  <si>
    <t>Conference Room N-L0 A2.2</t>
  </si>
  <si>
    <t>RDC_NB_1F_FCU5994</t>
  </si>
  <si>
    <t>RDC_NB_1F_FCU6988</t>
  </si>
  <si>
    <t>Service Corridor N-1337</t>
  </si>
  <si>
    <t>RDC_NB_1F_FCU6989</t>
  </si>
  <si>
    <t>RDC_NB_1F_FCU6990</t>
  </si>
  <si>
    <t>Mech/ FPC N-L1 A2.3</t>
  </si>
  <si>
    <t>RDC_NB_1F_FCU6991</t>
  </si>
  <si>
    <t>RDC_NB_1F_FCU6992</t>
  </si>
  <si>
    <t>Stair 4 N-L1 A2.3</t>
  </si>
  <si>
    <t>RDC_NB_1F_FCU7790</t>
  </si>
  <si>
    <t>Stair 6 N-1ST06</t>
  </si>
  <si>
    <t>RDC_NB_1F_FCU7984</t>
  </si>
  <si>
    <t>RDC_NB_1F_FCU7985</t>
  </si>
  <si>
    <t>IDF N-1424</t>
  </si>
  <si>
    <t>RDC_NB_1F_FCU7986</t>
  </si>
  <si>
    <t>RDC_NB_1F_FCU7987</t>
  </si>
  <si>
    <t>Service Corridor N-1446</t>
  </si>
  <si>
    <t>RDC_NB_1F_FCU7988</t>
  </si>
  <si>
    <t>RDC_NB_1F_FCU7989</t>
  </si>
  <si>
    <t>Stair 5 N-1ST05</t>
  </si>
  <si>
    <t>RDC_NB_2F_FCU4918</t>
  </si>
  <si>
    <t>IDF N-2104</t>
  </si>
  <si>
    <t>RDC_NB_2F_FCU4919</t>
  </si>
  <si>
    <t>RDC_NB_2F_FCU5988</t>
  </si>
  <si>
    <t>Mechanical (AHU 8512)</t>
  </si>
  <si>
    <t>RDC_NB_2F_FCU5989</t>
  </si>
  <si>
    <t>Stair 2 N-2ST02</t>
  </si>
  <si>
    <t>RDC_NB_2F_FCU5990</t>
  </si>
  <si>
    <t>Mechanical (AHU 8512/8514)</t>
  </si>
  <si>
    <t>RDC_NB_2F_FCU6993</t>
  </si>
  <si>
    <t>Mechanical (AHU 8516)</t>
  </si>
  <si>
    <t>RDC_NB_2F_FCU6994</t>
  </si>
  <si>
    <t>RDC_NB_2F_FCU6995</t>
  </si>
  <si>
    <t>IDF N-2110</t>
  </si>
  <si>
    <t>RDC_NB_2F_FCU6996</t>
  </si>
  <si>
    <t>RDC_NB_2F_FCU7991</t>
  </si>
  <si>
    <t>RDC_NB_2F_FCU7992</t>
  </si>
  <si>
    <t>RDC_NB_GF_FCU4911</t>
  </si>
  <si>
    <t>MDF Room N-0206A</t>
  </si>
  <si>
    <t>RDC_NB_GF_FCU4912</t>
  </si>
  <si>
    <t>RDC_NB_GF_FCU4913</t>
  </si>
  <si>
    <t>RDC_NB_GF_FCU4920</t>
  </si>
  <si>
    <t>Emergency Electrical Landing Room N-0205</t>
  </si>
  <si>
    <t>RDC_NB_GF_FCU5980</t>
  </si>
  <si>
    <t>Serv Core N-0136</t>
  </si>
  <si>
    <t>RDC_NB_GF_FCU5981</t>
  </si>
  <si>
    <t>RDC_NB_GF_FCU5982</t>
  </si>
  <si>
    <t>Stair 3 N-OST03</t>
  </si>
  <si>
    <t>RDC_NB_GF_FCU5991</t>
  </si>
  <si>
    <t>Vestibule N-0103</t>
  </si>
  <si>
    <t>RDC_NB_GF_FCU5992</t>
  </si>
  <si>
    <t>Vestibule N-0102</t>
  </si>
  <si>
    <t>RDC_NB_GF_FCU6981</t>
  </si>
  <si>
    <t>IDF N-0133</t>
  </si>
  <si>
    <t>RDC_NB_GF_FCU6982</t>
  </si>
  <si>
    <t>Mech/FPC N-0128</t>
  </si>
  <si>
    <t>RDC_NB_GF_FCU6983</t>
  </si>
  <si>
    <t>Service Corridor N-0344</t>
  </si>
  <si>
    <t>RDC_NB_GF_FCU6984</t>
  </si>
  <si>
    <t>RDC_NB_GF_FCU6985</t>
  </si>
  <si>
    <t>IDF N-0311</t>
  </si>
  <si>
    <t>RDC_NB_GF_FCU6986</t>
  </si>
  <si>
    <t>RDC_NB_GF_FCU6987</t>
  </si>
  <si>
    <t>Stair 4 N-0ST04</t>
  </si>
  <si>
    <t>RDC_NB_GF_FCU7981</t>
  </si>
  <si>
    <t>SURF ANALYSIS LAB N-0404F</t>
  </si>
  <si>
    <t>RDC_NB_GF_FCU7982</t>
  </si>
  <si>
    <t>RDC_NB_GF_FCU7983</t>
  </si>
  <si>
    <t>Stair 5 N-0ST05</t>
  </si>
  <si>
    <t>RDC_NB_SB_Walkway_FCU9001</t>
  </si>
  <si>
    <t xml:space="preserve">Pedestrian Walkway between North &amp; South Buildings </t>
  </si>
  <si>
    <t>RDC_NB_SB_Walkway_FCU9002</t>
  </si>
  <si>
    <t>RDC_NB_SB_Walkway_FCU9003</t>
  </si>
  <si>
    <t>RDC_NB_SB_Walkway_FCU9004</t>
  </si>
  <si>
    <t>RDC_NB_SB_Walkway_FCU9005</t>
  </si>
  <si>
    <t>RDC_SB_1F_FCU0501</t>
  </si>
  <si>
    <t>STAIR-04 1ST04</t>
  </si>
  <si>
    <t>RDC_SB_1F_FCU0502</t>
  </si>
  <si>
    <t>UPS ROOM S-1107D</t>
  </si>
  <si>
    <t>RDC_SB_1F_FCU0503</t>
  </si>
  <si>
    <t>RDC_SB_1F_FCU1501</t>
  </si>
  <si>
    <t>IDF ROOM S-1156</t>
  </si>
  <si>
    <t>RDC_SB_1F_FCU1502</t>
  </si>
  <si>
    <t>RDC_SB_1F_FCU1503</t>
  </si>
  <si>
    <t>STAIR-01 1ST01</t>
  </si>
  <si>
    <t>RDC_SB_1F_FCU2501</t>
  </si>
  <si>
    <t>STAIR-03 1ST03</t>
  </si>
  <si>
    <t>RDC_SB_1F_FCU2502</t>
  </si>
  <si>
    <t>IDF ROOM S-1244</t>
  </si>
  <si>
    <t>RDC_SB_1F_FCU2503</t>
  </si>
  <si>
    <t>RDC_SB_1F_FCU2504</t>
  </si>
  <si>
    <t>UPS ROOM S-1276</t>
  </si>
  <si>
    <t>RDC_SB_1F_FCU2505</t>
  </si>
  <si>
    <t>RDC_SB_1F_FCU3501</t>
  </si>
  <si>
    <t>RDC_SB_2F_FCU0201</t>
  </si>
  <si>
    <t>South Penthouse S-2101</t>
  </si>
  <si>
    <t>RDC_SB_2F_FCU0202</t>
  </si>
  <si>
    <t>RDC_SB_2F_FCU0203</t>
  </si>
  <si>
    <t>RDC_SB_2F_FCU0204</t>
  </si>
  <si>
    <t>RDC_SB_2F_FCU0205</t>
  </si>
  <si>
    <t>Normal Elec. S-2103</t>
  </si>
  <si>
    <t>RDC_SB_2F_FCU0206</t>
  </si>
  <si>
    <t>RDC_SB_2F_FCU0207</t>
  </si>
  <si>
    <t>Emerg. Elec. S-2104</t>
  </si>
  <si>
    <t>RDC_SB_2F_FCU0208</t>
  </si>
  <si>
    <t>RDC_SB_2F_FCU1201</t>
  </si>
  <si>
    <t>IDF S-2102</t>
  </si>
  <si>
    <t>RDC_SB_2F_FCU1202</t>
  </si>
  <si>
    <t>RDC_SB_2F_FCU2201</t>
  </si>
  <si>
    <t>RDC_SB_2F_FCU2202</t>
  </si>
  <si>
    <t>RDC_SB_2F_FCU2203</t>
  </si>
  <si>
    <t>RDC_SB_2F_FCU2204</t>
  </si>
  <si>
    <t>Emerg. Elec. S-2105</t>
  </si>
  <si>
    <t>RDC_SB_2F_FCU2205</t>
  </si>
  <si>
    <t>RDC_SB_2F_FCU2206</t>
  </si>
  <si>
    <t>Normal Elec. S-2106</t>
  </si>
  <si>
    <t>RDC_SB_2F_FCU2207</t>
  </si>
  <si>
    <t>RDC_SB_2F_FCU2208</t>
  </si>
  <si>
    <t>IDF S-2107</t>
  </si>
  <si>
    <t>RDC_SB_2F_FCU2209</t>
  </si>
  <si>
    <t>RDC_SB_2F_FCU2210</t>
  </si>
  <si>
    <t>RDC_SB_GF_FCU0001</t>
  </si>
  <si>
    <t>STAIR-02 S-02T02</t>
  </si>
  <si>
    <t>RDC_SB_GF_FCU1001</t>
  </si>
  <si>
    <t>QTEL ROOM S-0132</t>
  </si>
  <si>
    <t>RDC_SB_GF_FCU1002</t>
  </si>
  <si>
    <t>RDC_SB_GF_FCU1003</t>
  </si>
  <si>
    <t>IDF ROOM S-0133</t>
  </si>
  <si>
    <t>RDC_SB_GF_FCU1004</t>
  </si>
  <si>
    <t>RDC_SB_GF_FCU1005</t>
  </si>
  <si>
    <t>EC MDF ROOM S-0134</t>
  </si>
  <si>
    <t>RDC_SB_GF_FCU1006</t>
  </si>
  <si>
    <t>RDC_SB_GF_FCU1007</t>
  </si>
  <si>
    <t>MECHANICAL ROOM S-0136</t>
  </si>
  <si>
    <t>RDC_SB_GF_FCU1008</t>
  </si>
  <si>
    <t>STAIR-01 S-01T01</t>
  </si>
  <si>
    <t>RDC_SB_GF_FCU2001</t>
  </si>
  <si>
    <t>STAIR-03 S-0ST03</t>
  </si>
  <si>
    <t>RDC_SB_GF_FCU2002</t>
  </si>
  <si>
    <t>AV ROOM S-0210</t>
  </si>
  <si>
    <t>RDC_SB_GF_FCU2003</t>
  </si>
  <si>
    <t>RDC_SB_GF_FCU2004</t>
  </si>
  <si>
    <t>IDF ROOM S-0271</t>
  </si>
  <si>
    <t>RDC_SB_GF_FCU2005</t>
  </si>
  <si>
    <t>RDC_SB_GF_FCU3001</t>
  </si>
  <si>
    <t>STAIR-04 S-0ST04</t>
  </si>
  <si>
    <t>RDC_UB_GF_FCU8001</t>
  </si>
  <si>
    <t>GENERAL STORAGE ROOM U-0129</t>
  </si>
  <si>
    <t>RDC_UB_GF_FCU8002</t>
  </si>
  <si>
    <t>SHOP U-0135</t>
  </si>
  <si>
    <t>RDC_UB_GF_FCU8003</t>
  </si>
  <si>
    <t>MAIL ROOM U-0128</t>
  </si>
  <si>
    <t>RDC_UB_GF_FCU8004</t>
  </si>
  <si>
    <t>GENERAL STORAGE U-0108</t>
  </si>
  <si>
    <t>RDC_UB_GF_FCU8005</t>
  </si>
  <si>
    <t>RECYCLING ROOM U-0109</t>
  </si>
  <si>
    <t>RDC_UB_GF_FCU8006</t>
  </si>
  <si>
    <t>CYLINDER STORAGE U-0105</t>
  </si>
  <si>
    <t>RDC_UB_GF_FCU8007</t>
  </si>
  <si>
    <t>LN2 DISPENSER U-0104</t>
  </si>
  <si>
    <t>RDC_UB_GF_FCU8008</t>
  </si>
  <si>
    <t>FLAMMABLE STORAGE U-0103</t>
  </si>
  <si>
    <t>RDC_UB_GF_FCU8009</t>
  </si>
  <si>
    <t>FLAMMABLE WASTE STORAGE U-0102</t>
  </si>
  <si>
    <t>RDC_UB_GF_FCU8010</t>
  </si>
  <si>
    <t>BMS ROOM U-0117</t>
  </si>
  <si>
    <t>RDC_UB_GF_FCU8011</t>
  </si>
  <si>
    <t>BREAK ROOM U-0118</t>
  </si>
  <si>
    <t>RDC_UB_GF_FCU8012</t>
  </si>
  <si>
    <t>OFFICE SPACE U-0119</t>
  </si>
  <si>
    <t>RDC_UB_GF_FCU8013</t>
  </si>
  <si>
    <t>WET/MECH/FIRE ROOM U-0120</t>
  </si>
  <si>
    <t>RDC_UB_GF_FCU8014</t>
  </si>
  <si>
    <t>RDC_UB_GF_FCU8502</t>
  </si>
  <si>
    <t>SHIPPING AND RECEIVING L0</t>
  </si>
  <si>
    <t>RDC_UB_GF_FCU8503</t>
  </si>
  <si>
    <t>RDC_UB_GF_FCU8504</t>
  </si>
  <si>
    <t>RDC_UB_GF_FCU8505</t>
  </si>
  <si>
    <t>RDC_UB_GF_FCU8512</t>
  </si>
  <si>
    <t>RDC_UB_GF_FCU8513</t>
  </si>
  <si>
    <t>RDC_UB_GF_FCU8514</t>
  </si>
  <si>
    <t>RDC_UB_GF_FCU8515</t>
  </si>
  <si>
    <t>RDC_UB_MF_FCU8501</t>
  </si>
  <si>
    <t>MECHANICAL ROOM U-1101</t>
  </si>
  <si>
    <t>RDC_UB_MF_FCU8506</t>
  </si>
  <si>
    <t>RDC_UB_MF_FCU8507</t>
  </si>
  <si>
    <t>RDC_UB_MF_FCU8508</t>
  </si>
  <si>
    <t>RDC_UB_MF_FCU8509</t>
  </si>
  <si>
    <t>RDC_UB_MF_FCU8510</t>
  </si>
  <si>
    <t>RDC_UB_MF_FCU8511</t>
  </si>
  <si>
    <t>RDC_SB_L0_AT-1001</t>
  </si>
  <si>
    <t>AT</t>
  </si>
  <si>
    <t>Corridor S-0137</t>
  </si>
  <si>
    <t>RDC_SB_L0_AT-1002</t>
  </si>
  <si>
    <t>Computer Lab S-0139</t>
  </si>
  <si>
    <t>RDC_SB_L0_EV-1001</t>
  </si>
  <si>
    <t>EV</t>
  </si>
  <si>
    <t>RDC_SB_L0_AT-1003</t>
  </si>
  <si>
    <t>NOC S-0140A</t>
  </si>
  <si>
    <t>RDC_SB_L0_EV-1002</t>
  </si>
  <si>
    <t>RDC_SB_L0_AT-1004</t>
  </si>
  <si>
    <t>Dedicated Cyber SOC/NOC Lab S-0141</t>
  </si>
  <si>
    <t>RDC_SB_L0_AT-1005</t>
  </si>
  <si>
    <t>Normal &amp; Emergency Elec. Landing S-0142</t>
  </si>
  <si>
    <t>RDC_SB_L0_AT-1006</t>
  </si>
  <si>
    <t>RDC_SB_L0_AT-1007</t>
  </si>
  <si>
    <t>UPS S-0145</t>
  </si>
  <si>
    <t>RDC_SB_L0_EV-1003</t>
  </si>
  <si>
    <t>RDC_SB_L0_AT-1008</t>
  </si>
  <si>
    <t>Cyber/Embedded/Dist System Electrical Lab S-0146</t>
  </si>
  <si>
    <t>RDC_SB_L0_AT-1009</t>
  </si>
  <si>
    <t>Service Dock S-0151</t>
  </si>
  <si>
    <t>RDC_NB_GF_AT-4005</t>
  </si>
  <si>
    <t>RDC_NB_GF_AT-4035</t>
  </si>
  <si>
    <t>Corridor N-0207A</t>
  </si>
  <si>
    <t>RDC_NB_GF_AT-4100</t>
  </si>
  <si>
    <t>RDC_NB_GF_AT-4105</t>
  </si>
  <si>
    <t>RDC_NB_GF_AT-4110</t>
  </si>
  <si>
    <t>RDC_NB_GF_AT-4115</t>
  </si>
  <si>
    <t>RDC_NB_GF_AT-4120</t>
  </si>
  <si>
    <t>RDC_NB_GF_AT-4125</t>
  </si>
  <si>
    <t>RDC_NB_GF_AT-4130</t>
  </si>
  <si>
    <t>RDC_NB_GF_AT-4135</t>
  </si>
  <si>
    <t>RDC_NB_GF_AT-4140</t>
  </si>
  <si>
    <t>RDC_NB_GF_AT-4145</t>
  </si>
  <si>
    <t>RDC_NB_GF_AT-4165</t>
  </si>
  <si>
    <t>RDC_NB_GF_AT-4170</t>
  </si>
  <si>
    <t>Storage Room N-0237</t>
  </si>
  <si>
    <t>RDC_NB_GF_AT-4225</t>
  </si>
  <si>
    <t>RDC_NB_GF_AT-4230</t>
  </si>
  <si>
    <t>RDC_NB_GF_AT-4235</t>
  </si>
  <si>
    <t>Workstation N-0250</t>
  </si>
  <si>
    <t>RDC_NB_GF_AT-4240</t>
  </si>
  <si>
    <t>Office N-0251</t>
  </si>
  <si>
    <t>RDC_NB_GF_AT-4245</t>
  </si>
  <si>
    <t>RDC_NB_GF_AT-4250</t>
  </si>
  <si>
    <t>RDC_NB_GF_AT-4255</t>
  </si>
  <si>
    <t>RDC_NB_GF_AT-4260</t>
  </si>
  <si>
    <t>Workstation N-0255</t>
  </si>
  <si>
    <t>RDC_NB_GF_AT-4265</t>
  </si>
  <si>
    <t>RDC_NB_GF_AT-4270</t>
  </si>
  <si>
    <t>RDC_NB_GF_AT-4275</t>
  </si>
  <si>
    <t>RDC_NB_GF_AT-4280</t>
  </si>
  <si>
    <t>RDC_NB_GF_AT-4285</t>
  </si>
  <si>
    <t>RDC_NB_GF_AT-4290</t>
  </si>
  <si>
    <t>Office N-0261</t>
  </si>
  <si>
    <t>RDC_NB_GF_AT-4295</t>
  </si>
  <si>
    <t>RDC_NB_GF_AT-4300</t>
  </si>
  <si>
    <t>RDC_NB_GF_AT-4305</t>
  </si>
  <si>
    <t>RDC_NB_GF_AT-4310</t>
  </si>
  <si>
    <t>RDC_NB_GF_CEV-4031</t>
  </si>
  <si>
    <t>CEV</t>
  </si>
  <si>
    <t>Service Corridor N-0207</t>
  </si>
  <si>
    <t>RDC_NB_GF_EV-4028</t>
  </si>
  <si>
    <t>MDF ROOM N-0206A</t>
  </si>
  <si>
    <t>RDC_NB_GF_EV-4236</t>
  </si>
  <si>
    <t>RDC_NB_GF_EV-4261</t>
  </si>
  <si>
    <t>RDC_NB_GF_EV-4286</t>
  </si>
  <si>
    <t>Office 05 -8WS- N-0260</t>
  </si>
  <si>
    <t>RDC_NB_GF_EV-4311</t>
  </si>
  <si>
    <t>WORKSTATION N-0265</t>
  </si>
  <si>
    <t>RDC_NB_GF_VEV-4041</t>
  </si>
  <si>
    <t>VEV</t>
  </si>
  <si>
    <t>RDC_NB_GF_FEV-4193</t>
  </si>
  <si>
    <t>FEV</t>
  </si>
  <si>
    <t>RDC_NB_GF_FEV-4194</t>
  </si>
  <si>
    <t>RDC_NB_GF_VEV-4213A</t>
  </si>
  <si>
    <t>Desal Lab N-0240D</t>
  </si>
  <si>
    <t>RDC_NB_GF_VEV-4213B</t>
  </si>
  <si>
    <t>RDC_NB_GF_FEV-4214</t>
  </si>
  <si>
    <t>RDC_NB_GF_FEV-4215</t>
  </si>
  <si>
    <t>RDC_NB_GF_FEV-4216</t>
  </si>
  <si>
    <t>RDC_SB_L0_AT-0003</t>
  </si>
  <si>
    <t>RDC_SB_L0_AT-0006</t>
  </si>
  <si>
    <t>Normal Elec. S-0107</t>
  </si>
  <si>
    <t>RDC_SB_L0_AT-0007</t>
  </si>
  <si>
    <t>Conf S-0109</t>
  </si>
  <si>
    <t>RDC_SB_L0_AT-0008</t>
  </si>
  <si>
    <t>RDC_SB_L0_AT-0009</t>
  </si>
  <si>
    <t>RDC_SB_L0_AT-0010</t>
  </si>
  <si>
    <t>RDC_SB_L0_AT-0011</t>
  </si>
  <si>
    <t>Conference Room S-0113</t>
  </si>
  <si>
    <t>RDC_SB_L0_AT-0012</t>
  </si>
  <si>
    <t>RDC_SB_L0_AT-0013</t>
  </si>
  <si>
    <t>RDC_SB_L0_AT-0014</t>
  </si>
  <si>
    <t>RDC_SB_L0_AT-0015</t>
  </si>
  <si>
    <t>Corridor S-0117</t>
  </si>
  <si>
    <t>RDC_SB_L0_AT-0016</t>
  </si>
  <si>
    <t>Conf S-0118</t>
  </si>
  <si>
    <t>RDC_SB_L0_AT-0017</t>
  </si>
  <si>
    <t>RDC_SB_L0_AT-0018</t>
  </si>
  <si>
    <t>RDC_SB_L0_AT-0019</t>
  </si>
  <si>
    <t>RDC_SB_L0_AT-0020</t>
  </si>
  <si>
    <t>Storage S-0120B</t>
  </si>
  <si>
    <t>RDC_SB_L0_AT-0021</t>
  </si>
  <si>
    <t>Vestibule S-0125</t>
  </si>
  <si>
    <t>RDC_SB_L0_AT-0022</t>
  </si>
  <si>
    <t>Men S-0126</t>
  </si>
  <si>
    <t>RDC_SB_L0_AT-0023</t>
  </si>
  <si>
    <t>Women S-0127</t>
  </si>
  <si>
    <t>RDC_SB_L0_AT-0024</t>
  </si>
  <si>
    <t>NORM. ELEC. S-0129</t>
  </si>
  <si>
    <t>RDC_SB_L0_AT-0025</t>
  </si>
  <si>
    <t>Alt Recording/Sound S-0135</t>
  </si>
  <si>
    <t>RDC_NB_GF_AT-4001</t>
  </si>
  <si>
    <t>RDC_NB_GF_AT-4312</t>
  </si>
  <si>
    <t>RDC_NB_GF_AT-4315</t>
  </si>
  <si>
    <t>Vestibule N-0270A</t>
  </si>
  <si>
    <t>RDC_NB_GF_AT-5025</t>
  </si>
  <si>
    <t>RDC_NB_GF_AT-5100</t>
  </si>
  <si>
    <t>RDC_NB_GF_AT-5105</t>
  </si>
  <si>
    <t>RDC_NB_GF_AT-5110</t>
  </si>
  <si>
    <t>RDC_NB_GF_AT-5115</t>
  </si>
  <si>
    <t>RDC_NB_GF_AT-5120</t>
  </si>
  <si>
    <t>RDC_NB_GF_AT-5125</t>
  </si>
  <si>
    <t>RDC_NB_GF_AT-5130</t>
  </si>
  <si>
    <t>RDC_NB_GF_AT-5135</t>
  </si>
  <si>
    <t>RDC_NB_GF_AT-5140</t>
  </si>
  <si>
    <t>RDC_NB_GF_AT-5145</t>
  </si>
  <si>
    <t>RDC_NB_GF_AT-5150</t>
  </si>
  <si>
    <t>RDC_NB_GF_AT-5152</t>
  </si>
  <si>
    <t>RDC_NB_GF_AT-5155</t>
  </si>
  <si>
    <t>RDC_NB_GF_AT-5156</t>
  </si>
  <si>
    <t>RDC_NB_GF_AT-5160</t>
  </si>
  <si>
    <t>MENS ROOM N-0130</t>
  </si>
  <si>
    <t>RDC_NB_GF_AT-5165</t>
  </si>
  <si>
    <t>RDC_NB_GF_AT-5280</t>
  </si>
  <si>
    <t>Store N-0146</t>
  </si>
  <si>
    <t>RDC_NB_GF_AT-5290</t>
  </si>
  <si>
    <t>Pantry N-0148</t>
  </si>
  <si>
    <t>RDC_NB_GF_AT-5295</t>
  </si>
  <si>
    <t>RDC_NB_GF_AT-5300</t>
  </si>
  <si>
    <t>RDC_NB_GF_AT-5305</t>
  </si>
  <si>
    <t>RDC_NB_GF_AT-5310</t>
  </si>
  <si>
    <t>RDC_NB_GF_AT-5315</t>
  </si>
  <si>
    <t>RDC_NB_GF_AT-5320</t>
  </si>
  <si>
    <t>Office N-0154</t>
  </si>
  <si>
    <t>RDC_NB_GF_AT-5325</t>
  </si>
  <si>
    <t>RDC_NB_GF_AT-5330</t>
  </si>
  <si>
    <t>RDC_NB_GF_AT-5335</t>
  </si>
  <si>
    <t>RDC_NB_GF_AT-5340</t>
  </si>
  <si>
    <t>RDC_NB_GF_AT-5345</t>
  </si>
  <si>
    <t>RDC_NB_GF_AT-5350</t>
  </si>
  <si>
    <t>Open Office N-0160</t>
  </si>
  <si>
    <t>RDC_NB_GF_AT-5355</t>
  </si>
  <si>
    <t>RDC_NB_GF_AT-5360</t>
  </si>
  <si>
    <t>RDC_NB_GF_AT-5365</t>
  </si>
  <si>
    <t>RDC_NB_GF_AT-5370</t>
  </si>
  <si>
    <t>RDC_NB_GF_AT-5375</t>
  </si>
  <si>
    <t>Open Office N-0165</t>
  </si>
  <si>
    <t>RDC_NB_GF_AT-5380</t>
  </si>
  <si>
    <t>RDC_NB_GF_AT-5385</t>
  </si>
  <si>
    <t>RDC_NB_GF_AT-5390</t>
  </si>
  <si>
    <t>RDC_NB_GF_AT-5415</t>
  </si>
  <si>
    <t>RDC_NB_GF_EV-4316</t>
  </si>
  <si>
    <t>RDC_NB_GF_EV-5026</t>
  </si>
  <si>
    <t>RDC_NB_GF_EV-5161</t>
  </si>
  <si>
    <t>Womens+N-0130A+N-0132 JC N-0130</t>
  </si>
  <si>
    <t>RDC_NB_GF_EV-5163</t>
  </si>
  <si>
    <t>RDC_NB_GF_EV-5291</t>
  </si>
  <si>
    <t>RDC_NB_GF_VEV-5052A</t>
  </si>
  <si>
    <t>RDC_NB_GF_VEV-5052B</t>
  </si>
  <si>
    <t>RDC_NB_GF_FEV-5053</t>
  </si>
  <si>
    <t>RDC_NB_GF_VEV-5055</t>
  </si>
  <si>
    <t>RDC_NB_GF_FEV-5062</t>
  </si>
  <si>
    <t>RDC_NB_GF_VEV-5071</t>
  </si>
  <si>
    <t>RDC_NB_GF_FEV-5072</t>
  </si>
  <si>
    <t>RDC_NB_GF_FEV-5073</t>
  </si>
  <si>
    <t>RDC_NB_GF_FEV-5074</t>
  </si>
  <si>
    <t>RDC_NB_GF_FEV-5082</t>
  </si>
  <si>
    <t>RDC_NB_GF_FEV-5083</t>
  </si>
  <si>
    <t>RDC_NB_GF_VEV-5092</t>
  </si>
  <si>
    <t>RDC_NB_GF_FEV-5093</t>
  </si>
  <si>
    <t>RDC_NB_GF_FEV-5094</t>
  </si>
  <si>
    <t>RDC_NB_GF_FEV-5095A</t>
  </si>
  <si>
    <t>RDC_NB_GF_FEV-5095B</t>
  </si>
  <si>
    <t>RDC_NB_GF_VEV-5182A</t>
  </si>
  <si>
    <t>Analyt Core-2 N-0140A</t>
  </si>
  <si>
    <t>RDC_NB_GF_VEV-5182B</t>
  </si>
  <si>
    <t>RDC_NB_GF_FEV-5183</t>
  </si>
  <si>
    <t>RDC_NB_GF_VEV-5192a</t>
  </si>
  <si>
    <t>RDC_NB_GF_VEV-5192b</t>
  </si>
  <si>
    <t>RDC_NB_GF_FEV-5203</t>
  </si>
  <si>
    <t>RDC_NB_GF_VEV-5211</t>
  </si>
  <si>
    <t>RDC_NB_GF_VEV-5221</t>
  </si>
  <si>
    <t>RDC_NB_GF_FEV-5222</t>
  </si>
  <si>
    <t>Evap Room N-0140E</t>
  </si>
  <si>
    <t>RDC_NB_GF_FEV-5223</t>
  </si>
  <si>
    <t>RDC_NB_GF_VEV-5231</t>
  </si>
  <si>
    <t>RDC_NB_GF_CEV-5241</t>
  </si>
  <si>
    <t>Air Lock N-0140G</t>
  </si>
  <si>
    <t>RDC_NB_GF_FEV-5271</t>
  </si>
  <si>
    <t>RDC_NB_GF_FEV-5272</t>
  </si>
  <si>
    <t>RDC_NB_GF_FEV-5273</t>
  </si>
  <si>
    <t>RDC_NB_GF_FEV-5274</t>
  </si>
  <si>
    <t>RDC_NB_GF_FEV-5275</t>
  </si>
  <si>
    <t>RDC_NB_GF_FEV-5276</t>
  </si>
  <si>
    <t>RDC_NB_GF_FEV-5277</t>
  </si>
  <si>
    <t>RDC_SB_L0_AT-0001</t>
  </si>
  <si>
    <t>RDC_SB_L0_AT-0002</t>
  </si>
  <si>
    <t>Employee Entry Lobby S-0102</t>
  </si>
  <si>
    <t>RDC_SB_L0_AT-0004</t>
  </si>
  <si>
    <t>Corridor S-0104</t>
  </si>
  <si>
    <t>RDC_SB_L0_AT-0005</t>
  </si>
  <si>
    <t>Men S-0105</t>
  </si>
  <si>
    <t>RDC_SB_L0_A1.2_AT-2001</t>
  </si>
  <si>
    <t>High-Density Room S-0206</t>
  </si>
  <si>
    <t>RDC_SB_L0_A1.3_AT-2001</t>
  </si>
  <si>
    <t>WOMEN S-0205</t>
  </si>
  <si>
    <t>RDC_NB_GF_AT-5005</t>
  </si>
  <si>
    <t>Vestibule N-0105</t>
  </si>
  <si>
    <t>RDC_NB_GF_AT-5010</t>
  </si>
  <si>
    <t>RDC_NB_GF_AT-5015</t>
  </si>
  <si>
    <t>RDC_NB_GF_AT-5020</t>
  </si>
  <si>
    <t>Mens + Vestibule + N-0109 N-0108</t>
  </si>
  <si>
    <t>RDC_NB_GF_AT-5030</t>
  </si>
  <si>
    <t>RDC_NB_GF_AT-5040</t>
  </si>
  <si>
    <t>RDC_NB_GF_AT-5045</t>
  </si>
  <si>
    <t>RDC_NB_GF_AT-5395</t>
  </si>
  <si>
    <t>RDC_NB_GF_AT-5400</t>
  </si>
  <si>
    <t>RDC_NB_GF_AT-5405</t>
  </si>
  <si>
    <t>RDC_NB_GF_AT-5410</t>
  </si>
  <si>
    <t>RDC_NB_GF_AT-5000</t>
  </si>
  <si>
    <t>RDC_NB_GF_AT-5001</t>
  </si>
  <si>
    <t>RDC_NB_GF_AT-6000</t>
  </si>
  <si>
    <t>RDC_NB_GF_AT-6005</t>
  </si>
  <si>
    <t>Vestibule N-0302</t>
  </si>
  <si>
    <t>RDC_NB_GF_AT-6010</t>
  </si>
  <si>
    <t>RDC_NB_GF_AT-6015</t>
  </si>
  <si>
    <t>Men N-0306</t>
  </si>
  <si>
    <t>RDC_NB_GF_AT-6020</t>
  </si>
  <si>
    <t>Vestibule N-0308</t>
  </si>
  <si>
    <t>RDC_NB_GF_AT-6025</t>
  </si>
  <si>
    <t>RDC_NB_GF_AT-6240</t>
  </si>
  <si>
    <t>RDC_NB_GF_AT-6300</t>
  </si>
  <si>
    <t>RDC_NB_GF_AT-6305</t>
  </si>
  <si>
    <t>RDC_NB_GF_AT-6310</t>
  </si>
  <si>
    <t>RDC_NB_GF_AT-6315</t>
  </si>
  <si>
    <t>RDC_NB_GF_EV-6316</t>
  </si>
  <si>
    <t>RDC_NB_GF_EV-5021</t>
  </si>
  <si>
    <t>RDC_NB_GF_EV-5035</t>
  </si>
  <si>
    <t>RDC_NB_GF_EV-6016</t>
  </si>
  <si>
    <t>RDC_NB_GF_EV-6127</t>
  </si>
  <si>
    <t>RDC_SB_L0_AT-2002</t>
  </si>
  <si>
    <t>RDC_SB_L0_AT-2003</t>
  </si>
  <si>
    <t>RDC_SB_L0_AT-2004</t>
  </si>
  <si>
    <t>RDC_SB_L0_AT-2006</t>
  </si>
  <si>
    <t>RDC_SB_L0_AT-2007</t>
  </si>
  <si>
    <t>RDC_SB_L0_AT-2008</t>
  </si>
  <si>
    <t>RDC_SB_L0_AT-2009</t>
  </si>
  <si>
    <t>RDC_SB_L0_AT-2010</t>
  </si>
  <si>
    <t>RDC_SB_L0_AT-2011</t>
  </si>
  <si>
    <t>RDC_SB_L0_AT-2012</t>
  </si>
  <si>
    <t>RDC_SB_L0_AT-2013</t>
  </si>
  <si>
    <t>RDC_SB_L0_AT-2014</t>
  </si>
  <si>
    <t>RDC_SB_L0_AT-2015</t>
  </si>
  <si>
    <t>RDC_SB_L0_AT-2016</t>
  </si>
  <si>
    <t>RDC_SB_L0_AT-2017</t>
  </si>
  <si>
    <t>RDC_SB_L0_AT-2018</t>
  </si>
  <si>
    <t>PANTRY S-0226</t>
  </si>
  <si>
    <t>RDC_SB_L0_AT-2019</t>
  </si>
  <si>
    <t>RDC_SB_L0_AT-2020</t>
  </si>
  <si>
    <t>RDC_SB_L0_AT-2021</t>
  </si>
  <si>
    <t>RDC_SB_L0_AT-2022</t>
  </si>
  <si>
    <t>RDC_SB_L0_AT-2023</t>
  </si>
  <si>
    <t>RDC_SB_L0_AT-2024</t>
  </si>
  <si>
    <t>RDC_SB_L0_AT-2025</t>
  </si>
  <si>
    <t>RDC_SB_L0_AT-2026</t>
  </si>
  <si>
    <t>RDC_SB_L0_AT-2027</t>
  </si>
  <si>
    <t>RDC_SB_L0_AT-2028</t>
  </si>
  <si>
    <t>RDC_SB_L0_AT-2029</t>
  </si>
  <si>
    <t>RDC_SB_L0_AT-2030</t>
  </si>
  <si>
    <t>RDC_SB_L0_AT-2031</t>
  </si>
  <si>
    <t>RDC_SB_L0_AT-2032</t>
  </si>
  <si>
    <t>RDC_SB_L0_AT-2033</t>
  </si>
  <si>
    <t>CORRIDOR S-0273</t>
  </si>
  <si>
    <t>RDC_SB_L0_AT-2034</t>
  </si>
  <si>
    <t>RDC_SB_L0_AT-2035</t>
  </si>
  <si>
    <t>MECH S-0272</t>
  </si>
  <si>
    <t>RDC_SB_L0_AT-2036</t>
  </si>
  <si>
    <t>RDC_SB_L0_AT-2037</t>
  </si>
  <si>
    <t>RDC_SB_L0_AT-2038</t>
  </si>
  <si>
    <t>RDC_SB_L0_AT-2039</t>
  </si>
  <si>
    <t>RDC_SB_L0_AT-2040</t>
  </si>
  <si>
    <t>RDC_SB_L0_AT-2041</t>
  </si>
  <si>
    <t>RDC_SB_L0_AT-2042</t>
  </si>
  <si>
    <t>RDC_SB_L0_AT-2043</t>
  </si>
  <si>
    <t>RDC_SB_L0_AT-2044</t>
  </si>
  <si>
    <t>RDC_SB_L0_AT-2045</t>
  </si>
  <si>
    <t>RDC_SB_L0_AT-2046</t>
  </si>
  <si>
    <t>RDC_SB_L0_AT-2047</t>
  </si>
  <si>
    <t>RDC_SB_L0_AT-0115</t>
  </si>
  <si>
    <t>Office S-0233A</t>
  </si>
  <si>
    <t>RDC_SB_L0_AT-0116</t>
  </si>
  <si>
    <t>Office S-0232A</t>
  </si>
  <si>
    <t>RDC_SB_L0_AT-0117</t>
  </si>
  <si>
    <t>RDC_SB_L0_AT-0118</t>
  </si>
  <si>
    <t>Open Plan S-0228B</t>
  </si>
  <si>
    <t>RDC_SB_L0_AT-0120</t>
  </si>
  <si>
    <t>Open Plan S-0228A</t>
  </si>
  <si>
    <t>RDC_SB_L0_AT-0122</t>
  </si>
  <si>
    <t>Office S-0211A</t>
  </si>
  <si>
    <t>RDC_SB_L0_AT-0123</t>
  </si>
  <si>
    <t>Office S-0211B</t>
  </si>
  <si>
    <t>RDC_SB_L0_AT-0124</t>
  </si>
  <si>
    <t>RDC_NB_GF_AT-6130</t>
  </si>
  <si>
    <t>RDC_NB_GF_AT-6135</t>
  </si>
  <si>
    <t>RDC_NB_GF_AT-6140</t>
  </si>
  <si>
    <t>RDC_NB_GF_AT-6145</t>
  </si>
  <si>
    <t>RDC_NB_GF_AT-6150</t>
  </si>
  <si>
    <t>RDC_NB_GF_AT-6155</t>
  </si>
  <si>
    <t>RDC_NB_GF_AT-6160</t>
  </si>
  <si>
    <t>RDC_NB_GF_AT-6170</t>
  </si>
  <si>
    <t>RDC_NB_GF_AT-6175</t>
  </si>
  <si>
    <t>RDC_NB_GF_AT-6180</t>
  </si>
  <si>
    <t>RDC_NB_GF_AT-6185</t>
  </si>
  <si>
    <t>RDC_NB_GF_AT-7000</t>
  </si>
  <si>
    <t>Vestibule / Staging N-0401</t>
  </si>
  <si>
    <t>RDC_NB_GF_AT-6195</t>
  </si>
  <si>
    <t>RDC_NB_GF_AT-6190</t>
  </si>
  <si>
    <t>RDC_NB_GF_AT-6200</t>
  </si>
  <si>
    <t>RDC_NB_GF_AT-7005</t>
  </si>
  <si>
    <t>WOMEN N-0402</t>
  </si>
  <si>
    <t>RDC_NB_GF_AT-6220</t>
  </si>
  <si>
    <t>RDC_NB_GF_AT-6205</t>
  </si>
  <si>
    <t>Conference N-0331</t>
  </si>
  <si>
    <t>RDC_NB_GF_AT-6285</t>
  </si>
  <si>
    <t>Conference N-0358</t>
  </si>
  <si>
    <t>RDC_NB_GF_AT-7380</t>
  </si>
  <si>
    <t>Pipe Chase N-0443B</t>
  </si>
  <si>
    <t>RDC_NB_GF_AT-6210</t>
  </si>
  <si>
    <t>Corridor N-0332C</t>
  </si>
  <si>
    <t>RDC_NB_GF_AT-6280</t>
  </si>
  <si>
    <t>Pantry N-0356</t>
  </si>
  <si>
    <t>RDC_NB_GF_AT-6295</t>
  </si>
  <si>
    <t>RDC_NB_GF_AT-6320</t>
  </si>
  <si>
    <t>RDC_NB_GF_AT-6325</t>
  </si>
  <si>
    <t>RDC_NB_GF_AT-6330</t>
  </si>
  <si>
    <t>RDC_NB_GF_AT-6335</t>
  </si>
  <si>
    <t>RDC_NB_GF_AT-6340</t>
  </si>
  <si>
    <t>RDC_NB_GF_AT-6345</t>
  </si>
  <si>
    <t>RDC_NB_GF_AT-6350</t>
  </si>
  <si>
    <t>RDC_NB_GF_AT-6355</t>
  </si>
  <si>
    <t>RDC_NB_GF_AT-6360</t>
  </si>
  <si>
    <t>RDC_NB_GF_AT-6365</t>
  </si>
  <si>
    <t>RDC_NB_GF_AT-6370</t>
  </si>
  <si>
    <t>RDC_NB_GF_AT-6375</t>
  </si>
  <si>
    <t>RDC_NB_GF_AT-6380</t>
  </si>
  <si>
    <t>RDC_NB_GF_AT-6390</t>
  </si>
  <si>
    <t>RDC_NB_GF_AT-6395</t>
  </si>
  <si>
    <t>RDC_NB_GF_AT-6400</t>
  </si>
  <si>
    <t>RDC_NB_GF_AT-6405</t>
  </si>
  <si>
    <t>RDC_NB_GF_AT-6410</t>
  </si>
  <si>
    <t>RDC_NB_GF_AT-7385</t>
  </si>
  <si>
    <t>RDC_NB_GF_AT-7390</t>
  </si>
  <si>
    <t>RDC_NB_GF_EV-6141</t>
  </si>
  <si>
    <t>RDC_NB_GF_EV-6156</t>
  </si>
  <si>
    <t>RDC_NB_GF_EV-6176</t>
  </si>
  <si>
    <t>RDC_NB_GF_EV-6281</t>
  </si>
  <si>
    <t>RDC_NB_GF_EV-6356</t>
  </si>
  <si>
    <t>Office 05-8-WKS N-0372</t>
  </si>
  <si>
    <t>RDC_NB_GF_EV-6381</t>
  </si>
  <si>
    <t>Office 05-8-WKS N-0378</t>
  </si>
  <si>
    <t>RDC_NB_GF_EV-6401</t>
  </si>
  <si>
    <t>Office 05-8-WKS N-0381</t>
  </si>
  <si>
    <t>RDC_NB_GF_EV-7006</t>
  </si>
  <si>
    <t>RDC_NB_GF_EV-7381</t>
  </si>
  <si>
    <t>RDC_NB_GF_VEV-6053</t>
  </si>
  <si>
    <t>Open Lab 1 N-0310C</t>
  </si>
  <si>
    <t>RDC_NB_GF_VEV-6061</t>
  </si>
  <si>
    <t>Lab Support 3 N-0310D</t>
  </si>
  <si>
    <t>RDC_NB_GF_VEV-6071</t>
  </si>
  <si>
    <t>Lab Support 4 N-0310E</t>
  </si>
  <si>
    <t>RDC_NB_GF_VEV-6081</t>
  </si>
  <si>
    <t>Lab Support 5 N-0310F</t>
  </si>
  <si>
    <t>RDC_NB_GF_VEV-6091</t>
  </si>
  <si>
    <t>Lab Support 6 N-0310G</t>
  </si>
  <si>
    <t>RDC_NB_GF_VAV-6080</t>
  </si>
  <si>
    <t>RDC_NB_GF_FCU6997</t>
  </si>
  <si>
    <t>Lab Sup 2 N-0310B</t>
  </si>
  <si>
    <t>RDC_SB_L0_AT-3001</t>
  </si>
  <si>
    <t>RDC_SB_L0_AT-3002</t>
  </si>
  <si>
    <t>RDC_SB_L0_AT-3003</t>
  </si>
  <si>
    <t>RDC_SB_L0_AT-3004</t>
  </si>
  <si>
    <t>RDC_SB_L0_AT-3005</t>
  </si>
  <si>
    <t>RDC_SB_L0_AT-3006</t>
  </si>
  <si>
    <t>RDC_SB_L0_AT-3007</t>
  </si>
  <si>
    <t>RDC_SB_L0_AT-3010</t>
  </si>
  <si>
    <t>RDC_SB_L0_AT-3011</t>
  </si>
  <si>
    <t>RDC_SB_L0_AT-3012</t>
  </si>
  <si>
    <t>RDC_SB_L0_AT-3013</t>
  </si>
  <si>
    <t>RDC_SB_L0_AT-3014</t>
  </si>
  <si>
    <t>RDC_SB_L0_AT-3015</t>
  </si>
  <si>
    <t>RDC_SB_L0_AT-3016</t>
  </si>
  <si>
    <t>RDC_SB_L0_AT-3017</t>
  </si>
  <si>
    <t>RDC_SB_L0_AT-3018</t>
  </si>
  <si>
    <t>Corridor S-0251B</t>
  </si>
  <si>
    <t>RDC_SB_L0_AT-3019</t>
  </si>
  <si>
    <t>RDC_SB_L0_AT-3020</t>
  </si>
  <si>
    <t>RDC_SB_L0_AT-3021</t>
  </si>
  <si>
    <t>RDC_SB_L0_AT-3022</t>
  </si>
  <si>
    <t>RDC_SB_L0_AT-3023</t>
  </si>
  <si>
    <t>RDC_SB_L0_AT-3024</t>
  </si>
  <si>
    <t>RDC_SB_L0_AT-3025</t>
  </si>
  <si>
    <t>RDC_SB_L0_AT-3026</t>
  </si>
  <si>
    <t>RDC_SB_L0_AT-3027</t>
  </si>
  <si>
    <t>RDC_SB_L0_AT-3028</t>
  </si>
  <si>
    <t>RDC_SB_L0_AT-3031</t>
  </si>
  <si>
    <t>IT Server S-0264</t>
  </si>
  <si>
    <t>RDC_SB_L0_AT-3032</t>
  </si>
  <si>
    <t>RDC_SB_L0_AT-3033</t>
  </si>
  <si>
    <t>Emergency Elec. S-0266</t>
  </si>
  <si>
    <t>RDC_SB_L0_AT-3034</t>
  </si>
  <si>
    <t>Reception / Vestibule S-0293</t>
  </si>
  <si>
    <t>RDC_SB_L0_AT-3035</t>
  </si>
  <si>
    <t>RDC_SB_L0_AT-3036</t>
  </si>
  <si>
    <t>RDC_SB_L0_AT-0101</t>
  </si>
  <si>
    <t>Office S-0244A</t>
  </si>
  <si>
    <t>RDC_SB_L0_AT-0102</t>
  </si>
  <si>
    <t>Office S-0244B</t>
  </si>
  <si>
    <t>RDC_SB_L0_AT-0103</t>
  </si>
  <si>
    <t>Office S-0244C</t>
  </si>
  <si>
    <t>RDC_SB_L0_AT-0104</t>
  </si>
  <si>
    <t>Office S-0244D</t>
  </si>
  <si>
    <t>RDC_SB_L0_AT-0105</t>
  </si>
  <si>
    <t>Office S-0244E</t>
  </si>
  <si>
    <t>RDC_SB_L0_AT-0107</t>
  </si>
  <si>
    <t>Office S-0262A</t>
  </si>
  <si>
    <t>RDC_SB_L0_AT-0108</t>
  </si>
  <si>
    <t>Office S-0262B</t>
  </si>
  <si>
    <t>RDC_SB_L0_AT-0109</t>
  </si>
  <si>
    <t>Office S-0262C</t>
  </si>
  <si>
    <t>RDC_SB_L0_AT-0110</t>
  </si>
  <si>
    <t>Office S-0262H</t>
  </si>
  <si>
    <t>RDC_SB_L0_AT-0111</t>
  </si>
  <si>
    <t>Office S-0262E</t>
  </si>
  <si>
    <t>RDC_SB_L0_AT-0112</t>
  </si>
  <si>
    <t>Office S-0262F</t>
  </si>
  <si>
    <t>RDC_SB_L0_AT-0113</t>
  </si>
  <si>
    <t>Office S-0262G</t>
  </si>
  <si>
    <t>RDC_SB_L0_AT-0114</t>
  </si>
  <si>
    <t>Office S-0262D</t>
  </si>
  <si>
    <t>RDC_NB_GF_AT-7080</t>
  </si>
  <si>
    <t>RDC_NB_GF_AT-7085</t>
  </si>
  <si>
    <t>RDC_NB_GF_AT-7095</t>
  </si>
  <si>
    <t>RDC_NB_GF_AT-7100</t>
  </si>
  <si>
    <t>RDC_NB_GF_AT-7110</t>
  </si>
  <si>
    <t>RDC_NB_GF_AT-7115</t>
  </si>
  <si>
    <t>RDC_NB_GF_AT-7125</t>
  </si>
  <si>
    <t>NORMAL ELEC. ROOM N-0420</t>
  </si>
  <si>
    <t>RDC_NB_GF_AT-7130</t>
  </si>
  <si>
    <t>RDC_NB_GF_AT-7135</t>
  </si>
  <si>
    <t>RDC_NB_GF_AT-7140</t>
  </si>
  <si>
    <t>RDC_NB_GF_AT-7145</t>
  </si>
  <si>
    <t>RDC_NB_GF_AT-7155</t>
  </si>
  <si>
    <t>RDC_NB_GF_AT-7165</t>
  </si>
  <si>
    <t>RDC_NB_GF_AT-7180</t>
  </si>
  <si>
    <t>RDC_NB_GF_AT-7185</t>
  </si>
  <si>
    <t>RDC_NB_GF_AT-7195</t>
  </si>
  <si>
    <t>OFFICE N-0436</t>
  </si>
  <si>
    <t>RDC_NB_GF_AT-7205</t>
  </si>
  <si>
    <t>RDC_NB_GF_AT-7215</t>
  </si>
  <si>
    <t>CONFERENCE ROOM N-0440</t>
  </si>
  <si>
    <t>RDC_NB_GF_AT-7395</t>
  </si>
  <si>
    <t>RDC_NB_GF_AT-7400</t>
  </si>
  <si>
    <t>RDC_NB_GF_AT-7405</t>
  </si>
  <si>
    <t>RDC_NB_GF_AT-7410</t>
  </si>
  <si>
    <t>RDC_NB_GF_AT-7415</t>
  </si>
  <si>
    <t>RDC_NB_GF_AT-7425</t>
  </si>
  <si>
    <t>Workstation N-0452</t>
  </si>
  <si>
    <t>RDC_NB_GF_AT-7430</t>
  </si>
  <si>
    <t>RDC_NB_GF_AT-7435</t>
  </si>
  <si>
    <t>RDC_NB_GF_AT-7440</t>
  </si>
  <si>
    <t>RDC_NB_GF_AT-7445</t>
  </si>
  <si>
    <t>Office N-0456</t>
  </si>
  <si>
    <t>RDC_NB_GF_AT-7460</t>
  </si>
  <si>
    <t>Workstation N-0457</t>
  </si>
  <si>
    <t>RDC_NB_GF_AT-7465</t>
  </si>
  <si>
    <t>RDC_NB_GF_AT-7470</t>
  </si>
  <si>
    <t>RDC_NB_GF_AT-7475</t>
  </si>
  <si>
    <t>RDC_NB_GF_AT-7480</t>
  </si>
  <si>
    <t>RDC_NB_GF_AT-7485</t>
  </si>
  <si>
    <t>WORKSTATION N-0462</t>
  </si>
  <si>
    <t>RDC_NB_GF_AT-7490</t>
  </si>
  <si>
    <t>RDC_NB_GF_AT-7496</t>
  </si>
  <si>
    <t>Office N-0464</t>
  </si>
  <si>
    <t>RDC_NB_GF_AT-7498</t>
  </si>
  <si>
    <t>RDC_NB_GF_AT-7499</t>
  </si>
  <si>
    <t>Office N-0466</t>
  </si>
  <si>
    <t>RDC_NB_GF_AT-7090-N1</t>
  </si>
  <si>
    <t>RDC_NB_GF_AT-7090-N2</t>
  </si>
  <si>
    <t>Office N-0412A</t>
  </si>
  <si>
    <t>RDC_NB_GF_AT-7105-N1</t>
  </si>
  <si>
    <t>RDC_NB_GF_AT-7105-N2</t>
  </si>
  <si>
    <t>Office N-0415A</t>
  </si>
  <si>
    <t>RDC_NB_GF_AT-7120-N1</t>
  </si>
  <si>
    <t>RDC_NB_GF_AT-7120-N2</t>
  </si>
  <si>
    <t>Office N-0418A</t>
  </si>
  <si>
    <t>RDC_NB_GF_AT-7120-N3</t>
  </si>
  <si>
    <t>Office N-0430A</t>
  </si>
  <si>
    <t>RDC_NB_GF_AT-7120-N4</t>
  </si>
  <si>
    <t>Office N-0430B</t>
  </si>
  <si>
    <t>RDC_NB_GF_AT-7120-N5</t>
  </si>
  <si>
    <t>Office N-0430C</t>
  </si>
  <si>
    <t>RDC_NB_GF_AT-7120-N6</t>
  </si>
  <si>
    <t>Office N-0430D</t>
  </si>
  <si>
    <t>RDC_NB_GF_AT-7120-N7</t>
  </si>
  <si>
    <t>Office N-0430E</t>
  </si>
  <si>
    <t>RDC_NB_GF_AT-7120-N8</t>
  </si>
  <si>
    <t>Office N-0430F</t>
  </si>
  <si>
    <t>RDC_NB_GF_AT-7120-N9</t>
  </si>
  <si>
    <t>Corridor N-0418A</t>
  </si>
  <si>
    <t>RDC_NB_GF_EV-7091</t>
  </si>
  <si>
    <t>RDC_NB_GF_EV-7106</t>
  </si>
  <si>
    <t>RDC_NB_GF_EV-7121</t>
  </si>
  <si>
    <t>Office 05-4-WS N-0418</t>
  </si>
  <si>
    <t>RDC_NB_GF_EV-7122</t>
  </si>
  <si>
    <t>IDF Room N-0419</t>
  </si>
  <si>
    <t>RDC_NB_GF_EV-7396</t>
  </si>
  <si>
    <t>Office 05-8-WKS N-0446</t>
  </si>
  <si>
    <t>RDC_NB_GF_EV-7426</t>
  </si>
  <si>
    <t>RDC_NB_GF_EV-7461</t>
  </si>
  <si>
    <t>RDC_NB_GF_EV-7486</t>
  </si>
  <si>
    <t>RDC_NB_GF_VEV-7022A</t>
  </si>
  <si>
    <t>RDC_NB_GF_VEV-7022B</t>
  </si>
  <si>
    <t>RDC_NB_GF_VEV-7023A</t>
  </si>
  <si>
    <t>RDC_NB_GF_VEV-7023B</t>
  </si>
  <si>
    <t>RDC_NB_GF_VEV-7024A</t>
  </si>
  <si>
    <t>RDC_NB_GF_VEV-7024B</t>
  </si>
  <si>
    <t>RDC_NB_GF_FEV-7052</t>
  </si>
  <si>
    <t>RDC_NB_GF_FEV-7053</t>
  </si>
  <si>
    <t>RDC_NB_GF_FEV-7062</t>
  </si>
  <si>
    <t>RDC_NB_GF_VEV-7072A</t>
  </si>
  <si>
    <t>RDC_NB_GF_VEV-7072B</t>
  </si>
  <si>
    <t>RDC_NB_GF_VEV-7073</t>
  </si>
  <si>
    <t>RDC_NB_GF_FEV-7074</t>
  </si>
  <si>
    <t>RDC_NB_GF_FEV-7075</t>
  </si>
  <si>
    <t>RDC_NB_GF_FEV-7232</t>
  </si>
  <si>
    <t>RDC_NB_GF_VEV-7241B</t>
  </si>
  <si>
    <t>RDC_NB_GF_VEV-7301</t>
  </si>
  <si>
    <t>A/L 1 N-0442H</t>
  </si>
  <si>
    <t>RDC_NB_GF_FCU7993</t>
  </si>
  <si>
    <t>RDC_SB_1F_AT-1504</t>
  </si>
  <si>
    <t>Corridor S-1122</t>
  </si>
  <si>
    <t>RDC_SB_1F_AT-1507</t>
  </si>
  <si>
    <t>RDC_SB_1F_AT-1508</t>
  </si>
  <si>
    <t>RDC_SB_1F_AT-1509</t>
  </si>
  <si>
    <t>RDC_SB_1F_AT-1510</t>
  </si>
  <si>
    <t>RDC_SB_1F_AT-1511</t>
  </si>
  <si>
    <t>RDC_SB_1F_AT-1512</t>
  </si>
  <si>
    <t>RDC_SB_1F_AT-1513</t>
  </si>
  <si>
    <t>RDC_SB_1F_AT-1514</t>
  </si>
  <si>
    <t>RDC_SB_1F_AT-1515</t>
  </si>
  <si>
    <t>RDC_SB_1F_AT-1516</t>
  </si>
  <si>
    <t>RDC_SB_1F_AT-1517</t>
  </si>
  <si>
    <t>RDC_SB_1F_AT-1518</t>
  </si>
  <si>
    <t>RDC_SB_1F_AT-1519</t>
  </si>
  <si>
    <t>RDC_SB_1F_AT-1520</t>
  </si>
  <si>
    <t>RDC_SB_1F_AT-1521</t>
  </si>
  <si>
    <t>RDC_SB_1F_AT-1522</t>
  </si>
  <si>
    <t>RDC_SB_1F_AT-1523</t>
  </si>
  <si>
    <t>RDC_SB_1F_AT-1524</t>
  </si>
  <si>
    <t>RDC_SB_1F_AT-1525</t>
  </si>
  <si>
    <t>RDC_SB_1F_AT-1526</t>
  </si>
  <si>
    <t>RDC_SB_1F_AT-1527</t>
  </si>
  <si>
    <t>RDC_SB_1F_AT-1528</t>
  </si>
  <si>
    <t>RDC_SB_1F_AT-1529</t>
  </si>
  <si>
    <t>RDC_SB_1F_AT-1530</t>
  </si>
  <si>
    <t>RDC_SB_1F_AT-1531</t>
  </si>
  <si>
    <t>RDC_SB_1F_AT-1532</t>
  </si>
  <si>
    <t>RDC_SB_1F_AT-1533</t>
  </si>
  <si>
    <t>RDC_SB_1F_AT-1534</t>
  </si>
  <si>
    <t>RDC_SB_1F_AT-1535</t>
  </si>
  <si>
    <t>Pantry S-1149A</t>
  </si>
  <si>
    <t>RDC_SB_1F_AT-1536</t>
  </si>
  <si>
    <t>RDC_SB_1F_AT-1537</t>
  </si>
  <si>
    <t>Normal Elec. S-1147</t>
  </si>
  <si>
    <t>RDC_SB_1F_AT-1542</t>
  </si>
  <si>
    <t>RDC_SB_1F_AT-1546</t>
  </si>
  <si>
    <t>RDC_SB_1F_AT-1548</t>
  </si>
  <si>
    <t>RDC_SB_1F_AT-1549</t>
  </si>
  <si>
    <t>RDC_SB_1F_AT-1550</t>
  </si>
  <si>
    <t>RDC_SB_1F_AT-1551</t>
  </si>
  <si>
    <t>RDC_SB_1F_AT-1552</t>
  </si>
  <si>
    <t>RDC_SB_1F_AT-1553</t>
  </si>
  <si>
    <t>RDC_SB_1F_AT-1554</t>
  </si>
  <si>
    <t>RDC_SB_1F_AT-1555</t>
  </si>
  <si>
    <t>RDC_SB_1F_AT-1556</t>
  </si>
  <si>
    <t>RDC_SB_1F_AT-1557</t>
  </si>
  <si>
    <t>RDC_SB_1F_AT-1558</t>
  </si>
  <si>
    <t>RDC_SB_1F_AT-1559</t>
  </si>
  <si>
    <t>RDC_SB_1F_AT-1560</t>
  </si>
  <si>
    <t>RDC_SB_1F_AT-1561</t>
  </si>
  <si>
    <t>RDC_SB_1F_AT-0538</t>
  </si>
  <si>
    <t>RDC_NB_1F_AT-4660</t>
  </si>
  <si>
    <t>RDC_NB_1F_AT-4665</t>
  </si>
  <si>
    <t>RDC_NB_1F_AT-4680</t>
  </si>
  <si>
    <t>RDC_NB_1F_AT-4690</t>
  </si>
  <si>
    <t>RDC_NB_1F_AT-4705</t>
  </si>
  <si>
    <t>RDC_NB_1F_AT-4720</t>
  </si>
  <si>
    <t>RDC_NB_1F_AT-4730</t>
  </si>
  <si>
    <t>RDC_NB_1F_AT-4745</t>
  </si>
  <si>
    <t>RDC_NB_1F_EV-4500</t>
  </si>
  <si>
    <t>RDC_NB_1F_CEV-4502</t>
  </si>
  <si>
    <t>Corridor N-1202</t>
  </si>
  <si>
    <t>RDC_NB_1F_EV-4661</t>
  </si>
  <si>
    <t>Office 05 - 8 WKS- N-1227</t>
  </si>
  <si>
    <t>RDC_NB_1F_EV-4686</t>
  </si>
  <si>
    <t>Office 05 - 8 WKS- N-1232</t>
  </si>
  <si>
    <t>RDC_NB_1F_EV-4711</t>
  </si>
  <si>
    <t>Office 05 - 8 WKS- N-1237</t>
  </si>
  <si>
    <t>RDC_NB_1F_EV-4736</t>
  </si>
  <si>
    <t>Office 05 - 8 WKS- N-1242</t>
  </si>
  <si>
    <t>RDC_NB_1F_VEV-4602</t>
  </si>
  <si>
    <t>RDC_NB_1F_FEV-4603</t>
  </si>
  <si>
    <t>RDC_NB_1F_FEV-4604</t>
  </si>
  <si>
    <t>RDC_NB_1F_FEV-4605</t>
  </si>
  <si>
    <t>RDC_NB_1F_FEV-4606</t>
  </si>
  <si>
    <t>RDC_NB_1F_FEV-4622</t>
  </si>
  <si>
    <t>RDC_NB_1F_CAV-4581B</t>
  </si>
  <si>
    <t>RDC_NB_1F_VEV-4585A</t>
  </si>
  <si>
    <t>RDC_NB_1F_VEV-4585B</t>
  </si>
  <si>
    <t>RDC_NB_1F_VEV-4586A</t>
  </si>
  <si>
    <t>RDC_NB_1F_VEV-4586B</t>
  </si>
  <si>
    <t>RDC_NB_1F_FEV-4587</t>
  </si>
  <si>
    <t>RDC_NB_1F_FEV-4588</t>
  </si>
  <si>
    <t>RDC_NB_1F_FCU2004</t>
  </si>
  <si>
    <t>RDC_SB_1F_AT-0501</t>
  </si>
  <si>
    <t>Lobby S-1102</t>
  </si>
  <si>
    <t>RDC_SB_1F_AT-0502</t>
  </si>
  <si>
    <t>Vestibule S-1105</t>
  </si>
  <si>
    <t>RDC_SB_1F_AT-0503</t>
  </si>
  <si>
    <t>Women S-1106B</t>
  </si>
  <si>
    <t>RDC_SB_1F_AT-0504</t>
  </si>
  <si>
    <t>Vestibule S-1107</t>
  </si>
  <si>
    <t>RDC_SB_1F_AT-0505</t>
  </si>
  <si>
    <t>EMERGENCY Elec. S-1107B</t>
  </si>
  <si>
    <t>RDC_SB_1F_AT-0515</t>
  </si>
  <si>
    <t>RDC_SB_1F_AT-0516</t>
  </si>
  <si>
    <t>Pantry S-1158</t>
  </si>
  <si>
    <t>RDC_SB_1F_AT-0517</t>
  </si>
  <si>
    <t>Normal Elec. S-1160</t>
  </si>
  <si>
    <t>RDC_SB_1F_AT-0524</t>
  </si>
  <si>
    <t>Women S-1169</t>
  </si>
  <si>
    <t>RDC_SB_1F_AT-0525</t>
  </si>
  <si>
    <t>Men S-1170</t>
  </si>
  <si>
    <t>RDC_SB_1F_AT-0534</t>
  </si>
  <si>
    <t>CORRIDOR S-1180</t>
  </si>
  <si>
    <t>RDC_SB_1F_AT-0535</t>
  </si>
  <si>
    <t>Cooridor S-1180</t>
  </si>
  <si>
    <t>RDC_SB_1F_AT-1541</t>
  </si>
  <si>
    <t>Cooridor S-1181</t>
  </si>
  <si>
    <t>RDC_SB_1F_AT-0506</t>
  </si>
  <si>
    <t>RDC_SB_1F_AT-0507</t>
  </si>
  <si>
    <t>RDC_SB_1F_AT-0508</t>
  </si>
  <si>
    <t>RDC_SB_1F_AT-0509</t>
  </si>
  <si>
    <t>NCIR OFFICE S-1115</t>
  </si>
  <si>
    <t>RDC_SB_1F_AT-0510</t>
  </si>
  <si>
    <t>RDC_SB_1F_AT-0511</t>
  </si>
  <si>
    <t>RDC_SB_1F_AT-0512</t>
  </si>
  <si>
    <t>RDC_SB_1F_AT-0513</t>
  </si>
  <si>
    <t>RDC_SB_1F_AT-0514</t>
  </si>
  <si>
    <t>RDC_SB_1F_AT-0518</t>
  </si>
  <si>
    <t>RDC_SB_1F_AT-0519</t>
  </si>
  <si>
    <t>RDC_SB_1F_AT-0520</t>
  </si>
  <si>
    <t>RDC_SB_1F_AT-0521</t>
  </si>
  <si>
    <t>RDC_SB_1F_AT-0522</t>
  </si>
  <si>
    <t>RDC_SB_1F_AT-0523</t>
  </si>
  <si>
    <t>RDC_SB_1F_AT-0526</t>
  </si>
  <si>
    <t>RDC_SB_1F_AT-0527</t>
  </si>
  <si>
    <t>RDC_SB_1F_AT-0528</t>
  </si>
  <si>
    <t>RDC_SB_1F_AT-0529</t>
  </si>
  <si>
    <t>RDC_SB_1F_AT-0530</t>
  </si>
  <si>
    <t>RDC_SB_1F_AT-0531</t>
  </si>
  <si>
    <t>RDC_SB_1F_AT-0532</t>
  </si>
  <si>
    <t>RDC_SB_1F_AT-0533</t>
  </si>
  <si>
    <t>RDC_SB_1F_AT-1501</t>
  </si>
  <si>
    <t>RDC_SB_1F_AT-1502</t>
  </si>
  <si>
    <t>RDC_SB_1F_AT-1503</t>
  </si>
  <si>
    <t>RDC_SB_1F_AT-1505</t>
  </si>
  <si>
    <t>RDC_SB_1F_AT-1506</t>
  </si>
  <si>
    <t>RDC_SB_1F_AT-1539</t>
  </si>
  <si>
    <t>RDC_SB_1F_AT-1540</t>
  </si>
  <si>
    <t>RDC_SB_1F_AT-1543</t>
  </si>
  <si>
    <t>RDC_SB_1F_AT-1544</t>
  </si>
  <si>
    <t>RDC_SB_1F_AT-1545</t>
  </si>
  <si>
    <t>RDC_SB_1F_AT-1547</t>
  </si>
  <si>
    <t>RDC_NB_1F_AT-5650</t>
  </si>
  <si>
    <t>RDC_NB_1F_AT-5655</t>
  </si>
  <si>
    <t>RDC_NB_1F_AT-5660</t>
  </si>
  <si>
    <t>RDC_NB_1F_AT-5665</t>
  </si>
  <si>
    <t>RDC_NB_1F_AT-5670</t>
  </si>
  <si>
    <t>RDC_NB_1F_AT-5675</t>
  </si>
  <si>
    <t>RDC_NB_1F_AT-5680</t>
  </si>
  <si>
    <t>RDC_NB_1F_AT-5685</t>
  </si>
  <si>
    <t>RDC_NB_1F_AT-5690</t>
  </si>
  <si>
    <t>RDC_NB_1F_AT-5695</t>
  </si>
  <si>
    <t>RDC_NB_1F_AT-5700</t>
  </si>
  <si>
    <t>RDC_NB_1F_AT-5705</t>
  </si>
  <si>
    <t>RDC_NB_1F_AT-5710</t>
  </si>
  <si>
    <t>RDC_NB_1F_AT-5715</t>
  </si>
  <si>
    <t>RDC_NB_1F_AT-5730</t>
  </si>
  <si>
    <t>RDC_NB_1F_AT-5735</t>
  </si>
  <si>
    <t>RDC_NB_1F_AT-5740</t>
  </si>
  <si>
    <t>RDC_NB_1F_AT-5745</t>
  </si>
  <si>
    <t>RDC_NB_1F_AT-5760</t>
  </si>
  <si>
    <t>RDC_NB_1F_AT-5835</t>
  </si>
  <si>
    <t>RDC_NB_1F_AT-5840</t>
  </si>
  <si>
    <t>RDC_NB_1F_AT-5860</t>
  </si>
  <si>
    <t>RDC_NB_1F_AT-5865</t>
  </si>
  <si>
    <t>RDC_NB_1F_AT-5870</t>
  </si>
  <si>
    <t>RDC_NB_1F_AT-5875</t>
  </si>
  <si>
    <t>RDC_NB_1F_AT-5880</t>
  </si>
  <si>
    <t>RDC_NB_1F_AT-5885</t>
  </si>
  <si>
    <t>RDC_NB_1F_AT-5890</t>
  </si>
  <si>
    <t>RDC_NB_1F_AT-5895</t>
  </si>
  <si>
    <t>RDC_NB_1F_AT-5900</t>
  </si>
  <si>
    <t>RDC_NB_1F_AT-5905</t>
  </si>
  <si>
    <t>RDC_NB_1F_AT-5910</t>
  </si>
  <si>
    <t>RDC_NB_1F_AT-5915</t>
  </si>
  <si>
    <t>RDC_NB_1F_AT-5920</t>
  </si>
  <si>
    <t>RDC_NB_1F_AT-5925</t>
  </si>
  <si>
    <t>RDC_NB_1F_AT-5930</t>
  </si>
  <si>
    <t>RDC_NB_1F_AT-5935</t>
  </si>
  <si>
    <t>RDC_NB_1F_AT-5940</t>
  </si>
  <si>
    <t>RDC_NB_1F_AT-5720</t>
  </si>
  <si>
    <t>Men N-1134</t>
  </si>
  <si>
    <t>RDC_NB_1F_AT-5750</t>
  </si>
  <si>
    <t>Store N-1141</t>
  </si>
  <si>
    <t>RDC_NB_1F_AT-4640</t>
  </si>
  <si>
    <t>Women N-1221</t>
  </si>
  <si>
    <t>RDC_NB_1F_AT-4650</t>
  </si>
  <si>
    <t>RDC_NB_1F_EV-5686</t>
  </si>
  <si>
    <t>RDC_NB_1F_EV-5721</t>
  </si>
  <si>
    <t>RDC_NB_1F_EV-5747</t>
  </si>
  <si>
    <t>RDC_NB_1F_EV-4641</t>
  </si>
  <si>
    <t>RDC_NB_1F_EV-5891</t>
  </si>
  <si>
    <t>Office 05 - 8 WKS- North N-1160</t>
  </si>
  <si>
    <t>RDC_NB_1F_EV-5921</t>
  </si>
  <si>
    <t>Office 05 - 8 WKS- N-1168</t>
  </si>
  <si>
    <t>RDC_NB_1F_EV-5941</t>
  </si>
  <si>
    <t>Office 05 - 8 WKS- N-1165</t>
  </si>
  <si>
    <t>RDC_NB_1F_FEV-5624</t>
  </si>
  <si>
    <t>RDC_NB_1F_VEV-5572</t>
  </si>
  <si>
    <t>RDC_NB_1F_VEV-5573A</t>
  </si>
  <si>
    <t>RDC_NB_1F_VEV-5573B</t>
  </si>
  <si>
    <t>RDC_NB_1F_FEV-5574</t>
  </si>
  <si>
    <t>RDC_NB_1F_FEV-5575</t>
  </si>
  <si>
    <t>RDC_NB_1F_VEV-5591</t>
  </si>
  <si>
    <t>RDC_NB_1F_FEV-5772</t>
  </si>
  <si>
    <t>RDC_NB_1F_VEV-5791</t>
  </si>
  <si>
    <t>RDC_NB_1F_VEV-5795B</t>
  </si>
  <si>
    <t>RDC_NB_1F_FEV-5796</t>
  </si>
  <si>
    <t>RDC_NB_1F_VEV-5811A</t>
  </si>
  <si>
    <t>RDC_NB_1F_VEV-5811B</t>
  </si>
  <si>
    <t>RDC_NB_1F_FEV-5812</t>
  </si>
  <si>
    <t>RDC_NB_1F_FEV-5813</t>
  </si>
  <si>
    <t>RDC_NB_1F_VEV-5821</t>
  </si>
  <si>
    <t>RDC_SB_1F_AT-2501</t>
  </si>
  <si>
    <t>RDC_SB_1F_AT-2507</t>
  </si>
  <si>
    <t>Female S-1204</t>
  </si>
  <si>
    <t>RDC_SB_1F_AT-2502</t>
  </si>
  <si>
    <t>RDC_SB_1F_AT-2503</t>
  </si>
  <si>
    <t>RDC_SB_1F_AT-2504</t>
  </si>
  <si>
    <t>RDC_SB_1F_AT-2505</t>
  </si>
  <si>
    <t>RDC_SB_1F_AT-2506</t>
  </si>
  <si>
    <t>RDC_SB_1F_AT-2508</t>
  </si>
  <si>
    <t>RDC_SB_1F_AT-2509</t>
  </si>
  <si>
    <t>RDC_SB_1F_AT-2510</t>
  </si>
  <si>
    <t>RDC_SB_1F_AT-2511</t>
  </si>
  <si>
    <t>RDC_SB_1F_AT-2512</t>
  </si>
  <si>
    <t>RDC_SB_1F_AT-2513</t>
  </si>
  <si>
    <t>RDC_SB_1F_AT-2514</t>
  </si>
  <si>
    <t>RDC_SB_1F_AT-2515</t>
  </si>
  <si>
    <t>RDC_SB_1F_AT-2516</t>
  </si>
  <si>
    <t>RDC_SB_1F_AT-2517</t>
  </si>
  <si>
    <t>RDC_SB_1F_AT-2518</t>
  </si>
  <si>
    <t>RDC_SB_1F_AT-2519</t>
  </si>
  <si>
    <t>RDC_SB_1F_AT-2520</t>
  </si>
  <si>
    <t>RDC_SB_1F_AT-2521</t>
  </si>
  <si>
    <t>RDC_SB_1F_AT-2522</t>
  </si>
  <si>
    <t>RDC_SB_1F_AT-2523</t>
  </si>
  <si>
    <t>RDC_SB_1F_AT-2524</t>
  </si>
  <si>
    <t>RDC_SB_1F_AT-2525</t>
  </si>
  <si>
    <t>RDC_SB_1F_AT-2526</t>
  </si>
  <si>
    <t>RDC_SB_1F_AT-2527</t>
  </si>
  <si>
    <t>RDC_SB_1F_AT-2528</t>
  </si>
  <si>
    <t>RDC_SB_1F_AT-2529</t>
  </si>
  <si>
    <t>RDC_SB_1F_AT-2530</t>
  </si>
  <si>
    <t>RDC_SB_1F_AT-2531</t>
  </si>
  <si>
    <t>Director Ofice S-1241</t>
  </si>
  <si>
    <t>RDC_SB_1F_AT-2532</t>
  </si>
  <si>
    <t>RDC_SB_1F_AT-2533</t>
  </si>
  <si>
    <t>RDC_SB_1F_AT-2534</t>
  </si>
  <si>
    <t>RDC_SB_1F_AT-2535</t>
  </si>
  <si>
    <t>RDC_SB_1F_AT-2536</t>
  </si>
  <si>
    <t>RDC_SB_1F_AT-2538</t>
  </si>
  <si>
    <t>RDC_SB_1F_AT-2539</t>
  </si>
  <si>
    <t>RDC_SB_1F_AT-2540</t>
  </si>
  <si>
    <t>RDC_SB_1F_AT-2541</t>
  </si>
  <si>
    <t>RDC_SB_1F_AT-2542</t>
  </si>
  <si>
    <t>RDC_SB_1F_AT-2543</t>
  </si>
  <si>
    <t>RDC_SB_1F_AT-2544</t>
  </si>
  <si>
    <t>RDC_SB_1F_AT-2545</t>
  </si>
  <si>
    <t>RDC_SB_1F_AT-2546</t>
  </si>
  <si>
    <t>RDC_SB_1F_AT-2547</t>
  </si>
  <si>
    <t>RDC_SB_1F_AT-2548</t>
  </si>
  <si>
    <t>RDC_SB_1F_AT-2549</t>
  </si>
  <si>
    <t>RDC_SB_1F_AT-2550</t>
  </si>
  <si>
    <t>RDC_SB_1F_AT-2551</t>
  </si>
  <si>
    <t>RDC_SB_1F_AT-2552</t>
  </si>
  <si>
    <t>RDC_SB_1F_AT-2553</t>
  </si>
  <si>
    <t>RDC_SB_1F_AT-4260</t>
  </si>
  <si>
    <t>RDC_NB_1F_AT-6650</t>
  </si>
  <si>
    <t>RDC_NB_1F_AT-6655</t>
  </si>
  <si>
    <t>RDC_NB_1F_AT-6660</t>
  </si>
  <si>
    <t>RDC_NB_1F_AT-6665</t>
  </si>
  <si>
    <t>RDC_NB_1F_AT-6670</t>
  </si>
  <si>
    <t>RDC_NB_1F_AT-6675</t>
  </si>
  <si>
    <t>RDC_NB_1F_AT-6680</t>
  </si>
  <si>
    <t>RDC_NB_1F_AT-6685</t>
  </si>
  <si>
    <t>RDC_NB_1F_AT-6690</t>
  </si>
  <si>
    <t>RDC_NB_1F_AT-6695</t>
  </si>
  <si>
    <t>RDC_NB_1F_AT-6700</t>
  </si>
  <si>
    <t>RDC_NB_1F_AT-6705</t>
  </si>
  <si>
    <t>RDC_NB_1F_AT-6710</t>
  </si>
  <si>
    <t>RDC_NB_1F_AT-6715</t>
  </si>
  <si>
    <t>RDC_NB_1F_AT-6720</t>
  </si>
  <si>
    <t>RDC_NB_1F_AT-6725</t>
  </si>
  <si>
    <t>RDC_NB_1F_AT-6740</t>
  </si>
  <si>
    <t>Men N-1340</t>
  </si>
  <si>
    <t>RDC_NB_1F_AT-7500</t>
  </si>
  <si>
    <t>Women N-1403</t>
  </si>
  <si>
    <t>RDC_NB_1F_AT-6900</t>
  </si>
  <si>
    <t>RDC_NB_1F_AT-6905</t>
  </si>
  <si>
    <t>RDC_NB_1F_AT-6910</t>
  </si>
  <si>
    <t>RDC_NB_1F_AT-6915</t>
  </si>
  <si>
    <t>RDC_NB_1F_AT-6920</t>
  </si>
  <si>
    <t>RDC_NB_1F_AT-6925</t>
  </si>
  <si>
    <t>RDC_NB_1F_AT-6930</t>
  </si>
  <si>
    <t>RDC_NB_1F_AT-6935</t>
  </si>
  <si>
    <t>RDC_NB_1F_AT-6940</t>
  </si>
  <si>
    <t>RDC_NB_1F_AT-6945</t>
  </si>
  <si>
    <t>RDC_NB_1F_AT-6950</t>
  </si>
  <si>
    <t>RDC_NB_1F_AT-6955</t>
  </si>
  <si>
    <t>RDC_NB_1F_AT-6960</t>
  </si>
  <si>
    <t>RDC_NB_1F_AT-6965</t>
  </si>
  <si>
    <t>RDC_NB_1F_AT-6967</t>
  </si>
  <si>
    <t>RDC_NB_1F_AT-6968</t>
  </si>
  <si>
    <t>RDC_NB_1F_AT-6970</t>
  </si>
  <si>
    <t>RDC_NB_1F_AT-7865</t>
  </si>
  <si>
    <t>RDC_NB_1F_AT-6372</t>
  </si>
  <si>
    <t>RDC_NB_1F_AT-6374</t>
  </si>
  <si>
    <t>RDC_NB_1F_AT-6376</t>
  </si>
  <si>
    <t>RDC_NB_1F_AT-6378</t>
  </si>
  <si>
    <t>RDC_NB_1F_EV-6661</t>
  </si>
  <si>
    <t>RDC_NB_1F_EV-6676</t>
  </si>
  <si>
    <t>RDC_NB_1F_EV-6691</t>
  </si>
  <si>
    <t>RDC_NB_1F_EV-6741</t>
  </si>
  <si>
    <t>RDC_NB_1F_EV-7501</t>
  </si>
  <si>
    <t>RDC_NB_1F_EV-6936</t>
  </si>
  <si>
    <t>RDC_NB_1F_EV-6961</t>
  </si>
  <si>
    <t>RDC_NB_1F_EV-6969</t>
  </si>
  <si>
    <t>RDC_NB_1F_VEV-6541</t>
  </si>
  <si>
    <t>TC1 N-1316B</t>
  </si>
  <si>
    <t>RDC_NB_1F_VEV-6552</t>
  </si>
  <si>
    <t>RDC_NB_1F_VEV-6553</t>
  </si>
  <si>
    <t>RDC_NB_1F_FEV-6554</t>
  </si>
  <si>
    <t>RDC_NB_1F_FEV-6555</t>
  </si>
  <si>
    <t>RDC_NB_1F_CEV-6581</t>
  </si>
  <si>
    <t>TC3 N-1316F</t>
  </si>
  <si>
    <t>RDC_NB_1F_FEV-6602</t>
  </si>
  <si>
    <t>RDC_NB_1F_FEV-6632</t>
  </si>
  <si>
    <t>RDC_NB_1F_FEV-6633</t>
  </si>
  <si>
    <t>RDC_NB_1F_FEV-6634</t>
  </si>
  <si>
    <t>RDC_NB_1F_FEV-6635</t>
  </si>
  <si>
    <t>RDC_NB_1F_FEV-6636</t>
  </si>
  <si>
    <t>RDC_NB_1F_FEV-6637</t>
  </si>
  <si>
    <t>RDC_NB_1F_FEV-6638</t>
  </si>
  <si>
    <t>RDC_NB_1F_FEV-6639</t>
  </si>
  <si>
    <t>RDC_NB_1F_FEV-6731</t>
  </si>
  <si>
    <t>SERIVICE CORRRIDOR N-1337</t>
  </si>
  <si>
    <t>RDC_NB_1F_VEV-6751</t>
  </si>
  <si>
    <t>TC1 N-1345A</t>
  </si>
  <si>
    <t>RDC_NB_1F_VEV-6762</t>
  </si>
  <si>
    <t>Diabetes Lab / Open Lab N-1345B</t>
  </si>
  <si>
    <t>RDC_NB_1F_VEV-6763</t>
  </si>
  <si>
    <t>RDC_NB_1F_FEV-6764</t>
  </si>
  <si>
    <t>RDC_NB_1F_FEV-6765</t>
  </si>
  <si>
    <t>RDC_NB_1F_FEV-6766</t>
  </si>
  <si>
    <t>RDC_NB_1F_CEV-6791</t>
  </si>
  <si>
    <t>TC2 N-1345C</t>
  </si>
  <si>
    <t>RDC_NB_1F_FEV-6852</t>
  </si>
  <si>
    <t>RDC_NB_1F_FEV-6853</t>
  </si>
  <si>
    <t>RDC_NB_1F_FEV-6854</t>
  </si>
  <si>
    <t>RDC_NB_1F_FEV-6855</t>
  </si>
  <si>
    <t>RDC_NB_1F_FEV-6856</t>
  </si>
  <si>
    <t>RDC_NB_1F_FEV-6857</t>
  </si>
  <si>
    <t>RDC_NB_1F_FEV-6858</t>
  </si>
  <si>
    <t>RDC_NB_1F_FEV-6859</t>
  </si>
  <si>
    <t>RDC_SB_1F_AT-3501</t>
  </si>
  <si>
    <t>RDC_SB_1F_AT-3502</t>
  </si>
  <si>
    <t>RDC_SB_1F_AT-3503</t>
  </si>
  <si>
    <t>Reception S-0293</t>
  </si>
  <si>
    <t>RDC_SB_1F_AT-3504</t>
  </si>
  <si>
    <t>RDC_SB_1F_AT-3505</t>
  </si>
  <si>
    <t>RDC_SB_1F_AT-3506</t>
  </si>
  <si>
    <t>RDC_SB_1F_AT-3507</t>
  </si>
  <si>
    <t>RDC_SB_1F_AT-3508</t>
  </si>
  <si>
    <t>RDC_SB_1F_AT-3509</t>
  </si>
  <si>
    <t>RDC_SB_1F_AT-3510</t>
  </si>
  <si>
    <t>RDC_SB_1F_AT-3511</t>
  </si>
  <si>
    <t>CORRIDOR S-1280</t>
  </si>
  <si>
    <t>RDC_SB_1F_AT-3512</t>
  </si>
  <si>
    <t>RDC_SB_1F_AT-3513</t>
  </si>
  <si>
    <t>RDC_SB_1F_AT-3514</t>
  </si>
  <si>
    <t>RDC_SB_1F_AT-3515</t>
  </si>
  <si>
    <t>RDC_SB_1F_AT-3516</t>
  </si>
  <si>
    <t>RDC_SB_1F_AT-3517</t>
  </si>
  <si>
    <t>RDC_SB_1F_AT-3518</t>
  </si>
  <si>
    <t>RDC_SB_1F_AT-3520</t>
  </si>
  <si>
    <t>RDC_SB_1F_AT-3521</t>
  </si>
  <si>
    <t>RDC_SB_1F_AT-3522</t>
  </si>
  <si>
    <t>RDC_SB_1F_AT-3523</t>
  </si>
  <si>
    <t>RDC_SB_1F_AT-3524</t>
  </si>
  <si>
    <t>RDC_SB_1F_AT-0207</t>
  </si>
  <si>
    <t>Open Plan S-1293A</t>
  </si>
  <si>
    <t>RDC_SB_1F_AT-0208</t>
  </si>
  <si>
    <t>RDC_SB_1F_AT-0201A</t>
  </si>
  <si>
    <t>RDC_SB_1F_AT-0201B</t>
  </si>
  <si>
    <t>RDC_SB_1F_AT-0206</t>
  </si>
  <si>
    <t>RDC_NB_1F_AT-7620</t>
  </si>
  <si>
    <t>RDC_NB_1F_AT-7625</t>
  </si>
  <si>
    <t>RDC_NB_1F_AT-7630</t>
  </si>
  <si>
    <t>RDC_NB_1F_AT-7635</t>
  </si>
  <si>
    <t>RDC_NB_1F_AT-7640</t>
  </si>
  <si>
    <t>RDC_NB_1F_AT-7645</t>
  </si>
  <si>
    <t>RDC_NB_1F_AT-7650</t>
  </si>
  <si>
    <t>RDC_NB_1F_AT-7655</t>
  </si>
  <si>
    <t>RDC_NB_1F_AT-7660</t>
  </si>
  <si>
    <t>RDC_NB_1F_AT-7665</t>
  </si>
  <si>
    <t>RDC_NB_1F_AT-7670</t>
  </si>
  <si>
    <t>RDC_NB_1F_AT-7675</t>
  </si>
  <si>
    <t>RDC_NB_1F_AT-7680</t>
  </si>
  <si>
    <t>RDC_NB_1F_AT-7685</t>
  </si>
  <si>
    <t>RDC_NB_1F_AT-7690</t>
  </si>
  <si>
    <t>RDC_NB_1F_AT-7695</t>
  </si>
  <si>
    <t>RDC_NB_1F_AT-7700</t>
  </si>
  <si>
    <t>RDC_NB_1F_AT-7705</t>
  </si>
  <si>
    <t>Expansion WORKstation N-1442</t>
  </si>
  <si>
    <t>RDC_NB_1F_AT-7710</t>
  </si>
  <si>
    <t>RDC_NB_1F_AT-7840</t>
  </si>
  <si>
    <t>RDC_NB_1F_AT-7845</t>
  </si>
  <si>
    <t>RDC_NB_1F_AT-7850</t>
  </si>
  <si>
    <t>RDC_NB_1F_AT-7860</t>
  </si>
  <si>
    <t>RDC_NB_1F_AT-7870</t>
  </si>
  <si>
    <t>RDC_NB_1F_AT-7875</t>
  </si>
  <si>
    <t>RDC_NB_1F_AT-7880</t>
  </si>
  <si>
    <t>RDC_NB_1F_AT-7885</t>
  </si>
  <si>
    <t>RDC_NB_1F_AT-7890</t>
  </si>
  <si>
    <t>RDC_NB_1F_AT-7895</t>
  </si>
  <si>
    <t>RDC_NB_1F_AT-7900</t>
  </si>
  <si>
    <t>RDC_NB_1F_AT-7905</t>
  </si>
  <si>
    <t>RDC_NB_1F_AT-7910</t>
  </si>
  <si>
    <t>RDC_NB_1F_AT-7915</t>
  </si>
  <si>
    <t>RDC_NB_1F_AT-7920</t>
  </si>
  <si>
    <t>RDC_NB_1F_AT-7925</t>
  </si>
  <si>
    <t>RDC_NB_1F_AT-7930</t>
  </si>
  <si>
    <t>RDC_NB_1F_AT-7935</t>
  </si>
  <si>
    <t>RDC_NB_1F_AT-7940</t>
  </si>
  <si>
    <t>RDC_NB_1F_AT-7945</t>
  </si>
  <si>
    <t>RDC_NB_1F_AT-7950</t>
  </si>
  <si>
    <t>RDC_NB_1F_AT-7955</t>
  </si>
  <si>
    <t>RDC_NB_1F_AT-7960</t>
  </si>
  <si>
    <t>RDC_NB_1F_EV-7631</t>
  </si>
  <si>
    <t>RDC_NB_1F_EV-7646</t>
  </si>
  <si>
    <t>RDC_NB_1F_EV-7661</t>
  </si>
  <si>
    <t>RDC_NB_1F_EV-7663</t>
  </si>
  <si>
    <t>RDC_NB_1F_EV-7711</t>
  </si>
  <si>
    <t>RDC_NB_1F_EV-7712</t>
  </si>
  <si>
    <t>RDC_NB_1F_EV-7861</t>
  </si>
  <si>
    <t>Office 05 - 9 WKS N-1461</t>
  </si>
  <si>
    <t>RDC_NB_1F_EV-7916</t>
  </si>
  <si>
    <t>Office 05 - 8 WKS N-1471</t>
  </si>
  <si>
    <t>RDC_NB_1F_CEV-7521</t>
  </si>
  <si>
    <t>Isotope N-1404B</t>
  </si>
  <si>
    <t>RDC_NB_1F_FEV-7522</t>
  </si>
  <si>
    <t>RDC_NB_1F_CEV-7591</t>
  </si>
  <si>
    <t>HY Room N-1404J</t>
  </si>
  <si>
    <t>RDC_NB_1F_CEV-7581</t>
  </si>
  <si>
    <t>RDC_NB_1F_FEV-7602</t>
  </si>
  <si>
    <t>CELL BIO LABS N-1404K</t>
  </si>
  <si>
    <t>RDC_NB_1F_CEV-7611</t>
  </si>
  <si>
    <t>TC1 N-1404L</t>
  </si>
  <si>
    <t>RDC_NB_1F_CEV-6831</t>
  </si>
  <si>
    <t>SHARED COLD LAB N-1345G</t>
  </si>
  <si>
    <t>RDC_NB_1F_CEV-7761</t>
  </si>
  <si>
    <t>A/L N-1450D</t>
  </si>
  <si>
    <t>RDC_NB_1F_CEV-7791</t>
  </si>
  <si>
    <t>A/L N-1450G</t>
  </si>
  <si>
    <t>RDC_NB_1F_FEV-7824</t>
  </si>
  <si>
    <t>RDC_NB_2F_AT-4900</t>
  </si>
  <si>
    <t>RDC_NB_2F_AT-4910</t>
  </si>
  <si>
    <t>RDC_NB_2F_EV-4920</t>
  </si>
  <si>
    <t>RDC_NB_2F_AT-5930</t>
  </si>
  <si>
    <t>Office 04 N-1170</t>
  </si>
  <si>
    <t>RDC_NB_2F_AT-5940</t>
  </si>
  <si>
    <t>RDC_NB_2F_AT-6979</t>
  </si>
  <si>
    <t>RDC_NB_2F_AT-6980</t>
  </si>
  <si>
    <t>RDC_NB_2F_EV-6981</t>
  </si>
  <si>
    <t>RDC_NB_2F_AT-7975</t>
  </si>
  <si>
    <t>RDC_NB_2F_AT-7980</t>
  </si>
  <si>
    <t>Turn #</t>
  </si>
  <si>
    <t>Date</t>
  </si>
  <si>
    <t>User Request</t>
  </si>
  <si>
    <t>Action Taken</t>
  </si>
  <si>
    <t>Details</t>
  </si>
  <si>
    <t>Outcome</t>
  </si>
  <si>
    <t>Provided full transcript from previous session (classifying HQ VAV/FCU tags as Included/Not Included in column D by room type across Ground Floor–Level 11). New session; selection at D1174.</t>
  </si>
  <si>
    <t>Loaded prior context; set up Claude Log sheet; inspected the registry section around D1174.</t>
  </si>
  <si>
    <t>Row 1170 = AHUB_0005; FCU numbering restarts at FCU0001 on row 1171 — this is a separate building/section where column D holds room descriptions (e.g. 'SPRINKLER AND WATER','B.M.S'), not Included/Not Included marks. AHUs (rows 4-28) still unmarked pending direction.</t>
  </si>
  <si>
    <t>Awaiting user direction on next step (new floor, AHU handling, or final excluded-room verification).</t>
  </si>
  <si>
    <t>Clarified: wants room names (rooms served by each equipment tag) filled for the HQ block, rows 3–763, in column E (keeping the Included/Not Included marks in column D).</t>
  </si>
  <si>
    <t>Confirmed target column E via question; checked E is empty apart from a legend at E3/E4. Explained I cannot view the previous session's drawing images and my prior notes are not a clean per-row room map.</t>
  </si>
  <si>
    <t>Room names must be exact; prior notes grouped multiple tags per room label. Requested the floor drawings be resent one at a time to fill column E accurately, floor by floor.</t>
  </si>
  <si>
    <t>Awaiting user to resend the first HQ floor drawing to begin populating column E.</t>
  </si>
  <si>
    <t>Said they will send the floor drawings later tonight.</t>
  </si>
  <si>
    <t>Acknowledged; no workbook changes made. Confirmed the floor-by-floor workflow to populate column E with room names once drawings arrive.</t>
  </si>
  <si>
    <t>No cells written to Controllable Asset Registry this turn.</t>
  </si>
  <si>
    <t>On hold — awaiting HQ floor drawings from user (expected tonight).</t>
  </si>
  <si>
    <t>Sent HQ Roof Top (Level 12) drawing; asked me to start filling room names in column E for that floor.</t>
  </si>
  <si>
    <t>Wrote FCU room names to E155:E160 (FCU0126/0127 → 12.002 MCC Closet; FCU0128/0129 → 12.003 MCC Closet; FCU0130 → 12.004 MCC Closet; FCU0131 → roof plant/walkway near CSRR-0008). Verified by re-reading A155:E160.</t>
  </si>
  <si>
    <t>Roof VAV/12/01-13 units are NOT in the tag list (all VAV0001-0607 already assigned to Ground-L11; HQ block ends row 763, QNL starts 764). AHU/12/01-10 (rows 4-12) left blank — parked per earlier decision and AHUs don't serve a single room.</t>
  </si>
  <si>
    <t>Level 12 FCUs done. Flagged: SE 12.001 Electrical Closet sits beside 12.002 MCC Closet — could not confirm if one FCU serves 12.001 instead; FCU0131 has no room number on the drawing.</t>
  </si>
  <si>
    <t>Sent the 3rd image pair — new: South Building L0 Section A1.3; old: North Building L0 Section A2.3. Asked me to continue the established workflow (map the new floor, extract standalone tags from the old floor).</t>
  </si>
  <si>
    <t>Filled 3 blank FCU rows (FCU6987 row 2118, SB FCU0001 row 2159, SB FCU2001 row 2168). Appended 33 new rows (2365-2397): 5 A1.3 South Building AT tags, 24 A2.3 North Building AT tags, 4 A2.3 standalone EV valves. Flagged 7 uncertain rows yellow in C:D.</t>
  </si>
  <si>
    <t>Duplicate avoidance: skipped AT-0006 (already row 2262 from B1.1) and all A2.3 numbers already embedded in existing VAV rows (5000/5002, 5001/5003, 5010/5011, 5015/5016, 5030/5031, 5040/5041, 5045/5046, 5395, 5400, 5405, 5410/5411, 6000/6001, 6010/6011, 6025/6026, 6240/6241, 6300, 6305, 6310, 6315/6316). Appended only valves with no VAV row: EV-5021, EV-5035, EV-6016, EV-6127. Equipment type = each tag's own prefix (AT/EV) per the standing rule. NB FCU5982/5991/5992/6985/6986 were already populated from an earlier session and matched A2.3, so left untouched.</t>
  </si>
  <si>
    <t>3rd pair complete and verified (rows 2118, 2159, 2168, 2365-2397 re-read; no gaps). Next append row = 2398. Flagged yellow: AT-0002, AT-0005, AT-2001, AT-5030, AT-5045, EV-5035, EV-6127. Open note: A2.3 right-hand area is labelled RECEPTION AREA N-0169, which duplicates the left-side EXP. OFFICE N-0169 label - no tag sits there so no row was written.</t>
  </si>
  <si>
    <t>Sent the 4th image pair — new: South Building L0 Section A1.2; old: North Building L0 Section B2.1. Continue the established workflow.</t>
  </si>
  <si>
    <t>Filled SB FCU2002-2005 (rows 2169-2172). Mapped 45 of 46 blank VAV rows for A1.2 (C/D 1738:1783 = VAV2002-VAV2047). Appended 112 rows (2398-2509): 45 A1.2 AT-20xx, 8 A1.2 standalone 0-series AT, 43 B2.1 AT, 15 B2.1 valves, FCU6997. Corrected AT-2001 (row 2369). Flagged 39 uncertain rows yellow, then fixed 14 misplaced flags.</t>
  </si>
  <si>
    <t>A1.2 turned out to be a map-the-rooms floor: VAV2002-VAV2047 existed but were blank, and AT numbers correspond 1:1 to VAV numbers. There is no VAV2001 row and no VAV rows for the 0115-0124 series, so those 9 tags were appended only. VAV2005 (row 1741) left blank - AT-2005 does not appear on A1.2. Self-caught error: skipping AT-2005 in the append shifted my flag row offsets by one, so 7 flags landed on confident rows (AT-2010/2014/2017/2018/2026/2034/2036) and 7 uncertain rows were unflagged; cleared and re-applied correctly. AT-2001 moved from Vestibule S-0202 (per A1.3) to High-Density Room S-0206 (per A1.2, box sits inside the room outline) - still flagged.</t>
  </si>
  <si>
    <t>4th pair complete and verified (rows 2169-2172, 2369, 1738-1783, 2398-2510 re-read; no gaps; flag colours confirmed on C:D). Next append row = 2510. DEFERRED / NEEDS USER DECISION: (1) 21 blank NB VAV rows discovered - 1468 (VAV6295), 1473-1490 (VAV6320-6410), 1543-1544 (VAV7385/7390) - not filled because two existing rows conflict with the drawing, so a bulk same-number fill is unsafe. (2) Conflict A: registry row 1465 VAV6220 = Conf N-0331 and row 1463 VAV6205 = Emergency Elec. N-0333, but B2.1 shows AT-6220 at Emergency Elec. N-0333 and AT-6205 at Conference N-0331 (appears swapped). (3) Conflict B: registry row 1485 VAV6380 = Office N-0376, but B2.1 shows AT-6370 at Office N-0376 and AT-6380 at Workstation N-0378 (possible off-by-one, same pattern as the A2.2 fix).</t>
  </si>
  <si>
    <t>Sent the 5th image pair — new: South Building L0 Section A1.1; old: North Building L0 Section B2.2. Continue the established workflow.</t>
  </si>
  <si>
    <t>A1.1: filled VAV3001-3007 (rows 1784-1790) and FCU3001 (row 2173); appended 45 tags (2510-2554) = 32 AT-30xx plus 13 of the 2301-AT-01xx BACnet points. B2.2: appended 77 rows (2555-2631) = 51 AT (incl. the AT-7090/7105/7120 multi-node sensors), 8 standalone EV, 17 lab valves, FCU7993. Flagged 34 rows yellow across both.</t>
  </si>
  <si>
    <t>B2.2's VAV rows mostly already existed with rooms, so the AT twins inherited the registry room (consistent with the A2.1/A2.2 approach) rather than my read of the drawing; the five places where the drawing disagrees were flagged instead of overwritten. Multi-node tags (AT-7090-N1/N2, AT-7105-N1/N2, AT-7120-N1..N9) have no VAV rows and were mapped from the drawing to N-0412/0412A, N-0415/0415A, N-0418/0418A and N-0430A..N-0430F - all flagged. Skipped every valve already embedded in a VAV row name (VEV7031, VEV7051, VEV7061, CEV7221, VEV7231, VEV7241A, VEV7251/7261/7271/7281/7291/7311/7321/7331/7341/7351/7361/7371, EV7126/7141/7186/7216/7495). FEV-7232 appears twice on the drawing - appended once and flagged.</t>
  </si>
  <si>
    <t>5th pair complete and verified (rows 1784-1790, 2173, 2510-2632 re-read; 122 appended rows with no gaps; flag colours spot-checked against tag names). Next append row = 2632. NEW CONFLICTS FLAGGED, NOT OVERWRITTEN: (1) FCU rows 2119/2120/2121 (FCU7981 = Stair 5 N-0STO5, FCU7982 and FCU7983 = Service Corridor N-0344) disagree with B2.2, which shows FCU-7993 at Stair 5, FCU-7981 at IDF N-0419 and FCU-7982 near Mech/FPC N-0434. (2) Row 2085 FCU7790 is tagged NB_1F but B2.2 (Level 0) shows FCU-7790 at Stair 6 N-0ST06. (3) Registry rows 1517/1518 give both VAV7145 and VAV7155 the same room (Office N-0427) - drawing suggests 7145 = N-0425. (4) Row 1519 VAV7165 = N-0428 vs drawing N-0429. (5) Row 1523 VAV7185 = Office N-0426 vs drawing Emer. Elec. Room N-0433, and row 1526 VAV7215 = Emergency Elec. N-0433 vs drawing Office N-0438. STILL OPEN from turn 7: the 21 blank NB VAV rows (1468, 1473-1490, 1543-1544) and the VAV6205/6220 and VAV6380 conflicts.</t>
  </si>
  <si>
    <t>Sent the 6th image pair — new: South Building Level 1 Section B1.2; old: North Building Level 01 Section A2.1. First pair on Level 1 rather than Level 0.</t>
  </si>
  <si>
    <t>B1.2: filled 45 blank VAV rows (C/D across 1595:1645) and FCU1503 (row 2132); appended 49 AT tags (2632-2680). A2.1 L01: appended 28 rows (2681-2708) = 8 AT twins, 19 valves, FCU2004. Flagged 5 rows yellow after correcting 2 that landed one row off.</t>
  </si>
  <si>
    <t>Both drawings are Level 1, so writes went to the SB_1F and NB_1F blocks (not GF). SB VAV15xx occupies rows 1590-1645 but the series is not contiguous - VAV1504, 1535, 1537, 1538 and 1541 have no rows, so AT-1504/1535/1537 were appended only. NB_1F registry rooms for VAV4660-4745 matched my reading of the drawing exactly (N-1227 through N-1244), so those 8 AT twins needed no flags. NB_1F FCU4910/4915/4916/4917 were already correctly populated and match A2.1, so left untouched. Skipped valves already embedded in VAV row names (VEV4621, VEV4631, VEV4051/4061/4091, the VAV4070-4083 high-bay pairs) and VEV-4041 which was already appended at row 2253.</t>
  </si>
  <si>
    <t>6th pair complete and verified (rows 1590-1645, 2132, 2632-2709 re-read; 77 appended rows with no gaps; flag cells checked against tag names). Next append row = 2709. Flagged: AT-1504 (corridor position), AT-1533 and AT-1536 (sit between an electrical room and an office), AT-1537, CEV-4502, FCU2004. Still-blank SB L1 VAV rows with no tag on this drawing: 1590-1594 (VAV1501-1503, 1505, 1506), 1624-1625 (VAV1539/1540), 1627-1629 (VAV1543-1545), 1631 (VAV1547) - likely on the B1.1 half of Level 1. STILL OPEN: the 21 blank NB GF VAV rows (1468, 1473-1490, 1543-1544) and the registry conflicts at rows 1463/1465, 1485, 1517/1518, 1519, 1523/1526, 2085, 2119-2121.</t>
  </si>
  <si>
    <t>Sent the 7th image pair — new: South Building Level 1 Section B1.1; old: North Building Level 1 Section A2.2.</t>
  </si>
  <si>
    <t>B1.1: filled 34 blank VAV rows (1566-1594, 1624-1631) + FCU1501/1502 (2130-2131); appended 46 AT tags (2709-2754). A2.2: filled FCU5986 (2076) and VAV4650 (1842); appended 67 rows (2755-2821) = 42 AT, 7 EV, 18 lab valves. Flagged 12 rows yellow.</t>
  </si>
  <si>
    <t>ERROR MADE AND CORRECTED: I wrote to FCU5983 (row 2073) and FCU5984 (row 2074) without reading them first - they already held 'Not Included / JC N-1139' and 'Included / Corridor N-1138'. I overwrote both with my own reading of the drawing (IDF N-1140 / JC N-1139), then restored the original values from the pre-write snapshot and flagged all three rows instead. Only FCU5986 was genuinely blank and kept a new value. Lesson: read FCU rows before writing, as several were populated in earlier sessions. Otherwise: NB_1F VAV5650-5940 rooms already matched the drawing closely, so those 38 AT twins inherited the registry room. Skipped valves embedded in VAV row names (VEV5601/5611/5622/5623/5631/5771/5781/5793/5795A/5801, EV5656/5716/5731/5736/5741/5761/5836). Unnumbered 'TAG 0.0' boxes on A2.2 could not be appended.</t>
  </si>
  <si>
    <t>7th pair complete and verified (rows 1566-1645, 1842, 2073-2076, 2130-2132, 2709-2822 re-read; 113 appended rows with no gaps; all 12 flag cells checked against tag names). Next append row = 2822. South Building Level 1 is now fully mapped except VAV0509 (row 1569) - no AT-0509 appears on either B1.1 or B1.2. Flagged: AT-0504, AT-0505, AT-0515, AT-0534, AT-0529, AT-5685 (registry calls N-1126 an Office, drawing calls it Corridor), AT-5840 and AT-5905 (registry gives both Office N-1163), EV-5686, VEV-5581 (label appears twice on drawing), VEV-5821, FCU1503 (row 2132 - B1.2 shows it at Stair 1, B1.1 shows it near FPC S-1108/UPS S-1107D), FCU5983/5984/5986. STILL OPEN: 21 blank NB GF VAV rows (1468, 1473-1490, 1543-1544) and conflicts at rows 1463/1465, 1485, 1517/1518, 1519, 1523/1526, 2085, 2119-2121.</t>
  </si>
  <si>
    <t>Sent the 8th image pair — new: South Building Level 1 Section A1.3; old: North Building Level 1 Section A2.3. Both are sparse core/lobby sections.</t>
  </si>
  <si>
    <t>A1.3: filled VAV2501 (row 1646, Lobby S-1201), FCU0501 (2127, Stair 2 S-1ST02) and FCU2501 (2133, Stair 3 S-1ST03); appended 2 AT tags (2822-2823 = AT-2501 Lobby S-1201, AT-2507 Female S-1204); corrected AT-0503 and AT-0505 rooms. A2.3: NO rows written - see details. Flagged 4 rows.</t>
  </si>
  <si>
    <t>Pre-read all three fill targets before writing this turn (lesson from turn 10) - all were genuinely blank. AT-0503 changed from NCIR Office S-1115 to Women S-1106B and AT-0505 from UPS S-1107D to Emergency Elec. S-1107B: A1.3 is the section that actually contains the S-1105/S-1106B/S-1107B core, AT-0502 already matched Vestibule S-1105, and 0502/0503/0505 form a clean sequence onto those three rooms. A2.3 yielded nothing appendable: every sensor box on it is an unnumbered 'TAG' with no tag ID, so there is nothing to key a registry row on. Separately, FCU-2004 appears SIX times on A2.3 (Stair 3 N-1ST03, Stair 4 N-1ST04, Normal Elec. N-1310, IDF N-1311, Mech/FPC N-1353A, Reception N-1355) all reading 25.3 C - one BMS point bound to six graphic boxes, so no new rows could be derived; flagged row 2708 instead.</t>
  </si>
  <si>
    <t>8th pair complete and verified (rows 1646, 2127, 2133, 2708, 2711-2713, 2822-2824 re-read; flag fills confirmed). Next append row = 2824. OPEN QUESTION raised: moving AT-0503 to Women S-1106B leaves NCIR Office S-1115 with no sensor and VAV0509 (row 1569) still blank - the B1.1 tag I read as AT-0503 in that office may actually be AT-0509. Needs user confirmation before writing. Flagged: AT-0503, AT-0505, AT-2501, FCU2004. STILL OPEN from earlier turns: 21 blank NB GF VAV rows (1468, 1473-1490, 1543-1544) and conflicts at rows 1463/1465, 1485, 1517/1518, 1519, 1523/1526, 2085, 2119-2121, 1889, 1910/1923, 2132, 2073/2074.</t>
  </si>
  <si>
    <t>Sent the 9th image pair — new: South Building Level 1 Section A1.2; old: North Building Level 1 Section B2.1.</t>
  </si>
  <si>
    <t>A1.2: filled 50 blank VAV rows (C/D 1647:1696 = VAV2502-VAV2553) and 4 FCU rows (2134-2137); appended 51 AT tags (2824-2874). B2.1: appended 79 rows (2875-2953) = 40 AT, 8 EV, 31 lab valves. 130 appended rows total. Flagged 22 rows yellow.</t>
  </si>
  <si>
    <t>Pre-read all 54 fill targets before writing - all confirmed blank, no overwrite. Verified fill alignment by spot-checking VAV2511=Office S-1212, VAV2536=Normal Elec. S-1251, VAV2553=Male Prayer S-1278 after the block write. B2.1 registry rooms matched the drawing throughout (VAV6650-6725 = N-1319 to N-1336, VAV6900-6970 = N-1357 to N-1371, VAV7865 = N-1461A), so those 34 AT twins inherited the registry room with no flags. VAV6630B/6631B were checked and already populated (Bio-Med Chem Lab 1 N-1316L) so were skipped, as were FCU6988/6989 which already read Service Corridor N-1337 and match the drawing. Corridor-run valves EV-6936/6961/6969 were assigned by the EV-pairs-with-VAV convention (Workstation N-1363/N-1368/N-1371) and flagged, since the dotted corridor they sit on carries no room number on this drawing.</t>
  </si>
  <si>
    <t>9th pair complete and verified (rows 1647-1696, 2080-2081, 2134-2137, 2824-2954 re-read; 130 appended rows with no gaps; all 22 flag cells checked against tag names). Next append row = 2954. Flagged: AT-2502/2503/2505/2506 and VAV2502/2503/2505/2506 (four lobby-band sensors with no room label of their own - all assigned Lobby S-1202), AT-2552/VAV2552 (label appears twice on A1.2), AT-4260 (4000-series tag on a South Building drawing, assigned Men S-1254), FCU2502-2505, AT-7500, EV-7501, EV-6936/6961/6969, CEV-6581, FEV-6731. STILL OPEN: 21 blank NB GF VAV rows (1468, 1473-1490, 1543-1544); conflicts at rows 1463/1465, 1485, 1517/1518, 1519, 1523/1526, 2085, 2119-2121, 1889, 1910/1923, 2132, 2073/2074; and the AT-0503/AT-0509 vs NCIR Office S-1115 question (row 1569 still blank).</t>
  </si>
  <si>
    <t>Sent the 10th image pair — new: South Building Level 1 Section A1.1; old: North Building Level 1 Section B2.2.</t>
  </si>
  <si>
    <t>A1.1: filled 20 blank VAV rows (C/D 1697:1717 = VAV3504-VAV3524, leaving VAV3519 blank) and FCU3501 (row 2138, Stair S-1ST104); appended 28 AT tags (2954-2981). B2.2: appended 58 rows (2982-3039) = 42 AT, 8 EV, 8 lab valves. 86 appended rows total. Flagged 15 rows yellow.</t>
  </si>
  <si>
    <t>Pre-read all 22 fill targets and aborted-on-conflict guard was in the code; all were blank so nothing was overwritten. Verified alignment after the block write (VAV3504=Open Plan S-1229, VAV3514=Office S-1294, VAV3519 blank, VAV3524=Normal Elec. S-1238). VAV3519 left blank - no AT-3519 on the drawing. There are no VAV rows for AT-3501/3502/3503 or for the 2301-AT-02xx BACnet points, so those were appended only. B2.2 registry rooms matched the drawing throughout (VAV7620-7710 = N-1415 to N-1442, VAV7840-7960 = N-1458 to N-1480, and the N-1404x / N-1450x lab series), so all 42 AT twins inherited the registry room. RESOLVED an earlier flag: row 2085 FCU7790 was flagged in turn 8 because it carries the NB_1F tag but appeared on a Level 0 drawing - B2.2 (Level 1) now shows FCU-7790 at Stair 6 N-1ST06, matching the registry, so the NB_1F assignment looks correct and the Level 0 sighting was a graphic repeat. All seven NB_1F FCU rows (2085-2091) were already populated and match B2.2, so none were touched.</t>
  </si>
  <si>
    <t>10th pair complete and verified (rows 1697-1717, 2085-2091, 2138, 2954-3040 re-read; 86 appended rows with no gaps; all 15 flag cells checked against tag names). Next append row = 3040. Flagged: AT-3501 (sits under Lobby S-0294 which is a Level 0 room number on a Level 1 drawing), AT-3502, AT-3511/VAV3511, AT-3514/VAV3514 and AT-3520/VAV3520 (drawing carries TWO rooms labelled OFFICE S-1294 - one bottom-centre, one right of the stair), AT-0207/AT-0208, AT-7705 (registry room is just 'Expansion (Office)' with no number), EV-7663, EV-7712, CEV-7761, CEV-7791. NEW pre-existing issue spotted: rows 2034 and 2036 both give Flow Cyto N-1450C (VEV7751 and VEV7781) but the drawing puts VEV-7781 in iPS-TC N-1450F. STILL OPEN: 21 blank NB GF VAV rows (1468, 1473-1490, 1543-1544); conflicts at rows 1463/1465, 1485, 1517/1518, 1519, 1523/1526, 2119-2121, 1889, 1910/1923, 2132, 2073/2074, 2034/2036; and the AT-0503/AT-0509 vs NCIR Office S-1115 question (row 1569 still blank).</t>
  </si>
  <si>
    <t>Sent the 11th and final image pair — South Building Level 2 and North Building Level 2. Both are plant / penthouse levels.</t>
  </si>
  <si>
    <t>SB L2: filled all 20 blank FCU rows (C/D 2139:2158 = FCU0201-0208, FCU1201/1202, FCU2201-2210), all Not Included. NB L2: appended 10 rows (3040-3049) = 8 AT and 2 EV tags for the electrical and IDF rooms. NB L2 FCU rows (2092-2102) already populated and matching, so untouched. Flagged 6 rows yellow.</t>
  </si>
  <si>
    <t>Pre-read the 20 SB targets with an abort-on-conflict guard; all blank. Verified alignment after the write (FCU0201=South Penthouse S-2101, FCU1201=IDF S-2102, FCU2204=Emerg. Elec. S-2105, FCU2210=IDF S-2107). AT-5930 and AT-5940 also exist as NB_1F rows with different rooms (Office N-1170 / Workstation N-1165); the NB_2F prefix keeps them distinct, and the registry's own VAV5930P (row 1929, Normal Elec. N-2105) and VAV5940P (row 1932, Emer. Elec. N-2106) confirm the Level 2 penthouse assignment is right. AHUs (8011-8026, 8512-8521), ERUs (8531-8541) and EFs (8011A, 8012A, 8041-8044, 8551-8554) were NOT written - continuing the decision made early in this project that AHU-class plant does not serve a single room. If those should be registered, they need a separate pass.</t>
  </si>
  <si>
    <t>Final pair complete and verified (rows 2092-2102, 2139-2158, 3040-3050 re-read; 10 appended rows with no gaps; row 3050 empty; all 6 flag cells checked against tag names). Next append row = 3050. Flagged: FCU0204, FCU2201, FCU2202, FCU2203, FCU2205, FCU2210 - the penthouse FCUs sit in open plant space with no room boundary, so the split between South Penthouse S-2101 and the adjacent Emerg. Elec./IDF rooms is a best-guess. ALL 11 IMAGE PAIRS NOW PROCESSED. OUTSTANDING WORK FOR NEXT SESSION: (1) 21 blank NB GF VAV rows - 1468, 1473-1490, 1543-1544; (2) registry conflicts at rows 1463/1465, 1485, 1517/1518, 1519, 1523/1526, 2119-2121, 1889, 1910/1923, 2132, 2073/2074, 2034/2036; (3) AT-0503 vs AT-0509 and NCIR Office S-1115, row 1569 still blank; (4) SB L1 VAV3519 (row 1712) blank, no AT-3519 on any drawing; (5) unnumbered TAG boxes on NB A2.3, B2.1 and B2.2 that carry no tag ID; (6) AHU/ERU/EF plant equipment unregistered.</t>
  </si>
  <si>
    <t>Re-sent all 18 drawings and asked me to tackle outstanding items 1 to 3: the blank North Building GF VAV rows, the 12 registry conflicts, and the AT-0503 / AT-0509 / NCIR Office S-1115 question.</t>
  </si>
  <si>
    <t>Item 1: filled 19 blank NB GF VAV rows (1468, 1473-1484, 1486, 1488-1490, 1543-1544). Item 2: corrected 13 conflicting rows (1463, 1465, 1485, 1517, 1519, 1523, 1526, 1889, 1910, 2036, 2074, 2119, 2120) and synced 9 dependent appended rows (2565, 2567, 2569, 2572, 2711, 2762, 2775, 2797). Item 3: filled VAV0509 (row 1569). Bonus: filled FCU0502/FCU0503 (2128-2129) from B1.1. Cleared 21 resolved flags, set 11 remaining. Added 16 cell notes recording the evidence for each change.</t>
  </si>
  <si>
    <t>Two swaps were confirmed by temperature, not just position: AT-6220 reads 18.1 C and AT-6205 reads 20.8 C, so VAV6220 is the Emergency Elec. N-0333 unit and VAV6205 the Conference N-0331 unit (rows 1463/1465 were reversed); AT-7185 reads 15.0 C, so VAV7185 is the Emer. Elec. Room N-0433 unit and VAV7215 serves Office N-0438 (rows 1523/1526). Three duplicate-room errors resolved: VAV7145 was sharing N-0427 with VAV7155 (now N-0425); VAV5840 was sharing N-1163 with VAV5905 - A2.2's bottom office band has exactly 17 tags for 17 rooms with AT-5840 left over sitting on the Corridor N-1150 run, so VAV5840 is the corridor unit; VEV7781 was sharing Flow Cyto N-1450C with VEV7751 (now iPS-TC N-1450F). Row 2132 FCU1503 needed no change at all - my turn-10 flag was a misreading of B1.1, which actually shows FCU-0502 and FCU-0503, and filling those two was the bonus. VAV0509 was resolved by elimination rather than read off a drawing, and is flagged with a note saying so.</t>
  </si>
  <si>
    <t>Items 1-3 complete and verified (all 38 changed rows re-read; NB GF rows 1468-1490 and 1543-1544 now have zero blanks; the entire South Building Level 1 block 1566-1696 now has zero blanks; flag colours spot-checked against tag names). REMAINING OPEN: (a) row 2121 FCU7983 - reads Service Corridor N-0344 but does not appear on any drawing supplied, still flagged; (b) VAV6295 (1468), VAV6320 (1473), VAV6410 (1490) - filled but flagged, positions are best-guess; (c) VAV0509 (1569) and AT-0503 (2711) - flagged, need the BMS point list to settle whether the S-1115 sensor is AT-0503 or AT-0509; (d) FCU0502/0503 (2128-2129) flagged on position; (e) SB L1 VAV3519 (row 1712) still blank, no AT-3519 on any drawing; (f) unnumbered TAG boxes on NB A2.3, B2.1, B2.2 need IDs from the mechanical drawings or point list; (g) AHU / ERU / EF plant equipment still unregistered.</t>
  </si>
  <si>
    <t>Switched to the QNL section (rows 766-1165). Sent IMG_9606.jpeg (Honeywell HMI, QNL Second Floor Zone-1 Part-1). New rules: use the Key Plan zone name + image name in parentheses when a room number is absent, mark those Included and highlight red; highlight uncertain rows yellow; only technical/executive rooms are Not Included. Follow-up: CAV/FEV/VEV tags found on drawings must be appended above the SSC section.</t>
  </si>
  <si>
    <t>Filled C/D for VAV_2F_S12_001-029, _097 (rows 975-1004), VAV_2F_S13_004 (row 1008) and FCU_2F_005 (row 850). Applied red fill to the 20 zone-named rows and yellow to the 2 uncertain/technical rows. Located the QNL/SSC boundary for future CAV/FEV/VEV inserts.</t>
  </si>
  <si>
    <t>Rows 975-994 (VAV_2F_S12_001-020) sit in the unlabelled open library floor, so all 20 got 'Second Floor Zone-1 Part-1 (IMG_9606.jpeg)' per the new Key Plan rule (Current View = Part-1), Included, red fill. Named rooms mapped left-to-right along the top office band: 021 Breakout Space, 022 Circulation Office, 023 + 024 Office Space Col., 025 Transl. Spc &amp; ED Publications Spc.; group study band: 026 Room 5, 029 Room 6, 027 Room 7, 097 Room 8; S13_004 Open Office. FCU_2F_005 = MDF Room, Not Included as a technical room, flagged yellow. VAV_2F_S12_028 sits between the two Office Space Col. cells and Transl. Spc with no clear boundary - given a dual name and flagged yellow. QNL section confirmed as rows 766-1165 with the SSC header at row 1166; QNL currently holds only AHUB, FCU and VAV prefixes (no CAV/FEV/VEV rows exist yet).</t>
  </si>
  <si>
    <t>Verified by re-reading A970:D1010 and C850:D850 - values and fill colours confirmed. NOT WRITTEN this turn (right edge of the photo is cut off, rooms not fully readable): VAV_2F_S13_005/006/009/011/012/013 and VAV_2F_S10_001/002/004/005 - awaiting a clearer or adjacent view. No CAV/FEV/VEV tags appear on IMG_9606, so no rows were appended; when they do appear they will be inserted at row 1166, immediately above the SSC header.</t>
  </si>
  <si>
    <t>Second image: IMG_9608.jpeg - QNL Honeywell HMI, 'Second Floor Zone-2-P1' (Key Plan: Second Level, Current View = Part-1). Fill in the QNL section using the same rules as the first image.</t>
  </si>
  <si>
    <t>Filled C/D for 33 rows: VAV_2F_S10_003 (971), _006 (974); VAV_2F_S13_001/002/003/008/010/015/016 (1005-1020); VAV_2F_S14_001-014 (1021-1034) and _016-020 (1036-1040); VAV_2F_S15_001-005 (1042-1046). Red fill on the 21 zone-named rows, yellow on 2 rows needing review.</t>
  </si>
  <si>
    <t>Named rooms read left-to-right off the executive/admin band: S13_010 + S13_015 = Ad. Admin &amp; Planning, S13_008 = Office Coord., S13_001 + S13_002 = Lib. Director's Room, S13_003 = Service &amp; Lounge, S13_016 = VIP Waiting, S15_001-004 = VIP Room, S15_005 = VIP Meeting. Applied the executive-room rule: Lib. Director's Room, VIP Room, VIP Waiting and VIP Meeting all set to Not Included (7 rows). Ad. Admin &amp; Planning set to Included but flagged yellow - it sits inside the same executive suite band and may be an executive office rather than a staff office, so it needs your call. The whole right-hand grid (S14_001-014, _016-020) and the two S10 units on the left have no room label on the drawing, so all 21 got 'Second Floor Zone-2 Part-1 (IMG_9608.jpeg)' per the Key Plan rule, Included, red fill.</t>
  </si>
  <si>
    <t>Verified by re-reading A971:D1046 - tags, values and fill colours all confirmed against the intended mapping. NOT WRITTEN (cropped off the right edge of the photo): VAV_2F_S14_015 (row 1035) and VAV_2F_S14_021 (row 1041) - their tags are cut off mid-label. Also still outstanding from image 1: VAV_2F_S13_005/006/009/011/012/013 and VAV_2F_S10_001/002/004/005. No CAV, FEV or VEV tags on this drawing either, so no rows appended above the SSC header (row 1166).</t>
  </si>
  <si>
    <t>Third image: IMG_9610.jpeg - QNL Honeywell HMI, 'Second Floor Zone-3-P1' (Key Plan: Second Level, Current View = Part-1). Fill in the QNL section using the same rules.</t>
  </si>
  <si>
    <t>Filled C/D for 2 rows: FCU_2F_043 (row 860) and FCU_2F_044 (row 861), both set to Included / 'Display Area'. No highlight applied.</t>
  </si>
  <si>
    <t>This view is almost empty - only two FCU tags and a single blue room label, 'Display Area', are present. Both FCUs sit inside the same wall-bounded open hall as that label (between the vertical wall runs at either side), so the real room name was used rather than the Key Plan zone fallback, meaning no red highlight was needed. Display Area is a public library space, so neither the technical-room nor the executive-room exclusion applies and both are Included. Row positions confirmed by reading A846:A880: the FCU_2F block runs 001-005 at rows 846-850 then jumps to 034-062 at rows 851-879, which puts 043 at 860 and 044 at 861.</t>
  </si>
  <si>
    <t>Verified by re-reading A860:D861 as rendered text - both rows show the correct tag, Included, and Display Area. Judgement call flagged to the user in chat rather than with a yellow fill: the 'Display Area' label sits a fair distance from the two tags in a sparse drawing, so it is worth a glance on review. Outstanding backlog unchanged: VAV_2F_S14_015 (1035), VAV_2F_S14_021 (1041), VAV_2F_S13_005/006/009/011/012/013, VAV_2F_S10_001/002/004/005. Still no CAV, FEV or VEV tags seen on any drawing so far, so nothing appended above the SSC header at row 1166.</t>
  </si>
  <si>
    <t>Fourth image: IMG_9611.jpeg - QNL Honeywell HMI, 'Second Floor Zone-3-P2' (Key Plan: Second Level, Zn-3, Current View = Part-2). Fill the QNL section using the established rules.</t>
  </si>
  <si>
    <t>Filled C/D for 18 FCU rows: FCU_2F_034-040 (851-857), _045-055 (862-872). All set Included. Yellow flag on 2 rows (866, 869). No red/zone-named rows needed - every device on this view sits in a labelled room.</t>
  </si>
  <si>
    <t>Auditorium is the large room top-centre and holds 7 units: FCU_2F_034-040 (rows 851-857). The middle block carries two 'Group Study Room' labels (one above, one below) with FCU_2F_045, _046, _047 inside - all three named Group Study Room since both labels read identically. The right block is split into a rest-room column and an individual-study column, top and bottom: FCU_2F_048 = Rest Room (Men), _051 = Rest Room (Women), _050 and _053 = Indiv. Study Room. Bottom of view: FCU_2F_054 and _055 = Lounge Area. Rest rooms, lounge, auditorium and study rooms are all public library spaces - none are technical or executive - so nothing on this drawing is Not Included.</t>
  </si>
  <si>
    <t>Verified by re-reading A851:D872 - tags, values and fill colours all confirmed. FLAGGED YELLOW for review: FCU_2F_049 (row 866) and FCU_2F_052 (row 869) sit in a middle column between the rest rooms and the individual study rooms with no label directly above them, so each was given a dual name pending your decision. NOT WRITTEN: FCU_2F_041 (858) and _042 (859) do not appear on this view. Backlog still open: VAV_2F_S14_015 (1035), _021 (1041), VAV_2F_S13_005/006/009/011/012/013, VAV_2F_S10_001/002/004/005. Still no CAV, FEV or VEV tags on any drawing so far - nothing inserted above the SSC header (row 1166).</t>
  </si>
  <si>
    <t>Fifth image: IMG_9621.jpeg - QNL Honeywell HMI, 'Terrace Floor Zone-1-P1' (Key Plan: Terrace Level, Current View = Part-1). First terrace-level drawing; only 4 tags on the view.</t>
  </si>
  <si>
    <t>Filled C/D for 4 FCU rows, all Included: FCU_2F_060/061/062 (rows 877-879) = Recreational Area; FCU_2F_003 (row 848) = 'Book Shelf (IMG_9621.jpeg)' flagged yellow. No red rows - every sensor had a nearby drawing label.</t>
  </si>
  <si>
    <t>FCU_2F_060, _061 and _062 sit clearly inside the walled box carrying the 'Recreational Area' label, so those three were straightforward. FCU_2F_003 is the judgement call: it sits at the left end of the long open strip along the top of the terrace that carries three repeated 'Book Shelf' labels. That is a furniture/zone descriptor rather than a discrete room, and because the label repeats three times it does not uniquely identify a space - so it was named 'Book Shelf (IMG_9621.jpeg)' and flagged yellow rather than red, since a real drawing label does exist and the Key Plan fallback was not strictly triggered. Note the terrace level still uses the FCU_2F_ tag prefix, so terrace assets live inside the same FCU_2F block (rows 846-879) as the second floor - no separate terrace range.</t>
  </si>
  <si>
    <t>Verified by re-reading A877:D879 and A848:D848 as rendered text - tags, values and Included flags all confirmed. Open question raised with the user: whether 'Book Shelf' should stand as the room name or be replaced with the Terrace Zone-1 Part-1 Key Plan name. Backlog still owed: VAV_2F_S14_015 (1035), _021 (1041), VAV_2F_S13_005/006/009/011/012/013 (1009/1010/1013/1015/1016/1017), VAV_2F_S10_001/002/004/005 (969/970/972/973), plus FCU_2F_041 (858) and _042 (859). Also still pending user decision: middle-column rows 866 and 869 from IMG_9611, and the Ad. Admin &amp; Planning rows 1014/1019 from IMG_9608. Still zero CAV/FEV/VEV on any drawing so far.</t>
  </si>
  <si>
    <t>Sixth image: IMG_9622.jpeg - QNL Honeywell HMI, 'Terrace Floor Zone-2-P1' (Key Plan: Terrace Level, Current View = Part-1). Fill in the QNL section using the established rules.</t>
  </si>
  <si>
    <t>Filled C/D for 5 rows, all Included: FCU_2F_056-059 (rows 873-876) = Internal Terrace; FCU_2F_004 (row 849) = zone name, red fill. Confirmed tags in column A before writing.</t>
  </si>
  <si>
    <t>The four sensors FCU_2F_056-059 sit inside the walled box carrying the blue 'Internal Terrace' label, so that room name was used directly - no highlight needed. FCU_2F_004 sits alone in the upper open band at the top right of the drawing with no room or area label anywhere near it, so the Key Plan fallback applied: 'Terrace Floor Zone-2 Part-1 (IMG_9622.jpeg)', Included, red fill. Neither the technical-room nor executive-room exclusion applies to anything on this view. Row positions confirmed against the FCU_2F block: 034=851 so 056=873 ... 059=876, and 004=849.</t>
  </si>
  <si>
    <t>Verified by re-reading A849:D849 and A873:D876 - tags, values and fill colours all confirmed. Open question still unanswered from the previous turn: how to treat terrace open-plan furniture labels (Book Shelf, Carrels, Media Station, Computer Station, Open Seating) - use the label as-is or fall back to the Key Plan zone name. Row 848 remains yellow pending that decision. Backlog owed: FCU_2F_041 (858), _042 (859), VAV_2F_S14_015 (1035), _021 (1041), VAV_2F_S13_005/006/009/011/012/013, VAV_2F_S10_001/002/004/005. Pending user decisions: rows 866/869 middle column, rows 1014/1019 Ad. Admin &amp; Planning. Still zero CAV/FEV/VEV on any drawing, so nothing appended above the SSC header (row 1166).</t>
  </si>
  <si>
    <t>Seventh image: IMG_9624.jpeg - QNL Honeywell HMI, 'Terrace Floor Zone-3-P1' (Key Plan: Terrace Level, Zn-3, Current View = Part-1). Fill in the QNL section.</t>
  </si>
  <si>
    <t>Filled C/D for a single row: FCU_1F_001 (row 781) = Included / 'Scholarly Journals (IMG_9624.jpeg)', yellow flagged pending the terrace naming decision.</t>
  </si>
  <si>
    <t>This view has only one tag on the whole drawing. Note the prefix is FCU-1F-001, not FCU-2F - the terrace level draws on both the FCU_1F and FCU_2F blocks, so row lookup was confirmed by reading A780:B782 (FCU_1F_001 = row 781, immediately after AHUB015 at row 780). The only nearby label is 'Scholarly Journals', which is a collection/furniture-area descriptor of the same kind as 'Book Shelf' on row 848 - not a discrete room. Handled it identically to row 848: used the drawing label with the image name appended and flagged yellow, so both rows can be flipped together once the user decides whether terrace furniture labels count as room names or should fall back to the Key Plan zone name. Included, as it is neither a technical nor an executive room.</t>
  </si>
  <si>
    <t>Verified by re-reading A781:D781 as rendered text - tag FCU_1F_001, Included, 'Scholarly Journals (IMG_9624.jpeg)' confirmed. No other tags on this view. Backlog still owed: FCU_2F_041 (858), _042 (859), VAV_2F_S14_015 (1035), _021 (1041), VAV_2F_S13_005/006/009/011/012/013, VAV_2F_S10_001/002/004/005. Awaiting user decisions on: terrace furniture-label policy (rows 848 and 781), rows 866/869 middle column, rows 1014/1019 Ad. Admin &amp; Planning. Still zero CAV, FEV or VEV tags across all seven drawings, so nothing appended above the SSC header (row 1166).</t>
  </si>
  <si>
    <t>Ninth image: IMG_9627.jpeg - QNL Honeywell HMI, 'Terrace Floor Zone-4-P2' (Key Plan: Terrace Level, Current View = Part-2). Fill in the QNL section.</t>
  </si>
  <si>
    <t>Filled C/D for 2 rows: FCU_2F_001 (846) and FCU_2F_002 (847), both Included with the Key Plan zone name and red fill.</t>
  </si>
  <si>
    <t>Only two tags on this view: FCU-2F-001 (39.9 C) and FCU-2F-002 (38.7 C), both sitting in the unlabelled triangular open corner at the left of the plan, inside the outer wall. The surrounding text on this floor is all repeated open-plan furniture descriptors (Carrels, Media Station, Computer Station, Open Seating) rather than room names, and none of them sits on top of either unit - the nearest, Carrels, falls between the two. Because those descriptors repeat many times across the terrace and cannot uniquely identify a location, both rows got 'Terrace Floor Zone-4 Part-2 (IMG_9627.jpeg)' per the Key Plan rule, Included, red fill. Note this differs from rows 848 and 781, where the unit did sit inside a single labelled strip so the drawing label was kept and flagged yellow instead - both approaches remain open pending the user's terrace naming decision.</t>
  </si>
  <si>
    <t>Verified by re-reading A846:D847 as rendered text - tags confirmed as FCU_2F_001 and FCU_2F_002, values and red fill correct. Backlog still owed: FCU_2F_041 (858), _042 (859), VAV_2F_S14_015 (1035), _021 (1041), VAV_2F_S13_005/006/009/011/012/013 (1009/1010/1013/1015/1016/1017), VAV_2F_S10_001/002/004/005 (969/970/972/973). Awaiting user decisions on: terrace furniture-label policy (rows 781, 848 and the approach used here), rows 866/869 middle column, rows 1014/1019 Ad. Admin &amp; Planning. No CAV, FEV or VEV tags on this drawing - none seen on any of the eight drawings so far, so nothing appended above the SSC header (row 1166).</t>
  </si>
  <si>
    <t>IMG_9587.jpeg - QNL Honeywell HMI, 'Basement Zone-1-P1' (Key Plan: Basement Level, Current View = Part-1). Largest drawing so far and the FIRST one containing CAV tags, which per the earlier instruction must be added above the SSC section.</t>
  </si>
  <si>
    <t>Filled C/D for 49 existing rows and INSERTED 2 new CAV rows. Existing: VAV_B_S11_001-046 (rows 1071-1116, minus _023 not on view), VAV_B_S13_001/002/006 (1117/1118/1122), FCU_B_002 (881). New: inserted rows 1166-1167 for CAV_B_S13_007 and CAV_B_S13_020 - the SSC section header consequently moved from row 1166 to row 1168.</t>
  </si>
  <si>
    <t>Basement row map confirmed by reading A1047:A1166: VAV_B_S10_001-024 = 1047-1070, VAV_B_S11_001-046 = 1071-1116, VAV_B_S13_001-008 = 1117-1124, VAV_B_S14 = 1125+, VAV_B_S15_013 = 1165. Small labelled offices mapped one-to-one: 024 Kitchen, 025 Storage, 026 Finance Cooridinator &amp; Business Support OFCR. (yellow leader arrow), 028 Analog Resources, 029 Digital Resources, 030+031 Budget &amp; Payment, 032+033 Ad Collection, 034 Engineering, 035 Arabic Sudies, 037 Art &amp; Humanities, 038 Procurement SPC, 039 Business Computing, 040 Social Sciences, 041 Literature Language, 042 Coordinator, 043-046 Receiving Area, 022 Corridor 1, S13_001+002 Meeting Room. VAV_B_S11_036 sits alone at the top of the drawing but has a yellow leader line running down and left to the 'Licensing Expert' label, so it was named from the leader rather than from proximity. Spellings kept exactly as drawn ('Cooridinator', 'Arabic Sudies'). Both CAVs set Not Included as technical rooms (MV Room-01 / MV Room-02) and flagged yellow. Row 1091 (VAV_B_S11_021) has no room label so it took the Key Plan name, Included, red.</t>
  </si>
  <si>
    <t>Verified by re-reading A1071:D1073, A1090:D1092, A1094:D1098, A1106:D1107, A1116:D1118, A1122:D1122, A881:D881 and A1163:D1170 - tags, values and the row insert all confirmed; SSC header now at 1168. YELLOW flagged for user review (7 rows + 2 CAV): 1071/1072/1081/1082 Break Out Area - the top open area carries TWO labels ('Break Out Area' and 'Tech, Services &amp; Collections Office') with no dividing wall between them, so the split point between VAV _002/_003 and _012/_013 is a judgement call; 1097 (VAV_B_S11_027) sits between the Finance and Budget &amp; Payment cells with no label above it; 1122 + 881 'Freeze Area' - unclear whether this counts as a technical/plant space (currently Included); 1166/1167 CAVs - inferred from proximity to the MV rooms. NOT WRITTEN: VAV_B_S11_023 (row 1093) is not shown on this view. Non-HVAC tags on the drawing (EF-B-09, GCP-01, SMDB, DX-B-xx, MV Panel-1/2/3, CPNL-0006, LCP-Z1, FWS/FWP-01) are out of scope. Future CAV/FEV/VEV inserts now go at row 1168.</t>
  </si>
  <si>
    <t>IMG_9588.jpeg - QNL Honeywell HMI, 'Basement Zone-1-P2' (Lower Level Floor Plan Zone-1 Part-2). Heavily plant-orientated view containing 15 new CAV tags plus 18 FCU_B tags and the one VAV that was missing from the previous drawing.</t>
  </si>
  <si>
    <t>Filled C/D for 19 existing rows and INSERTED 15 new CAV rows. Existing: FCU_B_003/006/007/008/009/011/012/013/014/027/028/031-037 (rows 882-916) and VAV_B_S11_023 (row 1093). New: inserted rows 1168-1182 and rewrote the whole CAV block A1166:D1182 in sorted tag order - the SSC section header moved from row 1168 to row 1183.</t>
  </si>
  <si>
    <t>FCU_B row map confirmed (FCU_B_00N = row 879+N, 001=880 ... 038=917). Plant/technical rooms set Not Included per the rule: Plant Room 1 (FCU_B_011/012 + CAV_B_S12_001/002/003), Plant Room 2 (FCU_B_013/014 + CAV_B_S13_010/011), Sprinklers Pumps (FCU_B_007 + CAV_B_S13_021), Server Room (CAV_B_S13_013/014/015), Fire Command (FCU_B_006 + CAV_B_S13_006/012), GAS Suppression (CAV_B_S13_008), IDF (FCU_B_003). Library spaces set Included: Sorting Shelving Room (FCU_B_027/028), Compact Shelving Main Collection (FCU_B_031), Shell Space-Special Collection (FCU_B_032/033/034/035), IT Office (FCU_B_036 - treated as a staff office, not a plant room), Corridor 2 (CAV_B_S13_001/002). FCU_B_003 was named from a yellow leader line running up to the IDF label rather than by proximity. The CAV block was rebuilt as a single sorted range so the two CAVs added last turn (S13_007, S13_020) now sit in tag order with the new ones; their names were kept and re-stamped with their source image (IMG_9587).</t>
  </si>
  <si>
    <t>Verified by re-reading A882:D888, A890:D893, A906:D916, A1093:D1093 and A1166:D1183 - all 36 rows, the 15-row insert and the new SSC header position at 1183 confirmed. YELLOW flagged for review (10 rows): 882 IDF and 916 Corridor (leader/proximity calls); 885 + 1172 + 1177 Fire Command - three units sit in the top strip shared by Fire Command, GAS Suppression and UPS Battery Room with no clear wall, so the split is inferred partly from leader lines; 1174 GAS Suppression (same strip); 1178 + 1179 Server Room - these two sit left of the Server Room label near MF-B-02 and may belong to a separate space; 1171 Corridor - sits between People Mover, Shell Space and the Corridor label; 1093 VAV_B_S11_023 - sits exactly on the Plant Room 1 / Plant Room 2 boundary, though both are technical so Not Included holds either way. RED (2 rows): 887 + 888 (FCU_B_008/009) are at the cropped right edge with no room label, so they took the Key Plan name. Out of scope on this drawing: AHU-B-xx, EF-B-xx, DX-B-xx, PDP, PCP, MF-B, CPNL, GWSHL, CC-B, ATS Panel, SWP, FP/JP. Future CAV/FEV/VEV inserts now go at row 1183.</t>
  </si>
  <si>
    <t>IMG_9589.jpeg - QNL Honeywell HMI, 'Basement Zone-2-P1' (Lower Level Floor Plan Zone-2 Part-1). Back-of-house / bindery view with 28 VAV_B_S14 tags and 5 new CAV tags.</t>
  </si>
  <si>
    <t>Filled C/D for 28 existing VAV rows (VAV_B_S14_001-016 = rows 1125-1140, _040-051 = rows 1141-1152) and INSERTED 5 new CAV rows at 1183-1187 (CAV_B_S14_001, _006, _007, CAV_B_S15_002, _003). SSC section header moved from row 1183 to row 1188. Everything on this drawing is Included - no technical or executive rooms carry a controllable tag here.</t>
  </si>
  <si>
    <t>Clean one-to-one mappings: S14_001 Office, _002 Office DG., _003 Office AD. For LIT, _004/_005/_006 Digitization Room, _007/_008 Shell Space, _009 Dry Store, _015 Reception &amp; Lounge. CAVs: S14_001 Loading Area, S14_006 Referigerate Store, S14_007 BOH Kitchen, S15_002 Corridor 5 (label sits directly beside it). Kept the drawing's own spelling 'Referigerate Store'. The Q-Tel Room, Telecom Room and MEP Kitchen are technical spaces but carry no VAV/CAV/FCU tag on this view, so nothing was set to Not Included. Out of scope: EF-B-xx, DX-B-17/18/19, SWP-05/06, CCU-B-01 to 04, LCP-Z2, DRS &amp; DTS, Calorifier.</t>
  </si>
  <si>
    <t>Verified by re-reading A1125:D1152 and A1180:D1190 - all 33 rows, the 5-row insert and the new SSC header position at 1188 confirmed. IMPORTANT DISCREPANCY logged as a cell note on D1129: the HMI label between VAV-B-S14-004 and VAV-B-S14-006 reads 'VAV-B-S11-005', but VAV_B_S11_005 (row 1075) was already assigned to Tech, Services &amp; Collections Office from IMG_9587.jpeg. Recorded positionally as VAV_B_S14_005 = Digitization Room and flagged yellow - user to confirm the correct tag. OTHER YELLOW FLAGS (9 rows total): 1136/1137/1144/1145/1150/1151 - 'Fine Binding' and 'Binding &amp; Preservation Space' label one large open area with no dividing wall, so the left/right split of the 16 units in that room is a judgement call and these six sit nearest the split point; 1140 (S14_016) sits below the Reception &amp; Lounge cell near the DRS &amp; DTS panel; 1141 (S14_040) is drawn outside the plan at the bottom and was named from its yellow leader line running up into the BOH Kitchen; 1187 (CAV_B_S15_003) sits well above the Corridor 5 label and may belong to the bindery instead.</t>
  </si>
  <si>
    <t>IMG_9591.jpeg - QNL Honeywell HMI, 'Basement Zone-3-P1' (Lower Level Floor Plan Zone-3 Part-1). Heritage/researcher entrance sequence. The whole plan is drawn on a 45-degree diagonal, which makes label-to-device proximity much less reliable than on the orthogonal views.</t>
  </si>
  <si>
    <t>Filled C/D for 16 existing rows, all Included: VAV_B_S10_020-023 (rows 1066-1069), VAV_B_S15_001-009 (rows 1153-1161), VAV_B_S15_013 (row 1165), FCU_B_029 (row 908), FCU_B_038 (row 917). No CAV, FEV or VEV tags on this drawing, so no rows were inserted and the SSC header stays at row 1188.</t>
  </si>
  <si>
    <t>Confident mappings: S10_020/021 Reserchers Reading Area, S10_023 Entry, S15_008 Vestibule, S15_013 Reserchers &amp; Doc. RCRDS MGMT (yellow leader lines link the tag and that label across the drawing), FCU_B_029 Heritage Collection Entrance, FCU_B_038 Pantry (named from its yellow leader, since the tag itself sits outside the room outline). Drawing spellings preserved exactly: 'Reserchers Reading Area', 'Loby and Security', 'Reserchers &amp; Doc. RCRDS MGMT'. Nothing was set to Not Included - the only technical space on the view is the IDF Room and it carries no controllable tag. FCU_B_038 displays '??????' rather than a temperature, recorded as a cell note on D917.</t>
  </si>
  <si>
    <t>Verified by re-reading A908:D908, A917:D917, A1066:D1069, A1153:D1161 and A1165:D1165 - all values and notes confirmed. YELLOW flagged (9 rows): 1153/1157/1158 Prof. Librarian and 1154/1155/1156/1159 Loby and Security - these seven S15 units sit in the diagonal entrance band where Entry, Prof. Librarian, Loby and Security, Vestibule and Pantry are packed close together and the 45-degree rotation makes nearest-label assignment unreliable, so the split between Prof. Librarian and Loby and Security needs user confirmation; 1068 (S10_022) sits below the Reserchers Reading Area label and may belong to the adjacent space; 1161 (S15_009) Asst. Head is flagged for the INCLUSION question rather than the name - it is a management office and may qualify as an executive room, currently left Included, cell note added to D1161. NOT WRITTEN: VAV_B_S15_010/011/012 (rows 1162-1164) do not appear on this view.</t>
  </si>
  <si>
    <t>IMG_9592.jpeg - QNL Honeywell HMI, 'Basement Zone-3-P2' (Lower Level Floor Plan Zone-3 Part-2). Sparse view: mostly plant equipment plus the executive suite at the top. Contains the three S15 VAVs that were left blank from the previous drawing.</t>
  </si>
  <si>
    <t>Filled C/D for 4 existing rows: VAV_B_S15_010/011/012 (rows 1162-1164) and FCU_B_001 (row 880). No CAV, FEV or VEV tags on this drawing, so no rows inserted and the SSC header stays at row 1188. The VAV_B_S15 block (rows 1153-1165) is now complete.</t>
  </si>
  <si>
    <t>Applied the executive-room rule: VAV_B_S15_010 = Director Head and VAV_B_S15_012 = VIP Majlis, both Not Included, consistent with how Lib. Director's Room / VIP Room / VIP Meeting were treated on the second floor. Room names sit just below-right of each sensor's T circle on this drawing, which is what drove the assignment. Note the 'Asst. Head' label appears on BOTH this view and Zone-3-P1 - it is the same room seen across the Part-1 / Part-2 boundary, already recorded against VAV_B_S15_009 (row 1161), so it was not duplicated here. Out of scope on this drawing: UPS Panel, EF-B-12, FWP-05/06, PHX-B-01 to 04, CHWP-1/2/3/4, PU-B-01, CPNL-0005, LCP-Z3. Plant Room 4, Ventilation, Air Shaft, Maintanance and Corridor are labelled but carry no controllable tag, so nothing else was set to Not Included.</t>
  </si>
  <si>
    <t>Verified by re-reading A880:D880 and A1161:D1165 - values, fills and notes confirmed. YELLOW (1 row): 1163 (VAV_B_S15_011) sits between the Director Head and VIP Majlis labels with no clear wall; assigned to VIP Majlis, though both candidates are executive so Not Included holds either way. RED (1 row): 880 (FCU_B_001) is drawn outside the plan outline on the left with NO leader line to any room, so it took the Key Plan name and was auto-Included per the agreed rule - however its two nearest labels are 'IDF Rooom' and 'VIP Restroom', and BOTH of those would make it Not Included (technical / executive). This is the one row on this drawing where the standing rule and the likely reality disagree, so a cell note was added to D880 asking the user to confirm. Two 'VIP Restroom' labels with upward yellow leader arrows exist on the view but neither points at a controllable tag.</t>
  </si>
  <si>
    <t>IMG_9593.jpeg - QNL Honeywell HMI, 'Basement Zone-4-P1' (Lower Level Floor Plan Zone-4 Part-1). Almost entirely empty view - the bulk of it is the Compact Shelving Main Collection stacks and the Vault / Heritage Collection block, none of which carry controllable tags.</t>
  </si>
  <si>
    <t>Filled C/D for 1 existing row: FCU_B_005 (row 884) set to Not Included / 'HL Plant Room'. No CAV, FEV or VEV tags on this drawing, so no rows inserted and the SSC header stays at row 1188.</t>
  </si>
  <si>
    <t>FCU_B_005 was named from its yellow leader line rather than by proximity: the 'HL Plant Room' label sits below-left of the tag and runs a leader right then up into the small room at the apex of the diagonal wall, and the CCU-1,2,3,4,5,6 block leaders into the same space. HL Plant Room is a plant/technical room, so the technical-room rule applies and it was set Not Included. No highlight was needed - the leader makes the assignment unambiguous. Labelled but untagged on this view: Compact Shelving Main Collection (x2), Vault, Heritage Collection. Out of scope: CCU-1,2,3,4,5,6.</t>
  </si>
  <si>
    <t>Verified by re-reading A884:D884 as rendered text - FCU_B_005 / FCU / Not Included / HL Plant Room confirmed. No yellow or red flags raised on this drawing. Outstanding backlog unchanged: FCU_2F_041 (858), FCU_2F_042 (859), VAV_2F_S14_015 (1035), VAV_2F_S14_021 (1041), VAV_2F_S13_005/006/009/011/012/013 (1009/1010/1013/1015/1016/1017), VAV_2F_S10_001/002/004/005 (969/970/972/973). Pending user decisions carried forward: terrace furniture-label policy (rows 781, 848 vs 846/847), rows 866/869 middle column, rows 1014/1019 Ad. Admin &amp; Planning, row 1129 VAV-B-S11-005 vs S14-005 tag conflict, Fine Binding / Binding &amp; Preservation split, row 1161 Asst. Head executive question, row 880 FCU_B_001.</t>
  </si>
  <si>
    <t>IMG_9594.jpeg - QNL Honeywell HMI, 'Basement Zone-4-P2' (Lower Level Floor Plan Zone-4 Part-2). Plant-heavy view: Plant Room 4, PH Plant, Pump Room, FM Storage and the misting/storage cluster off Corridor 6.</t>
  </si>
  <si>
    <t>Filled C/D for 11 existing FCU rows: FCU_B_004 (883), _018/_019/_020/_021 (897-900), _022/_023 (901-902), _024 (903), _025/_026 (904-905), _030 (909). Seven set Not Included as technical rooms, four Included. No CAV, FEV or VEV tags on this drawing, so no rows inserted and the SSC header stays at row 1188.</t>
  </si>
  <si>
    <t>Technical rooms set Not Included per the rule: Plant Room 4 (FCU_B_018/019/020/021 - the room also holds AHU-B-01/05/06/07/08, EF-B-03, GWSHL-B-05, LCP-Z4, CPNL-0004), PH Plant (FCU_B_024, room holds PPSP-01 to 06), Pump Room (FCU_B_030), Misting System (FCU_B_026). Included: FM Storage (FCU_B_004/022/023) and Storage (FCU_B_025) - storage areas are neither technical plant nor executive, so they stay in scope. FCU_B_025 and _026 are drawn BELOW the plan outline and were placed using their yellow leader lines, which run up into the two small rooms off Corridor 6 labelled 'Storage' and 'Misting System'. Out of scope on this drawing: AHU-B-xx, EF-B-03, GWSHL-B-04/05, PDS/PDP-03/05, PPSP-01 to 06, MBP-01, LCP-Z4, CPNL-0004, CC-B-10/11, SWP-11/12, ST-12.</t>
  </si>
  <si>
    <t>Verified by re-reading A883:D883 and A897:D909 as rendered text - all 11 rows confirmed. YELLOW flagged (3 rows): 883 (FCU_B_004) sits OUTSIDE the FM Storage wall on the left with no leader line, assigned to FM Storage as the nearest room but unconfirmed; 904 (FCU_B_025) and 905 (FCU_B_026) - both are drawn outside the plan and their leaders terminate very close together at the Storage / Misting System pair, with the 'Corridor 6' label sitting directly between the two leader lines, so the Storage vs Misting System vs Corridor 6 split is a judgement call. This matters for classification, not just naming: FCU_B_025 was left Included as Storage while FCU_B_026 was set Not Included as Misting System, so if the pairing is reversed the inclusion flips too. FCU_B block status: 34 of 38 rows now filled; still blank are FCU_B_010 (889), _015 (894), _016 (895) and _017 (896), none of which have appeared on any drawing yet.</t>
  </si>
  <si>
    <t>IMG_9596.jpeg - QNL Honeywell HMI, 'First Floor Zone-1-P1' (First Level Floor Plan Zone-1 Part-1). First drawing from the first floor and the first to contain CAV_1F tags. Dense teaching/study view with 26 VAV_1F_S11, 8 VAV_1F_S15, 6 CAV_1F_S11 and one FCU_1F.</t>
  </si>
  <si>
    <t>Filled C/D for 34 existing rows and INSERTED 6 new CAV rows. Existing: VAV_1F_S11_001-022 (rows 919-940), _088/_089/_090 (942-944), VAV_1F_S15_005/006/007/008 (949-952), _012 (956), _039S (964), _096/_097 (966-967), FCU_1F_002 (782). New: inserted rows 1166-1171 for CAV_1F_S11_001/002/006/007/008/009, placed AHEAD of the CAV_B block to keep the CAV section in tag order. CAV block now spans 1166-1193 and the SSC header moved from row 1188 to row 1194.</t>
  </si>
  <si>
    <t>Clean mappings: Group Study Room1/2/3/4 (S11_001/002/003/022), Computer Classroom (S11_014-021, eight units in the right-hand teaching block), Childeren Library (S15_006/007/008 + CAV_1F_S11_009), Multipurpose Room (S15_096/097), Staff Office (S15_039S), Security Room (CAV_1F_S11_001), Open Reading Area (CAV_1F_S11_006). Drawing spellings preserved: 'Infor. Lteracy Instr.1/2', 'Childeren Library'. EXECUTIVE RULE APPLIED: VAV_1F_S15_005 = Head Librarian Office set Not Included, consistent with Lib. Director's Room and Director Head. Everything else on this view is Included. FCU_1F_002 named from its yellow leader line running down to the ICT Room (Women) label. Out of scope: EF-1-02C, LCP-Z1, ST-01, ST-16, L-1, L-2.</t>
  </si>
  <si>
    <t>Verified by re-reading A782, A919:D944, A949:D952, A956, A964:D967 and A1164:D1196 - all 40 rows, the 6-row insert and the new SSC header position at 1194 confirmed. YELLOW flagged (9 rows): 922/923/924/928 - the Infor. Lteracy Instr.1 and Instr.2 labels sit one above the other over a single 2x5 grid of VAVs with no clear wall between them; split as 2 units to Instr.1 and 8 to Instr.2, which is uneven and needs confirmation; 956 (S15_012) sits below the Staff Office in an unlabelled pocket and was assigned to Childeren Library on proximity; 782 (FCU_1F_002) ICT Room (Women) - flagged for the INCLUSION question, currently Included as a public ICT space rather than a technical room; 1167 (CAV_1F_S11_002) leader points into the Rest Room / ICT block; 1169 (CAV_1F_S11_007) sits in the corridor gap between the Computer Classroom and the Head Librarian/Staff Office block, reading a notably cold 15.2; 1170 (CAV_1F_S11_008) sits exactly between the downward leader arrows for Infor. Lteracy Instr.1 and Computer Classroom, so it was given a dual name. RED (3 rows): 942/943/944 (S11_088/089/090) sit in the bottom-right run with no room label. NOT WRITTEN: VAV_1F_S11_087 (row 941) does not appear on this view.</t>
  </si>
  <si>
    <t>IMG_9598.jpeg - QNL Honeywell HMI, 'First Floor Zone-2-P1' (First Level Floor Plan Zone-2 Part-1). Restaurant / Front Kitchen / Public Service view with 12 new CAV_1F_S15 tags.</t>
  </si>
  <si>
    <t>Filled C/D for 11 existing rows and INSERTED 12 new CAV rows. Existing: FCU_1F_003 (783), FCU_1F_059-064 (839-844), VAV_1F_S15_009/010/011 (953-955), VAV_1F_S15_098 (968). New: inserted rows 1172-1183 for CAV_1F_S15_002/005/006/010/011/012/013/014/015/016/017/018, placed after the CAV_1F_S11 group. CAV block now spans 1166-1205 and the SSC header moved from row 1194 to row 1206.</t>
  </si>
  <si>
    <t>The Restaurant / Front Kitchen block was split by row: the bottom run of sensors sits level with the 'Front Kitchen' label (CAV_1F_S15_006 + FCU_1F_062/063/064) and everything above it belongs to the Restaurant (CAV_1F_S15_002/005/010/011/012/013/014/015 + FCU_1F_059/060/061). Both are Included - a kitchen is neither plant nor executive. Multipurpose Room (VAV_1F_S15_098) sits inside the circular room outline, unambiguous. FCU_1F_003 = IDF Room set Not Included as a technical room. The right-hand staff rooms on this view (Bibliographer1/2, Spec. Coll &amp; Arch, R&amp;L Services, AD. Public Service, REF. Librarian 1-12) carry NO controllable tags, so none were recorded. Out of scope: EF-2-01, EF-1-01C, L-3, L-4, ST-03.</t>
  </si>
  <si>
    <t>Verified by re-reading A783, A839:D844, A953:D955, A968 and A1170:D1207 - all 23 rows, the 12-row insert and the new SSC header position at 1206 confirmed. YELLOW flagged (3 rows): 783 (FCU_1F_003) sits between the 'Storage' label above and 'IDF Room' below; assigned IDF Room per this drawing's label-below-right convention, which also drives the Not Included call, so if it is actually Storage the classification flips; 1181 + 1182 (CAV_1F_S15_016/017) sit just outside the restaurant's right-hand wall in the circulation zone and were assigned to Public Service on proximity. RED (4 rows): 953/954/955 (VAV_1F_S15_009/010/011) sit in the unlabelled open area at top-left outside the room outline; 1183 (CAV_1F_S15_018) sits in an unlabelled pocket near the L-3/L-4 lifts, above the Media Studio / Storage strip. Cell note added to D1180: CAV_1F_S15_015 displays '??????' instead of a temperature - second sensor found showing this fault after FCU_B_038 (row 917).</t>
  </si>
  <si>
    <t>IMG_9599.jpeg - QNL Honeywell HMI, 'First Floor Zone-2-P2' (First Level Floor Plan Zone-2 Part-2). Media studios, prayer/ablution block and the lounge FCU bank. Also contains VAV_1F_S11_087, which was outstanding from IMG_9596.</t>
  </si>
  <si>
    <t>Filled C/D for 26 existing rows and INSERTED 2 new CAV rows. Existing: FCU_1F_027/029/030/031/032/033/034/035 (807-815), FCU_1F_047-050 (827-830), VAV_1F_S11_087 (941), VAV_1F_S15_001-004 (945-948), _021-025 (957-961), _038/_039/_040 (962/963/965). New: CAV_1F_S15_004 at row 1173 and CAV_1F_S15_019 at row 1185, both placed in sorted tag position. CAV block now spans 1166-1207 and the SSC header moved from row 1206 to row 1208. Everything on this drawing is Included.</t>
  </si>
  <si>
    <t>Clean mappings: Media Studio1 (S15_001/002), Storage (S15_003), Media Studio2 (S15_004), Prayer Room (Female) (S15_021/022), Prayer Room (Male) (S15_023), Lounge (FCU_1F_047/048/049/050). Prayer rooms, ablution rooms and lounges are all public spaces, so none of the exclusion rules apply. BACKLOG CLEARED: VAV_1F_S11_087 (row 941) was the tag missing from IMG_9596 and appears here in the unlabelled open area at top-left, so it took the Key Plan name for THIS drawing (Zone-2 Part-2) rather than Zone-1 Part-1. Out of scope: Structure Area, Special Events and People Mover Main Entrance are labelled but carry no controllable tags.</t>
  </si>
  <si>
    <t>Verified by re-reading A807:D815, A827:D830, A941:D948, A957:D965 and A1170:D1209 - all 28 rows, both inserts and the new SSC header position at 1208 confirmed. YELLOW flagged (14 rows): 807/809/810/811/812/813/814/815 - eight FCUs drawn OUTSIDE the building outline below the two 'Lounge' cells with no labels of their own; all given 'Lounge' since both labels read the same, but whether they serve the lounges at all needs confirming; 960 (S15_024) and 961 (S15_025) sit between Prayer Room (Male)/(Female) and the two Ablution rooms, whose labels are placed far right with long horizontal leader arrows, making the split uncertain; 962 (S15_038) assigned Ablution (Men) from the same leader cluster; 963 + 965 (S15_039/040) and 1173 (CAV_1F_S15_004) - three units surround the small 'Green Room' label from above, left and below, which is more units than a green room would normally need; 1185 (CAV_1F_S15_019) sits just below the Media Studio1 block, possibly in the corridor. RED (1 row): 941. TEMPERATURE ANOMALIES noted as cell notes: D830 FCU_1F_050 reads 41.7 C against ~17 C on its neighbours, and D947 VAV_1F_S15_003 reads 34.1 C in Storage. NOT WRITTEN: FCU_1F_028 (row 808) does not appear on this view despite sitting mid-sequence in the lounge bank.</t>
  </si>
  <si>
    <t>IMG_9600.jpeg - QNL Honeywell HMI, 'First Floor Zone-3-P1' (First Level Floor Plan Zone-3 Part-1). Unusual view: 19 FCU tags but the drawing carries only ONE piece of text, the word 'Enter' near the top - no room names anywhere.</t>
  </si>
  <si>
    <t>Filled C/D for 19 existing rows, all Included and all red: FCU_1F_014 (794), _016/_017/_018 (796-798), _020 (800), _022-_028 (802-808), _036-_040 (816-820), _051/_052 (831-832), _065 (845). No CAV, FEV or VEV tags, so no rows inserted and the SSC header stays at row 1208.</t>
  </si>
  <si>
    <t>Every one of the 19 sensors took the Key Plan name 'First Floor Zone-3 Part-1 (IMG_9600.jpeg)' and was auto-Included per the agreed rule, because the drawing contains no room labels at all. The only text on the plan is 'Enter', which marks a doorway rather than naming a room, so it was not used. The sensors are drawn as a free-floating grid over an open diagonal area with no room outlines around them, which is consistent with this being open library floor rather than cellular rooms. BACKLOG CLEARED: FCU_1F_028 (row 808) was noted last turn as missing from the lounge bank on IMG_9599 - it appears here instead.</t>
  </si>
  <si>
    <t>Verified by re-reading A794:D845 - all 19 rows carry the correct zone name, and spot-checked A794:D798, A805:D808 and A845 as rendered text. No yellow flags: with no labels present there is nothing ambiguous to flag, the whole set is red for your review. Rows deliberately left blank because those tags are not on this view: FCU_1F_015 (795), _019 (799), _021 (801). FCU_1F block status: 40 of 65 rows now filled; still blank are FCU_1F_004-013 (784-793), _015 (795), _019 (799), _021 (801), _041-046 (821-826) and _053-058 (833-838). Temperature spread on this view is wide - FCU_1F_018 reads 12.8 C and _020 reads 14.1 C against 21.2 C on _023 - but all are plausible for an open floor so no anomaly notes were added.</t>
  </si>
  <si>
    <t>IMG_9601.jpeg - QNL Honeywell HMI, 'First Floor Zone-3-P2' (First Level Floor Plan Zone-3 Part-2). Circulation / book-handling area: 23 FCU tags arranged as a free-floating grid over open floor with blue zone labels interleaved between the rows.</t>
  </si>
  <si>
    <t>Filled C/D for 23 existing FCU_1F rows: _004-_013 (784-793), _015 (795), _019 (799), _021 (801), _041-_046 (821-826), _053/_054 (833-834), _057/_058 (837-838). Seventeen Included, six Not Included as executive rooms. No CAV, FEV or VEV tags, so no rows inserted and the SSC header stays at row 1208.</t>
  </si>
  <si>
    <t>There are no room outlines on this view - the sensors sit in two column-pairs and the blue labels act as headers sitting ABOVE each group, so assignment was made by reading down from each label to the next one. Left pair: 'Access Service' heads the first two rows (FCU_1F_019/021/053/054), then 'Book Drop Off' heads the remaining four rows (FCU_1F_011/012/010/042/008/009/007/041). Right pair: 'Circulation Director' heads the first two rows (FCU_1F_015/013/045/046), then 'Book Exit Point' heads the rest (FCU_1F_006/005/044/043/004). 'ILL Director' heads the two units above everything else (FCU_1F_057/058). EXECUTIVE RULE APPLIED: ILL Director and Circulation Director both set Not Included, consistent with Head Librarian Office, Lib. Director's Room and Director Head. People Mover Main Entrance and Heritage Collection Entrance are labelled on the view but sit well away from any tag.</t>
  </si>
  <si>
    <t>Verified by re-reading A784:D795, A799:D801, A821:D826 and A833:D838 as rendered text - all 23 rows confirmed. YELLOW flagged (6 rows): 837/838 ILL Director and 793/795/825/826 Circulation Director. The flag is about GROUPING, not the executive call - assigning four sensors to a single 'Circulation Director' office and two to 'ILL Director' is a lot for cellular offices, which suggests these blue labels may mark open-plan functional zones (a director's desk area within the circulation floor) rather than enclosed rooms. If they are open zones rather than private offices, the Not Included classification on all six rows should be reversed. TEMPERATURE ANOMALY: cell note added to D837 - FCU_1F_057 reads 56.3 C, the highest reading seen on any QNL drawing so far, against 19.6 C on FCU_1F_058 directly beneath it; almost certainly a failed sensor. FCU_1F BLOCK NOW 63 of 65 FILLED - only FCU_1F_055 (835) and _056 (836) remain outstanding.</t>
  </si>
  <si>
    <t>IMG_9603.jpeg - QNL Honeywell HMI, 'First Floor Zone-4-P2' (First Level Floor Plan Zone-4 Part-2). Final image of the batch. Near-empty view with only two FCU tags. User indicated this was the last drawing, so a completeness sweep of the whole QNL section was run afterwards.</t>
  </si>
  <si>
    <t>Filled C/D for the final 2 FCU_1F rows: FCU_1F_056 (836) = Included / 'External Book Drop', and FCU_1F_055 (835) = Included / 'First Floor Zone-4 Part-2 (IMG_9603.jpeg)' in red. This completes the FCU_1F block (all 65 rows, 781-845). No CAV, FEV or VEV tags; SSC header remains at row 1208.</t>
  </si>
  <si>
    <t>FCU_1F_056 has its room name printed directly beneath the tag inside the same box outline ('External Book Drop'), which is the clearest label placement seen on any drawing so far - no ambiguity, no highlight. FCU_1F_055 sits alone in a small angled room at top-right with no label anywhere near it, so it took the Key Plan name and was auto-Included per the rule. The other two blue labels on the view, 'RP-06' and 'Main Entrance', are a ramp reference and an entrance marker rather than room names, and both sit far from either tag, so neither was used. FCU_1F_056 reads 13.4 C, which is consistent with an external book drop exposed to outside air.</t>
  </si>
  <si>
    <t>Verified by re-reading A835:D836 as rendered text. COMPLETENESS SWEEP of the full QNL section (rows 766-1207, 442 tags) found 381 filled and 61 still blank, broken down as: AHUB001-015 (766-780, 15 rows); FCU_2F_041/042 (858-859); FCU_B_010/015/016/017 (889, 894, 895, 896); VAV0001 (918); VAV_2F_S10_001/002/004/005 (969, 970, 972, 973); VAV_2F_S13_005/006/007/009/011/012/013/014 (1009-1018); VAV_2F_S14_015/021 (1035, 1041); VAV_B_S10_001-019 and _024 (1047-1065, 1070 - 20 rows); VAV_B_S13_003/004/005/007/008 (1119-1124). RAISED WITH USER: the 15 AHUB rows are a scope question, not a missing drawing - AHU-B-01 to AHU-B-13 were visible inside Plant Room 1, Plant Room 2 and Plant Room 4 on IMG_9588 and IMG_9594 but were treated as out of scope because the brief named VAV, FCU, CAV, FEV and VEV only. If AHUs are wanted they would all be Not Included as plant-room equipment. The largest genuine gap is VAV_B_S10 (20 rows) - only _020 to _023 have appeared on any drawing so far.</t>
  </si>
  <si>
    <t>New validation stream: sending Honeywell BMS screenshots to validate/correct/update QNL room names and inclusion status, noting column A tag formats differ but are distinguishable. First image IMG_9563.jpeg = VAV Summary Type-01, basement S11 units.</t>
  </si>
  <si>
    <t>Matched the 24 VAV/B/S11 units on the BMS screen to registry rows 1071-1094 and 1113-1116. Appended the BMS room codes (B001, B001A, B002, B008, B009) to column D and corrected VAV_B_S11_022/023. Changed C1093 from Not Included to Included, flagged C1093:D1093 yellow and added an explanatory note.</t>
  </si>
  <si>
    <t>Tag format maps as VAV/B/S11/nnn -&gt; VAV_B_S11_nnn. BMS location groups: 001-004 + 011-014 = Tech.Services Area B001 &amp; Break Out Area B001A (kept the registry's finer Break Out vs Tech Services split, only added the codes); 005-010 + 015-020 = Tech.Services Area B001; 024 = Kitchen B002; 043-046 = Receiving Area B008; 022 + 023 = Corridor Leading To Reception &amp; Lounge B009. The Location column in the photo is skewed progressively downward toward the bottom, so group boundaries were resolved using the registry's existing names as the cross-check (024=Kitchen and 043-046=Receiving already agreed, which anchors the alignment). Row 1091 (VAV_B_S11_021, 'Basement Zone-1 Part-1') is not on this screen and was left untouched, as were rows 1095-1112 (S11_025-042).</t>
  </si>
  <si>
    <t>Verified by re-reading A1071:D1094 and A1113:D1116 - all 24 room names and the C1093 inclusion change confirmed. ONE CONFLICT RAISED: VAV_B_S11_023 was 'Plant Room 1 / Plant Room 2 (IMG_9588.jpeg)' / Not Included from an earlier drawing; the BMS pairs it with 022 (Master/Slave) on the corridor, so it was updated to Corridor Leading To Reception &amp; Lounge B009 / Included and flagged yellow pending your confirmation. Awaiting the next BMS image.</t>
  </si>
  <si>
    <t>Asked why the TRANSPOSE(FILTER(...)) formula in 'SSC Room Names'!D45 — pulling matching Tag Nos from the Controllable Asset Registry into a horizontal list — always returns #N/A.</t>
  </si>
  <si>
    <t>Diagnosed the criteria range and rewrote D45 to wrap the comparison in IFERROR.</t>
  </si>
  <si>
    <t>Scanned 'Controllable Asset Registry'!E1214:E1332 for error values: exactly one, E1287 (#N/A), on VAV0063 whose room reads '(NOT FOUND ON DRAWING LEVEL 3)'. A single error anywhere in a FILTER include-array poisons the whole array, so FILTER returned #N/A regardless of the match. New formula: =TRANSPOSE(FILTER('Controllable Asset Registry'!$A$1214:$A$1332,IFERROR('Controllable Asset Registry'!$E$1214:$E$1332=C45,FALSE),"No Equipment in entity")). Chose IFERROR over patching E1287 so the formula is robust to future error rows; E1287 itself still needs an entity name.</t>
  </si>
  <si>
    <t>D45 now spills VAV0002, VAV0003, VAV0004 across D45:F45. Only D45 was changed — same fix should be copied to other rows in column D. Open item: E1287 in the Controllable Asset Registry is still #N/A.</t>
  </si>
  <si>
    <t>Sent IMG_9565.jpeg - Honeywell VAV Summary Type-01 (QNL). Asked me to take the VAV names from the 3rd column of the screen, find them in column A of the Controllable Asset Registry, and fill the Location text from the 1st column into column D.</t>
  </si>
  <si>
    <t>Matched all 27 VAV tags on the screen to registry rows. Filled the 5 rows whose column D was blank: D1068 (VAV_B_S10_009), D1071/D1072/D1073 (VAV_B_S10_012/013/014) and D1078 (VAV_B_S10_019). Left the other 22 rows untouched because they already held room names.</t>
  </si>
  <si>
    <t>Screen tag format VAV/B/S10/009 maps to registry format VAV_B_S10_009. Groupings read off the merged Location cells: S10/009 = CR6 Circulation; S10/012, 013, 014 = CR6 Conversation Work Area B.209; S10/019 = CR6 Prof Librarian B.208. Image name appended in parentheses per the established convention. CONFLICTS NOT OVERWRITTEN, needing your call: (1) VAV_B_S15_001 row 1166 registry says 'Prof. Librarian (IMG_9591.jpeg)' but this screen shows it under HC Lobby &amp; Vestibule B154; (2) VAV_B_S15_002/003/004 rows 1167-1169 say 'Loby and Security' vs screen 'HC Lobby &amp; Vestibule B154'; (3) VAV_B_S15_011/012 rows 1176-1177 say 'VIP Majlis' vs screen 'Basement Zone 3 HC VIP Majlis B148' - same room, different wording. Rows 1060-1067 + 1083 (Digitisation Area B.200), 1069/1070 (Technical Services B.204), 1074 (Instruction Outreach B.206), 1075-1077 (Multimedia Presentation B.205) and 1137 (Security Control Room B.105) all agree with the screen.</t>
  </si>
  <si>
    <t>5 blank cells filled and verified by re-reading A1068:D1068, A1071:D1073 and A1078:D1078. Awaiting your decision on the 7 VAV_B_S15 wording conflicts listed in Details.</t>
  </si>
  <si>
    <t>Sent IMG_9564.jpeg - Honeywell VAV Summary Type-01 page P2 (QNL). Same task as the previous screen: match the VAV names to column A of the Controllable Asset Registry and write the Location into column D, and highlight all the matched rows in blue.</t>
  </si>
  <si>
    <t>Matched all 26 VAV tags from the screen, wrote the screen Location into column D for each, and applied a blue fill (#BDD7EE) across A:D on all 26 rows. Rows touched: 1104, 1108, 1132, 1133, 1135, 1141-1143, 1146-1149, 1152-1165.</t>
  </si>
  <si>
    <t>Adopted the naming convention you applied by hand earlier this session: dropped the 'Basement Zone N' prefix and punctuated the room number as B.xxx, no image-name suffix. Screen typo 'Presrvation' corrected to 'Preservation' to match existing sheet spelling; 'Boh Kitchen' written as 'BOH Kitchen' for the same reason. Location groupings read off the merged cells, allowing for the row drift in the Honeywell page: S14_040 = BOH Kitchen B.044 (standalone) and S13_003/004 = Processing Room B.103 (slave + master). Unlike the previous image I overwrote existing column D text, because the old entries were generic placeholders without room numbers. One overwrite worth noting: D1104 (VAV_B_S11_021) previously read 'Basement Zone-1 Part-1 (IMG_9587.jpeg)' and is now 'Reception &amp; Lounge B.009' per this screen - flag if IMG_9587 was the better source.</t>
  </si>
  <si>
    <t>All 26 rows re-read after writing; tag, location text and #BDD7EE fill confirmed on every one. Prior turn's VAV_B_S15 conflicts (rows 1166-1169, 1176-1177) remain open.</t>
  </si>
  <si>
    <t>Sent IMG_9563.jpeg - Honeywell VAV Summary Type-01 page P1 (QNL). Same task: match the VAV names to column A of the Controllable Asset Registry, put the Location into column D, and highlight them in blue.</t>
  </si>
  <si>
    <t>Matched all 27 VAV_B_S11 tags from the screen. Normalised 5 column D entries that still carried the old image-suffix format (D1107 to 'Kitchen B.002'; D1126:D1129 to 'Receiving Area B.008') and applied the blue fill (#BDD7EE) across A:D on all 27 rows: 1084-1103, 1105-1107, 1126-1129.</t>
  </si>
  <si>
    <t>The other 22 rows already held correct room text from your earlier manual pass, so I left the wording alone and only added the highlight. Deliberate decision on group 1: the screen shows one merged label 'Tech.Services Area B001 &amp; Break Out Area B001A' covering S11_001/002/003/004/011/012/013/014, but the sheet already splits that group - 001, 002, 011, 012 as 'Break Out Area B.001A' and 003, 004, 013, 014 as 'Tech, Services &amp; Collections Office B.001'. The split is more precise than the merged screen label so I preserved it rather than flattening all eight rows to the combined name. Row drift on the Honeywell page handled as before: standalone S11_024 = Kitchen B.002, and S11_022/023 = Corridor Leading To Reception &amp; Lounge B.009.</t>
  </si>
  <si>
    <t>All 27 rows re-read after writing; tag, location text and #BDD7EE fill confirmed on each. Open items unchanged: VAV_B_S15 wording conflicts at rows 1166-1169 and 1176-1177, and whether D1104 should revert to the IMG_9587 value.</t>
  </si>
  <si>
    <t>Sent IMG_3029.jpeg - Siemens RDC BMS 'Utility Building FCU Summary'. Asked me to take the FCU names from the 5th column of the screen, find them in column A of the Controllable Asset Registry, and write their location (room name + room no. from the 4th and 3rd columns) into column D, matching the format of the selected cell D2240.</t>
  </si>
  <si>
    <t>Matched all 29 RDC Utility Building FCU tags on the screen to registry rows 2238-2266 and wrote the room name + room number into column D for the 28 that were blank (D2240 was already filled).</t>
  </si>
  <si>
    <t>Format followed from D2240 ('MAIL ROOM U-0128'): room name in caps followed by the room number. Ground floor (RDC_UB_GF_): FCU8001 GENERAL STORAGE ROOM U-0129, 8002 SHOP U-0135, 8004 GENERAL STORAGE U-0108, 8005 RECYCLING ROOM U-0109, 8006 CYLINDER STORAGE U-0105, 8007 LN2 DISPENSER U-0104, 8008 FLAMMABLE STORAGE U-0103, 8009 FLAMMABLE WASTE STORAGE U-0102, 8010 BMS ROOM U-0117, 8011 BREAK ROOM U-0118, 8012 OFFICE SPACE U-0119, 8013/8014/8512/8513/8514/8515 WET/MECH/FIRE ROOM U-0120, 8502-8505 SHIPPING AND RECEIVING. Mezzanine (RDC_UB_MF_): FCU8501/8506/8507/8508/8509/8510/8511 MECHANICAL ROOM U-1101. Two judgement calls: (1) FCU-8502 to 8505 sit against a merged 'SHIPPING AND RECEIVING' room-name cell with the ROOM NO. column blank on the screen, so no room number was appended - note added on D2252. (2) U-1101 is shown as a single merged room number spanning the whole Level -1 mechanical block, so it was applied to all seven mezzanine FCUs.</t>
  </si>
  <si>
    <t>Rows 2238-2266 of column D on Controllable Asset Registry are now fully populated; verified by re-reading A2238:D2266. Open item: room numbers for the four SHIPPING AND RECEIVING FCUs (8502-8505) need confirming from drawings.</t>
  </si>
  <si>
    <t>Sent IMG_3056.jpeg - Siemens RDC BMS 'South Building Fan Coil Unit' summary (Level 0 and Level -1) - and asked me to apply the same treatment as the Utility Building screen: match the FCU tags to column A of the Controllable Asset Registry and write their room location into column D.</t>
  </si>
  <si>
    <t>Located all 26 South Building FCUs from the screen (rows 2191-2202 Level -1, rows 2223-2237 Ground Floor). Column D was already populated in an older abbreviated style, so I stopped and asked before overwriting; user chose to rewrite all 26 to the BMS format. Wrote D2191:D2202 and D2223:D2237.</t>
  </si>
  <si>
    <t>Format followed from D2240: room name in caps + room number. Level -1: FCU0501/FCU3501 STAIR-04 1ST04, FCU0502/0503 UPS ROOM S-1107D, FCU1501/1502 IDF ROOM S-1156, FCU1503 STAIR-01 1ST01, FCU2501 STAIR-03 1ST03, FCU2502/2503 IDF ROOM S-1244, FCU2504/2505 UPS ROOM S-1276. Ground floor: FCU0001 STAIR-02 S-02T02, FCU1001/1002 QTEL ROOM S-0132, FCU1003/1004 IDF ROOM S-0133, FCU1005/1006 EC MDF ROOM S-0134, FCU1007 MECHANICAL ROOM S-0136, FCU1008 STAIR-01 S-01T01, FCU2001 STAIR-03 S-0ST03, FCU2002/2003 AV ROOM S-0210, FCU2004/2005 IDF ROOM S-0271, FCU3001 STAIR-04 S-0ST04. Four rows were genuine data conflicts, not just wording: FCU2502 was 'MEETING ROOM S-1247' (screen pairs 2502 and 2503 to IDF S-1244), FCU2505 was 'MEETING ROOM S-1272' (screen pairs 2504 and 2505 to UPS S-1276), FCU0501 was 'Stair 2 S-1ST02' and FCU3501 was 'Stair S-1ST104' (screen shows both as STAIR-04 1ST04). Two cosmetic calls noted in-cell: the screen labels S-0271 'IDF-S-0271' and S-0ST04 'STAIR-OST04'; both were normalised to match the other IDF and stair entries.</t>
  </si>
  <si>
    <t>D2191:D2202 and D2223:D2237 rewritten and verified by re-read. Pre-existing drawing notes on D2192 and D2193 were left intact. Not covered: the screen has a NEXT &gt;&gt; button, so any further South Building FCU pages have not been reviewed, and the 2F rows (2203-2222) were untouched.</t>
  </si>
  <si>
    <t>Uploaded RDC_HVAC_DRAWINGS_MERGED.pdf (68 A0 as-built sheets) and the register. Asked to fill blank and verify yellow column-D cells for RDC FCU/VAV/EV/VEV equipment from the drawing schedules, North Building first. Rule: if room name/number not found, put the schedule page in column D and highlight blue; if a yellow row cannot be verified, note where to look in column E.</t>
  </si>
  <si>
    <t>Extracted the AIR TERMINAL DEVICES SCHEDULES and FAN COIL UNIT SCHEDULES for all North Building parts, then matched every NB target row by tag number. Processed all 219 NB targets: 105 VERIFIED (yellow cleared), 28 verified by room number but schedule uses a different room NAME (noted in E), 53 CORRECTED, 8 blanks filled, 12 blanks flagged blue (found but no room number on the schedule), 11 yellow unverifiable, 2 tags not in any NB schedule.</t>
  </si>
  <si>
    <t>Pages 1-66 have NO text layer (raster scans; confirmed with poppler and PyMuPDF) and OCR misread reference numbers (e.g. EV-5026 as EV-5025), so all tables were read visually at native 200 DPI. Sources: Level 0 p6 (A2.1), p7 (A2.2), p8 (A2.3), p9 (B2.1 + FCU@L0), p10 (B2.2); Level 1 p21 (A2.1 + FCU@L1), p22 (A2.2), p23 (A2.3), p24 (B2.1), p25 (B2.2); Level 2 FCU p32; Pedestrian Walkway FCU p57. 860 air-terminal refs + 44 FCUs captured. The AT schedules list VAV, EV, VEV, FEV, CEV and CAV refs in one table, so EV/VEV rows resolve from the same source. Corrections were applied only where the schedule room NUMBER differed; the previous value is preserved verbatim in column E as was: "...". Saved with openpyxl only - NOT LibreOffice-recalc - to preserve the 159 TRANSPOSE(FILTER) array formulas in SSC Room Names with Equip. (verified 159/159 intact).</t>
  </si>
  <si>
    <t>North Building COMPLETE - zero blank column-D cells remain in the NB block. KEY FINDING: the 53 corrections are not random - whole blocks were shifted by one position (e.g. GF lab block VAV5180-5270A: registry had Analyt Core-1/Org Chem/Furnace/MBE-Evap where the schedule reads Analytical Core Lab 2 N-0140A, Furnace N-0140B, Prep Lab N-0140C, Sputter N-0140D, ALD N-0140F, Support N-0140H, PLD N-0140J, Organic Chem N-0140K; also VAV4210-4212 CSP Lab -&gt; Desalination Lab N-0240D; VAV7195 Conference N-0440 -&gt; Office 04 N-0436). Note there is no MBE Room anywhere in the A2.2 schedule. DISCREPANCY: FCU-5993/5994 are listed on the LEVEL 0 schedule (p9, Part A2.2, Conference Room) but are tagged NB_1F in the register. UNRESOLVED: VAV5054 (schedule jumps 5053 to 5055) and FCU2004 (not in any NB schedule - likely a South Building unit). STILL TO DO: South Building (55 blank + 33 yellow) from Level 0 p1-p5/p11, Level 1 p16-p20/p26, Level 2 p27-p30, and rooms on p59-p60. Utility Building schedules are NOT in this PDF.</t>
  </si>
  <si>
    <t>After verifying and trimming my North Building edits, asked me to do the South Building and the Utility Building if any, using the same rules (fill blanks where found; verify yellows; blue + page ref in D when the schedule has no room name/number; note where to look in column E when a yellow cannot be verified).</t>
  </si>
  <si>
    <t>UTILITY BUILDING: nothing to do - all 38 UB rows already filled with no yellow flags, and this PDF contains no UB equipment schedule (UB appears only as airflow diagrams p56/p58 and one section sheet p45). SOUTH BUILDING: processed all 88 targets - 47 blanks filled, 23 verified (yellow cleared), 3 verified by room number but the schedule uses a different name, 2 corrected, 4 blanks blue-flagged, 9 not found (notes in column E).</t>
  </si>
  <si>
    <t>KEY: every South sheet carries an AIR TERMINAL UNIT NUMBERING legend that decodes the tags - digit 1 = drawing part (0 = A1.3 and B1.1, 1 = B1.2, 2 = A1.2, 3 = A1.1), digit 2 = level (0 = Level 0, 5 = Level 1, 2 = Level 2). So AT-3511 is A1.1/Level 1 and AT-0509 is B1.1/Level 1. Sources read at native 200 DPI: A1.1 L0 p1, B1.1 L0 p4, A1.1 plus a short A1.2 table L1 p16, A1.2 L1 p17, B1.1 L1 p19, B1.2 L1 p20. FCU tags were deliberately excluded from the air-terminal lookup so that e.g. FCU2502 is not matched to AT-2502. Saved with openpyxl only (no LibreOffice recalc); 159/159 TRANSPOSE(FILTER) array formulas verified intact. The North Building block was not touched this turn.</t>
  </si>
  <si>
    <t>South corrections: VAV3511 Dressing Room S-1286 -&gt; Corridor S-1280; VAV3514 Office S-1294 -&gt; Office S-1284. VAV3519 filled as Open Plan S-1293. NOT RESOLVABLE FROM THIS PDF: (1) the A1.2 and B1.2 Level 0 schedules on p2 and p5 have NO room name/number columns at all - only airflow and duct dimensions - so VAV1003/1004/1008 and VAV2005 are blue-flagged; (2) there is NO South Building fan-coil schedule anywhere in the document, so FCU2004, FCU2502, FCU2503 and FCU2205 stay unverified; (3) VAV0001 and VAV0002 - the B1.1 schedule starts at AT-0003; (4) AT-0122 - its second digit does not fit the level legend. DATA-ENTRY ISSUE: rows 1629 and 1782 have tags RDC_SB_1F_VAV and RDC_SB_GF_VAV with no unit number at all, so they can never be matched - complete or remove them at source. Remaining across the whole RDC block: 4 blank cells (rows 1629, 1782, 1783, 1784) and 5 SB plus 2 NB yellows.</t>
  </si>
  <si>
    <t>Pointed out that the AIR FLOW DIAGRAM sheets carry schedules I had dismissed, and that they may show the VAV locations I had inferred to be AT. Asked me to (1) use the exhaust/return diagrams for the EV/VEV rows, (2) resolve the rows still unresolved, and (3) cross-check everything already written.</t>
  </si>
  <si>
    <t>Opened the airflow diagrams (previously excluded at the indexing stage - my error). Item 2 COMPLETE: resolved 6 rows that the plan-sheet schedules could not - VAV0001, VAV0002, VAV1003, VAV1004, VAV1008, VAV2005. Item 3 STARTED: spot-verified North and South rows against the diagrams; every row checked so far confirms. Item 1 NOT STARTED: the return/exhaust diagrams (p51-p55, p64-p65 South) have not been read yet.</t>
  </si>
  <si>
    <t>AT vs VAV QUESTION SETTLED. The diagrams tag each terminal AT-xxxx with a vertical label beside it giving the valve type (VAV-01, VAV-02, VAV-05, CAV-01, CAV-03). The p36/p46 EQUIPMENT legend reads: AT = Air Terminal Device (Supply), VAV = Variable Air Valve (Supply Venturi), CAV = Constant Air Valve (Supply Venturi); and the SCHEMATIC LEGEND gives AT, VAV and CAV a single shared symbol. So AT-xxxx is the device number and VAV-nn is the valve fitted to it - there is no separate parallel VAV numbering series. Registry VAVxxxx = drawing AT-xxxx is therefore correct. IMPORTANT CORRECTION to an earlier note of mine: supply-side (AT/VAV/CAV) and exhaust-side (VEV/CEV/FEV/EV) are SEPARATELY NUMBERED. AT-1002 on the supply diagram is NOT VEV-1002. Any EV/VEV/FEV/CEV room I previously inferred from a paired VAV row needs checking against the exhaust diagrams.</t>
  </si>
  <si>
    <t>VERIFIED AGAINST THE DIAGRAMS (all matched what was already written): South p48 - AT-0017 S-0119 COMP.LAB, AT-0012 S-0114, AT-0011 S-0113 CONF, AT-0009/0010 S-0111/S-0112 PHONE, AT-0007 S-0109 CONF, AT-0004 S-0104, AT-0005 S-0105, AT-0006 S-0107/S-0106, AT-0008 S-0110, AT-0020 S-0120/0120A/0120B, AT-0018/0019 S-0123 RESTAURANT. North p35 - VAV-4190/4191 + FEV-4193/4194 CSP LAB N-0240B, AT-4200/VEV-4201 TEST RM 1 N-0240C, AT-4290 OFFICE N-0261. North p36 - VAV-5250/VEV-5251 SUP RM N-0140H, VAV-5260/VEV-5261 PLD N-0140J, CAV-5240/CEV-5241 A/L N-0140G, VAV-5220/VEV-5221 EVAP N-0140E, CAV-5170 SERVICE CORR N-0136, AT-5140 N-0123, AT-5135 N-0122. These independently confirm the Level 0 lab-block corrections made from the plan schedules. STILL OPEN: VAV5054 (not yet located on p36); the full exhaust-side pass (item 1); and the remaining bulk cross-check of ~300 rows (item 3). Airflow-diagram sheet map: North p35 A2.1 L0, p36 A2.2 L0, p37 B2.1 L0, p38 B2.2 L0, p39-p43 Level 1; South supply p46 (A1.1/A1.2/A1.3 L0), p47 (A1.x L1), p48 (B1.1/B1.2 L0), p49-p50; South return p51-p55; South exhaust p64-p65; Utility p56/p58.</t>
  </si>
  <si>
    <t>Told me to go ahead using all the document's information without limiting myself to specified pages, and asked what about the FEV, VEV and EV rows.</t>
  </si>
  <si>
    <t>Ran a full cross-check of EVERY RDC row against the extracted schedules, not just the blank/yellow ones. EXHAUST SIDE (202 rows: 73 FEV, 62 EV, 51 VEV, 12 CEV, 1 CAV, 3 SB EV): 152 already correct, 39 CORRECTED, 9 flagged unverifiable. SUPPLY SIDE (AT/VAV/CAV, 1383 rows with data): 1171 already correct, 47 CORRECTED, 17 held back by guards, 155 with no schedule source.</t>
  </si>
  <si>
    <t>The air terminal schedules list EV, VEV, FEV, CEV and CAV refs in the same AT-REF column as the supply tags, so the exhaust rows could be verified from the schedules already extracted - no new drawing reading was needed for them. THREE GUARDS stopped false corrections: (1) multi-node sensors AT-7090-N1/N2, AT-7105-N1/N2 and AT-7120-N1..N9 serve several rooms each and the schedule lists only the parent tag once, so all 13 were left as-is; (2) VAV5930P and VAV5940P carry a P suffix meaning penthouse/Level 2 and are distinct devices from the Level 1 5930/5940, so they were left as-is; (3) VAV4312 and AT-4312 map to a schedule row (Breakout) that has no room number, so they were noted rather than changed. Diagram evidence used: p35 and p36 North airflow diagrams independently confirmed the Level 0 lab-block corrections (VAV-5250/VEV-5251 SUP RM N-0140H, VAV-5260/VEV-5261 PLD N-0140J, CAV-5240/CEV-5241 A/L N-0140G, VAV-5220/VEV-5221 EVAP N-0140E).</t>
  </si>
  <si>
    <t>EXHAUST PATTERN FOUND - same lazy-fill as the supply side: EV-4236/4261/4286 all read Corridor N-0246 but belong to N-0250/N-0255/N-0260; EV-6356/6381/6401 all read Corridor N-0365 but belong to N-0372/N-0378/N-0381; EV-7396/7426/7461/7486 all read Corridor N-0451 but belong to N-0446/N-0452/N-0457/N-0462; EV-4661/4686/4711/4736 all read Corridor N-1223 but belong to N-1227/N-1232/N-1237/N-1242; EV-5891/5921/5941 all read Corridor N-1150 but belong to N-1160/N-1168/N-1165. Also corrected the pre-existing AT-0003 row (was Corridor S-0117, which duplicated AT-0015; the p4 schedule gives Entrance Lobby S-0102). Supply/exhaust numbering is SEPARATE: AT-1002 feeds S-0139 Comp Lab while EV-1002 serves NOC S-0140A. RUNNING TOTAL of corrections across the whole RDC block: 53 (North supply) + 2 (South supply) + 39 (exhaust) + 47 (full supply sweep) = 141. STILL OPEN: 155 supply and 9 exhaust rows with no schedule source (mostly multi-node sensors, Level 2 units and South AT rows on parts whose schedules carry no room columns) - these need the return/exhaust airflow diagrams p51-p55 and p64-p65, plus North p37-p43, which have not been read yet. VAV5054 still not located.</t>
  </si>
  <si>
    <t>Asked me to close out the 22 rows I had held back - the 13 multi-node sensors and the 9 unverified exhaust rows.</t>
  </si>
  <si>
    <t>Read p38 (Air Flow Diagram B2.2 Level 0) and re-used p36/p48. Outcome on the 22: 6 VERIFIED as already correct, 3 corrected or normalised, 13 multi-node rows deliberately left as-is with an explanatory note, and 3 marked NOT CONFIRMED as provisional.</t>
  </si>
  <si>
    <t>MULTI-NODE FINDING: p38 shows AT-7090, AT-7105 and AT-7120 each as a SINGLE air terminal (serving N-0412, WKS N-0415 and WKS N-0418 respectively). The diagrams depict air terminals, not BMS sensor points, so they can neither confirm nor refute the -N1..-N9 sub-node rooms (N-0412A, N-0415A, N-0418A, N-0430A..N-0430F) that an earlier session read off the plan drawings. Both can be true at once: one terminal serving a zone, with several sensor nodes distributed through it. Each of the 13 rows now carries a note saying explicitly NOT to overwrite them with the parent terminal's room - this is the trap an automated sweep would fall into. OTHER VERIFICATIONS: p38 confirmed VAV-7070/7071 SURF ANALYSIS N-0404F with VEV-7072/7073 and FEV-7074 on the exhaust branch (so FEV-7075 is consistent); CAV-7220/CEV-7221/EV-7126 SERVICE CORR N-0441 and NORMAL ELEC N-0420; EV-7122 IDF N-0419, confirming an earlier correction. p48 confirmed the South exhaust series runs one behind the supply series (AT-1002 supply = S-0139, EV-1001 exhaust = S-0139), which validates EV-1001/1002/1003.</t>
  </si>
  <si>
    <t>CHANGED: FEV-7232 corrected to Inter Lab N-0442A (the p10 schedule puts the 7230 series in N-0442A and the 7240 series in Optical Lab N-0442B); FEV-5222 and FEV-5223 normalised to Evap Room N-0140E, confirmed on the p36 EVAP branch alongside VAV-5220/VEV-5221. STILL PROVISIONAL (3 rows, flagged in column E): VEV-6053, EV-4920 and EV-6981 - VEV-6053 is absent from the p9 B2.1 schedule, and the two Level 2 units cannot be resolved because the p32 Level 2 FCU schedule carries no room numbers at all. RDC block final state: 2 blank cells (rows 1629 and 1782, tags with no unit number), 142 total corrections applied across all passes.</t>
  </si>
  <si>
    <t>Approved the room corrections, then asked me to delete all of column C and redo the Included / Not Included assessment across ALL sections (not just RDC), since the inclusion status may not have been updated after the room names were corrected. Rules: HQ excludes executive, technical AND public rooms; SSC, QNL and RDC exclude executive and technical only.</t>
  </si>
  <si>
    <t>Cleared all 2,942 existing column C values across HQ, QNL, SSC and RDC, then reclassified every row from the room name in column D. Result: HQ 404 Included / 368 Not Included; QNL 368 / 81; SSC 101 / 22; RDC 1,226 / 533. 5 rows could not be classified and were left blank and highlighted yellow. Column D and all other columns were left untouched.</t>
  </si>
  <si>
    <t>Classification is keyword-based on the column D room name. EXECUTIVE: executive, exec, director, dir., manager, sheikh(a), VP, president, chairman, CEO, head of, majlis, VIP, board room. TECHNICAL: electrical, mechanical, plant, IDF, MDF, UPS, BMS, FPC, sprinkler, pump, AHU, riser, shaft, telecom, MCC, server, control room/centre, switchgear, generator, chiller, vent plant, battery, penthouse, transformer, GSM, fire command, gas suppression, misting, Q-tel, AV room, calorifier, MEP, duct, air lock, service equipment, pipe chase, security, panel, boiler. PUBLIC (HQ ONLY): lobby, corridor, toilet/WC, prayer, ablution, vestibule, foyer, atrium, stair, lift, cafe, restaurant, reception, waiting, visitor, exhibition, gallery, auditorium, entrance, walkway, bridge, mens/womens, spa, salon, fitness, treatment, relaxation, changing, nursery, lounge, terrace, dining. THREE JUDGEMENT CALLS were put to the user before applying and answered as follows: (1) LABORATORIES count as technical -&gt; Not Included (bio-med chem, NMR, nano, gene therapy, analytical core, tissue culture, clean room, high bay, desal, CSP, photovoltaic, etc.); (2) EXECUTIVE SUPPORT rooms (VP secretary, exec. assistant, director's staff, officers, members, workstations) are Included, because the occupant is staff rather than the executive; (3) CEILING VOIDS and plenums are classified by the room they serve, so Bridge Ceiling Void and Auditorium high-level void are Included.</t>
  </si>
  <si>
    <t>5 rows left BLANK and highlighted YELLOW because column D holds no usable room name: HQ r126 'NOT FOUND ON THE DRAWING OR SCHEDULE', HQ r718 (blank), QNL r931 (blank), QNL r1134 (blank), SSC r1309 '(NOT FOUND ON DRAWING LEVEL 3)'. NOTE the classification is only as good as the room name in column D - rows whose column D holds a page reference (the blue-flagged RDC rows) or a Key Plan zone name rather than a real room were classified on that text and should be re-checked once the real room name is known. Borderline calls worth a spot-check: 'Service Corridor', 'Service Dock' and 'Shop' in RDC were left Included as circulation/back-of-house rather than plant; 'Technical Open Plan S-0211' and 'Situation Room' were left Included as occupied workspaces.</t>
  </si>
  <si>
    <t>EQUIPMENT ASSET REGISTER</t>
  </si>
  <si>
    <t>Description</t>
  </si>
  <si>
    <t>Remarks</t>
  </si>
  <si>
    <t xml:space="preserve">Air Handling Unit </t>
  </si>
  <si>
    <t>EQUIPMENT COUNT SUMMARY</t>
  </si>
  <si>
    <t>CHW Pump</t>
  </si>
  <si>
    <t>Variable Air Volume</t>
  </si>
  <si>
    <t>DX Unit</t>
  </si>
  <si>
    <t>Heat Exchanger</t>
  </si>
  <si>
    <t>CCU</t>
  </si>
  <si>
    <t>EF</t>
  </si>
  <si>
    <t>GEF</t>
  </si>
  <si>
    <t>TEF</t>
  </si>
  <si>
    <t>CEF</t>
  </si>
  <si>
    <t>SF</t>
  </si>
  <si>
    <t>Generator</t>
  </si>
  <si>
    <t>TOTAL</t>
  </si>
  <si>
    <t>#</t>
  </si>
  <si>
    <t>Equipment type</t>
  </si>
  <si>
    <t>Tag(s) in IO list</t>
  </si>
  <si>
    <t>Assumption</t>
  </si>
  <si>
    <t>These two tags refer to the same physical unit</t>
  </si>
  <si>
    <t>DX_B0001</t>
  </si>
  <si>
    <t>DX Unit - Interior</t>
  </si>
  <si>
    <t>AHU12_10</t>
  </si>
  <si>
    <t>DX_B0002</t>
  </si>
  <si>
    <t>AHUB01_02</t>
  </si>
  <si>
    <t>DX_B0003</t>
  </si>
  <si>
    <t>DX_B0004</t>
  </si>
  <si>
    <t>AHUB03_04</t>
  </si>
  <si>
    <t>DX_B0005</t>
  </si>
  <si>
    <t>DX_B0006</t>
  </si>
  <si>
    <t>AHUB05_06</t>
  </si>
  <si>
    <t>DX_B0007</t>
  </si>
  <si>
    <t>DX_B0008</t>
  </si>
  <si>
    <t>AHUB07</t>
  </si>
  <si>
    <t>DX_B0009</t>
  </si>
  <si>
    <t>DX_B0010</t>
  </si>
  <si>
    <t>AHUB08</t>
  </si>
  <si>
    <t>DX_B0011</t>
  </si>
  <si>
    <t>DX_B0012</t>
  </si>
  <si>
    <t>AHUB10</t>
  </si>
  <si>
    <t>DX_B0013</t>
  </si>
  <si>
    <t>DX_B0014</t>
  </si>
  <si>
    <t>AHUB11</t>
  </si>
  <si>
    <t>DX_B0015</t>
  </si>
  <si>
    <t>DX_B0016</t>
  </si>
  <si>
    <t>DX_ODSB0101</t>
  </si>
  <si>
    <t>This DX unit was added later and not reflected in the HVAC Drawing</t>
  </si>
  <si>
    <t>DX_CP_0001</t>
  </si>
  <si>
    <t>DX_ODSB0102</t>
  </si>
  <si>
    <t>DX_G0001</t>
  </si>
  <si>
    <t>DX_ODSB0201</t>
  </si>
  <si>
    <t>DX_G0002</t>
  </si>
  <si>
    <t>DX_ODSB0202</t>
  </si>
  <si>
    <t>DX_G0003</t>
  </si>
  <si>
    <t>DX Unit - Exterior</t>
  </si>
  <si>
    <t>Fan Coil Unit</t>
  </si>
  <si>
    <t>FCU00133</t>
  </si>
  <si>
    <t>HEX01</t>
  </si>
  <si>
    <t>HEX</t>
  </si>
  <si>
    <t>HEX02</t>
  </si>
  <si>
    <t>HEX03</t>
  </si>
  <si>
    <t>HEX04</t>
  </si>
  <si>
    <t>HEX05</t>
  </si>
  <si>
    <t>CCU_B0001</t>
  </si>
  <si>
    <t>CCU_B0002</t>
  </si>
  <si>
    <t>CCU_B0003A</t>
  </si>
  <si>
    <t>CCU_B0003B</t>
  </si>
  <si>
    <t>CCU_B0004A</t>
  </si>
  <si>
    <t>CCU_B0004B</t>
  </si>
  <si>
    <t>CCU_B0005</t>
  </si>
  <si>
    <t>CCU_B0006</t>
  </si>
  <si>
    <t>CCU_B0007</t>
  </si>
  <si>
    <t>CCU_B0008</t>
  </si>
  <si>
    <t>CCU_B0009</t>
  </si>
  <si>
    <t>GEF_BF</t>
  </si>
  <si>
    <t>GEF12</t>
  </si>
  <si>
    <t>GEF12_0005</t>
  </si>
  <si>
    <t>GEF12_0006</t>
  </si>
  <si>
    <t>GEF12_0008</t>
  </si>
  <si>
    <t>GEF12_0009</t>
  </si>
  <si>
    <t>GEFB_0007</t>
  </si>
  <si>
    <t>GEFB_0010</t>
  </si>
  <si>
    <t>GEFB_0011</t>
  </si>
  <si>
    <t>GEFB_0012</t>
  </si>
  <si>
    <t>GEFB_0013</t>
  </si>
  <si>
    <t>GEFB_CP0001</t>
  </si>
  <si>
    <t>GEFB_CP0002</t>
  </si>
  <si>
    <t>EF_CommonFireAlm</t>
  </si>
  <si>
    <t>Exhaust Fan</t>
  </si>
  <si>
    <t>EF_CommonFireAlm_1</t>
  </si>
  <si>
    <t>EF_CommonFireAlm_2</t>
  </si>
  <si>
    <t>EF_CPZ1</t>
  </si>
  <si>
    <t>EF_CPZ2</t>
  </si>
  <si>
    <t>EF_CPZ3</t>
  </si>
  <si>
    <t>EF_CPZ4</t>
  </si>
  <si>
    <t>EF_CPZ5</t>
  </si>
  <si>
    <t>EF_CPZ6</t>
  </si>
  <si>
    <t>EF_CPZ7</t>
  </si>
  <si>
    <t>EF_CPZ8</t>
  </si>
  <si>
    <t>EF_CPZ9</t>
  </si>
  <si>
    <t>TEF12_0001</t>
  </si>
  <si>
    <t>TEF12_0002</t>
  </si>
  <si>
    <t>TEF12_0003</t>
  </si>
  <si>
    <t>TEF12_0004</t>
  </si>
  <si>
    <t>CEF_CPZ1_B01</t>
  </si>
  <si>
    <t>CEF_CPZ1_B02</t>
  </si>
  <si>
    <t>CEF_CPZ1_B03</t>
  </si>
  <si>
    <t>CEF_CPZ1_B04</t>
  </si>
  <si>
    <t>CEF_CPZ1_B05</t>
  </si>
  <si>
    <t>CEF_CPZ2_B06</t>
  </si>
  <si>
    <t>CEF_CPZ2_B07</t>
  </si>
  <si>
    <t>CEF_CPZ2_B08</t>
  </si>
  <si>
    <t>CEF_CPZ2_B09</t>
  </si>
  <si>
    <t>CEF_CPZ2_B10</t>
  </si>
  <si>
    <t>CEF_CPZ3_B13</t>
  </si>
  <si>
    <t>CEF_CPZ3_B14</t>
  </si>
  <si>
    <t>CEF_CPZ3_B15</t>
  </si>
  <si>
    <t>CEF_CPZ3_B19</t>
  </si>
  <si>
    <t>CEF_CPZ4_B20</t>
  </si>
  <si>
    <t>CEF_CPZ4_B22</t>
  </si>
  <si>
    <t>CEF_CPZ4_B23</t>
  </si>
  <si>
    <t>CEF_CPZ4_B24</t>
  </si>
  <si>
    <t>CEF_CPZ5_B21</t>
  </si>
  <si>
    <t>CEF_CPZ5_B25</t>
  </si>
  <si>
    <t>CEF_CPZ5_B26</t>
  </si>
  <si>
    <t>CEF_CPZ5_B27</t>
  </si>
  <si>
    <t>CEF_CPZ7_B16</t>
  </si>
  <si>
    <t>CEF_CPZ7_B17</t>
  </si>
  <si>
    <t>CEF_CPZ7_B18</t>
  </si>
  <si>
    <t>CEF_CPZ8_B11</t>
  </si>
  <si>
    <t>CEF_CPZ8_B12</t>
  </si>
  <si>
    <t>CEF_Zone1</t>
  </si>
  <si>
    <t>CEF_Zone2</t>
  </si>
  <si>
    <t>CEF_Zone3</t>
  </si>
  <si>
    <t>CEF_Zone4</t>
  </si>
  <si>
    <t>CEF_Zone5</t>
  </si>
  <si>
    <t>CEF_Zone6_9</t>
  </si>
  <si>
    <t>CPNL09_CEF_B06</t>
  </si>
  <si>
    <t>CPNL09_CEF_B07</t>
  </si>
  <si>
    <t>CPNL09_CEF_B08</t>
  </si>
  <si>
    <t>CPNL09_CEF_B09</t>
  </si>
  <si>
    <t>CPNL09_CEF_B10</t>
  </si>
  <si>
    <t>CPNL09_CEF_B11</t>
  </si>
  <si>
    <t>CPNL09_CEF_B12</t>
  </si>
  <si>
    <t>CPNL09_CEF_B13</t>
  </si>
  <si>
    <t>CPNL09_CEF_B14</t>
  </si>
  <si>
    <t>CPNL09_CEF_B15</t>
  </si>
  <si>
    <t>CPNL09_CEF_B16</t>
  </si>
  <si>
    <t>CPNL09_CEF_B17</t>
  </si>
  <si>
    <t>CPNL09_CEF_B18</t>
  </si>
  <si>
    <t>CPNL09_CEF_B19</t>
  </si>
  <si>
    <t>CSRR10_CEF_B01_INV</t>
  </si>
  <si>
    <t>CSRR10_CEF_B02_INV</t>
  </si>
  <si>
    <t>CSRR10_CEF_B03_INV</t>
  </si>
  <si>
    <t>CSRR10_CEF_B04_INV</t>
  </si>
  <si>
    <t>CSRR10_CEF_B05_INV</t>
  </si>
  <si>
    <t>CSRR9_CEF_B20_INV</t>
  </si>
  <si>
    <t>CSRR9_CEF_B21_INV</t>
  </si>
  <si>
    <t>CSRR9_CEF_B22_INV</t>
  </si>
  <si>
    <t>CSRR9_CEF_B23_INV</t>
  </si>
  <si>
    <t>CSRR9_CEF_B24_INV</t>
  </si>
  <si>
    <t>CSRR9_CEF_B25_INV</t>
  </si>
  <si>
    <t>CSRR9_CEF_B26_INV</t>
  </si>
  <si>
    <t>CSRR9_CEF_B27_INV</t>
  </si>
  <si>
    <t>CHW_CHWP01</t>
  </si>
  <si>
    <t>Chilled Water Pump</t>
  </si>
  <si>
    <t>CHW_CHWP02</t>
  </si>
  <si>
    <t>CHW_CHWP03</t>
  </si>
  <si>
    <t>CHW_CHWP04</t>
  </si>
  <si>
    <t>SF05_0001A</t>
  </si>
  <si>
    <t>Fan</t>
  </si>
  <si>
    <t>SF05_0001B</t>
  </si>
  <si>
    <t>SF05_0002A</t>
  </si>
  <si>
    <t>SF05_0002B</t>
  </si>
  <si>
    <t>SF12_0001A</t>
  </si>
  <si>
    <t>SF12_0001B</t>
  </si>
  <si>
    <t>SF12_0002A</t>
  </si>
  <si>
    <t>SF12_0002B</t>
  </si>
  <si>
    <t>SF12_0003A</t>
  </si>
  <si>
    <t>SF12_0003B</t>
  </si>
  <si>
    <t>SF12_0004A</t>
  </si>
  <si>
    <t>SF12_0004B</t>
  </si>
  <si>
    <t>SF12_0005A</t>
  </si>
  <si>
    <t>SF12_0005B</t>
  </si>
  <si>
    <t>SF12_0006A</t>
  </si>
  <si>
    <t>SF12_0006B</t>
  </si>
  <si>
    <t>ELEC_Gen2</t>
  </si>
  <si>
    <t>ELEC_Gen3</t>
  </si>
  <si>
    <t>Constant Air Volume</t>
  </si>
  <si>
    <t>SEF</t>
  </si>
  <si>
    <t>DX_B01</t>
  </si>
  <si>
    <t>KEF</t>
  </si>
  <si>
    <t>DX_B02</t>
  </si>
  <si>
    <t>DX_B03</t>
  </si>
  <si>
    <t>DX_B04</t>
  </si>
  <si>
    <t>DX_B05</t>
  </si>
  <si>
    <t>DX_B06</t>
  </si>
  <si>
    <t>DX_B07</t>
  </si>
  <si>
    <t>DX_B08</t>
  </si>
  <si>
    <t>EF_RP001</t>
  </si>
  <si>
    <t>This is the same asset as : EF_RP01</t>
  </si>
  <si>
    <t>DX_B09</t>
  </si>
  <si>
    <t>EF_RP002</t>
  </si>
  <si>
    <t>This is the same asset as : EF_RP02</t>
  </si>
  <si>
    <t>DX_B10</t>
  </si>
  <si>
    <t>EF_RP003</t>
  </si>
  <si>
    <t>This is the same asset as : EF_RP03</t>
  </si>
  <si>
    <t>DX_B11</t>
  </si>
  <si>
    <t>EF_B009</t>
  </si>
  <si>
    <t>This is the same asset as : EF_B09</t>
  </si>
  <si>
    <t>DX_B12</t>
  </si>
  <si>
    <t>EF_B011</t>
  </si>
  <si>
    <t>This is the same asset as : EF_B11</t>
  </si>
  <si>
    <t>DX_B13</t>
  </si>
  <si>
    <t>This is the same asset as : DX_B10</t>
  </si>
  <si>
    <t>DX_B14</t>
  </si>
  <si>
    <t>This is the same asset as : DX_B11</t>
  </si>
  <si>
    <t>DX_B15</t>
  </si>
  <si>
    <t>This is the same asset as : DX_B12</t>
  </si>
  <si>
    <t>DX_B16</t>
  </si>
  <si>
    <t>DX_B0020</t>
  </si>
  <si>
    <t>This is the same asset as : DX_B20</t>
  </si>
  <si>
    <t>DX_B17</t>
  </si>
  <si>
    <t>DX_B022</t>
  </si>
  <si>
    <t>This is the same asset as : DX_B21</t>
  </si>
  <si>
    <t>DX_B18</t>
  </si>
  <si>
    <t>DX_B023</t>
  </si>
  <si>
    <t>This is the same asset as : DX_B22</t>
  </si>
  <si>
    <t>DX_B19</t>
  </si>
  <si>
    <t>DX_B22</t>
  </si>
  <si>
    <t>DX_B20</t>
  </si>
  <si>
    <t>DX_B23</t>
  </si>
  <si>
    <t>DX_B21</t>
  </si>
  <si>
    <t>DX_B24</t>
  </si>
  <si>
    <t>This asset is available in the Local and SWS SCADA but not in the HVAC Drawings</t>
  </si>
  <si>
    <t>This Heat Exchanger was added later and not reflecteed in the HVAC Drawing</t>
  </si>
  <si>
    <t>CCU_AVServer_Rm</t>
  </si>
  <si>
    <t xml:space="preserve">This CCU is available in the Local SCADA but not configures in the SWS </t>
  </si>
  <si>
    <t>CAV_1F_S15_001</t>
  </si>
  <si>
    <t>EF_201</t>
  </si>
  <si>
    <t>EF_B05</t>
  </si>
  <si>
    <t>EF_B06</t>
  </si>
  <si>
    <t>EF_B07</t>
  </si>
  <si>
    <t>EF_B08</t>
  </si>
  <si>
    <t>EF_B09</t>
  </si>
  <si>
    <t>EF_B10</t>
  </si>
  <si>
    <t>EF_B11</t>
  </si>
  <si>
    <t>EF_B12</t>
  </si>
  <si>
    <t>EF_B13</t>
  </si>
  <si>
    <t>EF_B14</t>
  </si>
  <si>
    <t>EF_B15</t>
  </si>
  <si>
    <t>EF_B16</t>
  </si>
  <si>
    <t>EF_BBV01</t>
  </si>
  <si>
    <t>EF_BBV02</t>
  </si>
  <si>
    <t>EF_RP01</t>
  </si>
  <si>
    <t>EF_RP02</t>
  </si>
  <si>
    <t>EF_RP03</t>
  </si>
  <si>
    <t>KEF_101</t>
  </si>
  <si>
    <t>KEF_B019</t>
  </si>
  <si>
    <t>KEF_B020</t>
  </si>
  <si>
    <t>KEF_B04</t>
  </si>
  <si>
    <t>SEF_RP04</t>
  </si>
  <si>
    <t>SEF_RP05</t>
  </si>
  <si>
    <t>SEF_RP06</t>
  </si>
  <si>
    <t>SEF_RP07</t>
  </si>
  <si>
    <t>SEF_RP08</t>
  </si>
  <si>
    <t>SEF_RP09</t>
  </si>
  <si>
    <t>SEF_RP10</t>
  </si>
  <si>
    <t>SEF_RP11</t>
  </si>
  <si>
    <t>SEF_RP12</t>
  </si>
  <si>
    <t>SEF_ZoneA</t>
  </si>
  <si>
    <t>SEF_ZoneB</t>
  </si>
  <si>
    <t>SEF_ZoneC</t>
  </si>
  <si>
    <t>TEF_101C</t>
  </si>
  <si>
    <t>TEF_102C</t>
  </si>
  <si>
    <t>TEF_B01A</t>
  </si>
  <si>
    <t>TEF_B01B</t>
  </si>
  <si>
    <t>TEF_B02A</t>
  </si>
  <si>
    <t>TEF_B02B</t>
  </si>
  <si>
    <t>TEF_B03A</t>
  </si>
  <si>
    <t>TEF_B03B</t>
  </si>
  <si>
    <t>CCU_B01</t>
  </si>
  <si>
    <t>CCU_B02</t>
  </si>
  <si>
    <t>CCU_B03</t>
  </si>
  <si>
    <t>CCU_B04</t>
  </si>
  <si>
    <t>CCU_B05</t>
  </si>
  <si>
    <t>CCU_B06</t>
  </si>
  <si>
    <t>CCU_B07</t>
  </si>
  <si>
    <t>CCU_B08</t>
  </si>
  <si>
    <t>CCU_B09</t>
  </si>
  <si>
    <t>CCU_B10</t>
  </si>
  <si>
    <t>CCU_B11</t>
  </si>
  <si>
    <t>CCU_8081</t>
  </si>
  <si>
    <t>CCU_8082</t>
  </si>
  <si>
    <t>CCU_8083</t>
  </si>
  <si>
    <t>CCU_8084</t>
  </si>
  <si>
    <t>CCU_8085</t>
  </si>
  <si>
    <t>CCU_8086</t>
  </si>
  <si>
    <t>CCU_MDFRm</t>
  </si>
  <si>
    <t>CCU_Qtel</t>
  </si>
  <si>
    <t>CCU_Server_Rm</t>
  </si>
  <si>
    <t>This Asset is available in Local SCADA but not in SWS (Historian)</t>
  </si>
  <si>
    <t>CCU_HeritageVault</t>
  </si>
  <si>
    <t>CHW_P01</t>
  </si>
  <si>
    <t>Primary CHW Pumps</t>
  </si>
  <si>
    <t>CHW_P02</t>
  </si>
  <si>
    <t>CHW_P03</t>
  </si>
  <si>
    <t>CHW_P04</t>
  </si>
  <si>
    <t>CHWPU_P01</t>
  </si>
  <si>
    <t xml:space="preserve">Chilled Water Pressurization Unit Pump </t>
  </si>
  <si>
    <t>CHWPU_P02</t>
  </si>
  <si>
    <t>ELEC_Gen</t>
  </si>
  <si>
    <t>DX/B/11</t>
  </si>
  <si>
    <t>This DX unit is not available in I/O (Local and SWS) but available in the drawings</t>
  </si>
  <si>
    <t>DX/B/12</t>
  </si>
  <si>
    <t>DX/B/13</t>
  </si>
  <si>
    <t>DX/B/14</t>
  </si>
  <si>
    <t>DX/B/15</t>
  </si>
  <si>
    <t>DX/B/16</t>
  </si>
  <si>
    <t>DX/1/01</t>
  </si>
  <si>
    <t>DX/1/02</t>
  </si>
  <si>
    <t>DX/1/03</t>
  </si>
  <si>
    <t>CCU3F0301</t>
  </si>
  <si>
    <t>CCU3F0302</t>
  </si>
  <si>
    <t>CCUB0001A</t>
  </si>
  <si>
    <t>CCUB0001B</t>
  </si>
  <si>
    <t>CCUB0002A</t>
  </si>
  <si>
    <t>CCUB0002B</t>
  </si>
  <si>
    <t>CCUB0003</t>
  </si>
  <si>
    <t>CCUB0004</t>
  </si>
  <si>
    <t>CCUB0005A</t>
  </si>
  <si>
    <t>CCUB0005B</t>
  </si>
  <si>
    <t>CCUB0006A</t>
  </si>
  <si>
    <t>CCUB0006B</t>
  </si>
  <si>
    <t>CCUB0007</t>
  </si>
  <si>
    <t>CCUB0008</t>
  </si>
  <si>
    <t>TEF0101</t>
  </si>
  <si>
    <t>TEF0102</t>
  </si>
  <si>
    <t>TEF0301</t>
  </si>
  <si>
    <t>TEF0302</t>
  </si>
  <si>
    <t>CHW_HE01</t>
  </si>
  <si>
    <t>CHW_HE02</t>
  </si>
  <si>
    <t>CHW_HE03</t>
  </si>
  <si>
    <t>CHW_HE04</t>
  </si>
  <si>
    <t>CHW_HE05</t>
  </si>
  <si>
    <t>DXB0001</t>
  </si>
  <si>
    <t>DX Unit - Ducted Split</t>
  </si>
  <si>
    <t>DXB0002</t>
  </si>
  <si>
    <t>DXB0003</t>
  </si>
  <si>
    <t>DXB0004</t>
  </si>
  <si>
    <t>DXB0005</t>
  </si>
  <si>
    <t>DXB0006</t>
  </si>
  <si>
    <t>DX Unit - Floor Standing Units</t>
  </si>
  <si>
    <t>DXB0007</t>
  </si>
  <si>
    <t>DXB0008</t>
  </si>
  <si>
    <t>DXB0009</t>
  </si>
  <si>
    <t>DXB0010</t>
  </si>
  <si>
    <t>MV_Generator</t>
  </si>
  <si>
    <t>KEF0103</t>
  </si>
  <si>
    <t>KEF0303</t>
  </si>
  <si>
    <t>CHWP_B01</t>
  </si>
  <si>
    <t>CHWP_B02</t>
  </si>
  <si>
    <t>CHWP_B03</t>
  </si>
  <si>
    <t>CHWP_B04</t>
  </si>
  <si>
    <t>CHWP01</t>
  </si>
  <si>
    <t>CHWP02</t>
  </si>
  <si>
    <t>CHWP03</t>
  </si>
  <si>
    <t>CHWP04</t>
  </si>
  <si>
    <t>GEFB0001</t>
  </si>
  <si>
    <t>General Extract Fan</t>
  </si>
  <si>
    <t>REF0001</t>
  </si>
  <si>
    <t>Extract Fan</t>
  </si>
  <si>
    <t>NB_AHU8511</t>
  </si>
  <si>
    <t>NB_AHU8512</t>
  </si>
  <si>
    <t>NB_AHU8513</t>
  </si>
  <si>
    <t>NB_AHU8514</t>
  </si>
  <si>
    <t>NB_AHU8515</t>
  </si>
  <si>
    <t>NB_AHU8516</t>
  </si>
  <si>
    <t>ERU</t>
  </si>
  <si>
    <t>NB_AHU8517</t>
  </si>
  <si>
    <t>NB_AHU8518</t>
  </si>
  <si>
    <t>NB_AHU8519</t>
  </si>
  <si>
    <t>NB_AHU8520</t>
  </si>
  <si>
    <t>NB_AHU8521</t>
  </si>
  <si>
    <t>RDC_NB_ERU8531</t>
  </si>
  <si>
    <t>RDC_NB_ERU8532</t>
  </si>
  <si>
    <t>EAV</t>
  </si>
  <si>
    <t>RDC_NB_ERU8533</t>
  </si>
  <si>
    <t>RDC_NB_ERU8534</t>
  </si>
  <si>
    <t>RDC_NB_ERU8535</t>
  </si>
  <si>
    <t>RDC_NB_ERU8536</t>
  </si>
  <si>
    <t>RDC_NB_ERU8537</t>
  </si>
  <si>
    <t>RDC_NB_ERU8538</t>
  </si>
  <si>
    <t>RDC_NB_ERU8539</t>
  </si>
  <si>
    <t>RDC_NB_ERU8540</t>
  </si>
  <si>
    <t>RDC_NB_ERU8541</t>
  </si>
  <si>
    <t>RDC_SB_AHU8011</t>
  </si>
  <si>
    <t>RDC_SB_AHU8012</t>
  </si>
  <si>
    <t>RDC_SB_AHU8021</t>
  </si>
  <si>
    <t>RDC_SB_AHU8022</t>
  </si>
  <si>
    <t>RDC_SB_AHU8023</t>
  </si>
  <si>
    <t>RDC_SB_AHU8024</t>
  </si>
  <si>
    <t>RDC_UB_AHU8603_DXUnit</t>
  </si>
  <si>
    <t>This is the DX coil/compressor of AHU8603</t>
  </si>
  <si>
    <t>RDC_SB_AHU8025</t>
  </si>
  <si>
    <t>RDC_UB_AHU8604_DXUnit</t>
  </si>
  <si>
    <t>This is the DX coil/compressor of AHU8604</t>
  </si>
  <si>
    <t>RDC_SB_AHU8026</t>
  </si>
  <si>
    <t>RDC_UB_AHU8605_DXUnit</t>
  </si>
  <si>
    <t>This is the DX coil/compressor of AHU8605</t>
  </si>
  <si>
    <t>RDC_SB_AHU8031</t>
  </si>
  <si>
    <t>RDC_UB_AHU8606_DXUnit</t>
  </si>
  <si>
    <t>This is the DX coil/compressor of AHU8606</t>
  </si>
  <si>
    <t>RDC_SB_AHU8032</t>
  </si>
  <si>
    <t>RDC_UB_AHU8607_DXUnit</t>
  </si>
  <si>
    <t>This is the DX coil/compressor of AHU8607</t>
  </si>
  <si>
    <t>RDC_SB_AHU8033</t>
  </si>
  <si>
    <t>RDC_UB_AHU8608_DXUnit</t>
  </si>
  <si>
    <t>This is the DX coil/compressor of AHU8608</t>
  </si>
  <si>
    <t>RDC_SB_AHU8034</t>
  </si>
  <si>
    <t>RDC_UB_AHU8609_DXUnit</t>
  </si>
  <si>
    <t>This is the DX coil/compressor of AHU8609</t>
  </si>
  <si>
    <t>RDC_SB_AHU8035</t>
  </si>
  <si>
    <t>RDC_SB_BUS_EFA1</t>
  </si>
  <si>
    <t>Extract fans serving the bus station</t>
  </si>
  <si>
    <t>RDC_SB_AHU8036</t>
  </si>
  <si>
    <t>RDC_SB_BUS_EFA2</t>
  </si>
  <si>
    <t>RDC_SB_AHU8037</t>
  </si>
  <si>
    <t>RDC_SB_BUS_EFA3</t>
  </si>
  <si>
    <t>RDC_SB_AHU8041</t>
  </si>
  <si>
    <t>RDC_SB_BUS_EFA4</t>
  </si>
  <si>
    <t>RDC_SB_AHU8042</t>
  </si>
  <si>
    <t>RDC_SB_BUS_EFA5</t>
  </si>
  <si>
    <t>RDC_SB_BUS_EFA6</t>
  </si>
  <si>
    <t>RDC_SB_BUS_EFA7</t>
  </si>
  <si>
    <t>RDC_SB_BUS_EFA8</t>
  </si>
  <si>
    <t>RDC_SB_BUS_EFB1</t>
  </si>
  <si>
    <t>RDC_SB_BUS_EFB2</t>
  </si>
  <si>
    <t>RDC_SB_BUS_EFB3</t>
  </si>
  <si>
    <t>RDC_SB_BUS_EFB4</t>
  </si>
  <si>
    <t>RDC_SB_BUS_EFB5</t>
  </si>
  <si>
    <t>RDC_SB_BUS_EFB6</t>
  </si>
  <si>
    <t>RDC_NB_EF8511</t>
  </si>
  <si>
    <t>RDC_SB_BUS_EFB7</t>
  </si>
  <si>
    <t>RDC_NB_EF8512</t>
  </si>
  <si>
    <t>RDC_SB_BUS_EFB8</t>
  </si>
  <si>
    <t>RDC_NB_EF8513</t>
  </si>
  <si>
    <t>RDC_SB_BUS_EFC1</t>
  </si>
  <si>
    <t>RDC_NB_EF8514</t>
  </si>
  <si>
    <t>RDC_SB_BUS_EFC2</t>
  </si>
  <si>
    <t>RDC_NB_EF8551</t>
  </si>
  <si>
    <t>RDC_SB_BUS_EFD1</t>
  </si>
  <si>
    <t>RDC_NB_EF8552</t>
  </si>
  <si>
    <t>RDC_SB_BUS_EFD2</t>
  </si>
  <si>
    <t>RDC_NB_EF8553</t>
  </si>
  <si>
    <t>RDC_NB_EF8554</t>
  </si>
  <si>
    <t>RDC_SB_EF8041</t>
  </si>
  <si>
    <t>RDC_SB_EF8042</t>
  </si>
  <si>
    <t>RDC_SB_EF8043</t>
  </si>
  <si>
    <t>RDC_SB_EF8044</t>
  </si>
  <si>
    <t>RDC_UB_EF8641</t>
  </si>
  <si>
    <t>RDC_UB_EF8642</t>
  </si>
  <si>
    <t>RDC_UB_EF8643</t>
  </si>
  <si>
    <t>RDC_UB_EF8644</t>
  </si>
  <si>
    <t>RDC_UB_EF8645</t>
  </si>
  <si>
    <t>RDC_UB_EF8646</t>
  </si>
  <si>
    <t>RDC_SB_1F_VAV</t>
  </si>
  <si>
    <t>RDC_SB_GF_VAV</t>
  </si>
  <si>
    <t>RDC_NB_1F_VAV7830_7831</t>
  </si>
  <si>
    <t>RDC_NB_1F_CAV4501</t>
  </si>
  <si>
    <t>RDC_NB_1F_CAV4581A</t>
  </si>
  <si>
    <t>RDC_NB_1F_CAV4581B</t>
  </si>
  <si>
    <t>RDC_NB_1F_CAV4582</t>
  </si>
  <si>
    <t>RDC_NB_1F_CAV4640_EV4641</t>
  </si>
  <si>
    <t>RDC_NB_1F_CAV5530</t>
  </si>
  <si>
    <t>RDC_NB_1F_CAV5640_EV5641</t>
  </si>
  <si>
    <t>RDC_NB_1F_CAV5720_EV5721</t>
  </si>
  <si>
    <t>RDC_NB_1F_CAV5750</t>
  </si>
  <si>
    <t>RDC_NB_1F_CAV5755</t>
  </si>
  <si>
    <t>RDC_NB_1F_CAV5818</t>
  </si>
  <si>
    <t>RDC_NB_1F_CAV6500</t>
  </si>
  <si>
    <t>RDC_NB_1F_CAV6515_EV6516</t>
  </si>
  <si>
    <t>RDC_NB_1F_CAV6520</t>
  </si>
  <si>
    <t>RDC_NB_1F_CAV6580</t>
  </si>
  <si>
    <t>RDC_NB_1F_CAV6730</t>
  </si>
  <si>
    <t>RDC_NB_1F_CAV6740_EV6741</t>
  </si>
  <si>
    <t>RDC_NB_1F_CAV6790_CEV6791</t>
  </si>
  <si>
    <t>RDC_NB_1F_CAV7500_EV7501</t>
  </si>
  <si>
    <t>RDC_NB_1F_CAV7520_CEV7521</t>
  </si>
  <si>
    <t>RDC_NB_1F_CAV7590_CEV7591</t>
  </si>
  <si>
    <t>RDC_NB_1F_CAV7610_CEV7611</t>
  </si>
  <si>
    <t>RDC_NB_1F_CAV7720</t>
  </si>
  <si>
    <t>RDC_NB_1F_CAV7760_CEV7761</t>
  </si>
  <si>
    <t>RDC_NB_1F_CAV7790_CEV7791</t>
  </si>
  <si>
    <t>RDC_NB_GF_CAV4030</t>
  </si>
  <si>
    <t>RDC_NB_GF_CAV4035</t>
  </si>
  <si>
    <t>RDC_NB_GF_CAV4170</t>
  </si>
  <si>
    <t>RDC_NB_GF_CAV4315_EV4316</t>
  </si>
  <si>
    <t>RDC_NB_GF_CAV5005</t>
  </si>
  <si>
    <t>RDC_NB_GF_CAV5020_EV5021</t>
  </si>
  <si>
    <t>RDC_NB_GF_CAV5160_EV5161</t>
  </si>
  <si>
    <t>RDC_NB_GF_CAV5170</t>
  </si>
  <si>
    <t>RDC_NB_GF_CAV5240_CEV5241</t>
  </si>
  <si>
    <t>RDC_NB_GF_CAV5280</t>
  </si>
  <si>
    <t>RDC_NB_GF_CAV5290_EV5291</t>
  </si>
  <si>
    <t>RDC_NB_GF_CAV5320</t>
  </si>
  <si>
    <t>RDC_NB_GF_CAV5350</t>
  </si>
  <si>
    <t>RDC_NB_GF_CAV5375</t>
  </si>
  <si>
    <t>RDC_NB_GF_CAV6005</t>
  </si>
  <si>
    <t>RDC_NB_GF_CAV6015_EV6016</t>
  </si>
  <si>
    <t>RDC_NB_GF_CAV6020</t>
  </si>
  <si>
    <t>RDC_NB_GF_CAV6280_EV6281</t>
  </si>
  <si>
    <t>RDC_NB_GF_CAV7005_EV7006</t>
  </si>
  <si>
    <t>RDC_NB_GF_CAV7380_EV7381</t>
  </si>
  <si>
    <t>RDC_SB_1F_CAV0501</t>
  </si>
  <si>
    <t>RDC_SB_1F_CAV0502</t>
  </si>
  <si>
    <t>RDC_SB_1F_CAV0503</t>
  </si>
  <si>
    <t>RDC_SB_1F_CAV0504</t>
  </si>
  <si>
    <t>RDC_SB_1F_CAV0505</t>
  </si>
  <si>
    <t>RDC_SB_1F_CAV0515</t>
  </si>
  <si>
    <t>RDC_SB_1F_CAV0516</t>
  </si>
  <si>
    <t>RDC_SB_1F_CAV0517</t>
  </si>
  <si>
    <t>RDC_SB_1F_CAV0524</t>
  </si>
  <si>
    <t>RDC_SB_1F_CAV0525</t>
  </si>
  <si>
    <t>RDC_SB_1F_CAV0534</t>
  </si>
  <si>
    <t>RDC_SB_1F_CAV0535</t>
  </si>
  <si>
    <t>RDC_SB_1F_CAV1504</t>
  </si>
  <si>
    <t>RDC_SB_1F_CAV1535</t>
  </si>
  <si>
    <t>RDC_SB_1F_CAV1537</t>
  </si>
  <si>
    <t>RDC_SB_1F_CAV1541</t>
  </si>
  <si>
    <t>RDC_SB_1F_CAV2507</t>
  </si>
  <si>
    <t>RDC_SB_GF_CAV0004</t>
  </si>
  <si>
    <t>RDC_SB_GF_CAV0005</t>
  </si>
  <si>
    <t>RDC_SB_GF_CAV0006</t>
  </si>
  <si>
    <t>RDC_SB_GF_CAV0015</t>
  </si>
  <si>
    <t>RDC_SB_GF_CAV0020</t>
  </si>
  <si>
    <t>RDC_SB_GF_CAV0021</t>
  </si>
  <si>
    <t>RDC_SB_GF_CAV0022</t>
  </si>
  <si>
    <t>RDC_SB_GF_CAV0023</t>
  </si>
  <si>
    <t>RDC_SB_GF_CAV0024</t>
  </si>
  <si>
    <t>RDC_SB_GF_CAV1001</t>
  </si>
  <si>
    <t>RDC_SB_GF_CAV1002</t>
  </si>
  <si>
    <t>RDC_SB_GF_CAV1005</t>
  </si>
  <si>
    <t>RDC_SB_GF_CAV1006</t>
  </si>
  <si>
    <t>RDC_SB_GF_CAV1007</t>
  </si>
  <si>
    <t>RDC_SB_GF_CAV1009</t>
  </si>
  <si>
    <t>RDC_SB_GF_CAV2001</t>
  </si>
  <si>
    <t>RDC_NB_CHW_HEX01</t>
  </si>
  <si>
    <t>RDC_NB_CHW_HEX02</t>
  </si>
  <si>
    <t>RDC_SB_CHW_Hex01</t>
  </si>
  <si>
    <t>RDC_SB_CHW_Hex02</t>
  </si>
  <si>
    <t>RDC_UB_CHW_HEX01</t>
  </si>
  <si>
    <t>RDC_UB_CHW_HEX02</t>
  </si>
  <si>
    <t>RDC_UB_CHW_HEX03</t>
  </si>
  <si>
    <t>RDC_NB_CHW_P01</t>
  </si>
  <si>
    <t>RDC_NB_CHW_P02</t>
  </si>
  <si>
    <t>RDC_NB_CHW_P03</t>
  </si>
  <si>
    <t>RDC_SB_CH_Pmp01</t>
  </si>
  <si>
    <t>RDC_SB_CH_Pmp02</t>
  </si>
  <si>
    <t>RDC_SB_CHW_Pmp01</t>
  </si>
  <si>
    <t>RDC_UB_CHW_Pmp01</t>
  </si>
  <si>
    <t>RDC_UB_CHW_Pmp02</t>
  </si>
  <si>
    <t>RDC_UB_CHW_Pmp03</t>
  </si>
  <si>
    <t>UB_GEN1</t>
  </si>
  <si>
    <t>UB_GEN2</t>
  </si>
  <si>
    <t>UB_GEN3</t>
  </si>
  <si>
    <t>RDC_NB_1F_VEV5791</t>
  </si>
  <si>
    <t>RDC_NB_GF_VEV4041</t>
  </si>
  <si>
    <t>RDC_NB_1F_VEV5811A</t>
  </si>
  <si>
    <t>RDC_NB_GF_VEV4213A</t>
  </si>
  <si>
    <t>RDC_NB_1F_VEV5821</t>
  </si>
  <si>
    <t>RDC_NB_GF_VEV5052A</t>
  </si>
  <si>
    <t>RDC_NB_1F_VEV6553</t>
  </si>
  <si>
    <t>RDC_NB_GF_VEV7073</t>
  </si>
  <si>
    <t>RDC_NB_GF_VEV5071</t>
  </si>
  <si>
    <t>RDC_NB_GF_VEV7023A</t>
  </si>
  <si>
    <t>RDC_NB_GF_VEV5092</t>
  </si>
  <si>
    <t>RDC_NB_1F_VEV6751</t>
  </si>
  <si>
    <t>RDC_NB_GF_VEV7301</t>
  </si>
  <si>
    <t>RDC_NB_1F_VEV6763</t>
  </si>
  <si>
    <t>RDC_NB_1F_VEV4586A</t>
  </si>
  <si>
    <t>RDC_NB_GF_VEV5231</t>
  </si>
  <si>
    <t>RDC_NB_1F_VEV4602</t>
  </si>
  <si>
    <t>RDC_NB_GF_VEV5182A</t>
  </si>
  <si>
    <t>RDC_NB_1F_VEV5572</t>
  </si>
  <si>
    <t>RDC_NB_1F_VEV5591</t>
  </si>
  <si>
    <t>RDC_NB_1F_VEV4585A</t>
  </si>
  <si>
    <t>RDC_NB_1F_VEV4585B</t>
  </si>
  <si>
    <t>RDC_NB_1F_VEV4586B</t>
  </si>
  <si>
    <t>RDC_NB_1F_VEV5573A</t>
  </si>
  <si>
    <t>RDC_NB_1F_VEV5573B</t>
  </si>
  <si>
    <t>RDC_NB_1F_VEV5811B</t>
  </si>
  <si>
    <t>RDC_NB_1F_VEV5795B</t>
  </si>
  <si>
    <t>RDC_NB_1F_VEV6552</t>
  </si>
  <si>
    <t>RDC_NB_1F_VEV6541</t>
  </si>
  <si>
    <t>RDC_NB_1F_VEV6762</t>
  </si>
  <si>
    <t>RDC_NB_GF_VEV4213B</t>
  </si>
  <si>
    <t>RDC_NB_GF_VEV5055</t>
  </si>
  <si>
    <t>RDC_NB_GF_VEV5052B</t>
  </si>
  <si>
    <t>RDC_NB_GF_VEV5182B</t>
  </si>
  <si>
    <t>RDC_NB_GF_VEV5221</t>
  </si>
  <si>
    <t>RDC_NB_GF_VEV5211</t>
  </si>
  <si>
    <t>RDC_NB_GF_VEV7022B</t>
  </si>
  <si>
    <t>RDC_NB_GF_VEV7022A</t>
  </si>
  <si>
    <t>RDC_NB_GF_VEV7024B</t>
  </si>
  <si>
    <t>RDC_NB_GF_VEV7024A</t>
  </si>
  <si>
    <t>RDC_NB_GF_VEV7023B</t>
  </si>
  <si>
    <t>RDC_NB_GF_VEV7072B</t>
  </si>
  <si>
    <t>RDC_NB_GF_VEV7072A</t>
  </si>
  <si>
    <t>RDC_NB_GF_VEV7241B</t>
  </si>
  <si>
    <t>RDC_NB_GF_EAV4261</t>
  </si>
  <si>
    <t>RDC_NB_1F_EAV4500</t>
  </si>
  <si>
    <t>RDC_NB_1F_EAV6661</t>
  </si>
  <si>
    <t>RDC_NB_GF_EAV4286</t>
  </si>
  <si>
    <t>RDC_NB_1F_EAV4661</t>
  </si>
  <si>
    <t>RDC_NB_GF_EAV4311</t>
  </si>
  <si>
    <t>RDC_NB_1F_EAV6676</t>
  </si>
  <si>
    <t>RDC_NB_1F_EAV4686</t>
  </si>
  <si>
    <t>RDC_NB_1F_EAV6691</t>
  </si>
  <si>
    <t>RDC_NB_GF_EAV5026</t>
  </si>
  <si>
    <t>RDC_NB_1F_EAV4711</t>
  </si>
  <si>
    <t>RDC_NB_GF_EAV5163</t>
  </si>
  <si>
    <t>RDC_NB_1F_EAV6936</t>
  </si>
  <si>
    <t>RDC_NB_1F_EAV4736</t>
  </si>
  <si>
    <t>RDC_NB_GF_EAV6127</t>
  </si>
  <si>
    <t>RDC_NB_1F_EAV6961</t>
  </si>
  <si>
    <t>RDC_NB_1F_EAV5502</t>
  </si>
  <si>
    <t>RDC_NB_GF_EAV6141</t>
  </si>
  <si>
    <t>RDC_NB_1F_EAV6969</t>
  </si>
  <si>
    <t>RDC_NB_1F_EAV5503</t>
  </si>
  <si>
    <t>RDC_NB_GF_EAV6156</t>
  </si>
  <si>
    <t>RDC_NB_1F_EAV7631</t>
  </si>
  <si>
    <t>RDC_NB_1F_EAV5686</t>
  </si>
  <si>
    <t>RDC_NB_GF_EAV6176</t>
  </si>
  <si>
    <t>RDC_NB_1F_EAV7646</t>
  </si>
  <si>
    <t>RDC_NB_1F_EAV5747</t>
  </si>
  <si>
    <t>RDC_NB_GF_EAV6356</t>
  </si>
  <si>
    <t>RDC_NB_1F_EAV7661</t>
  </si>
  <si>
    <t>RDC_NB_1F_EAV5891</t>
  </si>
  <si>
    <t>RDC_NB_GF_EAV6381</t>
  </si>
  <si>
    <t>RDC_NB_1F_EAV7663</t>
  </si>
  <si>
    <t>RDC_NB_1F_EAV5921</t>
  </si>
  <si>
    <t>RDC_NB_GF_EAV6401</t>
  </si>
  <si>
    <t>RDC_NB_1F_EAV7711</t>
  </si>
  <si>
    <t>RDC_NB_1F_EAV5941</t>
  </si>
  <si>
    <t>RDC_NB_GF_EAV7091</t>
  </si>
  <si>
    <t>RDC_NB_1F_EAV7712</t>
  </si>
  <si>
    <t>RDC_NB_1F_EAV6528</t>
  </si>
  <si>
    <t>RDC_NB_1F_EAV7861</t>
  </si>
  <si>
    <t>RDC_NB_GF_EAV7106</t>
  </si>
  <si>
    <t>RDC_NB_1F_EAV7916</t>
  </si>
  <si>
    <t>RDC_NB_GF_EAV7121</t>
  </si>
  <si>
    <t>RDC_NB_2F_EAV4920</t>
  </si>
  <si>
    <t>RDC_NB_GF_EAV7122</t>
  </si>
  <si>
    <t>RDC_NB_2F_EAV6981</t>
  </si>
  <si>
    <t>RDC_NB_GF_EAV7396</t>
  </si>
  <si>
    <t>RDC_NB_GF_EAV4028</t>
  </si>
  <si>
    <t>RDC_NB_GF_EAV7426</t>
  </si>
  <si>
    <t>RDC_NB_GF_EAV4236</t>
  </si>
  <si>
    <t>RDC_NB_GF_EAV7461</t>
  </si>
  <si>
    <t>RDC_NB_GF_EAV7486</t>
  </si>
  <si>
    <t>RDC_NB_1F_FEV5772</t>
  </si>
  <si>
    <t>RDC_NB_1F_FEV4587</t>
  </si>
  <si>
    <t>RDC_NB_1F_FEV6731</t>
  </si>
  <si>
    <t>RDC_NB_1F_FEV5796</t>
  </si>
  <si>
    <t>RDC_NB_1F_FEV4588</t>
  </si>
  <si>
    <t>RDC_NB_1F_FEV5812</t>
  </si>
  <si>
    <t>RDC_NB_1F_FEV6764</t>
  </si>
  <si>
    <t>RDC_NB_1F_FEV4603</t>
  </si>
  <si>
    <t>RDC_NB_1F_FEV5813</t>
  </si>
  <si>
    <t>RDC_NB_1F_FEV6765</t>
  </si>
  <si>
    <t>RDC_NB_1F_FEV4604</t>
  </si>
  <si>
    <t>RDC_NB_1F_FEV6554</t>
  </si>
  <si>
    <t>RDC_NB_1F_FEV6766</t>
  </si>
  <si>
    <t>RDC_NB_1F_FEV4605</t>
  </si>
  <si>
    <t>RDC_NB_1F_FEV6555</t>
  </si>
  <si>
    <t>RDC_NB_1F_FEV6852</t>
  </si>
  <si>
    <t>RDC_NB_1F_FEV4606</t>
  </si>
  <si>
    <t>RDC_NB_1F_FEV6853</t>
  </si>
  <si>
    <t>RDC_NB_1F_FEV4622</t>
  </si>
  <si>
    <t>RDC_NB_1F_FEV6602</t>
  </si>
  <si>
    <t>RDC_NB_1F_FEV6854</t>
  </si>
  <si>
    <t>RDC_NB_1F_FEV5574</t>
  </si>
  <si>
    <t>RDC_NB_1F_FEV6632</t>
  </si>
  <si>
    <t>RDC_NB_1F_FEV6855</t>
  </si>
  <si>
    <t>RDC_NB_1F_FEV5575</t>
  </si>
  <si>
    <t>RDC_NB_1F_FEV6633</t>
  </si>
  <si>
    <t>RDC_NB_1F_FEV5624</t>
  </si>
  <si>
    <t>RDC_NB_1F_FEV6634</t>
  </si>
  <si>
    <t>RDC_NB_1F_FEV6856</t>
  </si>
  <si>
    <t>RDC_NB_1F_FEV6635</t>
  </si>
  <si>
    <t>RDC_NB_1F_FEV6857</t>
  </si>
  <si>
    <t>RDC_NB_1F_FEV6636</t>
  </si>
  <si>
    <t>RDC_NB_1F_FEV6858</t>
  </si>
  <si>
    <t>RDC_NB_1F_FEV6637</t>
  </si>
  <si>
    <t>RDC_NB_1F_FEV6859</t>
  </si>
  <si>
    <t>RDC_NB_1F_FEV6638</t>
  </si>
  <si>
    <t>RDC_NB_1F_FEV7522</t>
  </si>
  <si>
    <t>RDC_NB_1F_FEV6639</t>
  </si>
  <si>
    <t>RDC_NB_1F_FEV7602</t>
  </si>
  <si>
    <t>RDC_NB_1F_FEV7824</t>
  </si>
  <si>
    <t>RDC_NB_GF_FEV4193</t>
  </si>
  <si>
    <t>RDC_NB_GF_FEV5223</t>
  </si>
  <si>
    <t>RDC_NB_GF_FEV5073</t>
  </si>
  <si>
    <t>RDC_NB_GF_FEV4194</t>
  </si>
  <si>
    <t>RDC_NB_GF_FEV5271</t>
  </si>
  <si>
    <t>RDC_NB_GF_FEV5074</t>
  </si>
  <si>
    <t>RDC_NB_GF_FEV4214</t>
  </si>
  <si>
    <t>RDC_NB_GF_FEV5272</t>
  </si>
  <si>
    <t>RDC_NB_GF_FEV5082</t>
  </si>
  <si>
    <t>RDC_NB_GF_FEV4215</t>
  </si>
  <si>
    <t>RDC_NB_GF_FEV5273</t>
  </si>
  <si>
    <t>RDC_NB_GF_FEV5083</t>
  </si>
  <si>
    <t>RDC_NB_GF_FEV4216</t>
  </si>
  <si>
    <t>RDC_NB_GF_FEV5274</t>
  </si>
  <si>
    <t>RDC_NB_GF_FEV5093</t>
  </si>
  <si>
    <t>RDC_NB_GF_FEV5053</t>
  </si>
  <si>
    <t>RDC_NB_GF_FEV5275</t>
  </si>
  <si>
    <t>RDC_NB_GF_FEV5094</t>
  </si>
  <si>
    <t>RDC_NB_GF_FEV5062</t>
  </si>
  <si>
    <t>RDC_NB_GF_FEV5276</t>
  </si>
  <si>
    <t>RDC_NB_GF_FEV5072</t>
  </si>
  <si>
    <t>RDC_NB_GF_FEV5095A</t>
  </si>
  <si>
    <t>RDC_NB_GF_FEV5277</t>
  </si>
  <si>
    <t>RDC_NB_GF_FEV5095B</t>
  </si>
  <si>
    <t>RDC_NB_GF_FEV7052</t>
  </si>
  <si>
    <t>RDC_NB_GF_FEV5183</t>
  </si>
  <si>
    <t>RDC_NB_GF_FEV7053</t>
  </si>
  <si>
    <t>RDC_NB_GF_FEV5192A</t>
  </si>
  <si>
    <t>RDC_NB_GF_FEV7062</t>
  </si>
  <si>
    <t>RDC_NB_GF_FEV5192B</t>
  </si>
  <si>
    <t>RDC_NB_GF_FEV7074</t>
  </si>
  <si>
    <t>RDC_NB_GF_FEV5203</t>
  </si>
  <si>
    <t>RDC_NB_GF_FEV7075</t>
  </si>
  <si>
    <t>RDC_NB_GF_FEV5222</t>
  </si>
  <si>
    <t>RDC_NB_GF_FEV7232</t>
  </si>
  <si>
    <t>RDC_NB_GF_FEV7262</t>
  </si>
  <si>
    <t>Name</t>
  </si>
  <si>
    <t>Number</t>
  </si>
  <si>
    <t xml:space="preserve">entity to use in Ontology </t>
  </si>
  <si>
    <t>Equipment located in Entity</t>
  </si>
  <si>
    <t>VENT PLANT</t>
  </si>
  <si>
    <t>B1.014</t>
  </si>
  <si>
    <t>CHILLED WATER</t>
  </si>
  <si>
    <t>B1.013</t>
  </si>
  <si>
    <t>GENERATOR</t>
  </si>
  <si>
    <t>B1.012</t>
  </si>
  <si>
    <t>entity:SSC_B1_012_GENERATOR</t>
  </si>
  <si>
    <t>STAIR-1</t>
  </si>
  <si>
    <t>B1.ST-1</t>
  </si>
  <si>
    <t>entity:SSC_B1_ST-1_STAIR-1</t>
  </si>
  <si>
    <t>ENTRANCE</t>
  </si>
  <si>
    <t>B1.015</t>
  </si>
  <si>
    <t>LIFT</t>
  </si>
  <si>
    <t>B1.P-1</t>
  </si>
  <si>
    <t>entity:SSC_B1_P-1_P1</t>
  </si>
  <si>
    <t>B1.P-2</t>
  </si>
  <si>
    <t>entity:SSC_B1_P-2_P2</t>
  </si>
  <si>
    <t>SPRINKLER &amp; WATER</t>
  </si>
  <si>
    <t>B1.016</t>
  </si>
  <si>
    <t>SER-2</t>
  </si>
  <si>
    <t>B1.038</t>
  </si>
  <si>
    <t>entity:SSC_B1_038_SER-2</t>
  </si>
  <si>
    <t>MDF-2</t>
  </si>
  <si>
    <t>B1.017</t>
  </si>
  <si>
    <t>entity:SSC_B1_017_MDF-2</t>
  </si>
  <si>
    <t>FM STORAGE</t>
  </si>
  <si>
    <t>B1.019</t>
  </si>
  <si>
    <t>entity:SSC_B1_019_FM_STORAGE</t>
  </si>
  <si>
    <t>CONDENSER ROOM</t>
  </si>
  <si>
    <t>B1.018</t>
  </si>
  <si>
    <t>entity:SSC_B1_018_CONDENSER_ROOM</t>
  </si>
  <si>
    <t>FILE STORAGE</t>
  </si>
  <si>
    <t>B1.028</t>
  </si>
  <si>
    <t>entity:SSC_B1_028_FILE_STORAGE</t>
  </si>
  <si>
    <t>CORRIDOR</t>
  </si>
  <si>
    <t>B1.030</t>
  </si>
  <si>
    <t>entity:SSC_B1_030_CORRIDOR</t>
  </si>
  <si>
    <t>B1.031</t>
  </si>
  <si>
    <t>entity:SSC_B1_031_CORRIDOR</t>
  </si>
  <si>
    <t>B1.029</t>
  </si>
  <si>
    <t>entity:SSC_B1_029_CORRIDOR</t>
  </si>
  <si>
    <t>B1.027</t>
  </si>
  <si>
    <t>entity:SSC_B1_027_CORRIDOR</t>
  </si>
  <si>
    <t>B1.034</t>
  </si>
  <si>
    <t>entity:SSC_B1_034_CORRIDOR</t>
  </si>
  <si>
    <t>B1.035</t>
  </si>
  <si>
    <t>entity:SSC_B1_035_CORRIDOR</t>
  </si>
  <si>
    <t>B1.008</t>
  </si>
  <si>
    <t>STAIR-2</t>
  </si>
  <si>
    <t>B1.ST-2</t>
  </si>
  <si>
    <t>entity:SSC_B1_ST-2_STAIR-2</t>
  </si>
  <si>
    <t>STORAGE</t>
  </si>
  <si>
    <t>B1.036</t>
  </si>
  <si>
    <t>entity:SSC_B1_036_STORAGE</t>
  </si>
  <si>
    <t>JANITORS CLOSET</t>
  </si>
  <si>
    <t>B1.011</t>
  </si>
  <si>
    <t>entity:SSC_B1_011_JANITORS_CLOSET</t>
  </si>
  <si>
    <t>VESTIBULE</t>
  </si>
  <si>
    <t>B1.010</t>
  </si>
  <si>
    <t>entity:SSC_B1_010_VESTIBULE</t>
  </si>
  <si>
    <t>TOILET</t>
  </si>
  <si>
    <t>B1.009</t>
  </si>
  <si>
    <t>entity:SSC_B1_009_TOILET</t>
  </si>
  <si>
    <t>SERVICE DOCK</t>
  </si>
  <si>
    <t>B1.007</t>
  </si>
  <si>
    <t>entity:SSC_B1_007_SERVICE_DOCK</t>
  </si>
  <si>
    <t>UPS</t>
  </si>
  <si>
    <t>B1.005</t>
  </si>
  <si>
    <t>entity:SSC_B1_005_UPS</t>
  </si>
  <si>
    <t>SERVICE AREA</t>
  </si>
  <si>
    <t>B1.006</t>
  </si>
  <si>
    <t>entity:SSC_B1_006_SERVICE_AREA</t>
  </si>
  <si>
    <t>MAIN SEC.  CONTROL ROOM</t>
  </si>
  <si>
    <t>B1.025</t>
  </si>
  <si>
    <t>entity:SSC_B1_025_MAIN_SEC_CONTROL_ROOM</t>
  </si>
  <si>
    <t>SSP</t>
  </si>
  <si>
    <t>B1.022</t>
  </si>
  <si>
    <t>entity:SSC_B1_022_SSP</t>
  </si>
  <si>
    <t>QTEL</t>
  </si>
  <si>
    <t>B1.023</t>
  </si>
  <si>
    <t>entity:SSC_B1_023_Q_TEL</t>
  </si>
  <si>
    <t>MDF/SER-1</t>
  </si>
  <si>
    <t>B1.026</t>
  </si>
  <si>
    <t>entity:SSC_B1_026_MDF_SER-1</t>
  </si>
  <si>
    <t>BIN STORAGE</t>
  </si>
  <si>
    <t>B1.024</t>
  </si>
  <si>
    <t>entity:SSC_B1_024_BIN_STORAGE</t>
  </si>
  <si>
    <t>BMS</t>
  </si>
  <si>
    <t>B1.039</t>
  </si>
  <si>
    <t>B1.021</t>
  </si>
  <si>
    <t>entity:SSC_B1_021_FM_STORAGE</t>
  </si>
  <si>
    <t>B1.032</t>
  </si>
  <si>
    <t>entity:SSC_B1_032_CORRIDOR</t>
  </si>
  <si>
    <t>B1.020</t>
  </si>
  <si>
    <t>entity:SSC_B1_020_FM_STORAGE</t>
  </si>
  <si>
    <t>B1.001</t>
  </si>
  <si>
    <t>entity:SSC_B1_001_FM_STORAGE</t>
  </si>
  <si>
    <t>HV</t>
  </si>
  <si>
    <t>B1.002</t>
  </si>
  <si>
    <t>entity:SSC_B1_002_HV_ROOM</t>
  </si>
  <si>
    <t>TRANSFORMER</t>
  </si>
  <si>
    <t>B1.003</t>
  </si>
  <si>
    <t>entity:SSC_B1_003_TRANSFORMER</t>
  </si>
  <si>
    <t>MV SWITCH ROOM</t>
  </si>
  <si>
    <t>B1.004</t>
  </si>
  <si>
    <t>entity:SSC_B1_004_MV_SWITCH_ROOM</t>
  </si>
  <si>
    <t>STAIR-9</t>
  </si>
  <si>
    <t>01.ST-9</t>
  </si>
  <si>
    <t>entity:SSC_01_ST-9_STAIR-9</t>
  </si>
  <si>
    <t>OUTDOOR AREA</t>
  </si>
  <si>
    <t>entity:SSC_01_037_OUTDOOR_AREA</t>
  </si>
  <si>
    <t>SHELL SPACE</t>
  </si>
  <si>
    <t>STAIR-3</t>
  </si>
  <si>
    <t>01.ST-3</t>
  </si>
  <si>
    <t>entity:SSC_01_ST-3_STAIR-3</t>
  </si>
  <si>
    <t>STAIR-8</t>
  </si>
  <si>
    <t>01.ST-8</t>
  </si>
  <si>
    <t>entity:SSC_01_ST-8_STAIR-8</t>
  </si>
  <si>
    <t>entity:SSC_01_041_STORAGE_ROOM</t>
  </si>
  <si>
    <t>FEMALE TOILET</t>
  </si>
  <si>
    <t>entity:SSC_01_017_FEMALE_TOILET</t>
  </si>
  <si>
    <t>ABLUTION ROOM</t>
  </si>
  <si>
    <t>entity:SSC_01_021_ABLUTION_ROOM</t>
  </si>
  <si>
    <t>entity:SSC_01_023_CORRIDOR</t>
  </si>
  <si>
    <t>entity:SSC_01_020_CORRIDOR</t>
  </si>
  <si>
    <t>IDF - 2</t>
  </si>
  <si>
    <t>IDF - 1</t>
  </si>
  <si>
    <t>FURNITURE STORAGE</t>
  </si>
  <si>
    <t>entity:SSC_01_026_STORAGE_ROOM</t>
  </si>
  <si>
    <t>MALE TOILET</t>
  </si>
  <si>
    <t>entity:SSC_01_025_MALE_TOILET</t>
  </si>
  <si>
    <t>PRAYER ROOM</t>
  </si>
  <si>
    <t>OPEN SPACE</t>
  </si>
  <si>
    <t>entity:SSC_01_012_STORAGE</t>
  </si>
  <si>
    <t>01.P-2</t>
  </si>
  <si>
    <t>entity:SSC_01_P-2_P-2</t>
  </si>
  <si>
    <t>01.P-1</t>
  </si>
  <si>
    <t>entity:SSC_01_P-1_P-1</t>
  </si>
  <si>
    <t>01.ST-1</t>
  </si>
  <si>
    <t>entity:SSC_01_ST-1_STAIR-1</t>
  </si>
  <si>
    <t>AUDITORIUM MEETING ROOM</t>
  </si>
  <si>
    <t>entity:SSC_01_009_AUDITORIUM</t>
  </si>
  <si>
    <t>STORAGE AREA</t>
  </si>
  <si>
    <t>entity:SSC_01_038_STORAGE_AREA</t>
  </si>
  <si>
    <t>A / V ROOM</t>
  </si>
  <si>
    <t>entity:SSC_01_007_FEMALE_TOILET</t>
  </si>
  <si>
    <t>entity:SSC_01_006_MALE_TOILET</t>
  </si>
  <si>
    <t>KITCHEN</t>
  </si>
  <si>
    <t>entity:SSC_01_005_KITCHEN</t>
  </si>
  <si>
    <t>entity:SSC_01_004_CORRIDOR</t>
  </si>
  <si>
    <t>STAIR-4</t>
  </si>
  <si>
    <t>01.ST-4</t>
  </si>
  <si>
    <t>AIR LOCK</t>
  </si>
  <si>
    <t>entity:SSC_01_011_AIR_LOCK</t>
  </si>
  <si>
    <t>STAIR-5</t>
  </si>
  <si>
    <t>01.ST-5</t>
  </si>
  <si>
    <t>entity:SSC_01_ST-5_STAIR-5</t>
  </si>
  <si>
    <t>entity:SSC_01_030_STORAGE</t>
  </si>
  <si>
    <t>entity:SSC_01_031_TOILET</t>
  </si>
  <si>
    <t>entity:SSC_01_032_VESTIBULE</t>
  </si>
  <si>
    <t>entity:SSC_01_033_JANITORS_CLOSET</t>
  </si>
  <si>
    <t>entity:SSC_01_035_CORRIDOR</t>
  </si>
  <si>
    <t>entity:SSC_01_034_AIR_LOCK</t>
  </si>
  <si>
    <t>STAIR-10</t>
  </si>
  <si>
    <t>ST-10</t>
  </si>
  <si>
    <t>entity:SSC_ST-10_STAIR-10</t>
  </si>
  <si>
    <t>entity:SSC_01_036_OUTDOOR_AREA</t>
  </si>
  <si>
    <t>01.ST-2</t>
  </si>
  <si>
    <t>entity:SSC_01_ST-2_STAIR-2</t>
  </si>
  <si>
    <t>RESEARCHER'S OFFICE</t>
  </si>
  <si>
    <t>VISITOR'S CUBICLE</t>
  </si>
  <si>
    <t>OPERATIONS MANAGER</t>
  </si>
  <si>
    <t>MEETING ROOM</t>
  </si>
  <si>
    <t>DIRECTOR'S MEETING ROOM</t>
  </si>
  <si>
    <t>DIRECTOR'S OFFICE</t>
  </si>
  <si>
    <t>IT MANAGER'S OFFICE</t>
  </si>
  <si>
    <t>SECRETARIAL AREA</t>
  </si>
  <si>
    <t>ASSOC. DIRECTOR'S MEETING ROOM</t>
  </si>
  <si>
    <t>entity:SSC_03_030_ASSOC_DIRECTORS_MEETING_ROOM</t>
  </si>
  <si>
    <t>ASSOC. DIRECTOR'S OFFICE</t>
  </si>
  <si>
    <t>entity:SSC_03_031_ASSOC_DIRECTORS_OFFICE</t>
  </si>
  <si>
    <t>GENERAL OFFICE AREA</t>
  </si>
  <si>
    <t>entity:SSC_03_032_GENERAL_OFFICE_AREA</t>
  </si>
  <si>
    <t>PRINTING</t>
  </si>
  <si>
    <t>03.ST-2</t>
  </si>
  <si>
    <t>entity:SSC_03_ST-2_STAIR-2</t>
  </si>
  <si>
    <t>entity:SSC_03_046_STORAGE</t>
  </si>
  <si>
    <t>JANITOR'S CLOSET</t>
  </si>
  <si>
    <t>entity:SSC_03_045_JANITORS_CLOSET</t>
  </si>
  <si>
    <t>BALCONY</t>
  </si>
  <si>
    <t>entity:SSC_03_047_BALCONY</t>
  </si>
  <si>
    <t>LOUNGE</t>
  </si>
  <si>
    <t>IT SERVER ROOM</t>
  </si>
  <si>
    <t>entity:SSC_03_038_SERVER_ROOM</t>
  </si>
  <si>
    <t>IT OFFICE</t>
  </si>
  <si>
    <t>entity:SSC_03_039_FEMALE_TOILET</t>
  </si>
  <si>
    <t>entity:SSC_03_037_MALE_TOILET</t>
  </si>
  <si>
    <t>entity:SSC_03_036_KITCHEN</t>
  </si>
  <si>
    <t>03.ST-1</t>
  </si>
  <si>
    <t>entity:SSC_03_ST-1_STAIR-1</t>
  </si>
  <si>
    <t>03.P-2</t>
  </si>
  <si>
    <t>entity:SSC_03_P-2_LIFT</t>
  </si>
  <si>
    <t>03.P-1</t>
  </si>
  <si>
    <t>entity:SSC_03_P-1_LIFT</t>
  </si>
  <si>
    <t>entity:SSC_03_040_CORRIDOR</t>
  </si>
  <si>
    <t>STUDY LIBRARY AREA</t>
  </si>
  <si>
    <t>entity:SSC_03_035_STUDY_LIBRARY_AREA</t>
  </si>
  <si>
    <t>EXTERIOR COURTYARD</t>
  </si>
  <si>
    <t>entity:SSC_03_043_EXTERIOR_COURTYARD</t>
  </si>
  <si>
    <t>entity:SSC_03_048_BALCONY</t>
  </si>
  <si>
    <t>PODIUM</t>
  </si>
  <si>
    <t>03.F7.1</t>
  </si>
  <si>
    <t>entity:SSC_03_F7_1_PODIUM</t>
  </si>
  <si>
    <t>EXECUTIVE CONFERENCE ROOM</t>
  </si>
  <si>
    <t>CONFERENCE ROOM</t>
  </si>
  <si>
    <t>02.P-1</t>
  </si>
  <si>
    <t>entity:SSC_02_P-1_LIFT</t>
  </si>
  <si>
    <t>02.P-2</t>
  </si>
  <si>
    <t>entity:SSC_02_P-2_LIFT</t>
  </si>
  <si>
    <t>MEZZANINE</t>
  </si>
  <si>
    <t>entity:SSC_02_007_MEZZANINE</t>
  </si>
  <si>
    <t>entity:SSC_02_008_TOILET</t>
  </si>
  <si>
    <t>entity:SSC_02_010_VESTIBULE</t>
  </si>
  <si>
    <t>02.ST-2</t>
  </si>
  <si>
    <t>entity:SSC_02_ST-2_STAIR-2</t>
  </si>
  <si>
    <t>LOBBY</t>
  </si>
  <si>
    <t>FOYER</t>
  </si>
  <si>
    <t>02.ST-1</t>
  </si>
  <si>
    <t>entity:SSC_02_ST-1_STAIR-1</t>
  </si>
  <si>
    <t>02.ST-8</t>
  </si>
  <si>
    <t>entity:SSC_02_ST-8_STAIR-8</t>
  </si>
  <si>
    <t>In the RDC section of Controllable Asset Registry, column A tags like RDC_SB_GF_VAV1003_VEV1002 were typed as VAV in column B when the trailing token shows the real device type (VEV). Asked me to review all such tags in the RDC section and correct them.</t>
  </si>
  <si>
    <t>Scanned A1356:B3114 (RDC section = rows 1356-3114) for tags containing more than one type token, compared column B against the trailing token's letters, and rewrote column B where they disagreed. 153 rows corrected.</t>
  </si>
  <si>
    <t>Rule applied: the LAST type token in the tag wins (e.g. ..._VAV1003_VEV1002 -&gt; VEV). Verified the target types already exist as valid values elsewhere in the RDC block (EV 65, VEV 51, CEV 12, FEV 73), so no new type vocabulary was introduced. Corrections by type: EV 80, VEV 71, CEV 2. Affected rows span 1394-2105. Tag strings in column A were left unchanged - only the Equipment Type in column B was corrected, since renaming tags would break the links to the RDC Asset Register and the appended AT/valve rows.</t>
  </si>
  <si>
    <t>Complete and verified: re-scanned A1356:B3114 after the write and found 0 remaining mismatches; spot-checked row 1797 (RDC_SB_GF_VAV1003_VEV1002 = VEV) and row 1394 (RDC_NB_GF_VAV4005_EV4006 = EV). Open item if wanted: whether the composite tag names in column A should also be shortened to the single correct type.</t>
  </si>
  <si>
    <t>VP ADM TERRACE 04.701</t>
  </si>
  <si>
    <t>HQ RF</t>
  </si>
  <si>
    <t>S-TOWER CORRIDOR 4.601</t>
  </si>
  <si>
    <t>E-TOWER CORRIDOR 4.603</t>
  </si>
  <si>
    <t>S-TOWER CORRIDOR 5.601</t>
  </si>
  <si>
    <t>S-TOWER CORRIDOR 6.601</t>
  </si>
  <si>
    <t>E-TOWER CORRIDOR 6.603</t>
  </si>
  <si>
    <t>S-TOWER CORRIDOR 7.601</t>
  </si>
  <si>
    <t>HH-WING CORRIDOR 9.601</t>
  </si>
  <si>
    <t>HH-WING CORRIDOR 10.601</t>
  </si>
  <si>
    <t>SHEIKHA WING CORRIDOR 11.601</t>
  </si>
  <si>
    <t>entity:HQ_2.302_SPA_PLANTROOM</t>
  </si>
  <si>
    <t>entity:HQ_5.301_PLANT_ROOM</t>
  </si>
  <si>
    <t>entity:HQ_9.111_PLANT_ROOM</t>
  </si>
  <si>
    <t>entity:HQ_9.109_AHU_ROOM</t>
  </si>
  <si>
    <t>entity:HQ_B1.001_AHU_4</t>
  </si>
  <si>
    <t>entity:HQ_B1.006_AHU_1</t>
  </si>
  <si>
    <t>entity:HQ_B1.016_AHU_2</t>
  </si>
  <si>
    <t>entity:HQ_B1.022_AHU_3</t>
  </si>
  <si>
    <t>entity:HQ_B1.019_AHU</t>
  </si>
  <si>
    <t>entity:HQ_B1.512_IDF_ROOM</t>
  </si>
  <si>
    <t>entity:HQ_B1.003_CONTROL_ROOM</t>
  </si>
  <si>
    <t>entity:HQ_B1.107_DOCK_MASTER_OFFICE</t>
  </si>
  <si>
    <t>entity:HQ_B1.113_SHEIKHA_LOBBY_SECURITY_ROOM</t>
  </si>
  <si>
    <t>entity:HQ_B1.401_MALE_TOILET</t>
  </si>
  <si>
    <t>entity:HQ_B1.122_SUPPORT_SPACE_FOOD_STORAGE</t>
  </si>
  <si>
    <t>entity:HQ_B1.123_SUPPORT_SPACE_FOOD_STORAGE</t>
  </si>
  <si>
    <t>entity:HQ_B1.014_SUPPORT_SPACE_DRY_WASTE_STORAGE</t>
  </si>
  <si>
    <t>entity:HQ_B1.015_SUPPORT_SPACE_LOADING</t>
  </si>
  <si>
    <t>entity:HQ_B1.117_CHAUFFEUR_ROOM</t>
  </si>
  <si>
    <t>entity:HQ_G.531_IDF_ROOM</t>
  </si>
  <si>
    <t>entity:HQ_G.512_IDF_ROOM</t>
  </si>
  <si>
    <t>entity:HQ_G.031_PR_&amp;_MARKET_STAFF</t>
  </si>
  <si>
    <t>entity:HQ_G.017_COPY_PRINT</t>
  </si>
  <si>
    <t>entity:HQ_G.005_EMERGENCY_CONTROL_CENTER</t>
  </si>
  <si>
    <t>entity:HQ_G.511_VESTIBULE</t>
  </si>
  <si>
    <t>entity:HQ_1.531_IDF_ROOM</t>
  </si>
  <si>
    <t>entity:HQ_1.512_IDF_ROOM</t>
  </si>
  <si>
    <t>entity:HQ_1.112_PRINT_COPY</t>
  </si>
  <si>
    <t>entity:HQ_2.531_IDF_ROOM</t>
  </si>
  <si>
    <t>entity:HQ_2.701_TERRACE</t>
  </si>
  <si>
    <t>entity:HQ_2.103_PRINT_COPY</t>
  </si>
  <si>
    <t>entity:HQ_2.207_SPA_LOUNGE_BAR</t>
  </si>
  <si>
    <t>entity:HQ_2.208_SPA_FITNESS_DTUDIO</t>
  </si>
  <si>
    <t>entity:HQ_2.209_SPA_OFFICE</t>
  </si>
  <si>
    <t>entity:HQ_2.21_SPA_STAFF_WAITING_AREA</t>
  </si>
  <si>
    <t>entity:HQ_2.211_SPA_FEMALE_BEAUTY_SALON</t>
  </si>
  <si>
    <t>entity:HQ_2.212_SPA_FM_TREATMENT_1</t>
  </si>
  <si>
    <t>entity:HQ_2.213_SPA_CHANGING_ROOM</t>
  </si>
  <si>
    <t>entity:HQ_2.214_SPA_FM_TREATMENT_2</t>
  </si>
  <si>
    <t>entity:HQ_2.215_SPA_FM_TREATMENT_3</t>
  </si>
  <si>
    <t>entity:HQ_2.216_SPA_FM_RELAXATION</t>
  </si>
  <si>
    <t>entity:HQ_2.201_SPA_MALE_RELAXATION</t>
  </si>
  <si>
    <t>entity:HQ_2.202_SPA_MALE_TREATMENT_3</t>
  </si>
  <si>
    <t>entity:HQ_2.203_SPA_MALE_TREATMENT_2</t>
  </si>
  <si>
    <t>entity:HQ_2.204_SPA_MALE_TREATMENT_1</t>
  </si>
  <si>
    <t>entity:HQ_2.205_SPA_MALE_CHANGING_ROOM</t>
  </si>
  <si>
    <t>entity:HQ_2.206_SPA_ENTRANCE</t>
  </si>
  <si>
    <t>entity:HQ_2.603_SPA_LOBBY</t>
  </si>
  <si>
    <t>entity:HQ_2.512_MECHANICAL_ROOM</t>
  </si>
  <si>
    <t>entity:HQ_3.531_IDF_ROOM</t>
  </si>
  <si>
    <t>entity:HQ_3.512_IDF_ROOM</t>
  </si>
  <si>
    <t>entity:HQ_3.203_COPYPRINT</t>
  </si>
  <si>
    <t>entity:HQ_3.103_PRINT_COPY</t>
  </si>
  <si>
    <t>entity:HQ_3.603_CORRIDOR_BRIDGE</t>
  </si>
  <si>
    <t>entity:HQ_5.602_BRIDGE</t>
  </si>
  <si>
    <t>entity:HQ_4.531_IDF_ROOM</t>
  </si>
  <si>
    <t>entity:HQ_4.512_IDF_ROOM</t>
  </si>
  <si>
    <t>entity:HQ_5.202_VP_EDU_MEMBERS_OF_EDU</t>
  </si>
  <si>
    <t>entity:HQ_4.701_VP_ADM_TERRACE</t>
  </si>
  <si>
    <t>entity:HQ_4.702_TERRACE</t>
  </si>
  <si>
    <t>entity:HQ_4.703_TERRACE</t>
  </si>
  <si>
    <t>entity:HQ_5.531_IDF_ROOM</t>
  </si>
  <si>
    <t>entity:HQ_5.512_IDF_ROOM</t>
  </si>
  <si>
    <t>entity:HQ_5.103_PRINT_COPY</t>
  </si>
  <si>
    <t>entity:HQ_6.604_BRIDGE_CORRIDOR</t>
  </si>
  <si>
    <t>entity:HQ_6.531_IDF_ROOM</t>
  </si>
  <si>
    <t>entity:HQ_6.512_IDF_ROOM</t>
  </si>
  <si>
    <t>entity:HQ_7.602_BRIDGE</t>
  </si>
  <si>
    <t>entity:HQ_6.104_PRINT_COPY</t>
  </si>
  <si>
    <t>entity:HQ_6.208_PRINT_COPY</t>
  </si>
  <si>
    <t>entity:HQ_7.531_IDF_ROOM</t>
  </si>
  <si>
    <t>entity:HQ_7.512_IDF_ROOM</t>
  </si>
  <si>
    <t>entity:HQ_7.101_PRINT_COPY</t>
  </si>
  <si>
    <t>entity:HQ_7.104_PRINT_COPY</t>
  </si>
  <si>
    <t>entity:HQ_8.512_IDF_ROOM</t>
  </si>
  <si>
    <t>entity:HQ_9.531_IDF_ROOM</t>
  </si>
  <si>
    <t>entity:HQ_9.512_IDF_ROOM</t>
  </si>
  <si>
    <t>entity:HQ_10.531_IDF_ROOM</t>
  </si>
  <si>
    <t>entity:HQ_1.114_STAFF_LOUNGE_STORAGE</t>
  </si>
  <si>
    <t>entity:HQ_10.512_IDF_ROOM</t>
  </si>
  <si>
    <t>entity:HQ_10.038_PRINT_COPY</t>
  </si>
  <si>
    <t>entity:HQ_10.014_PRINT_COPY</t>
  </si>
  <si>
    <t>entity:HQ_10.111_AV_ROOM</t>
  </si>
  <si>
    <t>entity:HQ_11.531_IDF_ROOM</t>
  </si>
  <si>
    <t>entity:HQ_11.11_ELECTRICAL_CABINET</t>
  </si>
  <si>
    <t>entity:HQ_11.106_ELECTRICAL_ROOM</t>
  </si>
  <si>
    <t>entity:HQ_11.108_PRINT_COPY</t>
  </si>
  <si>
    <t>entity:HQ_11.107_AV_IT</t>
  </si>
  <si>
    <t>entity:HQ_11.512_IDF_ROOM</t>
  </si>
  <si>
    <t>entity:HQ_12.002_MCC_CLOSET</t>
  </si>
  <si>
    <t>entity:HQ_12.003_MCC_CLOSET</t>
  </si>
  <si>
    <t>entity:HQ_12.004_MCC_CLOSET</t>
  </si>
  <si>
    <t>entity:HQ_9.101_VISITORS_CENTER</t>
  </si>
  <si>
    <t>entity:HQ_B1.004_STAFF_ENTRANCE</t>
  </si>
  <si>
    <t>entity:HQ_B1.103_STAFF_LOBBY</t>
  </si>
  <si>
    <t>entity:HQ_B1.110_SUPPORT_SPACE_MAIL_ROOM</t>
  </si>
  <si>
    <t>entity:HQ_B1.116_SHEIKHA_LOBBY</t>
  </si>
  <si>
    <t>entity:HQ_G.008_CONTROL_ROOM</t>
  </si>
  <si>
    <t>entity:HQ_G.009_PR_&amp;_MARKET_MANAGER</t>
  </si>
  <si>
    <t>entity:HQ_G.010_PR_&amp;_MARKET_STAFF</t>
  </si>
  <si>
    <t>entity:HQ_G.011_PR_&amp;_MARKET_MANAGER</t>
  </si>
  <si>
    <t>entity:HQ_G.012_PR_&amp;_MARKET_STAFF</t>
  </si>
  <si>
    <t>entity:HQ_G.014_VISITOR_CENT_OFFICE</t>
  </si>
  <si>
    <t>entity:HQ_G.015_PR_&amp;_MARKET_STAFF</t>
  </si>
  <si>
    <t>entity:HQ_G.018_PR_&amp;_MARKET_STAFF</t>
  </si>
  <si>
    <t>entity:HQ_G.019_PR_&amp;_MARKET_STAFF</t>
  </si>
  <si>
    <t>entity:HQ_G.020_PR_&amp;_MARKET_STAFF</t>
  </si>
  <si>
    <t>entity:HQ_G.021_PR_&amp;_MARKET_STAFF</t>
  </si>
  <si>
    <t>entity:HQ_G.022_PR_&amp;_MARKET!_SECRETARY</t>
  </si>
  <si>
    <t>entity:HQ_G.023_PR_&amp;_MARKET_STAFF</t>
  </si>
  <si>
    <t>entity:HQ_G.601_CORRIDOR</t>
  </si>
  <si>
    <t>entity:HQ_G.105_SHOP</t>
  </si>
  <si>
    <t>entity:HQ_G.104_LOBBY</t>
  </si>
  <si>
    <t>entity:HQ_G.103_BMS</t>
  </si>
  <si>
    <t>entity:HQ_G.004_PR_&amp;_MARKET_MANAGER</t>
  </si>
  <si>
    <t>entity:HQ_G.003_PR_&amp;_MARKET_MANAGER</t>
  </si>
  <si>
    <t>entity:HQ_G.002_PR_&amp;_MARKET_MANAGER</t>
  </si>
  <si>
    <t>entity:HQ_G.001_PR_&amp;_MARKET_STAFF</t>
  </si>
  <si>
    <t>entity:HQ_G.038_PR_&amp;_MARKET_STAFF</t>
  </si>
  <si>
    <t>entity:HQ_G.037_PR_&amp;_MARKET_STAFF</t>
  </si>
  <si>
    <t>entity:HQ_G.036_PR_&amp;_MARKET_STAFF</t>
  </si>
  <si>
    <t>entity:HQ_G.035_PR_&amp;_MARKET_STAFF</t>
  </si>
  <si>
    <t>entity:HQ_G.034_PR_&amp;_MARKET_STAFF</t>
  </si>
  <si>
    <t>entity:HQ_G.033_PR_&amp;_MARKET_STAFF</t>
  </si>
  <si>
    <t>entity:HQ_G.032_PR_&amp;_MARKET_STAFF</t>
  </si>
  <si>
    <t>entity:HQ_G.030_STAFF</t>
  </si>
  <si>
    <t>entity:HQ_G.029_PR_&amp;_MARKET_STAFF</t>
  </si>
  <si>
    <t>entity:HQ_G.028_PR_&amp;_MARKET_DIRECTOR_ENSUIT</t>
  </si>
  <si>
    <t>entity:HQ_G.026_FINANCE_CASHIER</t>
  </si>
  <si>
    <t>entity:HQ_G.025_VIP_LOUNGE</t>
  </si>
  <si>
    <t>entity:HQ_G.107_E-TOWER_LOBBY</t>
  </si>
  <si>
    <t>entity:HQ_G.602_CORRIDOR_(SOUTH_EAST)</t>
  </si>
  <si>
    <t>entity:HQ_G.603_CORRIDOR_(SOUTH_EAST)</t>
  </si>
  <si>
    <t>entity:HQ_G.101_CONFERENCE_ROOM</t>
  </si>
  <si>
    <t>entity:HQ_G.108_CONSULTANT_SPACE_TRAINEES</t>
  </si>
  <si>
    <t>entity:HQ_1.011_FINANCE_MANAGER</t>
  </si>
  <si>
    <t>entity:HQ_1.012_FINANCE_MANAGER</t>
  </si>
  <si>
    <t>entity:HQ_1.013_FINANCE_MANAGER</t>
  </si>
  <si>
    <t>entity:HQ_1.014_FINANCE_PROFSTAFF</t>
  </si>
  <si>
    <t>entity:HQ_1.015_FINANCE_PROFSTAFF</t>
  </si>
  <si>
    <t>entity:HQ_1.016_FINANCE_SECRETARY</t>
  </si>
  <si>
    <t>entity:HQ_1.017_FINANCE_DIRECTOR_ENSUIT</t>
  </si>
  <si>
    <t>entity:HQ_1.018_FINANCE_MANAGER</t>
  </si>
  <si>
    <t>entity:HQ_1.019_FINANCE_MANAGER</t>
  </si>
  <si>
    <t>entity:HQ_1.02_FINANCE_MANAGER</t>
  </si>
  <si>
    <t>entity:HQ_1.021_FINANCE_SECRETARY</t>
  </si>
  <si>
    <t>entity:HQ_1.022_FINANCE_SECRETARY</t>
  </si>
  <si>
    <t>entity:HQ_1.023_FINANCE_AUDITOR</t>
  </si>
  <si>
    <t>entity:HQ_1.024_FINANCE_AUDITOR</t>
  </si>
  <si>
    <t>entity:HQ_1.025_FINANCE_PROFSTAFF</t>
  </si>
  <si>
    <t>entity:HQ_1.026_FINANCE_PROFSTAFF</t>
  </si>
  <si>
    <t>entity:HQ_1.027_FINANCE_AUDITOR</t>
  </si>
  <si>
    <t>entity:HQ_1.028_FINANCE_MANAGER</t>
  </si>
  <si>
    <t>entity:HQ_1.029_FINANCE_MANAGER</t>
  </si>
  <si>
    <t>entity:HQ_1.001_FINANCE_CLERICAL_SECRETARIES</t>
  </si>
  <si>
    <t>entity:HQ_1.002_FINANCE_MANAGERS</t>
  </si>
  <si>
    <t>entity:HQ_1.003_FINANCE_MANAGER</t>
  </si>
  <si>
    <t>entity:HQ_1.004_FINANCE_MANAGER</t>
  </si>
  <si>
    <t>entity:HQ_1.005_FINANCE_SECRETARY</t>
  </si>
  <si>
    <t>entity:HQ_1.006_FINANCE_PROFSTAFF</t>
  </si>
  <si>
    <t>entity:HQ_1.007_FINANCE_CLERICAL_PROFSTAFF</t>
  </si>
  <si>
    <t>entity:HQ_1.401_GROUND_FLOOR_VIP_ENTRANCE</t>
  </si>
  <si>
    <t>entity:HQ_1.101_STAFF_LOUNGE</t>
  </si>
  <si>
    <t>entity:HQ_1.108_FINANCE_MEETING_ROOM</t>
  </si>
  <si>
    <t>entity:HQ_1.109_CONSULTANT_SPACE_TRAINEES</t>
  </si>
  <si>
    <t>entity:HQ_1.11_CONFERENCE_ROOM</t>
  </si>
  <si>
    <t>entity:HQ_1.105_PRAYER_ROOM</t>
  </si>
  <si>
    <t>entity:HQ_1.106_FINANCE_CASHIER</t>
  </si>
  <si>
    <t>entity:HQ_1.116_FINANCE_SECURE_ROOM</t>
  </si>
  <si>
    <t>entity:HQ_1.117_FINANCE_AUDITOR</t>
  </si>
  <si>
    <t>entity:HQ_1.115_FINANCE_AUDITOR</t>
  </si>
  <si>
    <t>entity:HQ_1.602_CORRIDOR</t>
  </si>
  <si>
    <t>entity:HQ_1.601_CORRIDOR</t>
  </si>
  <si>
    <t>entity:HQ_1.111_FINANCE_RECORD_STORAGE</t>
  </si>
  <si>
    <t>entity:HQ_1.702_FOOD_HEAT_UP</t>
  </si>
  <si>
    <t>entity:HQ_1.706_WASHING_AREA</t>
  </si>
  <si>
    <t>entity:HQ_1.701_STAFF_CAFETERIA</t>
  </si>
  <si>
    <t>entity:HQ_2.018_SUPPSERVDIRECTOR_ENSUIT</t>
  </si>
  <si>
    <t>entity:HQ_2.019_SUPPSERVADMINIST</t>
  </si>
  <si>
    <t>entity:HQ_2.02_SUPPSERVADMINIST</t>
  </si>
  <si>
    <t>entity:HQ_2.021_SUPPSERVADMINIST</t>
  </si>
  <si>
    <t>entity:HQ_2.022_SUPPSERVSECRETARY</t>
  </si>
  <si>
    <t>entity:HQ_2.023_SUPPSERVADMINIST</t>
  </si>
  <si>
    <t>entity:HQ_2.024_SUPPSERVADMINIST</t>
  </si>
  <si>
    <t>entity:HQ_2.025_SUPPSERVADMINIST</t>
  </si>
  <si>
    <t>entity:HQ_2.026_SUPPSERVSECRETARY</t>
  </si>
  <si>
    <t>entity:HQ_2.027_SUPPSERVADMINIST</t>
  </si>
  <si>
    <t>entity:HQ_2.028_SUPPSERVADMINIST</t>
  </si>
  <si>
    <t>entity:HQ_2.029_SUPPSERVADMINIST</t>
  </si>
  <si>
    <t>entity:HQ_2.03_SUPPSERVSECRETARY</t>
  </si>
  <si>
    <t>entity:HQ_2.031_SUPPSERVADMINIST</t>
  </si>
  <si>
    <t>entity:HQ_2.032_SUPPSERVADMINIST</t>
  </si>
  <si>
    <t>entity:HQ_2.033_SUPPSERVADMINIST</t>
  </si>
  <si>
    <t>entity:HQ_2.034_SUPPSERVSECRETARY</t>
  </si>
  <si>
    <t>entity:HQ_2.035_SUPPSERVADMINIST</t>
  </si>
  <si>
    <t>entity:HQ_2.036_SUPPSERVADMINIST</t>
  </si>
  <si>
    <t>entity:HQ_2.110A_OFFICE_SPACE</t>
  </si>
  <si>
    <t>entity:HQ_2.601_S-TOWER_CORRIDOR</t>
  </si>
  <si>
    <t>entity:HQ_2.109_SHELL_SPACE</t>
  </si>
  <si>
    <t>entity:HQ_2.108_SUPPSERVMEETING_ROOM</t>
  </si>
  <si>
    <t>entity:HQ_2.105_LOUNGE</t>
  </si>
  <si>
    <t>entity:HQ_2.104_CONSULTANTS_SPACE-OTHERS</t>
  </si>
  <si>
    <t>entity:HQ_2.102_CONSULTANTS_SPACE-OTHERS</t>
  </si>
  <si>
    <t>entity:HQ_2.017_SUPPSERVSECRETARY</t>
  </si>
  <si>
    <t>entity:HQ_2.016_SUPPSERVADMINIST</t>
  </si>
  <si>
    <t>entity:HQ_2.015_SUPPSERVADMINIST</t>
  </si>
  <si>
    <t>entity:HQ_2.014_SUPPSERVADMINIST</t>
  </si>
  <si>
    <t>entity:HQ_2.013_SUPPSERVSECRETARY</t>
  </si>
  <si>
    <t>entity:HQ_2.012_SUPPSERVADMINIST</t>
  </si>
  <si>
    <t>entity:HQ_2.011_SUPPSERVADMINIST</t>
  </si>
  <si>
    <t>entity:HQ_2.01_SUPPSERVADMINIST</t>
  </si>
  <si>
    <t>entity:HQ_2.009_SUPPSERVSECRETARY</t>
  </si>
  <si>
    <t>entity:HQ_2.008_DOHA_DEBATE_EXECUTIVE</t>
  </si>
  <si>
    <t>entity:HQ_2.007_DOHA_DEBATE_EXECUTIVE</t>
  </si>
  <si>
    <t>entity:HQ_2.006_DOHA_DEBATE_EXECUTIVE</t>
  </si>
  <si>
    <t>entity:HQ_2.005_DOHA_DEBATE_EXECUTIVE</t>
  </si>
  <si>
    <t>entity:HQ_2.004_DOHA_DEBATE_SECRETARY</t>
  </si>
  <si>
    <t>entity:HQ_2.003_DOHA_DEBATE_EXECUTIVE</t>
  </si>
  <si>
    <t>entity:HQ_2.002_DOHA_DEBATE_EXECUTIVE</t>
  </si>
  <si>
    <t>entity:HQ_2.001_STORAGE_ROOM</t>
  </si>
  <si>
    <t>entity:HQ_2.101A_OFFICE_SPACE</t>
  </si>
  <si>
    <t>entity:HQ_3.017_HR_IMMIG_STAFF</t>
  </si>
  <si>
    <t>entity:HQ_3.018_HR_IMMIG_STAFF</t>
  </si>
  <si>
    <t>entity:HQ_3.019_HR_IMMIG_STAFF</t>
  </si>
  <si>
    <t>entity:HQ_3.02_HR_IMMIG_STAFF</t>
  </si>
  <si>
    <t>entity:HQ_3.021_HR_IMMIG_STAFF</t>
  </si>
  <si>
    <t>entity:HQ_3.022_HR_IMMIG_SECRETARY</t>
  </si>
  <si>
    <t>entity:HQ_3.023_HR_IMMIG_STAFF</t>
  </si>
  <si>
    <t>entity:HQ_3.024_HR_IMMIG_STAFF</t>
  </si>
  <si>
    <t>entity:HQ_3.025_HR_IMMIG_STAFF</t>
  </si>
  <si>
    <t>entity:HQ_3.026_HR_IMMIG_STAFF</t>
  </si>
  <si>
    <t>entity:HQ_3.027_HR_IMMIG_STAFF</t>
  </si>
  <si>
    <t>entity:HQ_3.028_HR_IMMIG_STAFF</t>
  </si>
  <si>
    <t>entity:HQ_3.029_HR_IMMIG_STAFF</t>
  </si>
  <si>
    <t>entity:HQ_3.03_HR_IMMIG_STAFF</t>
  </si>
  <si>
    <t>entity:HQ_3.031_HR_IMMIG_STAFF</t>
  </si>
  <si>
    <t>entity:HQ_3.032_HR_IMMIG_SECRETARY</t>
  </si>
  <si>
    <t>entity:HQ_3.033_MEETING_ROOM</t>
  </si>
  <si>
    <t>entity:HQ_3.105B_OFFICE_SPACE</t>
  </si>
  <si>
    <t>entity:HQ_3.601_S-TOWER_CORRIDOR</t>
  </si>
  <si>
    <t>entity:HQ_3.36_ABLUTION_ROOM</t>
  </si>
  <si>
    <t>entity:HQ_3.105A_FEMALE_PRAYER_ROOM</t>
  </si>
  <si>
    <t>entity:HQ_3.001_LOUNGE</t>
  </si>
  <si>
    <t>entity:HQ_3.102_CONSULTANT_SPACE_TRAINEES</t>
  </si>
  <si>
    <t>entity:HQ_3.104_HR_IMMIG_SECRETARY</t>
  </si>
  <si>
    <t>entity:HQ_3.012_HR_IMMIG_STAFF</t>
  </si>
  <si>
    <t>entity:HQ_3.013_HR_IMMIG_STAFF</t>
  </si>
  <si>
    <t>entity:HQ_3.014_HR_IMMIG_STAFF</t>
  </si>
  <si>
    <t>entity:HQ_3.015_HR_IMMIG_STAFF</t>
  </si>
  <si>
    <t>entity:HQ_3.016_HR_IMMIG_STAFF</t>
  </si>
  <si>
    <t>entity:HQ_3.003_HR_IMMIG_STAFF</t>
  </si>
  <si>
    <t>entity:HQ_3.004_HR_IMMIG_STAFF</t>
  </si>
  <si>
    <t>entity:HQ_3.005_HR_IMMIG_STAFF</t>
  </si>
  <si>
    <t>entity:HQ_3.006_HR_IMMIG_STAFF</t>
  </si>
  <si>
    <t>entity:HQ_3.007_HR_IMMIG_STAFF</t>
  </si>
  <si>
    <t>entity:HQ_3.008_HR_IMMIG_STAFF</t>
  </si>
  <si>
    <t>entity:HQ_3.009_HR_IMMIG_STORAGE</t>
  </si>
  <si>
    <t>entity:HQ_3.01_HR_IMMIG_STAFF</t>
  </si>
  <si>
    <t>entity:HQ_3.011_HR_IMMIG_STAFF</t>
  </si>
  <si>
    <t>entity:HQ_3.101_SHELL_SPACE</t>
  </si>
  <si>
    <t>entity:HQ_3.002_HR_IMMIG_STAFF</t>
  </si>
  <si>
    <t>entity:HQ_3.202A_OFFICE_SPACE</t>
  </si>
  <si>
    <t>entity:HQ_3.202B_OFFICE_SPACE</t>
  </si>
  <si>
    <t>entity:HQ_3.205_HR_IMMIG_IMMIGRATION</t>
  </si>
  <si>
    <t>entity:HQ_3.206_HR_IMMIG_MANAGER</t>
  </si>
  <si>
    <t>entity:HQ_3.207_HR_IMMIG_MANAGER</t>
  </si>
  <si>
    <t>entity:HQ_3.208_HR_IMMIG_MANAGER</t>
  </si>
  <si>
    <t>entity:HQ_3.209_HR_IMMIG_MANAGER</t>
  </si>
  <si>
    <t>entity:HQ_3.21_HR_IMMIG_OFFICERS</t>
  </si>
  <si>
    <t>entity:HQ_3.211_HR_IMMIG_MANAGER</t>
  </si>
  <si>
    <t>entity:HQ_3.212_HR_IMMIG_SECRETARIES</t>
  </si>
  <si>
    <t>entity:HQ_3.213_HR_IMMIG_DIRENSUIT</t>
  </si>
  <si>
    <t>entity:HQ_3.214_IT_SECRETARY</t>
  </si>
  <si>
    <t>entity:HQ_3.215_IT_DIRENSUIT</t>
  </si>
  <si>
    <t>entity:HQ_3.216_PROC&amp;CONTRSECRETARY</t>
  </si>
  <si>
    <t>entity:HQ_3.201_PROC&amp;CONTRDIRENSUIT</t>
  </si>
  <si>
    <t>entity:HQ_3.301_PROC&amp;CONTRMEETING_ROOM</t>
  </si>
  <si>
    <t>entity:HQ_3.302_HR_IMMIG_MEETING_ROOM</t>
  </si>
  <si>
    <t>entity:HQ_3.602_E-TOWER_CORRIDOR</t>
  </si>
  <si>
    <t>entity:HQ_4.005_STRPLDIRMEETING_ROOM</t>
  </si>
  <si>
    <t>entity:HQ_4.006_STRPLDIRMANAGER</t>
  </si>
  <si>
    <t>entity:HQ_4.007_STRPLDIRMANAGER</t>
  </si>
  <si>
    <t>entity:HQ_4.008_STRPLDIRMANAGER</t>
  </si>
  <si>
    <t>entity:HQ_4.009_STRPLDIRHEAD_OF_PL</t>
  </si>
  <si>
    <t>entity:HQ_4.01_STRPLDIRHEAD_OF_PL</t>
  </si>
  <si>
    <t>entity:HQ_4.011_STRPLDIRHEAD_OF_PL</t>
  </si>
  <si>
    <t>entity:HQ_4.012_STRPLDIRHEAD_OF_PL</t>
  </si>
  <si>
    <t>entity:HQ_4.013_STRPLDIRHEAD_OF_PL</t>
  </si>
  <si>
    <t>entity:HQ_4.014_STRPLDIRMANAGER</t>
  </si>
  <si>
    <t>entity:HQ_4.601_S-TOWER_CORRIDOR</t>
  </si>
  <si>
    <t>entity:HQ_4.109_VP_EDU_STORAGE</t>
  </si>
  <si>
    <t>entity:HQ_4.108_STRPLDIRARCHIVE_ROOM</t>
  </si>
  <si>
    <t>entity:HQ_4.107_STRPLDIRTECHNSTAFF</t>
  </si>
  <si>
    <t>entity:HQ_4.104_WAITING_LOUNGE</t>
  </si>
  <si>
    <t>entity:HQ_4.002_STRPLDIRMANAGER</t>
  </si>
  <si>
    <t>entity:HQ_4.102_SHELL_SPACE</t>
  </si>
  <si>
    <t>entity:HQ_4.101_SHELL_SPACE</t>
  </si>
  <si>
    <t>entity:HQ_4.201_SHELL_SPACE</t>
  </si>
  <si>
    <t>entity:HQ_4.204_SHELL_SPACE</t>
  </si>
  <si>
    <t>entity:HQ_4.205_VP_ADM_MANAGER</t>
  </si>
  <si>
    <t>entity:HQ_4.206_VP_ADM_MANAGER</t>
  </si>
  <si>
    <t>entity:HQ_4.208_VP_ADM_EXECSECRET</t>
  </si>
  <si>
    <t>entity:HQ_4.209_VP_ADM_MANAGER</t>
  </si>
  <si>
    <t>entity:HQ_4.21_VP_ADM_MANAGER</t>
  </si>
  <si>
    <t>entity:HQ_4.211_VP_ADM_MANAGER</t>
  </si>
  <si>
    <t>entity:HQ_4.212_VP_ADM_PERSASSIST</t>
  </si>
  <si>
    <t>entity:HQ_4.213_VP_ADM_ENSUIT</t>
  </si>
  <si>
    <t>entity:HQ_4.301_VP_ADM_MEETING_ROOM</t>
  </si>
  <si>
    <t>entity:HQ_4.603_E-TOWER_CORRIDOR</t>
  </si>
  <si>
    <t>entity:HQ_5.012_VP_EDU_OFFICE_DIRECTOR_ENSUIT</t>
  </si>
  <si>
    <t>entity:HQ_5.013_VP_EDU_SECRETARY</t>
  </si>
  <si>
    <t>entity:HQ_5.014_VP_EDU_ASSISTANT</t>
  </si>
  <si>
    <t>entity:HQ_5.015_VP_EDU_ASSISTANT</t>
  </si>
  <si>
    <t>entity:HQ_5.016_VP_EDU_ASSISTANT</t>
  </si>
  <si>
    <t>entity:HQ_5.017_VP_EDU_ASSISTANT</t>
  </si>
  <si>
    <t>entity:HQ_5.018_VP_EDU_OFFICERS</t>
  </si>
  <si>
    <t>entity:HQ_5.019_VP_EDU_OFFICERS</t>
  </si>
  <si>
    <t>entity:HQ_5.021_VP_EDU_OFFICERS</t>
  </si>
  <si>
    <t>entity:HQ_5.022_VP_EDU_OFFICERS</t>
  </si>
  <si>
    <t>entity:HQ_5.023_VP_EDU_OFFICERS</t>
  </si>
  <si>
    <t>entity:HQ_5.024_VP_EDU_SECRETARY</t>
  </si>
  <si>
    <t>entity:HQ_5.025_VP_EDU_OFFICE_DIRECTOR_ENSUIT</t>
  </si>
  <si>
    <t>entity:HQ_5.026_VP_EDU_ASSISTANT</t>
  </si>
  <si>
    <t>entity:HQ_5.601_S-TOWER_CORRIDOR</t>
  </si>
  <si>
    <t>entity:HQ_5.110_VP_EDU_OFFICERS</t>
  </si>
  <si>
    <t>entity:HQ_5.109_ELECTRICAL_CABINET</t>
  </si>
  <si>
    <t>entity:HQ_5.108_VP_EDU_ASSISTANT</t>
  </si>
  <si>
    <t>entity:HQ_5.107_VP_EDUCATION_SUPPSECRET</t>
  </si>
  <si>
    <t>entity:HQ_5.104_VP_EDU_LOUNGE_WAITING</t>
  </si>
  <si>
    <t>entity:HQ_5.011_VP_EDU_ASSISTANT</t>
  </si>
  <si>
    <t>entity:HQ_5.002_VP_EDU_OFFDIRENSUIT</t>
  </si>
  <si>
    <t>entity:HQ_5.003_VP_EDU_SECRETARY</t>
  </si>
  <si>
    <t>entity:HQ_5.004_VP_EDU_ASSISTANT</t>
  </si>
  <si>
    <t>entity:HQ_5.005_VP_EDU_OFFICERS</t>
  </si>
  <si>
    <t>entity:HQ_5.006_VP_EDU_OFFICERS</t>
  </si>
  <si>
    <t>entity:HQ_5.007_VP_EDU_OFFICERS</t>
  </si>
  <si>
    <t>entity:HQ_5.008_VP_EDU_ASSISTANT</t>
  </si>
  <si>
    <t>entity:HQ_5.102_MEETING_ROOM</t>
  </si>
  <si>
    <t>entity:HQ_5.101_VP_EDU_SECRET</t>
  </si>
  <si>
    <t>entity:HQ_5.001_VP_EDU_ASSISTANT</t>
  </si>
  <si>
    <t>entity:HQ_5.201_VP_EDU_MEMBERS_OF_EDU</t>
  </si>
  <si>
    <t>entity:HQ_5.203_VP_EDU_MEMBERS_OF_EDU</t>
  </si>
  <si>
    <t>entity:HQ_5.205_VP_EDU_MEETING_ROOM</t>
  </si>
  <si>
    <t>entity:HQ_5.206_VP_EDU_MEMBERS_OF_EDU</t>
  </si>
  <si>
    <t>entity:HQ_5.207_VP_EDU_MEMBERS_OF_EDU</t>
  </si>
  <si>
    <t>entity:HQ_5.208_VP_EDU_MEMBERS_OF_EDU</t>
  </si>
  <si>
    <t>entity:HQ_5.209_VP_EDU_MEMBERS_OF_EDU</t>
  </si>
  <si>
    <t>entity:HQ_5.211_VP_EDU_CHPEXECSECRET</t>
  </si>
  <si>
    <t>entity:HQ_5.212_VP_EDU_MEMBERS_OF_EDU</t>
  </si>
  <si>
    <t>entity:HQ_5.213_VP_EDU_OFFICE_DIRECTOR_ENSUIT</t>
  </si>
  <si>
    <t>entity:HQ_5.027_VP_EDU_OFFICERS</t>
  </si>
  <si>
    <t>entity:HQ_6.012_INTAUDIT_SEN_JNTAUD</t>
  </si>
  <si>
    <t>entity:HQ_6.013_INTAUDIT_SECRETARY</t>
  </si>
  <si>
    <t>entity:HQ_6.014_ACAAUDIT_SUPPAUDIT</t>
  </si>
  <si>
    <t>entity:HQ_6.015_ACAAUDIT_SUPPAUDIT</t>
  </si>
  <si>
    <t>entity:HQ_6.016_ACAAUDIT_SUPPAUDIT</t>
  </si>
  <si>
    <t>entity:HQ_6.017_ACAAUDIT_SUPPAUDIT</t>
  </si>
  <si>
    <t>entity:HQ_6.018_ACAAUDIT_SUPPAUDIT</t>
  </si>
  <si>
    <t>entity:HQ_6.019_ACAAUDIT_SUPPAUDIT</t>
  </si>
  <si>
    <t>entity:HQ_6.02_ACAAUDIT_SUPPAUDIT</t>
  </si>
  <si>
    <t>entity:HQ_6.021_ACAAUDIT_SECRETARY</t>
  </si>
  <si>
    <t>entity:HQ_6.022_ACAAUDIT_SECRETARY</t>
  </si>
  <si>
    <t>entity:HQ_6.023_ACAAUDIT_ACASENAUD</t>
  </si>
  <si>
    <t>entity:HQ_6.024_ACAAUDIT_ACASENAUD</t>
  </si>
  <si>
    <t>entity:HQ_6.025_FACILITY_MANAGSECRETARY</t>
  </si>
  <si>
    <t>entity:HQ_6.026_VACILITY_MANAGDIRENSUIT</t>
  </si>
  <si>
    <t>entity:HQ_6.027_VP_CAPITAL_CONSULTANT</t>
  </si>
  <si>
    <t>entity:HQ_6.028_VP_CAPITAL_CONSULTANT</t>
  </si>
  <si>
    <t>entity:HQ_6.601_S-TOWER_CORRIDOR</t>
  </si>
  <si>
    <t>entity:HQ_6.109_VP_CAPITAL_WORK_ASSIST</t>
  </si>
  <si>
    <t>entity:HQ_6.108_VP_CAPITAL_PROJCOORD</t>
  </si>
  <si>
    <t>entity:HQ_6.105_LOUNGE</t>
  </si>
  <si>
    <t>entity:HQ_6.009_INTAUDIT_SUPPAUDIT</t>
  </si>
  <si>
    <t>entity:HQ_6.01_INTAUDIT_SECRETARY</t>
  </si>
  <si>
    <t>entity:HQ_6.011_INTAUDIT_SEN_JNTAUD</t>
  </si>
  <si>
    <t>entity:HQ_6.002_INTAUDIT_ARCHIVE_ROOM</t>
  </si>
  <si>
    <t>entity:HQ_6.003_INTAUDIT_SUPPAUDIT</t>
  </si>
  <si>
    <t>entity:HQ_6.004_INTAUDIT_SUPPAUDIT</t>
  </si>
  <si>
    <t>entity:HQ_6.005_INTAUDIT_SUPPAUDIT</t>
  </si>
  <si>
    <t>entity:HQ_6.006_INTAUDIT_SUPPAUDIT</t>
  </si>
  <si>
    <t>entity:HQ_6.007_INTAUDIT_SUPPAUDIT</t>
  </si>
  <si>
    <t>entity:HQ_6.008_INTAUDIT_SUPPAUDIT</t>
  </si>
  <si>
    <t>entity:HQ_6.103_SHELL_SPACE</t>
  </si>
  <si>
    <t>entity:HQ_6.102_SHELL_SPACE</t>
  </si>
  <si>
    <t>entity:HQ_6.101_SHELL_SPACE</t>
  </si>
  <si>
    <t>entity:HQ_6.001_ACA_AUDIT_ARCHIVE</t>
  </si>
  <si>
    <t>entity:HQ_6.201_VP_CAPITAL_PROJMANAGER</t>
  </si>
  <si>
    <t>entity:HQ_6.202_VP_CAPITAL_PROJMANAGER</t>
  </si>
  <si>
    <t>entity:HQ_6.204_VP_CAPITAL_PROJMANAGER</t>
  </si>
  <si>
    <t>entity:HQ_6.205_VP_CAPITAL_CONSULTANT</t>
  </si>
  <si>
    <t>entity:HQ_6.206_VP_CAPITAL_STORAGE</t>
  </si>
  <si>
    <t>entity:HQ_6.207_VP_CAPITAL_SECRETARIES</t>
  </si>
  <si>
    <t>entity:HQ_6.209_VP_CAPITAL_ENSUIT</t>
  </si>
  <si>
    <t>entity:HQ_6.21_VP_CAPITAL_SECRETARIES</t>
  </si>
  <si>
    <t>entity:HQ_6.211_VP_CAPITAL_SECRETARIES</t>
  </si>
  <si>
    <t>entity:HQ_6.212_VP_CAPITAL_DIRECTOR_ENSUIT</t>
  </si>
  <si>
    <t>entity:HQ_6.603_E-TOWER_CORRIDOR</t>
  </si>
  <si>
    <t>entity:HQ_7.017_CA_ENSUIT</t>
  </si>
  <si>
    <t>entity:HQ_7.018_CA_SECRETARY</t>
  </si>
  <si>
    <t>entity:HQ_7.019_BD_UNIT_SECRETARY</t>
  </si>
  <si>
    <t>entity:HQ_7.02_BD_UNIT_EXECUTIVE</t>
  </si>
  <si>
    <t>entity:HQ_7.021_BD_UNIT_EXECUTIVE</t>
  </si>
  <si>
    <t>entity:HQ_7.022_BD_UNIT_EXECUTIVE</t>
  </si>
  <si>
    <t>entity:HQ_7.023_BD_UNIT_EXECUTIVE</t>
  </si>
  <si>
    <t>entity:HQ_7.024_BD_UNIT_EXECUTIVE</t>
  </si>
  <si>
    <t>entity:HQ_7.025_BD_UNIT_EXECUTIVE</t>
  </si>
  <si>
    <t>entity:HQ_7.026_BD_UNIT_EXECUTIVE</t>
  </si>
  <si>
    <t>entity:HQ_7.027_BD_UNIT_EXECUTIVE</t>
  </si>
  <si>
    <t>entity:HQ_7.028_BD_UNIT_EXECUTIVE</t>
  </si>
  <si>
    <t>entity:HQ_7.029_MEETING_ROOM</t>
  </si>
  <si>
    <t>entity:HQ_7.03_SHELL_SPACE</t>
  </si>
  <si>
    <t>entity:HQ_7.031A_OFFICE_SPACE</t>
  </si>
  <si>
    <t>entity:HQ_7.601_S-TOWER_CORRIDOR</t>
  </si>
  <si>
    <t>entity:HQ_7.032_SHELL_SPACE</t>
  </si>
  <si>
    <t>entity:HQ_7.106_LOUNGE</t>
  </si>
  <si>
    <t>entity:HQ_7.105_CA_SECRETARY</t>
  </si>
  <si>
    <t>entity:HQ_7.103_CA_SECRETARY</t>
  </si>
  <si>
    <t>entity:HQ_7.102_CA_SECRETARY</t>
  </si>
  <si>
    <t>entity:HQ_7.001_DOCUNIT_EMPLOYEE</t>
  </si>
  <si>
    <t>entity:HQ_7.002_DOCUNIT_MULTIMEDIA_STUDIO</t>
  </si>
  <si>
    <t>entity:HQ_7.003_DOCUNIT_EMPLOYEE</t>
  </si>
  <si>
    <t>entity:HQ_7.004_DOCUNIT_EMPLOYEE</t>
  </si>
  <si>
    <t>entity:HQ_7.005_DOCUNIT_EMPLOYEE</t>
  </si>
  <si>
    <t>entity:HQ_7.006_DOCUNIT_EMPLOYEE</t>
  </si>
  <si>
    <t>entity:HQ_7.007_CA_COORD</t>
  </si>
  <si>
    <t>entity:HQ_7.008_CA_COORD</t>
  </si>
  <si>
    <t>entity:HQ_7.009_CA_COORD</t>
  </si>
  <si>
    <t>entity:HQ_7.01_CA_COORD</t>
  </si>
  <si>
    <t>entity:HQ_7.011_CA_COORD</t>
  </si>
  <si>
    <t>entity:HQ_7.012_CA_COORD</t>
  </si>
  <si>
    <t>entity:HQ_7.013_CA_COORD</t>
  </si>
  <si>
    <t>entity:HQ_7.014_CA_COORD</t>
  </si>
  <si>
    <t>entity:HQ_7.015_CA_COORD</t>
  </si>
  <si>
    <t>entity:HQ_7.016_CA_COORD</t>
  </si>
  <si>
    <t>entity:HQ_7.201_CONSULTANTS_SPACE</t>
  </si>
  <si>
    <t>entity:HQ_7.202_PRESIDENT_EXECOFFICE</t>
  </si>
  <si>
    <t>entity:HQ_7.204_PRESIDENT_EXECOFFICE</t>
  </si>
  <si>
    <t>entity:HQ_7.205_PRESIDENT_EXECOFFICE</t>
  </si>
  <si>
    <t>entity:HQ_7.208_PRESIDENT_SUPPORT_SECRET</t>
  </si>
  <si>
    <t>entity:HQ_7.603_E-TOWER_CORRIDOR</t>
  </si>
  <si>
    <t>entity:HQ_7.209_PRESIDENT_EXECSECRET</t>
  </si>
  <si>
    <t>entity:HQ_7.21_PRESIDENT_EXECSECRET</t>
  </si>
  <si>
    <t>entity:HQ_7.211_PRESIDENT_ENSUIT</t>
  </si>
  <si>
    <t>entity:HQ_7.212_PRESIDENT_MEETING_ROOM</t>
  </si>
  <si>
    <t>entity:HQ_7.213_VICE_CHAIRPERSON_ENSUIT</t>
  </si>
  <si>
    <t>entity:HQ_7.214_VICE_CHAIRSECRETARY</t>
  </si>
  <si>
    <t>entity:HQ_7.215_VICE_CHAIRPERSON_MEETING_ROOM</t>
  </si>
  <si>
    <t>entity:HQ_7.301_MEETING_ROOM</t>
  </si>
  <si>
    <t>entity:HQ_8.001_OBSERVATION_SPACE</t>
  </si>
  <si>
    <t>entity:HQ_8.002_VISITORS_CENTER_OFFICE</t>
  </si>
  <si>
    <t>entity:HQ_8.602_VISITORS_CENTER_CORRIDOR</t>
  </si>
  <si>
    <t>entity:HQ_9.011_BMO_EXECASSIST</t>
  </si>
  <si>
    <t>entity:HQ_9.012_BMO_EXECASSIST</t>
  </si>
  <si>
    <t>entity:HQ_9.013_BMO_EXECASSIST</t>
  </si>
  <si>
    <t>entity:HQ_9.014_BMO_EXECASSIST</t>
  </si>
  <si>
    <t>entity:HQ_9.015_BMO_EXECASSIST</t>
  </si>
  <si>
    <t>entity:HQ_9.016_BMO_EXECASSIST</t>
  </si>
  <si>
    <t>entity:HQ_9.017_BMO_EXECASSIST</t>
  </si>
  <si>
    <t>entity:HQ_9.018_BMO_EXECSECRET</t>
  </si>
  <si>
    <t>entity:HQ_9.019_BMO_EXECSECRET</t>
  </si>
  <si>
    <t>entity:HQ_9.02_BMO_EXECSECRET</t>
  </si>
  <si>
    <t>entity:HQ_9.021_BMO_OPERDIRENSUIT</t>
  </si>
  <si>
    <t>entity:HQ_9.022_BMO_EXECASSIST</t>
  </si>
  <si>
    <t>entity:HQ_9.023_BMO_EXECSECRET</t>
  </si>
  <si>
    <t>entity:HQ_9.024_BMO_EXECSECRET</t>
  </si>
  <si>
    <t>entity:HQ_9.025_BMO_EXECSECRET</t>
  </si>
  <si>
    <t>entity:HQ_9.026_BMO_SUPPSECRET</t>
  </si>
  <si>
    <t>entity:HQ_9.027_BMO_SUPPSECRET</t>
  </si>
  <si>
    <t>entity:HQ_9.028_BMO_SUPPSECRET</t>
  </si>
  <si>
    <t>entity:HQ_9.029_BMO_SUPPSECRET</t>
  </si>
  <si>
    <t>entity:HQ_9.03_BMO_SUPPSECRET</t>
  </si>
  <si>
    <t>entity:HQ_9.031_BMO_PRINT_COPY</t>
  </si>
  <si>
    <t>entity:HQ_9.032_BMO_STORAGE</t>
  </si>
  <si>
    <t>entity:HQ_9.033_HR_EDUADVADVISOR_ENSUIT</t>
  </si>
  <si>
    <t>entity:HQ_9.034_HR_EDUADVADVISOR_ENSUIT</t>
  </si>
  <si>
    <t>entity:HQ_9.035_HR_EDUADVADVISOR_ENSUIT</t>
  </si>
  <si>
    <t>entity:HQ_9.036_BOD_EXECUTIVE</t>
  </si>
  <si>
    <t>entity:HQ_9.037_BOD_SECRETARY</t>
  </si>
  <si>
    <t>entity:HQ_9.038_BOD_EXECUTIVE</t>
  </si>
  <si>
    <t>entity:HQ_9.601_HH-WING_CORRIDOR</t>
  </si>
  <si>
    <t>entity:HQ_9.039_MEETING_ROOM</t>
  </si>
  <si>
    <t>entity:HQ_9.04_BMO_SAFE_ROOM</t>
  </si>
  <si>
    <t>entity:HQ_9.041_BMO_ARCHIVE_ROOM</t>
  </si>
  <si>
    <t>entity:HQ_9.001_LEGAL_ARCHIVE</t>
  </si>
  <si>
    <t>entity:HQ_9.002_LEGAL_CONSULE</t>
  </si>
  <si>
    <t>entity:HQ_9.003_LEGAL_LEGAL_CONSULE</t>
  </si>
  <si>
    <t>entity:HQ_9.004_LEGAL_LEGAL_CONSULE</t>
  </si>
  <si>
    <t>entity:HQ_9.005_LEGAL_LEGAL_CONSULE</t>
  </si>
  <si>
    <t>entity:HQ_9.006_LEGAL_LEGAL_CONSULE</t>
  </si>
  <si>
    <t>entity:HQ_9.007_LEGAL_LEGAL_CONSULE</t>
  </si>
  <si>
    <t>entity:HQ_9.008_LEGAL_LEGSUPSEC</t>
  </si>
  <si>
    <t>entity:HQ_9.009_LEGAL_LEGSUPSEC</t>
  </si>
  <si>
    <t>entity:HQ_9.01_LEGAL_LEGADVENSUIT</t>
  </si>
  <si>
    <t>entity:HQ_9.105_LOUNGE</t>
  </si>
  <si>
    <t>entity:HQ_9.104_BMO_WAITING_AREA</t>
  </si>
  <si>
    <t>entity:HQ_9.403_MALE_TOILET</t>
  </si>
  <si>
    <t>entity:HQ_9.11_SHEIKA_WING_DINING_AREA</t>
  </si>
  <si>
    <t>entity:HQ_9.108_SUPPORT_SPACE_PREPKITCHEN</t>
  </si>
  <si>
    <t>entity:HQ_10.005_SHEIKHA_WING_ARCHIVE</t>
  </si>
  <si>
    <t>entity:HQ_10.006_EXECDIRARCHCOORD</t>
  </si>
  <si>
    <t>entity:HQ_10.007_EXECDIR_PROTASSIST</t>
  </si>
  <si>
    <t>entity:HQ_10.008_PROTOCOL_DIR_SCHED_OFFICER</t>
  </si>
  <si>
    <t>entity:HQ_10.009_PROTOCOL_DIR_CEREMOFF</t>
  </si>
  <si>
    <t>entity:HQ_10.01_PROTOCOL_DIR_CEREMOFF</t>
  </si>
  <si>
    <t>entity:HQ_10.011_PROTOCOL_DIR_CEREMOFF</t>
  </si>
  <si>
    <t>entity:HQ_10.012_PROTOCOL_DIR_TR_&amp;_VIS_OFF</t>
  </si>
  <si>
    <t>entity:HQ_10.013_PROTOCOL_DIR_TR_&amp;_VIS_OFF</t>
  </si>
  <si>
    <t>entity:HQ_10.015_PROTOCOL_DIRSCHED_OFFICER</t>
  </si>
  <si>
    <t>entity:HQ_10.016_PLANNING_DIRPLANNING_ANALYST</t>
  </si>
  <si>
    <t>entity:HQ_10.017_PLANNING_DIRSTRATPLANNER</t>
  </si>
  <si>
    <t>entity:HQ_10.018_PLANNING_DIR_EXTCOORD</t>
  </si>
  <si>
    <t>entity:HQ_10.019_POLICY_DIRSENPOLANALYST</t>
  </si>
  <si>
    <t>entity:HQ_10.02_POLICY_DIR_SENRESEARCH_ANALYST</t>
  </si>
  <si>
    <t>entity:HQ_10.021_POLICY_DIRRESANALYST</t>
  </si>
  <si>
    <t>entity:HQ_10.022_POLICY_DIRRESANALYST</t>
  </si>
  <si>
    <t>entity:HQ_10.023_SHSERVDIR_HR_OFFICER</t>
  </si>
  <si>
    <t>entity:HQ_10.024_SHSERVDIRHR_ASSISTANT</t>
  </si>
  <si>
    <t>entity:HQ_10.025_SHSERVDIRPROCURREPRESENT</t>
  </si>
  <si>
    <t>entity:HQ_10.026_SHSERVDIRSERVICE_COORD</t>
  </si>
  <si>
    <t>entity:HQ_10.027_SHSERVDIRGENSERVSUPERV</t>
  </si>
  <si>
    <t>entity:HQ_10.028_SHSERVDIRFINANCCONTROL</t>
  </si>
  <si>
    <t>entity:HQ_10.029_SHSERVDIRTR&amp;_GUSERV</t>
  </si>
  <si>
    <t>entity:HQ_10.601_HH-WING_CORRIDOR</t>
  </si>
  <si>
    <t>entity:HQ_10.031_COMMUNICDIRCOMMDESIGNER</t>
  </si>
  <si>
    <t>entity:HQ_10.032_COMMUNICDIRSPEECH_EDITOR</t>
  </si>
  <si>
    <t>entity:HQ_10.033_COMMUNICDIR_TRANSLATOR</t>
  </si>
  <si>
    <t>entity:HQ_10.034_COMMUNICDIRPUBCOMMCOORD</t>
  </si>
  <si>
    <t>entity:HQ_10.035_SHSERVDIR_IT_SUPPORT_OFFICER</t>
  </si>
  <si>
    <t>entity:HQ_10.036_SHSERVDIR_ACCOUNT</t>
  </si>
  <si>
    <t>entity:HQ_10.037_SHSERVDIRSENACCOUNTANT</t>
  </si>
  <si>
    <t>entity:HQ_10.001_SHEIKHA_WING_STORAGE</t>
  </si>
  <si>
    <t>entity:HQ_10.003_BOARD_ROOM_WAITING_AREA</t>
  </si>
  <si>
    <t>entity:HQ_10.004_EXECDIRARCHCOORD</t>
  </si>
  <si>
    <t>entity:HQ_10.106_LOUNGE</t>
  </si>
  <si>
    <t>entity:HQ_10.109_BOARD_PREPROOM</t>
  </si>
  <si>
    <t>entity:HQ_10.101_CONSULTANTS_SPACE</t>
  </si>
  <si>
    <t>entity:HQ_10.112_TRANSLATOR_ROOM</t>
  </si>
  <si>
    <t>entity:HQ_10.102_SHEIKHA_WING_MULTIPURPOSE_ROOM</t>
  </si>
  <si>
    <t>entity:HQ_10.002E_OFFICE_SPACE</t>
  </si>
  <si>
    <t>entity:HQ_10.002D_OFFICE_SPACE</t>
  </si>
  <si>
    <t>entity:HQ_10.002C_OFFICE_SPACE</t>
  </si>
  <si>
    <t>entity:HQ_10.002A_OFFICE_SPACE</t>
  </si>
  <si>
    <t>entity:HQ_11.012_PLANNING_DIRDIRPLANNING</t>
  </si>
  <si>
    <t>entity:HQ_11.013_EXECDIRCORRF-UP</t>
  </si>
  <si>
    <t>entity:HQ_11.014_EXECDIRCORRMANAGER</t>
  </si>
  <si>
    <t>entity:HQ_11.015_EXECDIRCORRF-UP</t>
  </si>
  <si>
    <t>entity:HQ_11.016_EXECDIRLEGAL_ASSIST</t>
  </si>
  <si>
    <t>entity:HQ_11.017_EXECDIRLEGAL_ADVISOR</t>
  </si>
  <si>
    <t>entity:HQ_11.018_EXECDIREXECASSIST</t>
  </si>
  <si>
    <t>entity:HQ_11.019_EXECDIR_DEPEXECDIRECTOR</t>
  </si>
  <si>
    <t>entity:HQ_11.02_EXECDIREXECASSIST</t>
  </si>
  <si>
    <t>entity:HQ_11.021_EXECDIREXECDIRECTOR</t>
  </si>
  <si>
    <t>entity:HQ_11.022_SHEIKHA_WING_WAITING_ROOM</t>
  </si>
  <si>
    <t>entity:HQ_11.023_SHEIKHA_WING_SECURITY_ROOM</t>
  </si>
  <si>
    <t>entity:HQ_11.001_COMMUNICDIR_COMMUNICATION_DIRECTOR</t>
  </si>
  <si>
    <t>entity:HQ_11.002_COMMUNICDIRMEDRELOFFICER</t>
  </si>
  <si>
    <t>entity:HQ_11.003_SHSERVDIR_DIRSHARED_SERVICES</t>
  </si>
  <si>
    <t>entity:HQ_11.004_EXECDIRECTOR_ADMASSIST</t>
  </si>
  <si>
    <t>entity:HQ_11.005_PROTOCOL_DIRPROTOCOL_DIRECTOR</t>
  </si>
  <si>
    <t>entity:HQ_11.006_PROTOCOL_DIRGIFTS_DIRECTOR</t>
  </si>
  <si>
    <t>entity:HQ_11.008_EXECDIRCONSULTANT</t>
  </si>
  <si>
    <t>entity:HQ_11.009_SECRETARY</t>
  </si>
  <si>
    <t>entity:HQ_11.01_POLICY_DIRDIROF_POL&amp;_RES</t>
  </si>
  <si>
    <t>entity:HQ_11.011_SECRETARY</t>
  </si>
  <si>
    <t>entity:HQ_11.103_SHEIKHA_WING_BUSINESS_LOUNGE</t>
  </si>
  <si>
    <t>entity:HQ_11.201_SHEIKHA_WING_LOBBY</t>
  </si>
  <si>
    <t>entity:HQ_11.202_SHEIKHA_WING_SHEIKHA_ENSUIT</t>
  </si>
  <si>
    <t>entity:HQ_11.203_SHEIKHA_WING_RELAX_AREA</t>
  </si>
  <si>
    <t>entity:HQ_11.204_SHEIKHA_WING_MEETING_ROOM</t>
  </si>
  <si>
    <t>entity:HQ_B1.109_ROOM</t>
  </si>
  <si>
    <t>entity:HQ_10.002B_OFFICE_SPACE</t>
  </si>
  <si>
    <t>entity:HQ_11.007_EXECDIRCONSULTANT</t>
  </si>
  <si>
    <t>entity:HQ_11.601_SHEIKHA_WING_CORRIDOR</t>
  </si>
  <si>
    <t>entity:HQ_11.102_HH_WING_BUSINESS_LOUNGE</t>
  </si>
  <si>
    <t>entity:HQ_G.013_PR_&amp;_MARKET_STAFF</t>
  </si>
  <si>
    <t>entity:HQ_G.405_TOILET</t>
  </si>
  <si>
    <t>entity:HQ_12.201_SHEIKHA_WING_SHEIKHA_ENSUIT</t>
  </si>
  <si>
    <t>entity:HQ_12.202_SHEIKHA_WING_SHEIKHA_ENSUIT</t>
  </si>
  <si>
    <t>entity:HQ_12.203_SHEIKHA_WING_RELAX_AREA</t>
  </si>
  <si>
    <t>entity:HQ_12.204_SHEIKHA_WING_RELAX_AREA</t>
  </si>
  <si>
    <t>entity:HQ_12.001_COMMUNIC_DIR_COMMUNICATION_DIRECTOR</t>
  </si>
  <si>
    <t>entity:HQ_12.405_TOILET</t>
  </si>
  <si>
    <t>Room Entity Name</t>
  </si>
  <si>
    <t>Room Number Used</t>
  </si>
  <si>
    <t>Room Space (cleaned)</t>
  </si>
  <si>
    <t>entity:HQ_B1.606_SECURE_STORAGE</t>
  </si>
  <si>
    <t>B1.606</t>
  </si>
  <si>
    <t>SECURE_STORAGE</t>
  </si>
  <si>
    <t>AHU_4</t>
  </si>
  <si>
    <t>entity:HQ_B1.002_SECURITY_UPS_ROOM</t>
  </si>
  <si>
    <t>SECURITY_UPS_ROOM</t>
  </si>
  <si>
    <t>CONTROL_ROOM</t>
  </si>
  <si>
    <t>entity:HQ_B1.005_MDF_1_ROOM</t>
  </si>
  <si>
    <t>MDF_1_ROOM</t>
  </si>
  <si>
    <t>AHU_1</t>
  </si>
  <si>
    <t>entity:HQ_B1.007_COOLING_EQUIPMENT</t>
  </si>
  <si>
    <t>COOLING_EQUIPMENT</t>
  </si>
  <si>
    <t>entity:HQ_B1.008_FM_STORAGE</t>
  </si>
  <si>
    <t>FM_STORAGE</t>
  </si>
  <si>
    <t>entity:HQ_B1.009_MV_SWITCH_ROOM</t>
  </si>
  <si>
    <t>MV_SWITCH_ROOM</t>
  </si>
  <si>
    <t>entity:HQ_B1.010_TRANSFORMER_SUBSTATION</t>
  </si>
  <si>
    <t>TRANSFORMER_SUBSTATION</t>
  </si>
  <si>
    <t>entity:HQ_B1.011_HV_INTAKE</t>
  </si>
  <si>
    <t>HV_INTAKE</t>
  </si>
  <si>
    <t>entity:HQ_B1.012_GENERATOR</t>
  </si>
  <si>
    <t>entity:HQ_B1.013_Q-TEL_INCOMING</t>
  </si>
  <si>
    <t>Q-TEL_INCOMING</t>
  </si>
  <si>
    <t>SUPPORT_SPACE_DRY_WASTE_STORAGE</t>
  </si>
  <si>
    <t>SUPPORT_SPACE_LOADING</t>
  </si>
  <si>
    <t>AHU_2</t>
  </si>
  <si>
    <t>entity:HQ_B1.017_WATER_SERVICES</t>
  </si>
  <si>
    <t>WATER_SERVICES</t>
  </si>
  <si>
    <t>entity:HQ_B1.018_PA_ROOM</t>
  </si>
  <si>
    <t>PA_ROOM</t>
  </si>
  <si>
    <t>entity:HQ_B1.020_CHILLED_WATER</t>
  </si>
  <si>
    <t>CHILLED_WATER</t>
  </si>
  <si>
    <t>entity:HQ_B1.021_FILING_STORAGE</t>
  </si>
  <si>
    <t>FILING_STORAGE</t>
  </si>
  <si>
    <t>AHU_3</t>
  </si>
  <si>
    <t>entity:HQ_B1.023_CBS_ROOM</t>
  </si>
  <si>
    <t>CBS_ROOM</t>
  </si>
  <si>
    <t>entity:HQ_B1.024_SUPPORT_SPACE_WASTE_BIN_WASH_UP_AREA</t>
  </si>
  <si>
    <t>SUPPORT_SPACE_WASTE_BIN_WASH_UP_AREA</t>
  </si>
  <si>
    <t>entity:HQ_B1.025_COOLING_EQUIPMENT_ROOM</t>
  </si>
  <si>
    <t>COOLING_EQUIPMENT_ROOM</t>
  </si>
  <si>
    <t>entity:HQ_B1.026_UPS_ROOM</t>
  </si>
  <si>
    <t>UPS_ROOM</t>
  </si>
  <si>
    <t>entity:HQ_B1.101_AUDITORIUM_BACKSTAGE</t>
  </si>
  <si>
    <t>B1.101</t>
  </si>
  <si>
    <t>AUDITORIUM_BACKSTAGE</t>
  </si>
  <si>
    <t>entity:HQ_B1.102_SERVER_ROOM</t>
  </si>
  <si>
    <t>B1.102</t>
  </si>
  <si>
    <t>SERVER_ROOM</t>
  </si>
  <si>
    <t>B1.103</t>
  </si>
  <si>
    <t>STAFF_LOBBY</t>
  </si>
  <si>
    <t>entity:HQ_B1.106_VVIP_PARKING_6_CAR_SPOTS</t>
  </si>
  <si>
    <t>B1.106</t>
  </si>
  <si>
    <t>VVIP_PARKING_6_CAR_SPOTS</t>
  </si>
  <si>
    <t>B1.107</t>
  </si>
  <si>
    <t>DOCK_MASTER_OFFICE</t>
  </si>
  <si>
    <t>entity:HQ_B1.108_SUPPORT_SPACE_WET_WASTE_STORAGE</t>
  </si>
  <si>
    <t>B1.108</t>
  </si>
  <si>
    <t>SUPPORT_SPACE_WET_WASTE_STORAGE</t>
  </si>
  <si>
    <t>B1.110</t>
  </si>
  <si>
    <t>SUPPORT_SPACE_MAIL_ROOM</t>
  </si>
  <si>
    <t>entity:HQ_B1.111_CHANGING_ROOM</t>
  </si>
  <si>
    <t>B1.111</t>
  </si>
  <si>
    <t>CHANGING_ROOM</t>
  </si>
  <si>
    <t>entity:HQ_B1.112_CHANGING_ROOM</t>
  </si>
  <si>
    <t>B1.112</t>
  </si>
  <si>
    <t>B1.113</t>
  </si>
  <si>
    <t>SHEIKHA_LOBBY_SECURITY_ROOM</t>
  </si>
  <si>
    <t>entity:HQ_B1.114_FILING_STORAGE</t>
  </si>
  <si>
    <t>B1.114</t>
  </si>
  <si>
    <t>entity:HQ_B1.115_VVIP_PARKING_4_CAR_SPOTS</t>
  </si>
  <si>
    <t>B1.115</t>
  </si>
  <si>
    <t>VVIP_PARKING_4_CAR_SPOTS</t>
  </si>
  <si>
    <t>B1.116</t>
  </si>
  <si>
    <t>SHEIKHA_LOBBY</t>
  </si>
  <si>
    <t>B1.117</t>
  </si>
  <si>
    <t>CHAUFFEUR_ROOM</t>
  </si>
  <si>
    <t>entity:HQ_B1.118_SHEIKHA_LOBBY_PANTRYRG_LOUNGE</t>
  </si>
  <si>
    <t>B1.118</t>
  </si>
  <si>
    <t>SHEIKHA_LOBBY_PANTRYRG_LOUNGE</t>
  </si>
  <si>
    <t>entity:HQ_B1.119_ELECTRICAL_CABINET</t>
  </si>
  <si>
    <t>B1.119</t>
  </si>
  <si>
    <t>ELECTRICAL_CABINET</t>
  </si>
  <si>
    <t>entity:HQ_B1.120_MDF_2_ROOM</t>
  </si>
  <si>
    <t>B1.120</t>
  </si>
  <si>
    <t>MDF_2_ROOM</t>
  </si>
  <si>
    <t>entity:HQ_B1.121_MAINTENANCE_ROOM</t>
  </si>
  <si>
    <t>B1.121</t>
  </si>
  <si>
    <t>MAINTENANCE_ROOM</t>
  </si>
  <si>
    <t>B1.122</t>
  </si>
  <si>
    <t>SUPPORT_SPACE_FOOD_STORAGE</t>
  </si>
  <si>
    <t>B1.123</t>
  </si>
  <si>
    <t>B1.401</t>
  </si>
  <si>
    <t>MALE_TOILET</t>
  </si>
  <si>
    <t>entity:HQ_B1.402_FEMALE_TOILET</t>
  </si>
  <si>
    <t>B1.402</t>
  </si>
  <si>
    <t>FEMALE_TOILET</t>
  </si>
  <si>
    <t>entity:HQ_B1.403_TOILET</t>
  </si>
  <si>
    <t>B1.403</t>
  </si>
  <si>
    <t>entity:HQ_B1.511_VESTIBULE</t>
  </si>
  <si>
    <t>B1.511</t>
  </si>
  <si>
    <t>B1.512</t>
  </si>
  <si>
    <t>IDF_ROOM</t>
  </si>
  <si>
    <t>entity:HQ_B1.541_VESTIBULE</t>
  </si>
  <si>
    <t>B1.541</t>
  </si>
  <si>
    <t>entity:HQ_B1.542_VESTIBULE</t>
  </si>
  <si>
    <t>B1.542</t>
  </si>
  <si>
    <t>entity:HQ_B1.543_VESTIBULE</t>
  </si>
  <si>
    <t>B1.543</t>
  </si>
  <si>
    <t>entity:HQ_B1.544_SUPPORT_SPACE_STORAGE</t>
  </si>
  <si>
    <t>B1.544</t>
  </si>
  <si>
    <t>SUPPORT_SPACE_STORAGE</t>
  </si>
  <si>
    <t>entity:HQ_B1.602_CORRIDOR</t>
  </si>
  <si>
    <t>B1.602</t>
  </si>
  <si>
    <t>entity:HQ_B1.603_CORRIDOR</t>
  </si>
  <si>
    <t>B1.603</t>
  </si>
  <si>
    <t>entity:HQ_B1.604_CORRIDOR</t>
  </si>
  <si>
    <t>B1.604</t>
  </si>
  <si>
    <t>entity:HQ_B1.605_CORRIDOR</t>
  </si>
  <si>
    <t>B1.605</t>
  </si>
  <si>
    <t>entity:HQ_B1.P 1_P_1</t>
  </si>
  <si>
    <t>B1.P 1</t>
  </si>
  <si>
    <t>P_1</t>
  </si>
  <si>
    <t>entity:HQ_B1.P 2_P_2</t>
  </si>
  <si>
    <t>B1.P 2</t>
  </si>
  <si>
    <t>P_2</t>
  </si>
  <si>
    <t>entity:HQ_B1.P 3_P_3</t>
  </si>
  <si>
    <t>B1.P 3</t>
  </si>
  <si>
    <t>P_3</t>
  </si>
  <si>
    <t>entity:HQ_B1.P-4_P-4</t>
  </si>
  <si>
    <t>B1.P-4</t>
  </si>
  <si>
    <t>P-4</t>
  </si>
  <si>
    <t>entity:HQ_B1.P-5_P-5</t>
  </si>
  <si>
    <t>B1.P-5</t>
  </si>
  <si>
    <t>P-5</t>
  </si>
  <si>
    <t>entity:HQ_B1.P-6_P-6</t>
  </si>
  <si>
    <t>B1.P-6</t>
  </si>
  <si>
    <t>P-6</t>
  </si>
  <si>
    <t>entity:HQ_B1.S 1_S_1</t>
  </si>
  <si>
    <t>B1.S 1</t>
  </si>
  <si>
    <t>S_1</t>
  </si>
  <si>
    <t>entity:HQ_B1.ST-1_ST-1</t>
  </si>
  <si>
    <t>ST-1</t>
  </si>
  <si>
    <t>entity:HQ_B1.ST-2_ST-2</t>
  </si>
  <si>
    <t>ST-2</t>
  </si>
  <si>
    <t>entity:HQ_B1.ST-4_ST-4</t>
  </si>
  <si>
    <t>B1.ST-4</t>
  </si>
  <si>
    <t>ST-4</t>
  </si>
  <si>
    <t>entity:HQ_B1.ST-L6_ST-L6</t>
  </si>
  <si>
    <t>B1.ST-L6</t>
  </si>
  <si>
    <t>ST-L6</t>
  </si>
  <si>
    <t>G.002</t>
  </si>
  <si>
    <t>PR_&amp;_MARKET_MANAGER</t>
  </si>
  <si>
    <t>G.003</t>
  </si>
  <si>
    <t>G.004</t>
  </si>
  <si>
    <t>G.005</t>
  </si>
  <si>
    <t>EMERGENCY_CONTROL_CENTER</t>
  </si>
  <si>
    <t>entity:HQ_G.006_AUDITORIUM_STAIRS_LOBBY</t>
  </si>
  <si>
    <t>G.006</t>
  </si>
  <si>
    <t>AUDITORIUM_STAIRS_LOBBY</t>
  </si>
  <si>
    <t>entity:HQ_G.007_VIP_DROP_OFF_ENTRANCE</t>
  </si>
  <si>
    <t>G.007</t>
  </si>
  <si>
    <t>VIP_DROP_OFF_ENTRANCE</t>
  </si>
  <si>
    <t>G.008</t>
  </si>
  <si>
    <t>G.009</t>
  </si>
  <si>
    <t>G.010</t>
  </si>
  <si>
    <t>PR_&amp;_MARKET_STAFF</t>
  </si>
  <si>
    <t>G.011</t>
  </si>
  <si>
    <t>G.012</t>
  </si>
  <si>
    <t>G.013</t>
  </si>
  <si>
    <t>G.014</t>
  </si>
  <si>
    <t>VISITOR_CENT_OFFICE</t>
  </si>
  <si>
    <t>G.015</t>
  </si>
  <si>
    <t>entity:HQ_G.016_PANTRY</t>
  </si>
  <si>
    <t>G.016</t>
  </si>
  <si>
    <t>PANTRY</t>
  </si>
  <si>
    <t>G.017</t>
  </si>
  <si>
    <t>COPY_PRINT</t>
  </si>
  <si>
    <t>G.018</t>
  </si>
  <si>
    <t>G.019</t>
  </si>
  <si>
    <t>G.020</t>
  </si>
  <si>
    <t>G.021</t>
  </si>
  <si>
    <t>G.022</t>
  </si>
  <si>
    <t>PR_&amp;_MARKET!_SECRETARY</t>
  </si>
  <si>
    <t>G.023</t>
  </si>
  <si>
    <t>entity:HQ_G.024_PEDESTRIAN_ENTRANCE</t>
  </si>
  <si>
    <t>G.024</t>
  </si>
  <si>
    <t>PEDESTRIAN_ENTRANCE</t>
  </si>
  <si>
    <t>G.025</t>
  </si>
  <si>
    <t>VIP_LOUNGE</t>
  </si>
  <si>
    <t>G.026</t>
  </si>
  <si>
    <t>FINANCE_CASHIER</t>
  </si>
  <si>
    <t>entity:HQ_G.027_PANTRY</t>
  </si>
  <si>
    <t>G.027</t>
  </si>
  <si>
    <t>G.028</t>
  </si>
  <si>
    <t>PR_&amp;_MARKET_DIRECTOR_ENSUIT</t>
  </si>
  <si>
    <t>G.029</t>
  </si>
  <si>
    <t>entity:HQ_G.03_PR_&amp;_MARKET_STAFF</t>
  </si>
  <si>
    <t>G.03</t>
  </si>
  <si>
    <t>G.031</t>
  </si>
  <si>
    <t>G.032</t>
  </si>
  <si>
    <t>G.033</t>
  </si>
  <si>
    <t>G.034</t>
  </si>
  <si>
    <t>G.035</t>
  </si>
  <si>
    <t>G.036</t>
  </si>
  <si>
    <t>G.037</t>
  </si>
  <si>
    <t>G.038</t>
  </si>
  <si>
    <t>entity:HQ_G.039_PR_&amp;_MARKET_STAFF</t>
  </si>
  <si>
    <t>G.039</t>
  </si>
  <si>
    <t>G.101</t>
  </si>
  <si>
    <t>CONFERENCE_ROOM</t>
  </si>
  <si>
    <t>entity:HQ_G.102_AUDITORIUM</t>
  </si>
  <si>
    <t>G.102</t>
  </si>
  <si>
    <t>AUDITORIUM</t>
  </si>
  <si>
    <t>G.103</t>
  </si>
  <si>
    <t>G.104</t>
  </si>
  <si>
    <t>G.105</t>
  </si>
  <si>
    <t>SHOP</t>
  </si>
  <si>
    <t>entity:HQ_G.106_STORAGE_ROOM</t>
  </si>
  <si>
    <t>G.106</t>
  </si>
  <si>
    <t>STORAGE_ROOM</t>
  </si>
  <si>
    <t>G.107</t>
  </si>
  <si>
    <t>E-TOWER_LOBBY</t>
  </si>
  <si>
    <t>G.108</t>
  </si>
  <si>
    <t>CONSULTANT_SPACE_TRAINEES</t>
  </si>
  <si>
    <t>entity:HQ_G.11_STORAGE_ROOM</t>
  </si>
  <si>
    <t>G.11</t>
  </si>
  <si>
    <t>entity:HQ_G.401_FEMALE_TOILET</t>
  </si>
  <si>
    <t>G.401</t>
  </si>
  <si>
    <t>entity:HQ_G.402_MALE_TOILET</t>
  </si>
  <si>
    <t>G.402</t>
  </si>
  <si>
    <t>entity:HQ_G.403_FEM_FEMALE_TOILET</t>
  </si>
  <si>
    <t>G.403_FEM</t>
  </si>
  <si>
    <t>entity:HQ_G.403_MAL_MALE_TOILET</t>
  </si>
  <si>
    <t>G.403_MAL</t>
  </si>
  <si>
    <t>G.405</t>
  </si>
  <si>
    <t>G.511</t>
  </si>
  <si>
    <t>G.512</t>
  </si>
  <si>
    <t>entity:HQ_G.521_STAIR_VESTIBULE</t>
  </si>
  <si>
    <t>G.521</t>
  </si>
  <si>
    <t>STAIR_VESTIBULE</t>
  </si>
  <si>
    <t>G.531</t>
  </si>
  <si>
    <t>entity:HQ_G.532_ELECTRICAL_CLOSET_1</t>
  </si>
  <si>
    <t>G.532</t>
  </si>
  <si>
    <t>ELECTRICAL_CLOSET_1</t>
  </si>
  <si>
    <t>entity:HQ_G.533_ELECTRICAL_CLOSET_2</t>
  </si>
  <si>
    <t>G.533</t>
  </si>
  <si>
    <t>ELECTRICAL_CLOSET_2</t>
  </si>
  <si>
    <t>entity:HQ_G.541_STAIR_VESTIBULES</t>
  </si>
  <si>
    <t>G.541</t>
  </si>
  <si>
    <t>STAIR_VESTIBULES</t>
  </si>
  <si>
    <t>entity:HQ_G.542_STAIR_VESTIBULE</t>
  </si>
  <si>
    <t>G.542</t>
  </si>
  <si>
    <t>entity:HQ_G.544_VESTIBULE</t>
  </si>
  <si>
    <t>G.544</t>
  </si>
  <si>
    <t>G.601</t>
  </si>
  <si>
    <t>entity:HQ_G.FF-1_FF-1</t>
  </si>
  <si>
    <t>G.FF-1</t>
  </si>
  <si>
    <t>FF-1</t>
  </si>
  <si>
    <t>entity:HQ_G.P-1_P-1</t>
  </si>
  <si>
    <t>G.P-1</t>
  </si>
  <si>
    <t>P-1</t>
  </si>
  <si>
    <t>entity:HQ_G.P-2_P-2</t>
  </si>
  <si>
    <t>G.P-2</t>
  </si>
  <si>
    <t>P-2</t>
  </si>
  <si>
    <t>entity:HQ_G.P-3_P-3</t>
  </si>
  <si>
    <t>G.P-3</t>
  </si>
  <si>
    <t>P-3</t>
  </si>
  <si>
    <t>entity:HQ_G.P-4_P-4</t>
  </si>
  <si>
    <t>G.P-4</t>
  </si>
  <si>
    <t>entity:HQ_G.P-5_P-5</t>
  </si>
  <si>
    <t>G.P-5</t>
  </si>
  <si>
    <t>entity:HQ_G.P-6_P-6</t>
  </si>
  <si>
    <t>G.P-6</t>
  </si>
  <si>
    <t>entity:HQ_G.S-1_S-1</t>
  </si>
  <si>
    <t>G.S-1</t>
  </si>
  <si>
    <t>S-1</t>
  </si>
  <si>
    <t>entity:HQ_G.ST-1_ST-1</t>
  </si>
  <si>
    <t>G.ST-1</t>
  </si>
  <si>
    <t>entity:HQ_G.ST-2_ST-2</t>
  </si>
  <si>
    <t>G.ST-2</t>
  </si>
  <si>
    <t>entity:HQ_G.ST-3_ST-3</t>
  </si>
  <si>
    <t>G.ST-3</t>
  </si>
  <si>
    <t>ST-3</t>
  </si>
  <si>
    <t>entity:HQ_G.ST-4_ST-4</t>
  </si>
  <si>
    <t>G.ST-4</t>
  </si>
  <si>
    <t>FINANCE_CLERICAL_SECRETARIES</t>
  </si>
  <si>
    <t>FINANCE_MANAGERS</t>
  </si>
  <si>
    <t>FINANCE_MANAGER</t>
  </si>
  <si>
    <t>FINANCE_SECRETARY</t>
  </si>
  <si>
    <t>FINANCE_PROFSTAFF</t>
  </si>
  <si>
    <t>FINANCE_CLERICAL_PROFSTAFF</t>
  </si>
  <si>
    <t>entity:HQ_1.009_FINANCE_MANAGER</t>
  </si>
  <si>
    <t>FINANCE_DIRECTOR_ENSUIT</t>
  </si>
  <si>
    <t>FINANCE_AUDITOR</t>
  </si>
  <si>
    <t>STAFF_LOUNGE</t>
  </si>
  <si>
    <t>entity:HQ_1.102_PRAYER_ROOM_VESTIBULE</t>
  </si>
  <si>
    <t>PRAYER_ROOM_VESTIBULE</t>
  </si>
  <si>
    <t>entity:HQ_1.103_ABLUTION_ROOM</t>
  </si>
  <si>
    <t>ABLUTION_ROOM</t>
  </si>
  <si>
    <t>entity:HQ_1.104_ABLUTION_ROOM</t>
  </si>
  <si>
    <t>PRAYER_ROOM</t>
  </si>
  <si>
    <t>FINANCE_MEETING_ROOM</t>
  </si>
  <si>
    <t>FINANCE_RECORD_STORAGE</t>
  </si>
  <si>
    <t>PRINT_COPY</t>
  </si>
  <si>
    <t>entity:HQ_1.113_PANTRY</t>
  </si>
  <si>
    <t>STAFF_LOUNGE_STORAGE</t>
  </si>
  <si>
    <t>FINANCE_SECURE_ROOM</t>
  </si>
  <si>
    <t>entity:HQ_1.403_MALE_TOILET</t>
  </si>
  <si>
    <t>entity:HQ_1.404_FEMALE_TOILET</t>
  </si>
  <si>
    <t>entity:HQ_1.405_TOILET</t>
  </si>
  <si>
    <t>entity:HQ_1.521_VESTIBULE</t>
  </si>
  <si>
    <t>entity:HQ_1.532_ELECTRICAL_CLOSET_1</t>
  </si>
  <si>
    <t>entity:HQ_1.533_ELECTRICAL_CLOSET_2</t>
  </si>
  <si>
    <t>entity:HQ_1.541_VESTIBULE</t>
  </si>
  <si>
    <t>entity:HQ_1.603_CORRIDOR</t>
  </si>
  <si>
    <t>STAFF_CAFETERIA</t>
  </si>
  <si>
    <t>FOOD_HEAT_UP</t>
  </si>
  <si>
    <t>entity:HQ_1.703_COSHSTORE</t>
  </si>
  <si>
    <t>COSHSTORE</t>
  </si>
  <si>
    <t>entity:HQ_1.704_REFUSE_HOLDING_A</t>
  </si>
  <si>
    <t>REFUSE_HOLDING_A</t>
  </si>
  <si>
    <t>entity:HQ_1.705_PREP</t>
  </si>
  <si>
    <t>PREP</t>
  </si>
  <si>
    <t>WASHING_AREA</t>
  </si>
  <si>
    <t>DOHA_DEBATE_EXECUTIVE</t>
  </si>
  <si>
    <t>DOHA_DEBATE_SECRETARY</t>
  </si>
  <si>
    <t>SUPPSERVSECRETARY</t>
  </si>
  <si>
    <t>SUPPSERVADMINIST</t>
  </si>
  <si>
    <t>SUPPSERVDIRECTOR_ENSUIT</t>
  </si>
  <si>
    <t>CONSULTANTS_SPACE-OTHERS</t>
  </si>
  <si>
    <t>entity:HQ_2.106_PANTRY</t>
  </si>
  <si>
    <t>entity:HQ_2.107_JANITORS_CLOSET</t>
  </si>
  <si>
    <t>JANITORS_CLOSET</t>
  </si>
  <si>
    <t>SUPPSERVMEETING_ROOM</t>
  </si>
  <si>
    <t>SHELL_SPACE</t>
  </si>
  <si>
    <t>entity:HQ_2.11_SHELL_SPACE</t>
  </si>
  <si>
    <t>entity:HQ_2.111_ELECTRICAL_CABINET</t>
  </si>
  <si>
    <t>SPA_MALE_RELAXATION</t>
  </si>
  <si>
    <t>SPA_MALE_TREATMENT_3</t>
  </si>
  <si>
    <t>SPA_MALE_TREATMENT_2</t>
  </si>
  <si>
    <t>SPA_MALE_TREATMENT_1</t>
  </si>
  <si>
    <t>SPA_MALE_CHANGING_ROOM</t>
  </si>
  <si>
    <t>SPA_ENTRANCE</t>
  </si>
  <si>
    <t>SPA_LOUNGE_BAR</t>
  </si>
  <si>
    <t>SPA_FITNESS_DTUDIO</t>
  </si>
  <si>
    <t>SPA_OFFICE</t>
  </si>
  <si>
    <t>SPA_STAFF_WAITING_AREA</t>
  </si>
  <si>
    <t>SPA_FEMALE_BEAUTY_SALON</t>
  </si>
  <si>
    <t>SPA_FM_TREATMENT_1</t>
  </si>
  <si>
    <t>SPA_CHANGING_ROOM</t>
  </si>
  <si>
    <t>SPA_FM_TREATMENT_2</t>
  </si>
  <si>
    <t>SPA_FM_TREATMENT_3</t>
  </si>
  <si>
    <t>SPA_FM_RELAXATION</t>
  </si>
  <si>
    <t>entity:HQ_2.217_SPA_STORAGE</t>
  </si>
  <si>
    <t>SPA_STORAGE</t>
  </si>
  <si>
    <t>entity:HQ_2.218_SPA_STORAGE</t>
  </si>
  <si>
    <t>entity:HQ_2.219_SPA_STORAGE</t>
  </si>
  <si>
    <t>entity:HQ_2.22_SPA_STERILIZATION_ROOM</t>
  </si>
  <si>
    <t>SPA_STERILIZATION_ROOM</t>
  </si>
  <si>
    <t>entity:HQ_2.301_SPA_LAUNDRY</t>
  </si>
  <si>
    <t>SPA_LAUNDRY</t>
  </si>
  <si>
    <t>SPA_PLANTROOM</t>
  </si>
  <si>
    <t>entity:HQ_2.303_SPA_LAUNDRY</t>
  </si>
  <si>
    <t>entity:HQ_2.304_SPA_MALE_HEAT_EXP</t>
  </si>
  <si>
    <t>SPA_MALE_HEAT_EXP</t>
  </si>
  <si>
    <t>entity:HQ_2.305_SPA_JACUZZI</t>
  </si>
  <si>
    <t>SPA_JACUZZI</t>
  </si>
  <si>
    <t>entity:HQ_2.306_SPA_HAMMAM</t>
  </si>
  <si>
    <t>SPA_HAMMAM</t>
  </si>
  <si>
    <t>entity:HQ_2.307_SPA_SHOWER</t>
  </si>
  <si>
    <t>SPA_SHOWER</t>
  </si>
  <si>
    <t>entity:HQ_2.308_SPA_SCRUB</t>
  </si>
  <si>
    <t>SPA_SCRUB</t>
  </si>
  <si>
    <t>entity:HQ_2.309_SPA_SAUNA</t>
  </si>
  <si>
    <t>SPA_SAUNA</t>
  </si>
  <si>
    <t>entity:HQ_2.31_SPA_TECHNIC</t>
  </si>
  <si>
    <t>SPA_TECHNIC</t>
  </si>
  <si>
    <t>entity:HQ_2.311_SPA_FM_HEAT_EXP</t>
  </si>
  <si>
    <t>SPA_FM_HEAT_EXP</t>
  </si>
  <si>
    <t>entity:HQ_2.312_SPA_SAUNA</t>
  </si>
  <si>
    <t>entity:HQ_2.313_SPA_SCRUB</t>
  </si>
  <si>
    <t>entity:HQ_2.314_SPA_SHOWER</t>
  </si>
  <si>
    <t>entity:HQ_2.315_SPA_HAMMAM</t>
  </si>
  <si>
    <t>entity:HQ_2.316_SPA_JACUZZI</t>
  </si>
  <si>
    <t>entity:HQ_2.317_SPA_TECHNIC</t>
  </si>
  <si>
    <t>entity:HQ_2.318_SPA_TECHNIC</t>
  </si>
  <si>
    <t>entity:HQ_2.401_MALE_TOILET</t>
  </si>
  <si>
    <t>entity:HQ_2.402_FEMALE_TOILET</t>
  </si>
  <si>
    <t>entity:HQ_2.403_MALE_TOILET</t>
  </si>
  <si>
    <t>entity:HQ_2.404_FEMALE_TOILET</t>
  </si>
  <si>
    <t>entity:HQ_2.405_TOILET</t>
  </si>
  <si>
    <t>entity:HQ_2.406_SPA_STAFF_FEMALE_WC</t>
  </si>
  <si>
    <t>SPA_STAFF_FEMALE_WC</t>
  </si>
  <si>
    <t>entity:HQ_2.407_SPA_STAFF_MALE_WC</t>
  </si>
  <si>
    <t>SPA_STAFF_MALE_WC</t>
  </si>
  <si>
    <t>MECHANICAL_ROOM</t>
  </si>
  <si>
    <t>entity:HQ_2.521_VESTIBULE</t>
  </si>
  <si>
    <t>entity:HQ_2.532_ELECTRICAL_CLOSET_1</t>
  </si>
  <si>
    <t>entity:HQ_2.533_ELECTRICAL_CLOSET_2</t>
  </si>
  <si>
    <t>entity:HQ_2.541_VESTIBULE</t>
  </si>
  <si>
    <t>S-TOWER_CORRIDOR</t>
  </si>
  <si>
    <t>entity:HQ_2.602_SPA_CORRIDOR</t>
  </si>
  <si>
    <t>SPA_CORRIDOR</t>
  </si>
  <si>
    <t>SPA_LOBBY</t>
  </si>
  <si>
    <t>entity:HQ_2.604_SPA_CORRIDOR</t>
  </si>
  <si>
    <t>HR_IMMIG_STAFF</t>
  </si>
  <si>
    <t>HR_IMMIG_STORAGE</t>
  </si>
  <si>
    <t>HR_IMMIG_SECRETARY</t>
  </si>
  <si>
    <t>MEETING_ROOM</t>
  </si>
  <si>
    <t>entity:HQ_3.106_PANTRY</t>
  </si>
  <si>
    <t>entity:HQ_3.107_JANITORS_CLOSET</t>
  </si>
  <si>
    <t>entity:HQ_3.108_SHELL_SPACE</t>
  </si>
  <si>
    <t>entity:HQ_3.109_ELECTRICAL_CABINET</t>
  </si>
  <si>
    <t>PROC&amp;CONTRDIRENSUIT</t>
  </si>
  <si>
    <t>COPYPRINT</t>
  </si>
  <si>
    <t>entity:HQ_3.204_PANTRY</t>
  </si>
  <si>
    <t>HR_IMMIG_IMMIGRATION</t>
  </si>
  <si>
    <t>HR_IMMIG_MANAGER</t>
  </si>
  <si>
    <t>HR_IMMIG_OFFICERS</t>
  </si>
  <si>
    <t>HR_IMMIG_SECRETARIES</t>
  </si>
  <si>
    <t>HR_IMMIG_DIRENSUIT</t>
  </si>
  <si>
    <t>IT_SECRETARY</t>
  </si>
  <si>
    <t>IT_DIRENSUIT</t>
  </si>
  <si>
    <t>PROC&amp;CONTRSECRETARY</t>
  </si>
  <si>
    <t>PROC&amp;CONTRMEETING_ROOM</t>
  </si>
  <si>
    <t>HR_IMMIG_MEETING_ROOM</t>
  </si>
  <si>
    <t>entity:HQ_3.401_MALE_TOILET</t>
  </si>
  <si>
    <t>entity:HQ_3.402_FEMALE_TOILET</t>
  </si>
  <si>
    <t>entity:HQ_3.403_MALE_TOILET</t>
  </si>
  <si>
    <t>entity:HQ_3.404_FEMALE_TOILET</t>
  </si>
  <si>
    <t>entity:HQ_3.405_MALE_TOILET</t>
  </si>
  <si>
    <t>entity:HQ_3.406_FEMALE_TOILET</t>
  </si>
  <si>
    <t>entity:HQ_3.407_TOILET</t>
  </si>
  <si>
    <t>entity:HQ_3.408_TOILET</t>
  </si>
  <si>
    <t>entity:HQ_3.409_TOILET</t>
  </si>
  <si>
    <t>entity:HQ_3.511_VESTIBULE</t>
  </si>
  <si>
    <t>entity:HQ_3.521_VESTIBULE</t>
  </si>
  <si>
    <t>entity:HQ_3.532_ELECTRICAL_CLOSET_1</t>
  </si>
  <si>
    <t>entity:HQ_3.533_ELECTRICAL_CLOSET_12</t>
  </si>
  <si>
    <t>ELECTRICAL_CLOSET_12</t>
  </si>
  <si>
    <t>entity:HQ_3.541_VESTIBULE</t>
  </si>
  <si>
    <t>E-TOWER_CORRIDOR</t>
  </si>
  <si>
    <t>CORRIDOR_BRIDGE</t>
  </si>
  <si>
    <t>STRPLDIRMANAGER</t>
  </si>
  <si>
    <t>entity:HQ_04.004_ENS_STRPLDIRENSUIT</t>
  </si>
  <si>
    <t>04.004_ENS</t>
  </si>
  <si>
    <t>STRPLDIRENSUIT</t>
  </si>
  <si>
    <t>entity:HQ_04.004_EXE_STRPLDIREXECSECRETARY</t>
  </si>
  <si>
    <t>04.004_EXE</t>
  </si>
  <si>
    <t>STRPLDIREXECSECRETARY</t>
  </si>
  <si>
    <t>STRPLDIRMEETING_ROOM</t>
  </si>
  <si>
    <t>STRPLDIRHEAD_OF_PL</t>
  </si>
  <si>
    <t>entity:HQ_04.103_ELE_ELECTRICAL_CABINET</t>
  </si>
  <si>
    <t>04.103_ELE</t>
  </si>
  <si>
    <t>entity:HQ_04.103_STO_STORAGE_SPACE</t>
  </si>
  <si>
    <t>04.103_STO</t>
  </si>
  <si>
    <t>STORAGE_SPACE</t>
  </si>
  <si>
    <t>WAITING_LOUNGE</t>
  </si>
  <si>
    <t>entity:HQ_04.105_JAN_JANITORS_CLOSET</t>
  </si>
  <si>
    <t>04.105_JAN</t>
  </si>
  <si>
    <t>entity:HQ_04.105_PAN_PANTRY</t>
  </si>
  <si>
    <t>04.105_PAN</t>
  </si>
  <si>
    <t>STRPLDIRTECHNSTAFF</t>
  </si>
  <si>
    <t>STRPLDIRARCHIVE_ROOM</t>
  </si>
  <si>
    <t>VP_EDU_STORAGE</t>
  </si>
  <si>
    <t>entity:HQ_4.202_PRINT_COPY</t>
  </si>
  <si>
    <t>entity:HQ_4.203_PANTRY</t>
  </si>
  <si>
    <t>VP_ADM_MANAGER</t>
  </si>
  <si>
    <t>entity:HQ_4.207_VP_ADM_SUPPSECRET</t>
  </si>
  <si>
    <t>VP_ADM_SUPPSECRET</t>
  </si>
  <si>
    <t>VP_ADM_EXECSECRET</t>
  </si>
  <si>
    <t>VP_ADM_PERSASSIST</t>
  </si>
  <si>
    <t>VP_ADM_ENSUIT</t>
  </si>
  <si>
    <t>entity:HQ_4.214_GSM_ROOM</t>
  </si>
  <si>
    <t>GSM_ROOM</t>
  </si>
  <si>
    <t>VP_ADM_MEETING_ROOM</t>
  </si>
  <si>
    <t>entity:HQ_4.401_MALE_TOILET</t>
  </si>
  <si>
    <t>entity:HQ_4.402_FEMALE_TOILET</t>
  </si>
  <si>
    <t>entity:HQ_4.403_MALE_TOILET</t>
  </si>
  <si>
    <t>entity:HQ_4.404_FEMALE_TOILET</t>
  </si>
  <si>
    <t>entity:HQ_4.405_TOILET</t>
  </si>
  <si>
    <t>entity:HQ_4.406_TOILET</t>
  </si>
  <si>
    <t>entity:HQ_4.511_VESTIBULE</t>
  </si>
  <si>
    <t>entity:HQ_4.514_VESTIBULE</t>
  </si>
  <si>
    <t>entity:HQ_4.521_VESTIBULE</t>
  </si>
  <si>
    <t>entity:HQ_4.532_ELECTRICAL_CLOSET</t>
  </si>
  <si>
    <t>ELECTRICAL_CLOSET</t>
  </si>
  <si>
    <t>entity:HQ_4.533_ELECTRICAL_CLOSET_2</t>
  </si>
  <si>
    <t>entity:HQ_4.602_BRIDGE</t>
  </si>
  <si>
    <t>BRIDGE</t>
  </si>
  <si>
    <t>entity:HQ_4.604_PRINT_COPY</t>
  </si>
  <si>
    <t>VP_ADM_TERRACE</t>
  </si>
  <si>
    <t>TERRACE</t>
  </si>
  <si>
    <t>VP_EDU_ASSISTANT</t>
  </si>
  <si>
    <t>VP_EDU_OFFDIRENSUIT</t>
  </si>
  <si>
    <t>VP_EDU_SECRETARY</t>
  </si>
  <si>
    <t>VP_EDU_OFFICERS</t>
  </si>
  <si>
    <t>VP_EDU_OFFICE_DIRECTOR_ENSUIT</t>
  </si>
  <si>
    <t>VP_EDU_SECRET</t>
  </si>
  <si>
    <t>VP_EDU_LOUNGE_WAITING</t>
  </si>
  <si>
    <t>entity:HQ_5.105_PANTRY</t>
  </si>
  <si>
    <t>entity:HQ_5.106_JANITORS_CLOSET</t>
  </si>
  <si>
    <t>VP_EDUCATION_SUPPSECRET</t>
  </si>
  <si>
    <t>VP_EDU_MEMBERS_OF_EDU</t>
  </si>
  <si>
    <t>entity:HQ_5.204_PANTRY</t>
  </si>
  <si>
    <t>VP_EDU_MEETING_ROOM</t>
  </si>
  <si>
    <t>VP_EDU_ENSUIT</t>
  </si>
  <si>
    <t>VP_EDU_CHPEXECSECRET</t>
  </si>
  <si>
    <t>PLANT_ROOM</t>
  </si>
  <si>
    <t>entity:HQ_5.401_MALE_TOILET</t>
  </si>
  <si>
    <t>entity:HQ_5.402_FEMALE_TOILET</t>
  </si>
  <si>
    <t>entity:HQ_5.403_MALE_TOILET</t>
  </si>
  <si>
    <t>entity:HQ_5.404_FEMALE_TOILET</t>
  </si>
  <si>
    <t>entity:HQ_5.405_TOILET</t>
  </si>
  <si>
    <t>entity:HQ_5.406_TOILET</t>
  </si>
  <si>
    <t>entity:HQ_5.407_TOILET</t>
  </si>
  <si>
    <t>entity:HQ_5.408_TOILET</t>
  </si>
  <si>
    <t>entity:HQ_5.409_TOILET</t>
  </si>
  <si>
    <t>entity:HQ_5.511_VESTIBULE</t>
  </si>
  <si>
    <t>entity:HQ_5.521_VESTIBULE</t>
  </si>
  <si>
    <t>entity:HQ_5.532_ELECTRICAL_CLOSET_1</t>
  </si>
  <si>
    <t>entity:HQ_5.533_ELECTRICAL_CLOSET_2</t>
  </si>
  <si>
    <t>entity:HQ_5.541_VESTIBULE</t>
  </si>
  <si>
    <t>entity:HQ_5.604_BRIDGE</t>
  </si>
  <si>
    <t>entity:HQ_5.701_TERRACE</t>
  </si>
  <si>
    <t>ACA_AUDIT_ARCHIVE</t>
  </si>
  <si>
    <t>INTAUDIT_ARCHIVE_ROOM</t>
  </si>
  <si>
    <t>INTAUDIT_SUPPAUDIT</t>
  </si>
  <si>
    <t>INTAUDIT_SECRETARY</t>
  </si>
  <si>
    <t>INTAUDIT_SEN_JNTAUD</t>
  </si>
  <si>
    <t>ACAAUDIT_SUPPAUDIT</t>
  </si>
  <si>
    <t>ACAAUDIT_SECRETARY</t>
  </si>
  <si>
    <t>ACAAUDIT_ACASENAUD</t>
  </si>
  <si>
    <t>FACILITY_MANAGSECRETARY</t>
  </si>
  <si>
    <t>VACILITY_MANAGDIRENSUIT</t>
  </si>
  <si>
    <t>VP_CAPITAL_CONSULTANT</t>
  </si>
  <si>
    <t>entity:HQ_6.106_PANTRY</t>
  </si>
  <si>
    <t>entity:HQ_6.107_JANITORS_CLOSET</t>
  </si>
  <si>
    <t>VP_CAPITAL_PROJCOORD</t>
  </si>
  <si>
    <t>VP_CAPITAL_WORK_ASSIST</t>
  </si>
  <si>
    <t>entity:HQ_6.11_ELECTRICAL_CABINET</t>
  </si>
  <si>
    <t>VP_CAPITAL_PROJMANAGER</t>
  </si>
  <si>
    <t>entity:HQ_6.203_PANTRY</t>
  </si>
  <si>
    <t>VP_CAPITAL_STORAGE</t>
  </si>
  <si>
    <t>VP_CAPITAL_SECRETARIES</t>
  </si>
  <si>
    <t>VP_CAPITAL_ENSUIT</t>
  </si>
  <si>
    <t>VP_CAPITAL_DIRECTOR_ENSUIT</t>
  </si>
  <si>
    <t>entity:HQ_6.301_VP_CAPITAL_MEETING_ROOM</t>
  </si>
  <si>
    <t>VP_CAPITAL_MEETING_ROOM</t>
  </si>
  <si>
    <t>entity:HQ_6.401_MALE_TOILET</t>
  </si>
  <si>
    <t>entity:HQ_6.402_FEMALE_TOILET</t>
  </si>
  <si>
    <t>entity:HQ_6.403_MALE_TOILET</t>
  </si>
  <si>
    <t>entity:HQ_6.404_FEMALE_TOILET</t>
  </si>
  <si>
    <t>entity:HQ_6.405_TOILET</t>
  </si>
  <si>
    <t>entity:HQ_6.406_TOILET</t>
  </si>
  <si>
    <t>entity:HQ_6.407_TOILET</t>
  </si>
  <si>
    <t>entity:HQ_6.511_VESTIBULE</t>
  </si>
  <si>
    <t>entity:HQ_6.521_VESTIBULE</t>
  </si>
  <si>
    <t>entity:HQ_6.532_ELECTRICAL_CLOSET</t>
  </si>
  <si>
    <t>entity:HQ_6.533_ELECTRICAL_CLOSET_2</t>
  </si>
  <si>
    <t>entity:HQ_6.541_VESTIBULE</t>
  </si>
  <si>
    <t>entity:HQ_6.602_BRIDGE_CORRIDOR</t>
  </si>
  <si>
    <t>BRIDGE_CORRIDOR</t>
  </si>
  <si>
    <t>DOCUNIT_EMPLOYEE</t>
  </si>
  <si>
    <t>DOCUNIT_MULTIMEDIA_STUDIO</t>
  </si>
  <si>
    <t>CA_COORD</t>
  </si>
  <si>
    <t>CA_ENSUIT</t>
  </si>
  <si>
    <t>CA_SECRETARY</t>
  </si>
  <si>
    <t>BD_UNIT_SECRETARY</t>
  </si>
  <si>
    <t>BD_UNIT_EXECUTIVE</t>
  </si>
  <si>
    <t>entity:HQ_7.107_PANTRY</t>
  </si>
  <si>
    <t>entity:HQ_7.108_JANITORS_CLOSET</t>
  </si>
  <si>
    <t>entity:HQ_7.109_ELECTRICAL_CABINET</t>
  </si>
  <si>
    <t>entity:HQ_7.11_VESTIBULE</t>
  </si>
  <si>
    <t>CONSULTANTS_SPACE</t>
  </si>
  <si>
    <t>PRESIDENT_EXECOFFICE</t>
  </si>
  <si>
    <t>entity:HQ_7.203_PANTRY</t>
  </si>
  <si>
    <t>entity:HQ_7.206_PRESIDENT_EXECOFFICE</t>
  </si>
  <si>
    <t>entity:HQ_7.207_PRESIDENT_EXECOFFICE</t>
  </si>
  <si>
    <t>PRESIDENT_SUPPORT_SECRET</t>
  </si>
  <si>
    <t>PRESIDENT_EXECSECRET</t>
  </si>
  <si>
    <t>PRESIDENT_ENSUIT</t>
  </si>
  <si>
    <t>PRESIDENT_MEETING_ROOM</t>
  </si>
  <si>
    <t>VICE_CHAIRPERSON_ENSUIT</t>
  </si>
  <si>
    <t>VICE_CHAIRSECRETARY</t>
  </si>
  <si>
    <t>VICE_CHAIRPERSON_MEETING_ROOM</t>
  </si>
  <si>
    <t>entity:HQ_7.401_FEMALE_TOILET</t>
  </si>
  <si>
    <t>entity:HQ_7.402_MALE_TOILET</t>
  </si>
  <si>
    <t>entity:HQ_7.403_MALE_TOILET</t>
  </si>
  <si>
    <t>entity:HQ_7.404_FEMALE_TOILET</t>
  </si>
  <si>
    <t>entity:HQ_7.405_MALE_TOILET</t>
  </si>
  <si>
    <t>entity:HQ_7.406_FEMALE_TOILET</t>
  </si>
  <si>
    <t>entity:HQ_7.407_TOILET</t>
  </si>
  <si>
    <t>entity:HQ_7.408_TOILET</t>
  </si>
  <si>
    <t>entity:HQ_7.409_TOILET</t>
  </si>
  <si>
    <t>entity:HQ_7.511_VESTIBULE</t>
  </si>
  <si>
    <t>entity:HQ_7.532_ELECTRICAL_CLOSET</t>
  </si>
  <si>
    <t>entity:HQ_7.533_ELECTRICAL_CLOSET_2</t>
  </si>
  <si>
    <t>entity:HQ_7.541_VESTIBULE</t>
  </si>
  <si>
    <t>OBSERVATION_SPACE</t>
  </si>
  <si>
    <t>VISITORS_CENTER_OFFICE</t>
  </si>
  <si>
    <t>entity:HQ_8.101_PANTRY</t>
  </si>
  <si>
    <t>entity:HQ_8.102_MAINTENANCE_STORAGE</t>
  </si>
  <si>
    <t>MAINTENANCE_STORAGE</t>
  </si>
  <si>
    <t>entity:HQ_8.103_ELECTRICAL_CABINET</t>
  </si>
  <si>
    <t>entity:HQ_8.511_VESTIBULE</t>
  </si>
  <si>
    <t>entity:HQ_8.521_VESTIBULE</t>
  </si>
  <si>
    <t>entity:HQ_8.531_ELECTRICAL_CLOSET_1</t>
  </si>
  <si>
    <t>entity:HQ_8.532_ELECTRICAL_CLOSET_2</t>
  </si>
  <si>
    <t>entity:HQ_8.541_VESTIBULE</t>
  </si>
  <si>
    <t>entity:HQ_8.601_BRIDGE</t>
  </si>
  <si>
    <t>VISITORS_CENTER_CORRIDOR</t>
  </si>
  <si>
    <t>LEGAL_ARCHIVE</t>
  </si>
  <si>
    <t>LEGAL_CONSULE</t>
  </si>
  <si>
    <t>LEGAL_LEGAL_CONSULE</t>
  </si>
  <si>
    <t>LEGAL_LEGSUPSEC</t>
  </si>
  <si>
    <t>LEGAL_LEGADVENSUIT</t>
  </si>
  <si>
    <t>BMO_EXECASSIST</t>
  </si>
  <si>
    <t>BMO_EXECSECRET</t>
  </si>
  <si>
    <t>BMO_OPERDIRENSUIT</t>
  </si>
  <si>
    <t>BMO_SUPPSECRET</t>
  </si>
  <si>
    <t>BMO_PRINT_COPY</t>
  </si>
  <si>
    <t>BMO_STORAGE</t>
  </si>
  <si>
    <t>HR_EDUADVADVISOR_ENSUIT</t>
  </si>
  <si>
    <t>BOD_EXECUTIVE</t>
  </si>
  <si>
    <t>BOD_SECRETARY</t>
  </si>
  <si>
    <t>BMO_SAFE_ROOM</t>
  </si>
  <si>
    <t>BMO_ARCHIVE_ROOM</t>
  </si>
  <si>
    <t>VISITORS_CENTER</t>
  </si>
  <si>
    <t>entity:HQ_9.102_BMO_STORAGE_TEA_GIRLS_ROOM</t>
  </si>
  <si>
    <t>BMO_STORAGE_TEA_GIRLS_ROOM</t>
  </si>
  <si>
    <t>entity:HQ_9.103_BMO_PANTRY</t>
  </si>
  <si>
    <t>BMO_PANTRY</t>
  </si>
  <si>
    <t>BMO_WAITING_AREA</t>
  </si>
  <si>
    <t>entity:HQ_9.106_STORAGE</t>
  </si>
  <si>
    <t>entity:HQ_9.107_JANITORS_CLOSET</t>
  </si>
  <si>
    <t>SUPPORT_SPACE_PREPKITCHEN</t>
  </si>
  <si>
    <t>AHU_ROOM</t>
  </si>
  <si>
    <t>SHEIKA_WING_DINING_AREA</t>
  </si>
  <si>
    <t>entity:HQ_9.112_STORAGE</t>
  </si>
  <si>
    <t>entity:HQ_9.114_SUPPORT_SPACE_WASTE_REFUGE</t>
  </si>
  <si>
    <t>SUPPORT_SPACE_WASTE_REFUGE</t>
  </si>
  <si>
    <t>entity:HQ_9.115_ELECTRICAL_CABINET</t>
  </si>
  <si>
    <t>entity:HQ_9.401_MALE_TOILET</t>
  </si>
  <si>
    <t>entity:HQ_9.402_FEMALE_TOILET</t>
  </si>
  <si>
    <t>entity:HQ_9.404_FEMALE_TOILET</t>
  </si>
  <si>
    <t>entity:HQ_9.405_TOILET</t>
  </si>
  <si>
    <t>entity:HQ_9.406_TOILET</t>
  </si>
  <si>
    <t>entity:HQ_9.407_TOILET</t>
  </si>
  <si>
    <t>entity:HQ_9.408_TOILET</t>
  </si>
  <si>
    <t>entity:HQ_9.409_TOILET</t>
  </si>
  <si>
    <t>entity:HQ_9.521_VESTIBULE</t>
  </si>
  <si>
    <t>entity:HQ_9.532_ELECTRICAL_CLOSET</t>
  </si>
  <si>
    <t>entity:HQ_9.533_ELECTRICAL_CLOSET_2</t>
  </si>
  <si>
    <t>entity:HQ_9.541_VESTIBULE</t>
  </si>
  <si>
    <t>ST-01</t>
  </si>
  <si>
    <t>ST-04</t>
  </si>
  <si>
    <t>entity:HQ_9.542_SUPPLY_AND_RETURN_AIR</t>
  </si>
  <si>
    <t>SUPPLY_AND_RETURN_AIR</t>
  </si>
  <si>
    <t>entity:HQ_9.543_RETURN-AIR</t>
  </si>
  <si>
    <t>RETURN-AIR</t>
  </si>
  <si>
    <t>entity:HQ_9.544_SUPPLY-AIR</t>
  </si>
  <si>
    <t>SUPPLY-AIR</t>
  </si>
  <si>
    <t>SHEIKHA_WING_STORAGE</t>
  </si>
  <si>
    <t>BOARD_ROOM_WAITING_AREA</t>
  </si>
  <si>
    <t>EXECDIRARCHCOORD</t>
  </si>
  <si>
    <t>SHEIKHA_WING_ARCHIVE</t>
  </si>
  <si>
    <t>EXECDIR_PROTASSIST</t>
  </si>
  <si>
    <t>PROTOCOL_DIR_SCHED_OFFICER</t>
  </si>
  <si>
    <t>PROTOCOL_DIR_CEREMOFF</t>
  </si>
  <si>
    <t>PROTOCOL_DIR_TR_&amp;_VIS_OFF</t>
  </si>
  <si>
    <t>PROTOCOL_DIRSCHED_OFFICER</t>
  </si>
  <si>
    <t>PLANNING_DIRPLANNING_ANALYST</t>
  </si>
  <si>
    <t>PLANNING_DIRSTRATPLANNER</t>
  </si>
  <si>
    <t>PLANNING_DIR_EXTCOORD</t>
  </si>
  <si>
    <t>POLICY_DIRSENPOLANALYST</t>
  </si>
  <si>
    <t>POLICY_DIR_SENRESEARCH_ANALYST</t>
  </si>
  <si>
    <t>POLICY_DIRRESANALYST</t>
  </si>
  <si>
    <t>SHSERVDIR_HR_OFFICER</t>
  </si>
  <si>
    <t>SHSERVDIRHR_ASSISTANT</t>
  </si>
  <si>
    <t>SHSERVDIRPROCURREPRESENT</t>
  </si>
  <si>
    <t>SHSERVDIRSERVICE_COORD</t>
  </si>
  <si>
    <t>SHSERVDIRGENSERVSUPERV</t>
  </si>
  <si>
    <t>SHSERVDIRFINANCCONTROL</t>
  </si>
  <si>
    <t>SHSERVDIRTR&amp;_GUSERV</t>
  </si>
  <si>
    <t>entity:HQ_10.03_PANTRY</t>
  </si>
  <si>
    <t>COMMUNICDIRCOMMDESIGNER</t>
  </si>
  <si>
    <t>COMMUNICDIRSPEECH_EDITOR</t>
  </si>
  <si>
    <t>COMMUNICDIR_TRANSLATOR</t>
  </si>
  <si>
    <t>COMMUNICDIRPUBCOMMCOORD</t>
  </si>
  <si>
    <t>SHSERVDIR_IT_SUPPORT_OFFICER</t>
  </si>
  <si>
    <t>SHSERVDIR_ACCOUNT</t>
  </si>
  <si>
    <t>SHSERVDIRSENACCOUNTANT</t>
  </si>
  <si>
    <t>SHEIKHA_WING_MULTIPURPOSE_ROOM</t>
  </si>
  <si>
    <t>entity:HQ_10.103_HH_WING_PANTRY</t>
  </si>
  <si>
    <t>HH_WING_PANTRY</t>
  </si>
  <si>
    <t>entity:HQ_10.104_HH_WING_STORAGE</t>
  </si>
  <si>
    <t>HH_WING_STORAGE</t>
  </si>
  <si>
    <t>entity:HQ_10.105_HH_WING_STORAGE</t>
  </si>
  <si>
    <t>entity:HQ_10.107_STORAGE</t>
  </si>
  <si>
    <t>entity:HQ_10.108_JANITORS_CLOSET</t>
  </si>
  <si>
    <t>BOARD_PREPROOM</t>
  </si>
  <si>
    <t>entity:HQ_10.11_SHEIKHA_WING_BOARD_ROOM</t>
  </si>
  <si>
    <t>SHEIKHA_WING_BOARD_ROOM</t>
  </si>
  <si>
    <t>AV_ROOM</t>
  </si>
  <si>
    <t>TRANSLATOR_ROOM</t>
  </si>
  <si>
    <t>entity:HQ_10.401_FEMALE_TOILET</t>
  </si>
  <si>
    <t>entity:HQ_10.402_MALE_TOILET</t>
  </si>
  <si>
    <t>entity:HQ_10.403_MALE_TOILET</t>
  </si>
  <si>
    <t>entity:HQ_10.404_FEMALE_TOILET</t>
  </si>
  <si>
    <t>entity:HQ_10.405_MALE_TOILET</t>
  </si>
  <si>
    <t>entity:HQ_10.406_FEMALE_TOILET</t>
  </si>
  <si>
    <t>entity:HQ_10.511_VESTIBULE</t>
  </si>
  <si>
    <t>entity:HQ_10.521_VESTIBULE</t>
  </si>
  <si>
    <t>entity:HQ_10.532_ELECTRICAL_CLOSET_1</t>
  </si>
  <si>
    <t>entity:HQ_10.533_ELECTRICAL_CLOSET_2</t>
  </si>
  <si>
    <t>entity:HQ_10.541_VESTIBULE</t>
  </si>
  <si>
    <t>HH-WING_CORRIDOR</t>
  </si>
  <si>
    <t>entity:HQ_10.701_TERRACE</t>
  </si>
  <si>
    <t>entity:HQ_10.P-1_P-1</t>
  </si>
  <si>
    <t>10.P-1</t>
  </si>
  <si>
    <t>entity:HQ_10.P-2_P-2</t>
  </si>
  <si>
    <t>10.P-2</t>
  </si>
  <si>
    <t>entity:HQ_10.P-3_P-3</t>
  </si>
  <si>
    <t>10.P-3</t>
  </si>
  <si>
    <t>entity:HQ_10.P-4_P-4</t>
  </si>
  <si>
    <t>10.P-4</t>
  </si>
  <si>
    <t>entity:HQ_10.P-5_P-5</t>
  </si>
  <si>
    <t>10.P-5</t>
  </si>
  <si>
    <t>entity:HQ_10.P-6_P-6</t>
  </si>
  <si>
    <t>10.P-6</t>
  </si>
  <si>
    <t>entity:HQ_10.S-1_S-1</t>
  </si>
  <si>
    <t>10.S-1</t>
  </si>
  <si>
    <t>entity:HQ_10.ST-1_ST-1</t>
  </si>
  <si>
    <t>10.ST-1</t>
  </si>
  <si>
    <t>entity:HQ_10.ST-2_ST-2</t>
  </si>
  <si>
    <t>10.ST-2</t>
  </si>
  <si>
    <t>entity:HQ_10.ST-3_ST-3</t>
  </si>
  <si>
    <t>10.ST-3</t>
  </si>
  <si>
    <t>entity:HQ_10.ST-4_ST-4</t>
  </si>
  <si>
    <t>10.ST-4</t>
  </si>
  <si>
    <t>COMMUNICDIR_COMMUNICATION_DIRECTOR</t>
  </si>
  <si>
    <t>COMMUNICDIRMEDRELOFFICER</t>
  </si>
  <si>
    <t>SHSERVDIR_DIRSHARED_SERVICES</t>
  </si>
  <si>
    <t>EXECDIRECTOR_ADMASSIST</t>
  </si>
  <si>
    <t>PROTOCOL_DIRPROTOCOL_DIRECTOR</t>
  </si>
  <si>
    <t>PROTOCOL_DIRGIFTS_DIRECTOR</t>
  </si>
  <si>
    <t>EXECDIRCONSULTANT</t>
  </si>
  <si>
    <t>SECRETARY</t>
  </si>
  <si>
    <t>POLICY_DIRDIROF_POL&amp;_RES</t>
  </si>
  <si>
    <t>PLANNING_DIRDIRPLANNING</t>
  </si>
  <si>
    <t>EXECDIRCORRF-UP</t>
  </si>
  <si>
    <t>EXECDIRCORRMANAGER</t>
  </si>
  <si>
    <t>EXECDIRLEGAL_ASSIST</t>
  </si>
  <si>
    <t>EXECDIRLEGAL_ADVISOR</t>
  </si>
  <si>
    <t>EXECDIREXECASSIST</t>
  </si>
  <si>
    <t>EXECDIR_DEPEXECDIRECTOR</t>
  </si>
  <si>
    <t>EXECDIREXECDIRECTOR</t>
  </si>
  <si>
    <t>SHEIKHA_WING_WAITING_ROOM</t>
  </si>
  <si>
    <t>SHEIKHA_WING_SECURITY_ROOM</t>
  </si>
  <si>
    <t>entity:HQ_11.101_AV_ROOM</t>
  </si>
  <si>
    <t>HH_WING_BUSINESS_LOUNGE</t>
  </si>
  <si>
    <t>entity:HQ_11.104_PANTRY</t>
  </si>
  <si>
    <t>entity:HQ_11.105_JANITORS_CLOSET</t>
  </si>
  <si>
    <t>ELECTRICAL_ROOM</t>
  </si>
  <si>
    <t>AV_IT</t>
  </si>
  <si>
    <t>SHEIKHA_WING_LOBBY</t>
  </si>
  <si>
    <t>SHEIKHA_WING_SHEIKHA_ENSUIT</t>
  </si>
  <si>
    <t>SHEIKHA_WING_RELAX_AREA</t>
  </si>
  <si>
    <t>SHEIKHA_WING_MEETING_ROOM</t>
  </si>
  <si>
    <t>entity:HQ_11.401_MALE_TOILET</t>
  </si>
  <si>
    <t>entity:HQ_11.402_FEMALE_TOILET</t>
  </si>
  <si>
    <t>entity:HQ_11.403_SHEIKHA_WING_BATHROOM</t>
  </si>
  <si>
    <t>SHEIKHA_WING_BATHROOM</t>
  </si>
  <si>
    <t>entity:HQ_11.404_TOILET</t>
  </si>
  <si>
    <t>entity:HQ_11.405_TOILET</t>
  </si>
  <si>
    <t>entity:HQ_11.406_TOILET</t>
  </si>
  <si>
    <t>entity:HQ_11.407_TOILET</t>
  </si>
  <si>
    <t>entity:HQ_11.408_TOILET</t>
  </si>
  <si>
    <t>entity:HQ_11.409_TOILET</t>
  </si>
  <si>
    <t>entity:HQ_11.41_TOILET</t>
  </si>
  <si>
    <t>entity:HQ_11.411_TOILET</t>
  </si>
  <si>
    <t>entity:HQ_11.412_TOILET</t>
  </si>
  <si>
    <t>entity:HQ_11.511_VESTIBULE</t>
  </si>
  <si>
    <t>entity:HQ_11.521_VESTIBULE</t>
  </si>
  <si>
    <t>entity:HQ_11.532_ELECTRICAL_CLOSET</t>
  </si>
  <si>
    <t>entity:HQ_11.533_ELECTRICAL_CLOSET_2</t>
  </si>
  <si>
    <t>entity:HQ_11.541_VESTIBULE</t>
  </si>
  <si>
    <t>entity:HQ_11.701_SHEIKHA_WING_TERRACE</t>
  </si>
  <si>
    <t>SHEIKHA_WING_TERRACE</t>
  </si>
  <si>
    <t>entity:HQ_11.702_TERRACE</t>
  </si>
  <si>
    <t>entity:HQ_11.709_SHEIKHA_WING_CONFERENCE_ROOM</t>
  </si>
  <si>
    <t>SHEIKHA_WING_CONFERENCE_ROOM</t>
  </si>
  <si>
    <t>entity:HQ_11.P-1_P-1</t>
  </si>
  <si>
    <t>11.P-1</t>
  </si>
  <si>
    <t>entity:HQ_11.P-2_P-2</t>
  </si>
  <si>
    <t>11.P-2</t>
  </si>
  <si>
    <t>entity:HQ_11.P-3_P-3</t>
  </si>
  <si>
    <t>11.P-3</t>
  </si>
  <si>
    <t>entity:HQ_11.P-4_P-4</t>
  </si>
  <si>
    <t>11.P-4</t>
  </si>
  <si>
    <t>entity:HQ_11.P-5_P-5</t>
  </si>
  <si>
    <t>11.P-5</t>
  </si>
  <si>
    <t>entity:HQ_11.P-6_P-6</t>
  </si>
  <si>
    <t>11.P-6</t>
  </si>
  <si>
    <t>entity:HQ_11.ST-2_ST-2</t>
  </si>
  <si>
    <t>11.ST-2</t>
  </si>
  <si>
    <t>entity:HQ_11.ST-3_ST-3</t>
  </si>
  <si>
    <t>11.ST-3</t>
  </si>
  <si>
    <t>entity:HQ_11.ST-4_ST-4</t>
  </si>
  <si>
    <t>11.ST-4</t>
  </si>
  <si>
    <t>ROOF</t>
  </si>
  <si>
    <t>MCC_CLOSET</t>
  </si>
  <si>
    <t>STAFF_ENTRANCE</t>
  </si>
  <si>
    <t>G.001</t>
  </si>
  <si>
    <t>G.030</t>
  </si>
  <si>
    <t>STAFF</t>
  </si>
  <si>
    <t>G.602</t>
  </si>
  <si>
    <t>CORRIDOR_(SOUTH_EAST)</t>
  </si>
  <si>
    <t>G.603</t>
  </si>
  <si>
    <t>GROUND_FLOOR_VIP_ENTRANCE</t>
  </si>
  <si>
    <t>2.110A</t>
  </si>
  <si>
    <t>OFFICE_SPACE</t>
  </si>
  <si>
    <t>2.101A</t>
  </si>
  <si>
    <t>3.105B</t>
  </si>
  <si>
    <t>3.105A</t>
  </si>
  <si>
    <t>FEMALE_PRAYER_ROOM</t>
  </si>
  <si>
    <t>3.202A</t>
  </si>
  <si>
    <t>3.202B</t>
  </si>
  <si>
    <t>STR_PL_DIR_ENSUIT</t>
  </si>
  <si>
    <t>STR_PL_DIR_EXEC_SECRE</t>
  </si>
  <si>
    <t>7.031A</t>
  </si>
  <si>
    <t>10.002E</t>
  </si>
  <si>
    <t>10.002D</t>
  </si>
  <si>
    <t>10.002C</t>
  </si>
  <si>
    <t>10.002A</t>
  </si>
  <si>
    <t>SHEIKHA_WING_BUSINESS_LOUNGE</t>
  </si>
  <si>
    <t>B1.109</t>
  </si>
  <si>
    <t>ROOM</t>
  </si>
  <si>
    <t>10.002B</t>
  </si>
  <si>
    <t>SHEIKHA_WING_CORRIDOR</t>
  </si>
  <si>
    <t>COMMUNIC_DIR_COMMUNICATION_DIRECTOR</t>
  </si>
  <si>
    <t>ROOF_PLANT_WALKWAY</t>
  </si>
  <si>
    <t>Equipment Match Audit</t>
  </si>
  <si>
    <t>Rooms listed (col A)</t>
  </si>
  <si>
    <t>Equipment names returned</t>
  </si>
  <si>
    <t>Rooms with no equipment</t>
  </si>
  <si>
    <t>Equipment in source register</t>
  </si>
  <si>
    <t>Asked me to read and explain the column D formula on 'HQ Room Names with Equip.' and confirm whether 771 equipment names are returned (cells not equal to 'No Equipment in entity').</t>
  </si>
  <si>
    <t>Explained the spilling FILTER/TRANSPOSE formula, then counted equipment names across the full spill region D2:L1042 and reconciled against the source register A4:A777. Added a live audit block at N1:O6.</t>
  </si>
  <si>
    <t>Key point: the formula TRANSPOSE(FILTER('Controllable Asset Registry'!A4:A777, E4:E777=A2, "No Equipment in entity")) spills HORIZONTALLY, so a room with multiple assets fills D, E, F ... up to column L. Counting column D alone undercounts. Audit formulas used: O3 =COUNTA(D2:L1042)-COUNTIF(D2:L1042,"No Equipment in entity"); O4 =COUNTIF(...); O5 =COUNTA(source); O6 =O5-O3. Also checked for duplicate returns (0) and error cells (0).</t>
  </si>
  <si>
    <t>Count is 772, not 771. 1041 rooms, 434 with no equipment, 774 equipment rows in source, 2 unplaced: FCU0097 (row 126, col D says NOT FOUND ON THE DRAWING OR SCHEDULE) and VAV0558 (row 718) - both have a blank column E room entity so they can never match. Open item: user to decide whether to assign room entities to those 2 assets.</t>
  </si>
  <si>
    <t>Acknowledged the equipment count findings - no further work requested.</t>
  </si>
  <si>
    <t>No changes made to the workbook.</t>
  </si>
  <si>
    <t>Confirmed count stands at 772 equipment names returned (not 771), with 2 unplaced assets due to blank room entities.</t>
  </si>
  <si>
    <t>Closed. Open item carried forward from turn 47: FCU0097 (row 126) and VAV0558 (row 718) still have no room entity in Controllable Asset Registry column E and remain unmatched.</t>
  </si>
  <si>
    <t>1.001</t>
  </si>
  <si>
    <t>1.002</t>
  </si>
  <si>
    <t>1.003</t>
  </si>
  <si>
    <t>1.004</t>
  </si>
  <si>
    <t>1.005</t>
  </si>
  <si>
    <t>1.006</t>
  </si>
  <si>
    <t>1.007</t>
  </si>
  <si>
    <t>1.009</t>
  </si>
  <si>
    <t>1.011</t>
  </si>
  <si>
    <t>1.012</t>
  </si>
  <si>
    <t>1.013</t>
  </si>
  <si>
    <t>1.014</t>
  </si>
  <si>
    <t>1.015</t>
  </si>
  <si>
    <t>1.016</t>
  </si>
  <si>
    <t>1.017</t>
  </si>
  <si>
    <t>1.018</t>
  </si>
  <si>
    <t>1.019</t>
  </si>
  <si>
    <t>1.02</t>
  </si>
  <si>
    <t>1.021</t>
  </si>
  <si>
    <t>1.022</t>
  </si>
  <si>
    <t>1.023</t>
  </si>
  <si>
    <t>1.024</t>
  </si>
  <si>
    <t>1.025</t>
  </si>
  <si>
    <t>1.026</t>
  </si>
  <si>
    <t>1.027</t>
  </si>
  <si>
    <t>1.028</t>
  </si>
  <si>
    <t>1.101</t>
  </si>
  <si>
    <t>1.102</t>
  </si>
  <si>
    <t>1.103</t>
  </si>
  <si>
    <t>1.104</t>
  </si>
  <si>
    <t>1.105</t>
  </si>
  <si>
    <t>1.106</t>
  </si>
  <si>
    <t>1.108</t>
  </si>
  <si>
    <t>1.109</t>
  </si>
  <si>
    <t>1.11</t>
  </si>
  <si>
    <t>1.111</t>
  </si>
  <si>
    <t>1.112</t>
  </si>
  <si>
    <t>1.113</t>
  </si>
  <si>
    <t>1.114</t>
  </si>
  <si>
    <t>1.115</t>
  </si>
  <si>
    <t>1.116</t>
  </si>
  <si>
    <t>1.117</t>
  </si>
  <si>
    <t>1.403</t>
  </si>
  <si>
    <t>1.404</t>
  </si>
  <si>
    <t>1.405</t>
  </si>
  <si>
    <t>1.512</t>
  </si>
  <si>
    <t>1.521</t>
  </si>
  <si>
    <t>1.531</t>
  </si>
  <si>
    <t>1.532</t>
  </si>
  <si>
    <t>1.533</t>
  </si>
  <si>
    <t>1.541</t>
  </si>
  <si>
    <t>1.601</t>
  </si>
  <si>
    <t>1.602</t>
  </si>
  <si>
    <t>1.603</t>
  </si>
  <si>
    <t>1.701</t>
  </si>
  <si>
    <t>1.702</t>
  </si>
  <si>
    <t>1.703</t>
  </si>
  <si>
    <t>1.704</t>
  </si>
  <si>
    <t>1.705</t>
  </si>
  <si>
    <t>1.706</t>
  </si>
  <si>
    <t>2.001</t>
  </si>
  <si>
    <t>2.002</t>
  </si>
  <si>
    <t>2.003</t>
  </si>
  <si>
    <t>2.004</t>
  </si>
  <si>
    <t>2.005</t>
  </si>
  <si>
    <t>2.006</t>
  </si>
  <si>
    <t>2.007</t>
  </si>
  <si>
    <t>2.008</t>
  </si>
  <si>
    <t>2.009</t>
  </si>
  <si>
    <t>2.01</t>
  </si>
  <si>
    <t>2.011</t>
  </si>
  <si>
    <t>2.012</t>
  </si>
  <si>
    <t>2.013</t>
  </si>
  <si>
    <t>2.014</t>
  </si>
  <si>
    <t>2.015</t>
  </si>
  <si>
    <t>2.016</t>
  </si>
  <si>
    <t>2.017</t>
  </si>
  <si>
    <t>2.018</t>
  </si>
  <si>
    <t>2.019</t>
  </si>
  <si>
    <t>2.02</t>
  </si>
  <si>
    <t>2.021</t>
  </si>
  <si>
    <t>2.022</t>
  </si>
  <si>
    <t>2.023</t>
  </si>
  <si>
    <t>2.024</t>
  </si>
  <si>
    <t>2.025</t>
  </si>
  <si>
    <t>2.026</t>
  </si>
  <si>
    <t>2.027</t>
  </si>
  <si>
    <t>2.028</t>
  </si>
  <si>
    <t>2.029</t>
  </si>
  <si>
    <t>2.03</t>
  </si>
  <si>
    <t>2.031</t>
  </si>
  <si>
    <t>2.032</t>
  </si>
  <si>
    <t>2.033</t>
  </si>
  <si>
    <t>2.034</t>
  </si>
  <si>
    <t>2.035</t>
  </si>
  <si>
    <t>2.036</t>
  </si>
  <si>
    <t>2.102</t>
  </si>
  <si>
    <t>2.103</t>
  </si>
  <si>
    <t>2.104</t>
  </si>
  <si>
    <t>2.105</t>
  </si>
  <si>
    <t>2.106</t>
  </si>
  <si>
    <t>2.107</t>
  </si>
  <si>
    <t>2.108</t>
  </si>
  <si>
    <t>2.109</t>
  </si>
  <si>
    <t>2.11</t>
  </si>
  <si>
    <t>2.111</t>
  </si>
  <si>
    <t>2.201</t>
  </si>
  <si>
    <t>2.202</t>
  </si>
  <si>
    <t>2.203</t>
  </si>
  <si>
    <t>2.204</t>
  </si>
  <si>
    <t>2.205</t>
  </si>
  <si>
    <t>2.206</t>
  </si>
  <si>
    <t>2.207</t>
  </si>
  <si>
    <t>2.208</t>
  </si>
  <si>
    <t>2.209</t>
  </si>
  <si>
    <t>2.21</t>
  </si>
  <si>
    <t>2.211</t>
  </si>
  <si>
    <t>2.212</t>
  </si>
  <si>
    <t>2.213</t>
  </si>
  <si>
    <t>2.214</t>
  </si>
  <si>
    <t>2.215</t>
  </si>
  <si>
    <t>2.216</t>
  </si>
  <si>
    <t>2.217</t>
  </si>
  <si>
    <t>2.218</t>
  </si>
  <si>
    <t>2.219</t>
  </si>
  <si>
    <t>2.22</t>
  </si>
  <si>
    <t>2.301</t>
  </si>
  <si>
    <t>2.302</t>
  </si>
  <si>
    <t>2.303</t>
  </si>
  <si>
    <t>2.304</t>
  </si>
  <si>
    <t>2.305</t>
  </si>
  <si>
    <t>2.306</t>
  </si>
  <si>
    <t>2.307</t>
  </si>
  <si>
    <t>2.308</t>
  </si>
  <si>
    <t>2.309</t>
  </si>
  <si>
    <t>2.31</t>
  </si>
  <si>
    <t>2.311</t>
  </si>
  <si>
    <t>2.312</t>
  </si>
  <si>
    <t>2.313</t>
  </si>
  <si>
    <t>2.314</t>
  </si>
  <si>
    <t>2.315</t>
  </si>
  <si>
    <t>2.316</t>
  </si>
  <si>
    <t>2.317</t>
  </si>
  <si>
    <t>2.318</t>
  </si>
  <si>
    <t>2.401</t>
  </si>
  <si>
    <t>2.402</t>
  </si>
  <si>
    <t>2.403</t>
  </si>
  <si>
    <t>2.404</t>
  </si>
  <si>
    <t>2.405</t>
  </si>
  <si>
    <t>2.406</t>
  </si>
  <si>
    <t>2.407</t>
  </si>
  <si>
    <t>2.512</t>
  </si>
  <si>
    <t>2.521</t>
  </si>
  <si>
    <t>2.531</t>
  </si>
  <si>
    <t>2.532</t>
  </si>
  <si>
    <t>2.533</t>
  </si>
  <si>
    <t>2.541</t>
  </si>
  <si>
    <t>2.601</t>
  </si>
  <si>
    <t>2.602</t>
  </si>
  <si>
    <t>2.603</t>
  </si>
  <si>
    <t>2.604</t>
  </si>
  <si>
    <t>3.001</t>
  </si>
  <si>
    <t>3.002</t>
  </si>
  <si>
    <t>3.003</t>
  </si>
  <si>
    <t>3.004</t>
  </si>
  <si>
    <t>3.005</t>
  </si>
  <si>
    <t>3.006</t>
  </si>
  <si>
    <t>3.007</t>
  </si>
  <si>
    <t>3.008</t>
  </si>
  <si>
    <t>3.009</t>
  </si>
  <si>
    <t>3.01</t>
  </si>
  <si>
    <t>3.011</t>
  </si>
  <si>
    <t>3.012</t>
  </si>
  <si>
    <t>3.013</t>
  </si>
  <si>
    <t>3.014</t>
  </si>
  <si>
    <t>3.015</t>
  </si>
  <si>
    <t>3.016</t>
  </si>
  <si>
    <t>3.017</t>
  </si>
  <si>
    <t>3.018</t>
  </si>
  <si>
    <t>3.019</t>
  </si>
  <si>
    <t>3.02</t>
  </si>
  <si>
    <t>3.021</t>
  </si>
  <si>
    <t>3.022</t>
  </si>
  <si>
    <t>3.023</t>
  </si>
  <si>
    <t>3.024</t>
  </si>
  <si>
    <t>3.025</t>
  </si>
  <si>
    <t>3.026</t>
  </si>
  <si>
    <t>3.027</t>
  </si>
  <si>
    <t>3.028</t>
  </si>
  <si>
    <t>3.029</t>
  </si>
  <si>
    <t>3.03</t>
  </si>
  <si>
    <t>3.031</t>
  </si>
  <si>
    <t>3.032</t>
  </si>
  <si>
    <t>3.033</t>
  </si>
  <si>
    <t>3.101</t>
  </si>
  <si>
    <t>3.102</t>
  </si>
  <si>
    <t>3.103</t>
  </si>
  <si>
    <t>3.104</t>
  </si>
  <si>
    <t>3.106</t>
  </si>
  <si>
    <t>3.107</t>
  </si>
  <si>
    <t>3.108</t>
  </si>
  <si>
    <t>3.109</t>
  </si>
  <si>
    <t>3.201</t>
  </si>
  <si>
    <t>3.203</t>
  </si>
  <si>
    <t>3.204</t>
  </si>
  <si>
    <t>3.205</t>
  </si>
  <si>
    <t>3.206</t>
  </si>
  <si>
    <t>3.207</t>
  </si>
  <si>
    <t>3.208</t>
  </si>
  <si>
    <t>3.209</t>
  </si>
  <si>
    <t>3.21</t>
  </si>
  <si>
    <t>3.211</t>
  </si>
  <si>
    <t>3.212</t>
  </si>
  <si>
    <t>3.213</t>
  </si>
  <si>
    <t>3.214</t>
  </si>
  <si>
    <t>3.215</t>
  </si>
  <si>
    <t>3.216</t>
  </si>
  <si>
    <t>3.301</t>
  </si>
  <si>
    <t>3.302</t>
  </si>
  <si>
    <t>3.401</t>
  </si>
  <si>
    <t>3.402</t>
  </si>
  <si>
    <t>3.403</t>
  </si>
  <si>
    <t>3.404</t>
  </si>
  <si>
    <t>3.405</t>
  </si>
  <si>
    <t>3.406</t>
  </si>
  <si>
    <t>3.407</t>
  </si>
  <si>
    <t>3.408</t>
  </si>
  <si>
    <t>3.409</t>
  </si>
  <si>
    <t>3.511</t>
  </si>
  <si>
    <t>3.512</t>
  </si>
  <si>
    <t>3.521</t>
  </si>
  <si>
    <t>3.531</t>
  </si>
  <si>
    <t>3.532</t>
  </si>
  <si>
    <t>3.533</t>
  </si>
  <si>
    <t>3.541</t>
  </si>
  <si>
    <t>3.601</t>
  </si>
  <si>
    <t>3.602</t>
  </si>
  <si>
    <t>3.603</t>
  </si>
  <si>
    <t>4.002</t>
  </si>
  <si>
    <t>4.005</t>
  </si>
  <si>
    <t>4.006</t>
  </si>
  <si>
    <t>4.007</t>
  </si>
  <si>
    <t>4.008</t>
  </si>
  <si>
    <t>4.009</t>
  </si>
  <si>
    <t>4.01</t>
  </si>
  <si>
    <t>4.011</t>
  </si>
  <si>
    <t>4.012</t>
  </si>
  <si>
    <t>4.013</t>
  </si>
  <si>
    <t>4.014</t>
  </si>
  <si>
    <t>4.101</t>
  </si>
  <si>
    <t>4.102</t>
  </si>
  <si>
    <t>4.104</t>
  </si>
  <si>
    <t>4.107</t>
  </si>
  <si>
    <t>4.108</t>
  </si>
  <si>
    <t>4.109</t>
  </si>
  <si>
    <t>4.201</t>
  </si>
  <si>
    <t>4.202</t>
  </si>
  <si>
    <t>4.203</t>
  </si>
  <si>
    <t>4.204</t>
  </si>
  <si>
    <t>4.205</t>
  </si>
  <si>
    <t>4.206</t>
  </si>
  <si>
    <t>4.207</t>
  </si>
  <si>
    <t>4.208</t>
  </si>
  <si>
    <t>4.209</t>
  </si>
  <si>
    <t>4.21</t>
  </si>
  <si>
    <t>4.211</t>
  </si>
  <si>
    <t>4.212</t>
  </si>
  <si>
    <t>4.213</t>
  </si>
  <si>
    <t>4.214</t>
  </si>
  <si>
    <t>4.301</t>
  </si>
  <si>
    <t>4.401</t>
  </si>
  <si>
    <t>4.402</t>
  </si>
  <si>
    <t>4.403</t>
  </si>
  <si>
    <t>4.404</t>
  </si>
  <si>
    <t>4.405</t>
  </si>
  <si>
    <t>4.406</t>
  </si>
  <si>
    <t>4.511</t>
  </si>
  <si>
    <t>4.512</t>
  </si>
  <si>
    <t>4.514</t>
  </si>
  <si>
    <t>4.521</t>
  </si>
  <si>
    <t>4.531</t>
  </si>
  <si>
    <t>4.532</t>
  </si>
  <si>
    <t>4.533</t>
  </si>
  <si>
    <t>4.601</t>
  </si>
  <si>
    <t>4.602</t>
  </si>
  <si>
    <t>4.603</t>
  </si>
  <si>
    <t>4.604</t>
  </si>
  <si>
    <t>4.701</t>
  </si>
  <si>
    <t>4.702</t>
  </si>
  <si>
    <t>4.703</t>
  </si>
  <si>
    <t>5.001</t>
  </si>
  <si>
    <t>5.002</t>
  </si>
  <si>
    <t>5.003</t>
  </si>
  <si>
    <t>5.004</t>
  </si>
  <si>
    <t>5.005</t>
  </si>
  <si>
    <t>5.006</t>
  </si>
  <si>
    <t>5.007</t>
  </si>
  <si>
    <t>5.008</t>
  </si>
  <si>
    <t>5.011</t>
  </si>
  <si>
    <t>5.012</t>
  </si>
  <si>
    <t>5.013</t>
  </si>
  <si>
    <t>5.014</t>
  </si>
  <si>
    <t>5.015</t>
  </si>
  <si>
    <t>5.016</t>
  </si>
  <si>
    <t>5.017</t>
  </si>
  <si>
    <t>5.018</t>
  </si>
  <si>
    <t>5.019</t>
  </si>
  <si>
    <t>5.021</t>
  </si>
  <si>
    <t>5.022</t>
  </si>
  <si>
    <t>5.023</t>
  </si>
  <si>
    <t>5.024</t>
  </si>
  <si>
    <t>5.025</t>
  </si>
  <si>
    <t>5.026</t>
  </si>
  <si>
    <t>5.027</t>
  </si>
  <si>
    <t>5.101</t>
  </si>
  <si>
    <t>5.102</t>
  </si>
  <si>
    <t>5.103</t>
  </si>
  <si>
    <t>5.104</t>
  </si>
  <si>
    <t>5.105</t>
  </si>
  <si>
    <t>5.106</t>
  </si>
  <si>
    <t>5.107</t>
  </si>
  <si>
    <t>5.108</t>
  </si>
  <si>
    <t>5.109</t>
  </si>
  <si>
    <t>5.201</t>
  </si>
  <si>
    <t>5.202</t>
  </si>
  <si>
    <t>5.203</t>
  </si>
  <si>
    <t>5.204</t>
  </si>
  <si>
    <t>5.205</t>
  </si>
  <si>
    <t>5.206</t>
  </si>
  <si>
    <t>5.207</t>
  </si>
  <si>
    <t>5.208</t>
  </si>
  <si>
    <t>5.209</t>
  </si>
  <si>
    <t>5.211</t>
  </si>
  <si>
    <t>5.212</t>
  </si>
  <si>
    <t>5.213</t>
  </si>
  <si>
    <t>5.301</t>
  </si>
  <si>
    <t>5.401</t>
  </si>
  <si>
    <t>5.402</t>
  </si>
  <si>
    <t>5.403</t>
  </si>
  <si>
    <t>5.404</t>
  </si>
  <si>
    <t>5.405</t>
  </si>
  <si>
    <t>5.406</t>
  </si>
  <si>
    <t>5.407</t>
  </si>
  <si>
    <t>5.408</t>
  </si>
  <si>
    <t>5.409</t>
  </si>
  <si>
    <t>5.511</t>
  </si>
  <si>
    <t>5.512</t>
  </si>
  <si>
    <t>5.521</t>
  </si>
  <si>
    <t>5.531</t>
  </si>
  <si>
    <t>5.532</t>
  </si>
  <si>
    <t>5.533</t>
  </si>
  <si>
    <t>5.541</t>
  </si>
  <si>
    <t>5.601</t>
  </si>
  <si>
    <t>5.602</t>
  </si>
  <si>
    <t>5.604</t>
  </si>
  <si>
    <t>5.701</t>
  </si>
  <si>
    <t>6.001</t>
  </si>
  <si>
    <t>6.002</t>
  </si>
  <si>
    <t>6.003</t>
  </si>
  <si>
    <t>6.004</t>
  </si>
  <si>
    <t>6.005</t>
  </si>
  <si>
    <t>6.006</t>
  </si>
  <si>
    <t>6.007</t>
  </si>
  <si>
    <t>6.008</t>
  </si>
  <si>
    <t>6.009</t>
  </si>
  <si>
    <t>6.01</t>
  </si>
  <si>
    <t>6.011</t>
  </si>
  <si>
    <t>6.012</t>
  </si>
  <si>
    <t>6.013</t>
  </si>
  <si>
    <t>6.014</t>
  </si>
  <si>
    <t>6.015</t>
  </si>
  <si>
    <t>6.016</t>
  </si>
  <si>
    <t>6.017</t>
  </si>
  <si>
    <t>6.018</t>
  </si>
  <si>
    <t>6.019</t>
  </si>
  <si>
    <t>6.02</t>
  </si>
  <si>
    <t>6.021</t>
  </si>
  <si>
    <t>6.022</t>
  </si>
  <si>
    <t>6.023</t>
  </si>
  <si>
    <t>6.024</t>
  </si>
  <si>
    <t>6.025</t>
  </si>
  <si>
    <t>6.026</t>
  </si>
  <si>
    <t>6.027</t>
  </si>
  <si>
    <t>6.028</t>
  </si>
  <si>
    <t>6.101</t>
  </si>
  <si>
    <t>6.102</t>
  </si>
  <si>
    <t>6.103</t>
  </si>
  <si>
    <t>6.104</t>
  </si>
  <si>
    <t>6.105</t>
  </si>
  <si>
    <t>6.106</t>
  </si>
  <si>
    <t>6.107</t>
  </si>
  <si>
    <t>6.108</t>
  </si>
  <si>
    <t>6.109</t>
  </si>
  <si>
    <t>6.11</t>
  </si>
  <si>
    <t>6.201</t>
  </si>
  <si>
    <t>6.202</t>
  </si>
  <si>
    <t>6.203</t>
  </si>
  <si>
    <t>6.204</t>
  </si>
  <si>
    <t>6.205</t>
  </si>
  <si>
    <t>6.206</t>
  </si>
  <si>
    <t>6.207</t>
  </si>
  <si>
    <t>6.208</t>
  </si>
  <si>
    <t>6.209</t>
  </si>
  <si>
    <t>6.21</t>
  </si>
  <si>
    <t>6.211</t>
  </si>
  <si>
    <t>6.212</t>
  </si>
  <si>
    <t>6.301</t>
  </si>
  <si>
    <t>6.401</t>
  </si>
  <si>
    <t>6.402</t>
  </si>
  <si>
    <t>6.403</t>
  </si>
  <si>
    <t>6.404</t>
  </si>
  <si>
    <t>6.405</t>
  </si>
  <si>
    <t>6.406</t>
  </si>
  <si>
    <t>6.407</t>
  </si>
  <si>
    <t>6.511</t>
  </si>
  <si>
    <t>6.512</t>
  </si>
  <si>
    <t>6.521</t>
  </si>
  <si>
    <t>6.531</t>
  </si>
  <si>
    <t>6.532</t>
  </si>
  <si>
    <t>6.533</t>
  </si>
  <si>
    <t>6.541</t>
  </si>
  <si>
    <t>6.601</t>
  </si>
  <si>
    <t>6.602</t>
  </si>
  <si>
    <t>6.603</t>
  </si>
  <si>
    <t>6.604</t>
  </si>
  <si>
    <t>7.001</t>
  </si>
  <si>
    <t>7.002</t>
  </si>
  <si>
    <t>7.003</t>
  </si>
  <si>
    <t>7.004</t>
  </si>
  <si>
    <t>7.005</t>
  </si>
  <si>
    <t>7.006</t>
  </si>
  <si>
    <t>7.007</t>
  </si>
  <si>
    <t>7.008</t>
  </si>
  <si>
    <t>7.009</t>
  </si>
  <si>
    <t>7.01</t>
  </si>
  <si>
    <t>7.011</t>
  </si>
  <si>
    <t>7.012</t>
  </si>
  <si>
    <t>7.013</t>
  </si>
  <si>
    <t>7.014</t>
  </si>
  <si>
    <t>7.015</t>
  </si>
  <si>
    <t>7.016</t>
  </si>
  <si>
    <t>7.017</t>
  </si>
  <si>
    <t>7.018</t>
  </si>
  <si>
    <t>7.019</t>
  </si>
  <si>
    <t>7.02</t>
  </si>
  <si>
    <t>7.021</t>
  </si>
  <si>
    <t>7.022</t>
  </si>
  <si>
    <t>7.023</t>
  </si>
  <si>
    <t>7.024</t>
  </si>
  <si>
    <t>7.025</t>
  </si>
  <si>
    <t>7.026</t>
  </si>
  <si>
    <t>7.027</t>
  </si>
  <si>
    <t>7.028</t>
  </si>
  <si>
    <t>7.029</t>
  </si>
  <si>
    <t>7.03</t>
  </si>
  <si>
    <t>7.032</t>
  </si>
  <si>
    <t>7.101</t>
  </si>
  <si>
    <t>7.102</t>
  </si>
  <si>
    <t>7.103</t>
  </si>
  <si>
    <t>7.104</t>
  </si>
  <si>
    <t>7.105</t>
  </si>
  <si>
    <t>7.106</t>
  </si>
  <si>
    <t>7.107</t>
  </si>
  <si>
    <t>7.108</t>
  </si>
  <si>
    <t>7.109</t>
  </si>
  <si>
    <t>7.11</t>
  </si>
  <si>
    <t>7.201</t>
  </si>
  <si>
    <t>7.202</t>
  </si>
  <si>
    <t>7.203</t>
  </si>
  <si>
    <t>7.204</t>
  </si>
  <si>
    <t>7.205</t>
  </si>
  <si>
    <t>7.206</t>
  </si>
  <si>
    <t>7.207</t>
  </si>
  <si>
    <t>7.208</t>
  </si>
  <si>
    <t>7.209</t>
  </si>
  <si>
    <t>7.21</t>
  </si>
  <si>
    <t>7.211</t>
  </si>
  <si>
    <t>7.212</t>
  </si>
  <si>
    <t>7.213</t>
  </si>
  <si>
    <t>7.214</t>
  </si>
  <si>
    <t>7.215</t>
  </si>
  <si>
    <t>7.401</t>
  </si>
  <si>
    <t>7.402</t>
  </si>
  <si>
    <t>7.403</t>
  </si>
  <si>
    <t>7.404</t>
  </si>
  <si>
    <t>7.405</t>
  </si>
  <si>
    <t>7.406</t>
  </si>
  <si>
    <t>7.407</t>
  </si>
  <si>
    <t>7.408</t>
  </si>
  <si>
    <t>7.409</t>
  </si>
  <si>
    <t>7.511</t>
  </si>
  <si>
    <t>7.512</t>
  </si>
  <si>
    <t>7.531</t>
  </si>
  <si>
    <t>7.532</t>
  </si>
  <si>
    <t>7.533</t>
  </si>
  <si>
    <t>7.541</t>
  </si>
  <si>
    <t>7.601</t>
  </si>
  <si>
    <t>7.602</t>
  </si>
  <si>
    <t>7.603</t>
  </si>
  <si>
    <t>8.001</t>
  </si>
  <si>
    <t>8.002</t>
  </si>
  <si>
    <t>8.101</t>
  </si>
  <si>
    <t>8.102</t>
  </si>
  <si>
    <t>8.103</t>
  </si>
  <si>
    <t>8.511</t>
  </si>
  <si>
    <t>8.512</t>
  </si>
  <si>
    <t>8.521</t>
  </si>
  <si>
    <t>8.531</t>
  </si>
  <si>
    <t>8.532</t>
  </si>
  <si>
    <t>8.541</t>
  </si>
  <si>
    <t>8.601</t>
  </si>
  <si>
    <t>8.602</t>
  </si>
  <si>
    <t>9.001</t>
  </si>
  <si>
    <t>9.002</t>
  </si>
  <si>
    <t>9.003</t>
  </si>
  <si>
    <t>9.004</t>
  </si>
  <si>
    <t>9.005</t>
  </si>
  <si>
    <t>9.006</t>
  </si>
  <si>
    <t>9.007</t>
  </si>
  <si>
    <t>9.008</t>
  </si>
  <si>
    <t>9.009</t>
  </si>
  <si>
    <t>9.01</t>
  </si>
  <si>
    <t>9.011</t>
  </si>
  <si>
    <t>9.012</t>
  </si>
  <si>
    <t>9.013</t>
  </si>
  <si>
    <t>9.014</t>
  </si>
  <si>
    <t>9.015</t>
  </si>
  <si>
    <t>9.016</t>
  </si>
  <si>
    <t>9.017</t>
  </si>
  <si>
    <t>9.018</t>
  </si>
  <si>
    <t>9.019</t>
  </si>
  <si>
    <t>9.02</t>
  </si>
  <si>
    <t>9.021</t>
  </si>
  <si>
    <t>9.022</t>
  </si>
  <si>
    <t>9.023</t>
  </si>
  <si>
    <t>9.024</t>
  </si>
  <si>
    <t>9.025</t>
  </si>
  <si>
    <t>9.026</t>
  </si>
  <si>
    <t>9.027</t>
  </si>
  <si>
    <t>9.028</t>
  </si>
  <si>
    <t>9.029</t>
  </si>
  <si>
    <t>9.03</t>
  </si>
  <si>
    <t>9.031</t>
  </si>
  <si>
    <t>9.032</t>
  </si>
  <si>
    <t>9.033</t>
  </si>
  <si>
    <t>9.034</t>
  </si>
  <si>
    <t>9.035</t>
  </si>
  <si>
    <t>9.036</t>
  </si>
  <si>
    <t>9.037</t>
  </si>
  <si>
    <t>9.038</t>
  </si>
  <si>
    <t>9.039</t>
  </si>
  <si>
    <t>9.04</t>
  </si>
  <si>
    <t>9.041</t>
  </si>
  <si>
    <t>9.101</t>
  </si>
  <si>
    <t>9.102</t>
  </si>
  <si>
    <t>9.103</t>
  </si>
  <si>
    <t>9.104</t>
  </si>
  <si>
    <t>9.105</t>
  </si>
  <si>
    <t>9.106</t>
  </si>
  <si>
    <t>9.107</t>
  </si>
  <si>
    <t>9.108</t>
  </si>
  <si>
    <t>9.109</t>
  </si>
  <si>
    <t>9.11</t>
  </si>
  <si>
    <t>9.111</t>
  </si>
  <si>
    <t>9.112</t>
  </si>
  <si>
    <t>9.114</t>
  </si>
  <si>
    <t>9.115</t>
  </si>
  <si>
    <t>9.401</t>
  </si>
  <si>
    <t>9.402</t>
  </si>
  <si>
    <t>9.403</t>
  </si>
  <si>
    <t>9.404</t>
  </si>
  <si>
    <t>9.405</t>
  </si>
  <si>
    <t>9.406</t>
  </si>
  <si>
    <t>9.407</t>
  </si>
  <si>
    <t>9.408</t>
  </si>
  <si>
    <t>9.409</t>
  </si>
  <si>
    <t>9.512</t>
  </si>
  <si>
    <t>9.521</t>
  </si>
  <si>
    <t>9.531</t>
  </si>
  <si>
    <t>9.532</t>
  </si>
  <si>
    <t>9.533</t>
  </si>
  <si>
    <t>9.541</t>
  </si>
  <si>
    <t>9.542</t>
  </si>
  <si>
    <t>9.543</t>
  </si>
  <si>
    <t>9.544</t>
  </si>
  <si>
    <t>10.001</t>
  </si>
  <si>
    <t>10.003</t>
  </si>
  <si>
    <t>10.004</t>
  </si>
  <si>
    <t>10.005</t>
  </si>
  <si>
    <t>10.006</t>
  </si>
  <si>
    <t>10.007</t>
  </si>
  <si>
    <t>10.008</t>
  </si>
  <si>
    <t>10.009</t>
  </si>
  <si>
    <t>10.01</t>
  </si>
  <si>
    <t>10.011</t>
  </si>
  <si>
    <t>10.012</t>
  </si>
  <si>
    <t>10.013</t>
  </si>
  <si>
    <t>10.014</t>
  </si>
  <si>
    <t>10.015</t>
  </si>
  <si>
    <t>10.016</t>
  </si>
  <si>
    <t>10.017</t>
  </si>
  <si>
    <t>10.018</t>
  </si>
  <si>
    <t>10.019</t>
  </si>
  <si>
    <t>10.02</t>
  </si>
  <si>
    <t>10.021</t>
  </si>
  <si>
    <t>10.022</t>
  </si>
  <si>
    <t>10.023</t>
  </si>
  <si>
    <t>10.024</t>
  </si>
  <si>
    <t>10.025</t>
  </si>
  <si>
    <t>10.026</t>
  </si>
  <si>
    <t>10.027</t>
  </si>
  <si>
    <t>10.028</t>
  </si>
  <si>
    <t>10.029</t>
  </si>
  <si>
    <t>10.03</t>
  </si>
  <si>
    <t>10.031</t>
  </si>
  <si>
    <t>10.032</t>
  </si>
  <si>
    <t>10.033</t>
  </si>
  <si>
    <t>10.034</t>
  </si>
  <si>
    <t>10.035</t>
  </si>
  <si>
    <t>10.036</t>
  </si>
  <si>
    <t>10.037</t>
  </si>
  <si>
    <t>10.038</t>
  </si>
  <si>
    <t>10.101</t>
  </si>
  <si>
    <t>10.102</t>
  </si>
  <si>
    <t>10.103</t>
  </si>
  <si>
    <t>10.104</t>
  </si>
  <si>
    <t>10.105</t>
  </si>
  <si>
    <t>10.106</t>
  </si>
  <si>
    <t>10.107</t>
  </si>
  <si>
    <t>10.108</t>
  </si>
  <si>
    <t>10.109</t>
  </si>
  <si>
    <t>10.11</t>
  </si>
  <si>
    <t>10.111</t>
  </si>
  <si>
    <t>10.112</t>
  </si>
  <si>
    <t>10.401</t>
  </si>
  <si>
    <t>10.402</t>
  </si>
  <si>
    <t>10.403</t>
  </si>
  <si>
    <t>10.404</t>
  </si>
  <si>
    <t>10.405</t>
  </si>
  <si>
    <t>10.406</t>
  </si>
  <si>
    <t>10.511</t>
  </si>
  <si>
    <t>10.512</t>
  </si>
  <si>
    <t>10.521</t>
  </si>
  <si>
    <t>10.531</t>
  </si>
  <si>
    <t>10.532</t>
  </si>
  <si>
    <t>10.533</t>
  </si>
  <si>
    <t>10.541</t>
  </si>
  <si>
    <t>10.601</t>
  </si>
  <si>
    <t>10.701</t>
  </si>
  <si>
    <t>11.001</t>
  </si>
  <si>
    <t>11.002</t>
  </si>
  <si>
    <t>11.003</t>
  </si>
  <si>
    <t>11.004</t>
  </si>
  <si>
    <t>11.005</t>
  </si>
  <si>
    <t>11.006</t>
  </si>
  <si>
    <t>11.007</t>
  </si>
  <si>
    <t>11.008</t>
  </si>
  <si>
    <t>11.009</t>
  </si>
  <si>
    <t>11.01</t>
  </si>
  <si>
    <t>11.011</t>
  </si>
  <si>
    <t>11.012</t>
  </si>
  <si>
    <t>11.013</t>
  </si>
  <si>
    <t>11.014</t>
  </si>
  <si>
    <t>11.015</t>
  </si>
  <si>
    <t>11.016</t>
  </si>
  <si>
    <t>11.017</t>
  </si>
  <si>
    <t>11.018</t>
  </si>
  <si>
    <t>11.019</t>
  </si>
  <si>
    <t>11.02</t>
  </si>
  <si>
    <t>11.021</t>
  </si>
  <si>
    <t>11.022</t>
  </si>
  <si>
    <t>11.023</t>
  </si>
  <si>
    <t>11.101</t>
  </si>
  <si>
    <t>11.102</t>
  </si>
  <si>
    <t>11.104</t>
  </si>
  <si>
    <t>11.105</t>
  </si>
  <si>
    <t>11.106</t>
  </si>
  <si>
    <t>11.107</t>
  </si>
  <si>
    <t>11.108</t>
  </si>
  <si>
    <t>11.11</t>
  </si>
  <si>
    <t>11.201</t>
  </si>
  <si>
    <t>11.202</t>
  </si>
  <si>
    <t>11.203</t>
  </si>
  <si>
    <t>11.204</t>
  </si>
  <si>
    <t>11.401</t>
  </si>
  <si>
    <t>11.402</t>
  </si>
  <si>
    <t>11.403</t>
  </si>
  <si>
    <t>11.404</t>
  </si>
  <si>
    <t>11.405</t>
  </si>
  <si>
    <t>11.406</t>
  </si>
  <si>
    <t>11.407</t>
  </si>
  <si>
    <t>11.408</t>
  </si>
  <si>
    <t>11.409</t>
  </si>
  <si>
    <t>11.41</t>
  </si>
  <si>
    <t>11.411</t>
  </si>
  <si>
    <t>11.412</t>
  </si>
  <si>
    <t>11.511</t>
  </si>
  <si>
    <t>11.512</t>
  </si>
  <si>
    <t>11.521</t>
  </si>
  <si>
    <t>11.531</t>
  </si>
  <si>
    <t>11.532</t>
  </si>
  <si>
    <t>11.533</t>
  </si>
  <si>
    <t>11.541</t>
  </si>
  <si>
    <t>11.701</t>
  </si>
  <si>
    <t>11.702</t>
  </si>
  <si>
    <t>11.709</t>
  </si>
  <si>
    <t>2.701</t>
  </si>
  <si>
    <t>12.002</t>
  </si>
  <si>
    <t>12.003</t>
  </si>
  <si>
    <t>12.004</t>
  </si>
  <si>
    <t>1.029</t>
  </si>
  <si>
    <t>1.401</t>
  </si>
  <si>
    <t>3.36</t>
  </si>
  <si>
    <t>5.110</t>
  </si>
  <si>
    <t>7.301</t>
  </si>
  <si>
    <t>9.601</t>
  </si>
  <si>
    <t>11.103</t>
  </si>
  <si>
    <t>11.601</t>
  </si>
  <si>
    <t>12.201</t>
  </si>
  <si>
    <t>12.202</t>
  </si>
  <si>
    <t>12.203</t>
  </si>
  <si>
    <t>12.204</t>
  </si>
  <si>
    <t>12.001</t>
  </si>
  <si>
    <t>12.405</t>
  </si>
  <si>
    <t>entity:HQ_RF.001_ROOF</t>
  </si>
  <si>
    <t>entity:HQ_5.214_GSM_ROOM</t>
  </si>
  <si>
    <t>entity:HQ_4.11_PRINT_COPY</t>
  </si>
  <si>
    <t>entity:HQ_RF.002_ROOF_PLANT_WALKWAY</t>
  </si>
  <si>
    <t>entity:HQ_G.400_CORRIDOR</t>
  </si>
  <si>
    <t>entity:HQ_4.004_STR_PL_DIR_ENSUIT</t>
  </si>
  <si>
    <t>entity:HQ_4.015C_OFFICE_SPACE</t>
  </si>
  <si>
    <t>entity:HQ_4.015A_OFFICE_SPACE</t>
  </si>
  <si>
    <t>entity:HQ_4.003_STR_PL_DIR_EXEC_SECRE</t>
  </si>
  <si>
    <t>entity:HQ_4.001B_OFFICE_SPACE</t>
  </si>
  <si>
    <t>entity:HQ_4.001D_OFFICE_SPACE</t>
  </si>
  <si>
    <t>entity:HQ_4.001F_OFFICE_SPACE</t>
  </si>
  <si>
    <t>entity:HQ_4.001G_OFFICE_SPACE</t>
  </si>
  <si>
    <t>entity:HQ_4.103_STORAGE_SPACE</t>
  </si>
  <si>
    <t>entity:HQ_5.020_VP_EDU_OFFICERS</t>
  </si>
  <si>
    <t>entity:HQ_5.009_VP1_VP_EDU_OFFICERS</t>
  </si>
  <si>
    <t>entity:HQ_5.010_VP_EDU_OFFICERS</t>
  </si>
  <si>
    <t>entity:HQ_5.210_VP_EDU_ENSUIT</t>
  </si>
  <si>
    <t>entity:HQ_5.350_CORRIDOR</t>
  </si>
  <si>
    <t>entity:HQ_8.400_VISITORS_CENTER</t>
  </si>
  <si>
    <t>entity:HQ_4.015B_OFFICE_SPACE</t>
  </si>
  <si>
    <t>entity:HQ_4.001A_OFFICE_SPACE</t>
  </si>
  <si>
    <t>entity:HQ_4.001E_OFFICE_SPACE</t>
  </si>
  <si>
    <t>entity:HQ_4.001C_OFFICE_SPACE</t>
  </si>
  <si>
    <t>entity:HQ_4.001H_OFFICE_SPACE</t>
  </si>
  <si>
    <t>entity:HQ_1.FF-1_FF-1</t>
  </si>
  <si>
    <t>1.FF-1</t>
  </si>
  <si>
    <t>entity:HQ_1.P-1_P-1</t>
  </si>
  <si>
    <t>1.P-1</t>
  </si>
  <si>
    <t>entity:HQ_1.P-2_P-2</t>
  </si>
  <si>
    <t>1.P-2</t>
  </si>
  <si>
    <t>entity:HQ_1.P-3_P-3</t>
  </si>
  <si>
    <t>1.P-3</t>
  </si>
  <si>
    <t>entity:HQ_1.P-4_P-4</t>
  </si>
  <si>
    <t>1.P-4</t>
  </si>
  <si>
    <t>entity:HQ_1.P-5_P-5</t>
  </si>
  <si>
    <t>1.P-5</t>
  </si>
  <si>
    <t>entity:HQ_1.P-6_P-6</t>
  </si>
  <si>
    <t>1.P-6</t>
  </si>
  <si>
    <t>entity:HQ_1.S-1_S-1</t>
  </si>
  <si>
    <t>1.S-1</t>
  </si>
  <si>
    <t>entity:HQ_1.ST-1_ST-1</t>
  </si>
  <si>
    <t>1.ST-1</t>
  </si>
  <si>
    <t>entity:HQ_1.ST-2_ST-2</t>
  </si>
  <si>
    <t>1.ST-2</t>
  </si>
  <si>
    <t>entity:HQ_1.ST-3_ST-3</t>
  </si>
  <si>
    <t>1.ST-3</t>
  </si>
  <si>
    <t>entity:HQ_1.ST-4_ST-4</t>
  </si>
  <si>
    <t>1.ST-4</t>
  </si>
  <si>
    <t>entity:HQ_2.FF-1_FF-1</t>
  </si>
  <si>
    <t>2.FF-1</t>
  </si>
  <si>
    <t>entity:HQ_2.P-1_P-1</t>
  </si>
  <si>
    <t>2.P-1</t>
  </si>
  <si>
    <t>entity:HQ_2.P-2_P-2</t>
  </si>
  <si>
    <t>2.P-2</t>
  </si>
  <si>
    <t>entity:HQ_2.P-3_P-3</t>
  </si>
  <si>
    <t>2.P-3</t>
  </si>
  <si>
    <t>entity:HQ_2.P-4_P-4</t>
  </si>
  <si>
    <t>2.P-4</t>
  </si>
  <si>
    <t>entity:HQ_2.P-5_P-5</t>
  </si>
  <si>
    <t>2.P-5</t>
  </si>
  <si>
    <t>entity:HQ_2.P-6_P-6</t>
  </si>
  <si>
    <t>2.P-6</t>
  </si>
  <si>
    <t>entity:HQ_2.S-1_S-1</t>
  </si>
  <si>
    <t>2.S-1</t>
  </si>
  <si>
    <t>entity:HQ_2.ST-1_ST-1</t>
  </si>
  <si>
    <t>2.ST-1</t>
  </si>
  <si>
    <t>entity:HQ_2.ST-2_ST-2</t>
  </si>
  <si>
    <t>2.ST-2</t>
  </si>
  <si>
    <t>entity:HQ_2.ST-3_ST-3</t>
  </si>
  <si>
    <t>2.ST-3</t>
  </si>
  <si>
    <t>entity:HQ_2.ST-4_ST-4</t>
  </si>
  <si>
    <t>2.ST-4</t>
  </si>
  <si>
    <t>entity:HQ_3.FF-1_FF-1</t>
  </si>
  <si>
    <t>3.FF-1</t>
  </si>
  <si>
    <t>entity:HQ_3.P-1_P-1</t>
  </si>
  <si>
    <t>3.P-1</t>
  </si>
  <si>
    <t>entity:HQ_3.P-2_P-2</t>
  </si>
  <si>
    <t>3.P-2</t>
  </si>
  <si>
    <t>entity:HQ_3.P-3_P-3</t>
  </si>
  <si>
    <t>3.P-3</t>
  </si>
  <si>
    <t>entity:HQ_3.P-4_P-4</t>
  </si>
  <si>
    <t>3.P-4</t>
  </si>
  <si>
    <t>entity:HQ_3.P-5_P-5</t>
  </si>
  <si>
    <t>3.P-5</t>
  </si>
  <si>
    <t>entity:HQ_3.P-6_P-6</t>
  </si>
  <si>
    <t>3.P-6</t>
  </si>
  <si>
    <t>entity:HQ_3.S-1_S-1</t>
  </si>
  <si>
    <t>3.S-1</t>
  </si>
  <si>
    <t>entity:HQ_3.ST-1_ST-1</t>
  </si>
  <si>
    <t>3.ST-1</t>
  </si>
  <si>
    <t>entity:HQ_3.ST-2_ST-2</t>
  </si>
  <si>
    <t>3.ST-2</t>
  </si>
  <si>
    <t>entity:HQ_3.ST-3_ST-3</t>
  </si>
  <si>
    <t>3.ST-3</t>
  </si>
  <si>
    <t>entity:HQ_3.ST-4_ST-4</t>
  </si>
  <si>
    <t>3.ST-4</t>
  </si>
  <si>
    <t>entity:HQ_4.P-1_P-1</t>
  </si>
  <si>
    <t>4.P-1</t>
  </si>
  <si>
    <t>entity:HQ_4.P-2_P-2</t>
  </si>
  <si>
    <t>4.P-2</t>
  </si>
  <si>
    <t>entity:HQ_4.P-3_P-3</t>
  </si>
  <si>
    <t>4.P-3</t>
  </si>
  <si>
    <t>entity:HQ_4.P-4_P-4</t>
  </si>
  <si>
    <t>4.P-4</t>
  </si>
  <si>
    <t>entity:HQ_4.P-5_P-5</t>
  </si>
  <si>
    <t>4.P-5</t>
  </si>
  <si>
    <t>entity:HQ_4.P-6_P-6</t>
  </si>
  <si>
    <t>4.P-6</t>
  </si>
  <si>
    <t>entity:HQ_4.S-1_S-1</t>
  </si>
  <si>
    <t>4.S-1</t>
  </si>
  <si>
    <t>entity:HQ_4.ST-1_ST-1</t>
  </si>
  <si>
    <t>4.ST-1</t>
  </si>
  <si>
    <t>entity:HQ_4.ST-2_ST-2</t>
  </si>
  <si>
    <t>4.ST-2</t>
  </si>
  <si>
    <t>entity:HQ_4.ST-3_ST-3</t>
  </si>
  <si>
    <t>4.ST-3</t>
  </si>
  <si>
    <t>entity:HQ_4.ST-4_ST-4</t>
  </si>
  <si>
    <t>4.ST-4</t>
  </si>
  <si>
    <t>5.009_VP1</t>
  </si>
  <si>
    <t>entity:HQ_5.009_VP1_VP_EDU_ASSISTANT</t>
  </si>
  <si>
    <t>5.010</t>
  </si>
  <si>
    <t>5.020</t>
  </si>
  <si>
    <t>5.210</t>
  </si>
  <si>
    <t>entity:HQ_5.P-1_P-1</t>
  </si>
  <si>
    <t>5.P-1</t>
  </si>
  <si>
    <t>entity:HQ_5.P-2_P-2</t>
  </si>
  <si>
    <t>5.P-2</t>
  </si>
  <si>
    <t>entity:HQ_5.P-3_P-3</t>
  </si>
  <si>
    <t>5.P-3</t>
  </si>
  <si>
    <t>entity:HQ_5.P-4_P-4</t>
  </si>
  <si>
    <t>5.P-4</t>
  </si>
  <si>
    <t>entity:HQ_5.P-5_P-5</t>
  </si>
  <si>
    <t>5.P-5</t>
  </si>
  <si>
    <t>entity:HQ_5.P-6_P-6</t>
  </si>
  <si>
    <t>5.P-6</t>
  </si>
  <si>
    <t>entity:HQ_5.S-1_S-1</t>
  </si>
  <si>
    <t>5.S-1</t>
  </si>
  <si>
    <t>entity:HQ_5.ST-1_ST-1</t>
  </si>
  <si>
    <t>5.ST-1</t>
  </si>
  <si>
    <t>entity:HQ_5.ST-2_ST-2</t>
  </si>
  <si>
    <t>5.ST-2</t>
  </si>
  <si>
    <t>entity:HQ_5.ST-3_ST-3</t>
  </si>
  <si>
    <t>5.ST-3</t>
  </si>
  <si>
    <t>entity:HQ_5.ST-4_ST-4</t>
  </si>
  <si>
    <t>5.ST-4</t>
  </si>
  <si>
    <t>entity:HQ_6.P-1_P-1</t>
  </si>
  <si>
    <t>6.P-1</t>
  </si>
  <si>
    <t>entity:HQ_6.P-2_P-2</t>
  </si>
  <si>
    <t>6.P-2</t>
  </si>
  <si>
    <t>entity:HQ_6.P-3_P-3</t>
  </si>
  <si>
    <t>6.P-3</t>
  </si>
  <si>
    <t>entity:HQ_6.P-4_P-4</t>
  </si>
  <si>
    <t>6.P-4</t>
  </si>
  <si>
    <t>entity:HQ_6.P-5_P-5</t>
  </si>
  <si>
    <t>6.P-5</t>
  </si>
  <si>
    <t>entity:HQ_6.P-6_P-6</t>
  </si>
  <si>
    <t>6.P-6</t>
  </si>
  <si>
    <t>entity:HQ_6.S-1_S-1</t>
  </si>
  <si>
    <t>6.S-1</t>
  </si>
  <si>
    <t>entity:HQ_6.ST-1_ST-1</t>
  </si>
  <si>
    <t>6.ST-1</t>
  </si>
  <si>
    <t>entity:HQ_6.ST-2_ST-2</t>
  </si>
  <si>
    <t>6.ST-2</t>
  </si>
  <si>
    <t>entity:HQ_6.ST-3_ST-3</t>
  </si>
  <si>
    <t>6.ST-3</t>
  </si>
  <si>
    <t>entity:HQ_6.ST-4_ST-4</t>
  </si>
  <si>
    <t>6.ST-4</t>
  </si>
  <si>
    <t>entity:HQ_7.P-1_P-1</t>
  </si>
  <si>
    <t>7.P-1</t>
  </si>
  <si>
    <t>entity:HQ_7.P-2_P-2</t>
  </si>
  <si>
    <t>7.P-2</t>
  </si>
  <si>
    <t>entity:HQ_7.P-3_P-3</t>
  </si>
  <si>
    <t>7.P-3</t>
  </si>
  <si>
    <t>entity:HQ_7.P-4_P-4</t>
  </si>
  <si>
    <t>7.P-4</t>
  </si>
  <si>
    <t>entity:HQ_7.P-5_P-5</t>
  </si>
  <si>
    <t>7.P-5</t>
  </si>
  <si>
    <t>entity:HQ_7.P-6_P-6</t>
  </si>
  <si>
    <t>7.P-6</t>
  </si>
  <si>
    <t>entity:HQ_7.S-1_S-1</t>
  </si>
  <si>
    <t>7.S-1</t>
  </si>
  <si>
    <t>entity:HQ_7.ST-1_ST-1</t>
  </si>
  <si>
    <t>7.ST-1</t>
  </si>
  <si>
    <t>entity:HQ_7.ST-2_ST-2</t>
  </si>
  <si>
    <t>7.ST-2</t>
  </si>
  <si>
    <t>entity:HQ_7.ST-3_ST-3</t>
  </si>
  <si>
    <t>7.ST-3</t>
  </si>
  <si>
    <t>entity:HQ_7.ST-4_ST-4</t>
  </si>
  <si>
    <t>7.ST-4</t>
  </si>
  <si>
    <t>entity:HQ_8.P-1_P-1</t>
  </si>
  <si>
    <t>8.P-1</t>
  </si>
  <si>
    <t>entity:HQ_8.P-2_P-2</t>
  </si>
  <si>
    <t>8.P-2</t>
  </si>
  <si>
    <t>entity:HQ_8.P-3_P-3</t>
  </si>
  <si>
    <t>8.P-3</t>
  </si>
  <si>
    <t>entity:HQ_8.P-4_P-4</t>
  </si>
  <si>
    <t>8.P-4</t>
  </si>
  <si>
    <t>entity:HQ_8.P-5_P-5</t>
  </si>
  <si>
    <t>8.P-5</t>
  </si>
  <si>
    <t>entity:HQ_8.P-6_P-6</t>
  </si>
  <si>
    <t>8.P-6</t>
  </si>
  <si>
    <t>entity:HQ_8.S-1_S-1</t>
  </si>
  <si>
    <t>8.S-1</t>
  </si>
  <si>
    <t>entity:HQ_8.ST-1_ST-1</t>
  </si>
  <si>
    <t>8.ST-1</t>
  </si>
  <si>
    <t>entity:HQ_8.ST-2_ST-2</t>
  </si>
  <si>
    <t>8.ST-2</t>
  </si>
  <si>
    <t>entity:HQ_8.ST-3_ST-3</t>
  </si>
  <si>
    <t>8.ST-3</t>
  </si>
  <si>
    <t>entity:HQ_8.ST-4_ST-4</t>
  </si>
  <si>
    <t>8.ST-4</t>
  </si>
  <si>
    <t>entity:HQ_9.P-1_P-1</t>
  </si>
  <si>
    <t>9.P-1</t>
  </si>
  <si>
    <t>entity:HQ_9.P-2_P-2</t>
  </si>
  <si>
    <t>9.P-2</t>
  </si>
  <si>
    <t>entity:HQ_9.P-3_P-3</t>
  </si>
  <si>
    <t>9.P-3</t>
  </si>
  <si>
    <t>entity:HQ_9.P-4_P-4</t>
  </si>
  <si>
    <t>9.P-4</t>
  </si>
  <si>
    <t>entity:HQ_9.P-5_P-5</t>
  </si>
  <si>
    <t>9.P-5</t>
  </si>
  <si>
    <t>entity:HQ_9.P-6_P-6</t>
  </si>
  <si>
    <t>9.P-6</t>
  </si>
  <si>
    <t>entity:HQ_9.S-1_S-1</t>
  </si>
  <si>
    <t>9.S-1</t>
  </si>
  <si>
    <t>entity:HQ_9.ST-01_ST-01</t>
  </si>
  <si>
    <t>9.ST-01</t>
  </si>
  <si>
    <t>entity:HQ_9.ST-04_ST-04</t>
  </si>
  <si>
    <t>9.ST-04</t>
  </si>
  <si>
    <t>entity:HQ_9.ST-2_ST-2</t>
  </si>
  <si>
    <t>9.ST-2</t>
  </si>
  <si>
    <t>entity:HQ_9.ST-3_ST-3</t>
  </si>
  <si>
    <t>9.ST-3</t>
  </si>
  <si>
    <t>RF.001</t>
  </si>
  <si>
    <t>G.400</t>
  </si>
  <si>
    <t>4.015C</t>
  </si>
  <si>
    <t>4.015A</t>
  </si>
  <si>
    <t>4.001B</t>
  </si>
  <si>
    <t>4.001D</t>
  </si>
  <si>
    <t>4.001F</t>
  </si>
  <si>
    <t>4.001G</t>
  </si>
  <si>
    <t>5.350</t>
  </si>
  <si>
    <t>8.400</t>
  </si>
  <si>
    <t>4.015B</t>
  </si>
  <si>
    <t>4.001A</t>
  </si>
  <si>
    <t>4.001E</t>
  </si>
  <si>
    <t>4.001C</t>
  </si>
  <si>
    <t>4.001H</t>
  </si>
  <si>
    <t>RF.002</t>
  </si>
  <si>
    <t>Duplicate room entries (col A)</t>
  </si>
  <si>
    <t>Duplicated equipment returns (D:L)</t>
  </si>
  <si>
    <t>Distinct equipment returned</t>
  </si>
  <si>
    <t>Unplaced (in register, not on a room)</t>
  </si>
  <si>
    <t>After editing some room numbers, the equipment count in column D jumped from 772 to 773 while the 2 blank-entity assets were still blank. Asked whether there is a duplicate somewhere.</t>
  </si>
  <si>
    <t>Scanned column A for duplicate room entities and the whole D2:L1042 spill region for repeated asset tags. Found the duplicate, then hardened the audit block at N1:O9 with duplicate detection and a duplicate-proof unplaced count.</t>
  </si>
  <si>
    <t>Root cause: room entity 'entity:HQ_5.110_VP_EDU_OFFICERS' now appears TWICE in column A - row 526 and row 1017. VAV0283 exists only once in the register (row 443) but each duplicate room row runs its own FILTER, so the tag is returned twice, inflating the raw count to 773. Rooms with no equipment also fell 434 to 433 because row 1017 previously matched nothing. New audit formulas: O6 distinct returned =SUM(--(UNIQUE(TOCOL(D2:L1042,3))&lt;&gt;"No Equipment in entity")); O7 duplicate room rows; O8 duplicated equipment returns; O9 unplaced =O5-O6. Replaced the old O6 (=O5-O3) because subtracting the raw count made unplaced read 1 instead of 2 whenever a duplicate existed.</t>
  </si>
  <si>
    <t>Diagnosed, not yet fixed. Distinct equipment is still 772 and unplaced still 2 (FCU0097, VAV0558), so no data was lost - only row 1017 is a spurious duplicate of row 526. Awaiting user decision on whether to delete row 1017 or correct its room number to the intended one; I did not guess the intended value.</t>
  </si>
  <si>
    <t>B_228</t>
  </si>
  <si>
    <t>M1_HVAC_SHAFT</t>
  </si>
  <si>
    <t>B_229</t>
  </si>
  <si>
    <t>E1_ELEC_SHAFT</t>
  </si>
  <si>
    <t>B_230</t>
  </si>
  <si>
    <t>REFR_STORE</t>
  </si>
  <si>
    <t>B_231</t>
  </si>
  <si>
    <t>DISH_WASING</t>
  </si>
  <si>
    <t>B_232</t>
  </si>
  <si>
    <t>DRY_STORE</t>
  </si>
  <si>
    <t>B_233</t>
  </si>
  <si>
    <t>WC5_RISER</t>
  </si>
  <si>
    <t>B_234</t>
  </si>
  <si>
    <t>E3_ELEC_SHAFT</t>
  </si>
  <si>
    <t>B_235</t>
  </si>
  <si>
    <t>M2_HVAC_SHAFT_ABOVE</t>
  </si>
  <si>
    <t>B_236</t>
  </si>
  <si>
    <t>WC1_RISER</t>
  </si>
  <si>
    <t>B_237</t>
  </si>
  <si>
    <t>B_238</t>
  </si>
  <si>
    <t>M3_HVAC_SHAFT</t>
  </si>
  <si>
    <t>entity:QNL_B_002_KITCHEN</t>
  </si>
  <si>
    <t>B_002</t>
  </si>
  <si>
    <t>entity:QNL_B_003_FINANCE_COORDINATOR_&amp;_BUSINESS_SUPPORT_OFCR</t>
  </si>
  <si>
    <t>B_003</t>
  </si>
  <si>
    <t>FINANCE_COORDINATOR_&amp;_BUSINESS_SUPPORT_OFCR</t>
  </si>
  <si>
    <t>entity:QNL_B_004_ANALOG_RESOURCES</t>
  </si>
  <si>
    <t>B_004</t>
  </si>
  <si>
    <t>ANALOG_RESOURCES</t>
  </si>
  <si>
    <t>entity:QNL_B_005_DIGITAL_RESOURCES</t>
  </si>
  <si>
    <t>B_005</t>
  </si>
  <si>
    <t>DIGITAL_RESOURCES</t>
  </si>
  <si>
    <t>entity:QNL_B_006_BUDGET_&amp;_PAYMENT_1</t>
  </si>
  <si>
    <t>B_006</t>
  </si>
  <si>
    <t>BUDGET_&amp;_PAYMENT_1</t>
  </si>
  <si>
    <t>entity:QNL_B_007_BUDGET_&amp;_PAYMENT_2</t>
  </si>
  <si>
    <t>B_007</t>
  </si>
  <si>
    <t>BUDGET_&amp;_PAYMENT_2</t>
  </si>
  <si>
    <t>entity:QNL_B_008_RECEIVING_AREA</t>
  </si>
  <si>
    <t>B_008</t>
  </si>
  <si>
    <t>RECEIVING_AREA</t>
  </si>
  <si>
    <t>entity:QNL_B_009_RECEPTION_&amp;_LOUNGE</t>
  </si>
  <si>
    <t>B_009</t>
  </si>
  <si>
    <t>RECEPTION_&amp;_LOUNGE</t>
  </si>
  <si>
    <t>B_010</t>
  </si>
  <si>
    <t>PATIO_GARDEN</t>
  </si>
  <si>
    <t>entity:QNL_B_020_ENGINEERING</t>
  </si>
  <si>
    <t>B_020</t>
  </si>
  <si>
    <t>ENGINEERING</t>
  </si>
  <si>
    <t>entity:QNL_B_021_ARABIC_STUDIES</t>
  </si>
  <si>
    <t>B_021</t>
  </si>
  <si>
    <t>ARABIC_STUDIES</t>
  </si>
  <si>
    <t>entity:QNL_B_022_LICENSING_EXPERT</t>
  </si>
  <si>
    <t>B_022</t>
  </si>
  <si>
    <t>LICENSING_EXPERT</t>
  </si>
  <si>
    <t>entity:QNL_B_023_ARTS_&amp;_HUMANITIES</t>
  </si>
  <si>
    <t>B_023</t>
  </si>
  <si>
    <t>ARTS_&amp;_HUMANITIES</t>
  </si>
  <si>
    <t>entity:QNL_B_024_AD_COLLECTIONS</t>
  </si>
  <si>
    <t>B_024</t>
  </si>
  <si>
    <t>AD_COLLECTIONS</t>
  </si>
  <si>
    <t>entity:QNL_B_025_SOCIAL_SCIENCES</t>
  </si>
  <si>
    <t>B_025</t>
  </si>
  <si>
    <t>SOCIAL_SCIENCES</t>
  </si>
  <si>
    <t>entity:QNL_B_026_BUSINESS_&amp;_COMPUTING</t>
  </si>
  <si>
    <t>B_026</t>
  </si>
  <si>
    <t>BUSINESS_&amp;_COMPUTING</t>
  </si>
  <si>
    <t>entity:QNL_B_027_PROCUREMENT_SPC_PROCUREMENT_OFCR</t>
  </si>
  <si>
    <t>B_027</t>
  </si>
  <si>
    <t>PROCUREMENT_SPC_PROCUREMENT_OFCR</t>
  </si>
  <si>
    <t>entity:QNL_B_028_STORAGE</t>
  </si>
  <si>
    <t>B_028</t>
  </si>
  <si>
    <t>entity:QNL_B_029_LITERATURE_&amp;_ANGUAGE</t>
  </si>
  <si>
    <t>B_029</t>
  </si>
  <si>
    <t>LITERATURE_&amp;_ANGUAGE</t>
  </si>
  <si>
    <t>entity:QNL_B_030_SNR_P_COORDINATOR_&amp;_P_COORDINATOR</t>
  </si>
  <si>
    <t>B_030</t>
  </si>
  <si>
    <t>SNR_P_COORDINATOR_&amp;_P_COORDINATOR</t>
  </si>
  <si>
    <t>B_031</t>
  </si>
  <si>
    <t>JANITORS_ROOM</t>
  </si>
  <si>
    <t>B_032</t>
  </si>
  <si>
    <t>REST_ROOM_MEN</t>
  </si>
  <si>
    <t>entity:QNL_B_034_MEETING_ROOM</t>
  </si>
  <si>
    <t>B_034</t>
  </si>
  <si>
    <t>B036_REST</t>
  </si>
  <si>
    <t>REST_ROOM_WOMEN</t>
  </si>
  <si>
    <t>B036_COR</t>
  </si>
  <si>
    <t>CORRIDOR_4A</t>
  </si>
  <si>
    <t>entity:QNL_B_040_OFFICE</t>
  </si>
  <si>
    <t>B_040</t>
  </si>
  <si>
    <t>OFFICE</t>
  </si>
  <si>
    <t>entity:QNL_B_041_DIGITIZATION_ROOM</t>
  </si>
  <si>
    <t>B_041</t>
  </si>
  <si>
    <t>DIGITIZATION_ROOM</t>
  </si>
  <si>
    <t>B_042</t>
  </si>
  <si>
    <t>entity:QNL_B_043_BINDING_&amp;_PRESERVATION_SPACE</t>
  </si>
  <si>
    <t>B_043</t>
  </si>
  <si>
    <t>BINDING_&amp;_PRESERVATION_SPACE</t>
  </si>
  <si>
    <t>B044_BOH</t>
  </si>
  <si>
    <t>B_O_H_KITCHEN</t>
  </si>
  <si>
    <t>B044_FIN</t>
  </si>
  <si>
    <t>FINE_BINDING</t>
  </si>
  <si>
    <t>B046_RES</t>
  </si>
  <si>
    <t>entity:QNL_B046_ITT_ITTIGATION_CONTROL_ROOM</t>
  </si>
  <si>
    <t>B046_ITT</t>
  </si>
  <si>
    <t>ITTIGATION_CONTROL_ROOM</t>
  </si>
  <si>
    <t>B_047</t>
  </si>
  <si>
    <t>entity:QNL_B_048_QTEL_ROOM</t>
  </si>
  <si>
    <t>B_048</t>
  </si>
  <si>
    <t>QTEL_ROOM</t>
  </si>
  <si>
    <t>entity:QNL_B_049_MEP_KITCHEN</t>
  </si>
  <si>
    <t>B_049</t>
  </si>
  <si>
    <t>MEP_KITCHEN</t>
  </si>
  <si>
    <t>B-04B</t>
  </si>
  <si>
    <t>ST-04B</t>
  </si>
  <si>
    <t>entity:QNL_B_050_TELECOM_ROOM</t>
  </si>
  <si>
    <t>B_050</t>
  </si>
  <si>
    <t>TELECOM_ROOM</t>
  </si>
  <si>
    <t>entity:QNL_B_051_STORAGE</t>
  </si>
  <si>
    <t>B_051</t>
  </si>
  <si>
    <t>B_053</t>
  </si>
  <si>
    <t>CORRIDORS</t>
  </si>
  <si>
    <t>B_054</t>
  </si>
  <si>
    <t>B057_DIG</t>
  </si>
  <si>
    <t>OFFICE_DIG_INIT</t>
  </si>
  <si>
    <t>B057_AD</t>
  </si>
  <si>
    <t>OFFICE_AD_FOR_LIT</t>
  </si>
  <si>
    <t>entity:QNL_B_058_SHELL_SPACE</t>
  </si>
  <si>
    <t>B_058</t>
  </si>
  <si>
    <t>B_060</t>
  </si>
  <si>
    <t>MAINTENANCE</t>
  </si>
  <si>
    <t>entity:QNL_B_062_IDF_CORRIDOR</t>
  </si>
  <si>
    <t>B_062</t>
  </si>
  <si>
    <t>IDF_CORRIDOR</t>
  </si>
  <si>
    <t>entity:QNL_B_063_PLANT_ROOM_01</t>
  </si>
  <si>
    <t>B_063</t>
  </si>
  <si>
    <t>PLANT_ROOM_01</t>
  </si>
  <si>
    <t>B_065</t>
  </si>
  <si>
    <t>VENTLATON</t>
  </si>
  <si>
    <t>B_066</t>
  </si>
  <si>
    <t>B_067</t>
  </si>
  <si>
    <t>B_068</t>
  </si>
  <si>
    <t>entity:QNL_B_070_PLANT_ROOM_02</t>
  </si>
  <si>
    <t>B_070</t>
  </si>
  <si>
    <t>PLANT_ROOM_02</t>
  </si>
  <si>
    <t>entity:QNL_B_071_FIRE_COMMAND_ROOM</t>
  </si>
  <si>
    <t>B_071</t>
  </si>
  <si>
    <t>FIRE_COMMAND_ROOM</t>
  </si>
  <si>
    <t>entity:QNL_B_072_SPRIMKLERS_PUMPS_&amp;_ZONES_VALVES</t>
  </si>
  <si>
    <t>B_072</t>
  </si>
  <si>
    <t>SPRIMKLERS_PUMPS_&amp;_ZONES_VALVES</t>
  </si>
  <si>
    <t>entity:QNL_B_080_GENERATOR</t>
  </si>
  <si>
    <t>B_080</t>
  </si>
  <si>
    <t>entity:QNL_B_081_MV_ROOM</t>
  </si>
  <si>
    <t>B_081</t>
  </si>
  <si>
    <t>MV_ROOM</t>
  </si>
  <si>
    <t>entity:QNL_B_082_TRANSFORMER_ROOM</t>
  </si>
  <si>
    <t>B_082</t>
  </si>
  <si>
    <t>TRANSFORMER_ROOM</t>
  </si>
  <si>
    <t>entity:QNL_B_084_UPS_BATTERY_ROOM</t>
  </si>
  <si>
    <t>B_084</t>
  </si>
  <si>
    <t>UPS_BATTERY_ROOM</t>
  </si>
  <si>
    <t>entity:QNL_B_085_FUMIGATION_ROOM</t>
  </si>
  <si>
    <t>B_085</t>
  </si>
  <si>
    <t>FUMIGATION_ROOM</t>
  </si>
  <si>
    <t>B_086</t>
  </si>
  <si>
    <t>FREEZE_AREA</t>
  </si>
  <si>
    <t>entity:QNL_B_087_GAS_SUPPRESSION_ROOM</t>
  </si>
  <si>
    <t>B_087</t>
  </si>
  <si>
    <t>GAS_SUPPRESSION_ROOM</t>
  </si>
  <si>
    <t>entity:QNL_B_088_PEOPLE_MOVER_PLANT</t>
  </si>
  <si>
    <t>B_088</t>
  </si>
  <si>
    <t>PEOPLE_MOVER_PLANT</t>
  </si>
  <si>
    <t>entity:QNL_B_089_SERVER_ROOM</t>
  </si>
  <si>
    <t>B_089</t>
  </si>
  <si>
    <t>entity:QNL_B_091_FUEL_ROOM</t>
  </si>
  <si>
    <t>B_091</t>
  </si>
  <si>
    <t>FUEL_ROOM</t>
  </si>
  <si>
    <t>entity:QNL_B_092_STORAGE</t>
  </si>
  <si>
    <t>B_092</t>
  </si>
  <si>
    <t>B_0924</t>
  </si>
  <si>
    <t>FUEL_TANK_CHERRY_PICKER_PANKING</t>
  </si>
  <si>
    <t>entity:QNL_B_093_TRANSH_CHAMBER</t>
  </si>
  <si>
    <t>B_093</t>
  </si>
  <si>
    <t>TRANSH_CHAMBER</t>
  </si>
  <si>
    <t>entity:QNL_B_095_EMERGENCY_LIGHTING_BATTERY_ROOM</t>
  </si>
  <si>
    <t>B_095</t>
  </si>
  <si>
    <t>EMERGENCY_LIGHTING_BATTERY_ROOM</t>
  </si>
  <si>
    <t>B_100</t>
  </si>
  <si>
    <t>LOADING_DOCK</t>
  </si>
  <si>
    <t>entity:QNL_B_101_SHIPPING_CLERK</t>
  </si>
  <si>
    <t>B_101</t>
  </si>
  <si>
    <t>SHIPPING_CLERK</t>
  </si>
  <si>
    <t>entity:QNL_B_102_SECURITY_&amp;_BMS</t>
  </si>
  <si>
    <t>B_102</t>
  </si>
  <si>
    <t>SECURITY_&amp;_BMS</t>
  </si>
  <si>
    <t>entity:QNL_B_103_PROCESSING_ROOM</t>
  </si>
  <si>
    <t>B_103</t>
  </si>
  <si>
    <t>PROCESSING_ROOM</t>
  </si>
  <si>
    <t>entity:QNL_B_104_STORAGE</t>
  </si>
  <si>
    <t>B_104</t>
  </si>
  <si>
    <t>entity:QNL_B106_RES_REST_ROOM_SECURITY</t>
  </si>
  <si>
    <t>B106_RES</t>
  </si>
  <si>
    <t>REST_ROOM_SECURITY</t>
  </si>
  <si>
    <t>B106_SEC</t>
  </si>
  <si>
    <t>SECURITY_STORES_SECURITY_UPS</t>
  </si>
  <si>
    <t>entity:QNL_B_107_SECURITY_EQUIPMENT_ROOM</t>
  </si>
  <si>
    <t>B_107</t>
  </si>
  <si>
    <t>SECURITY_EQUIPMENT_ROOM</t>
  </si>
  <si>
    <t>B_108</t>
  </si>
  <si>
    <t>entity:QNL_B_109_LOADING_AREA</t>
  </si>
  <si>
    <t>B_109</t>
  </si>
  <si>
    <t>LOADING_AREA</t>
  </si>
  <si>
    <t>entity:QNL_B_110_PLANT_ROOM_03</t>
  </si>
  <si>
    <t>B_110</t>
  </si>
  <si>
    <t>PLANT_ROOM_03</t>
  </si>
  <si>
    <t>B_111</t>
  </si>
  <si>
    <t>B_112</t>
  </si>
  <si>
    <t>B_113</t>
  </si>
  <si>
    <t>B_114</t>
  </si>
  <si>
    <t>B_115</t>
  </si>
  <si>
    <t>B_116</t>
  </si>
  <si>
    <t>entity:QNL_B_120_COMPACT_SHELVING_-MAIN_COLLECTION</t>
  </si>
  <si>
    <t>B_120</t>
  </si>
  <si>
    <t>COMPACT_SHELVING_-MAIN_COLLECTION</t>
  </si>
  <si>
    <t>entity:QNL_B_121_SORTING_SHELVING_ROOM</t>
  </si>
  <si>
    <t>B_121</t>
  </si>
  <si>
    <t>SORTING_SHELVING_ROOM</t>
  </si>
  <si>
    <t>entity:QNL_B_122_IT_OFFICE</t>
  </si>
  <si>
    <t>B_122</t>
  </si>
  <si>
    <t>IT_OFFICE</t>
  </si>
  <si>
    <t>entity:QNL_B_132_SHELL_SPACE-SPECIAL_COLLECTION</t>
  </si>
  <si>
    <t>B_132</t>
  </si>
  <si>
    <t>SHELL_SPACE-SPECIAL_COLLECTION</t>
  </si>
  <si>
    <t>B141_HLP</t>
  </si>
  <si>
    <t>HL_PLANT_ROOM</t>
  </si>
  <si>
    <t>entity:QNL_B141_VAU_VAULT</t>
  </si>
  <si>
    <t>B141_VAU</t>
  </si>
  <si>
    <t>VAULT</t>
  </si>
  <si>
    <t>B_142</t>
  </si>
  <si>
    <t>B_143</t>
  </si>
  <si>
    <t>HERITAGE_COLLECTION</t>
  </si>
  <si>
    <t>B_144</t>
  </si>
  <si>
    <t>entity:QNL_B_145_LOBY_&amp;_CSECURITY</t>
  </si>
  <si>
    <t>B_145</t>
  </si>
  <si>
    <t>LOBY_&amp;_CSECURITY</t>
  </si>
  <si>
    <t>B_146</t>
  </si>
  <si>
    <t>VIP_REST_ROOM</t>
  </si>
  <si>
    <t>B_147</t>
  </si>
  <si>
    <t>B_148</t>
  </si>
  <si>
    <t>VIP_MAJLIS</t>
  </si>
  <si>
    <t>entity:QNL_B_149_DIRECTOR_HEAD</t>
  </si>
  <si>
    <t>B_149</t>
  </si>
  <si>
    <t>DIRECTOR_HEAD</t>
  </si>
  <si>
    <t>B_150</t>
  </si>
  <si>
    <t>ASSISTANT_HEAD</t>
  </si>
  <si>
    <t>entity:QNL_B_151_RESEARCH_&amp;_DOC-RCRDS_MGMT</t>
  </si>
  <si>
    <t>B_151</t>
  </si>
  <si>
    <t>RESEARCH_&amp;_DOC-RCRDS_MGMT</t>
  </si>
  <si>
    <t>entity:QNL_B_152_SECURITY_ROOM</t>
  </si>
  <si>
    <t>B_152</t>
  </si>
  <si>
    <t>SECURITY_ROOM</t>
  </si>
  <si>
    <t>entity:QNL_B_153_PROF_LIBRARIAN</t>
  </si>
  <si>
    <t>B_153</t>
  </si>
  <si>
    <t>PROF_LIBRARIAN</t>
  </si>
  <si>
    <t>entity:QNL_B_155_FACULTY_CARRELS</t>
  </si>
  <si>
    <t>B_155</t>
  </si>
  <si>
    <t>FACULTY_CARRELS</t>
  </si>
  <si>
    <t>B_156</t>
  </si>
  <si>
    <t>B_157</t>
  </si>
  <si>
    <t>B_158</t>
  </si>
  <si>
    <t>B_159</t>
  </si>
  <si>
    <t>B_160</t>
  </si>
  <si>
    <t>B_161</t>
  </si>
  <si>
    <t>B_162</t>
  </si>
  <si>
    <t>B_163</t>
  </si>
  <si>
    <t>B_164</t>
  </si>
  <si>
    <t>B_165</t>
  </si>
  <si>
    <t>B_166</t>
  </si>
  <si>
    <t>B_167</t>
  </si>
  <si>
    <t>B_168</t>
  </si>
  <si>
    <t>B_169</t>
  </si>
  <si>
    <t>entity:QNL_B_200_DIGITIZATION</t>
  </si>
  <si>
    <t>B_200</t>
  </si>
  <si>
    <t>DIGITIZATION</t>
  </si>
  <si>
    <t>B_201</t>
  </si>
  <si>
    <t>B_202</t>
  </si>
  <si>
    <t>B_203</t>
  </si>
  <si>
    <t>entity:QNL_B_204_TECHNICAL_SERVICES</t>
  </si>
  <si>
    <t>B_204</t>
  </si>
  <si>
    <t>TECHNICAL_SERVICES</t>
  </si>
  <si>
    <t>entity:QNL_B_205_INSTRUCTION_PRESENTATION</t>
  </si>
  <si>
    <t>B_205</t>
  </si>
  <si>
    <t>INSTRUCTION_PRESENTATION</t>
  </si>
  <si>
    <t>entity:QNL_B_206_INSTRUCTION_OUTREACH</t>
  </si>
  <si>
    <t>B_206</t>
  </si>
  <si>
    <t>INSTRUCTION_OUTREACH</t>
  </si>
  <si>
    <t>entity:QNL_B_207_PRESEARCHERS_READING_AREA</t>
  </si>
  <si>
    <t>B_207</t>
  </si>
  <si>
    <t>PRESEARCHERS_READING_AREA</t>
  </si>
  <si>
    <t>entity:QNL_B_208_PROF_LIBRARIAN</t>
  </si>
  <si>
    <t>B_208</t>
  </si>
  <si>
    <t>entity:QNL_B_209_CONSERVATION_WORK_AREA</t>
  </si>
  <si>
    <t>B_209</t>
  </si>
  <si>
    <t>CONSERVATION_WORK_AREA</t>
  </si>
  <si>
    <t>entity:QNL_B_210_FM_STORAGE</t>
  </si>
  <si>
    <t>B_210</t>
  </si>
  <si>
    <t>entity:QNL_B_211_PH_PLANT_ROOM</t>
  </si>
  <si>
    <t>B_211</t>
  </si>
  <si>
    <t>PH_PLANT_ROOM</t>
  </si>
  <si>
    <t>B_213</t>
  </si>
  <si>
    <t>MISTING_SYSTEM</t>
  </si>
  <si>
    <t>B214_COR</t>
  </si>
  <si>
    <t>CORRIDOR6</t>
  </si>
  <si>
    <t>B214_IDF</t>
  </si>
  <si>
    <t>entity:QNL_B_215_IDF_FM_STORAGE</t>
  </si>
  <si>
    <t>B_215</t>
  </si>
  <si>
    <t>IDF_FM_STORAGE</t>
  </si>
  <si>
    <t>entity:QNL_B_215A_IDF</t>
  </si>
  <si>
    <t>B_215A</t>
  </si>
  <si>
    <t>IDF</t>
  </si>
  <si>
    <t>entity:QNL_B_220_PLANT_ROOM_04</t>
  </si>
  <si>
    <t>B_220</t>
  </si>
  <si>
    <t>PLANT_ROOM_04</t>
  </si>
  <si>
    <t>B_221</t>
  </si>
  <si>
    <t>entity:QNL_B_222_IDF</t>
  </si>
  <si>
    <t>B_222</t>
  </si>
  <si>
    <t>B_223</t>
  </si>
  <si>
    <t>VENTILATON</t>
  </si>
  <si>
    <t>B_224</t>
  </si>
  <si>
    <t>B_225</t>
  </si>
  <si>
    <t>entity:QNL_B_226_PUMP_ROOM</t>
  </si>
  <si>
    <t>B_226</t>
  </si>
  <si>
    <t>PUMP_ROOM</t>
  </si>
  <si>
    <t>B_227</t>
  </si>
  <si>
    <t>B-AT-04A</t>
  </si>
  <si>
    <t>ST-04A</t>
  </si>
  <si>
    <t>B-L-1</t>
  </si>
  <si>
    <t>L-1</t>
  </si>
  <si>
    <t>B-L-15</t>
  </si>
  <si>
    <t>L-15</t>
  </si>
  <si>
    <t>B-L-2</t>
  </si>
  <si>
    <t>L-2</t>
  </si>
  <si>
    <t>B-L-3</t>
  </si>
  <si>
    <t>L-3</t>
  </si>
  <si>
    <t>B-L-4</t>
  </si>
  <si>
    <t>L-4</t>
  </si>
  <si>
    <t>B-ST-01</t>
  </si>
  <si>
    <t>B-ST-02</t>
  </si>
  <si>
    <t>ST-02</t>
  </si>
  <si>
    <t>B-ST-03</t>
  </si>
  <si>
    <t>ST-03</t>
  </si>
  <si>
    <t>B-ST-05</t>
  </si>
  <si>
    <t>ST-05</t>
  </si>
  <si>
    <t>B-ST-11</t>
  </si>
  <si>
    <t>ST-11</t>
  </si>
  <si>
    <t>B-ST-12</t>
  </si>
  <si>
    <t>ST-12</t>
  </si>
  <si>
    <t>L1_154</t>
  </si>
  <si>
    <t>L1_155</t>
  </si>
  <si>
    <t>L1_156</t>
  </si>
  <si>
    <t>M2_HVAC_SHAFT</t>
  </si>
  <si>
    <t>L1_157</t>
  </si>
  <si>
    <t>E2_ELEC_SHAFT</t>
  </si>
  <si>
    <t>L1_158</t>
  </si>
  <si>
    <t>L1_159</t>
  </si>
  <si>
    <t>L1_160</t>
  </si>
  <si>
    <t>L1_161</t>
  </si>
  <si>
    <t>N2_PIPE_SHAFT</t>
  </si>
  <si>
    <t>L1_162</t>
  </si>
  <si>
    <t>STORE</t>
  </si>
  <si>
    <t>entity:QNL_L1_001_OPEN_READING_AREA</t>
  </si>
  <si>
    <t>L1_001</t>
  </si>
  <si>
    <t>OPEN_READING_AREA</t>
  </si>
  <si>
    <t>entity:QNL_L1_002_BRAILLE_READER</t>
  </si>
  <si>
    <t>L1_002</t>
  </si>
  <si>
    <t>BRAILLE_READER</t>
  </si>
  <si>
    <t>entity:QNL_L1_002A_GREEM_ROOM</t>
  </si>
  <si>
    <t>L1_002A</t>
  </si>
  <si>
    <t>GREEM_ROOM</t>
  </si>
  <si>
    <t>entity:QNL_L1_003_TUTORING_HEAD</t>
  </si>
  <si>
    <t>L1_003</t>
  </si>
  <si>
    <t>TUTORING_HEAD</t>
  </si>
  <si>
    <t>entity:QNL_L1_004_WRITING_ROOM1</t>
  </si>
  <si>
    <t>L1_004</t>
  </si>
  <si>
    <t>WRITING_ROOM1</t>
  </si>
  <si>
    <t>entity:QNL_L1_005_WRITING_ROOM2</t>
  </si>
  <si>
    <t>L1_005</t>
  </si>
  <si>
    <t>WRITING_ROOM2</t>
  </si>
  <si>
    <t>L1_006</t>
  </si>
  <si>
    <t>WRITING_HEAD</t>
  </si>
  <si>
    <t>entity:QNL_L1_007_STUDENT_CARRLES</t>
  </si>
  <si>
    <t>L1_007</t>
  </si>
  <si>
    <t>STUDENT_CARRLES</t>
  </si>
  <si>
    <t>entity:QNL_L1_020_INFO_LITERACY_INSTR1</t>
  </si>
  <si>
    <t>L1_020</t>
  </si>
  <si>
    <t>INFO_LITERACY_INSTR1</t>
  </si>
  <si>
    <t>entity:QNL_L1_021_INFO_LITERACY_INSTR2</t>
  </si>
  <si>
    <t>L1_021</t>
  </si>
  <si>
    <t>INFO_LITERACY_INSTR2</t>
  </si>
  <si>
    <t>entity:QNL_L1_022_COMPUTER_CLASSROOM</t>
  </si>
  <si>
    <t>L1_022</t>
  </si>
  <si>
    <t>COMPUTER_CLASSROOM</t>
  </si>
  <si>
    <t>L1023_1</t>
  </si>
  <si>
    <t>entity:QNL_L1023_2_CORRIDOR</t>
  </si>
  <si>
    <t>L1023_2</t>
  </si>
  <si>
    <t>L1023_3</t>
  </si>
  <si>
    <t>L1_024</t>
  </si>
  <si>
    <t>L1_025</t>
  </si>
  <si>
    <t>entity:QNL_L1_026_GROUP_STUDY_ROOM1</t>
  </si>
  <si>
    <t>L1_026</t>
  </si>
  <si>
    <t>GROUP_STUDY_ROOM1</t>
  </si>
  <si>
    <t>entity:QNL_L1_027_GROUP_STUDY_ROOM2</t>
  </si>
  <si>
    <t>L1_027</t>
  </si>
  <si>
    <t>GROUP_STUDY_ROOM2</t>
  </si>
  <si>
    <t>entity:QNL_L1_028_GROUP_STUDY_ROOM3</t>
  </si>
  <si>
    <t>L1_028</t>
  </si>
  <si>
    <t>GROUP_STUDY_ROOM3</t>
  </si>
  <si>
    <t>entity:QNL_L1_029_GROUP_STUDY_ROOM4</t>
  </si>
  <si>
    <t>L1_029</t>
  </si>
  <si>
    <t>GROUP_STUDY_ROOM4</t>
  </si>
  <si>
    <t>entity:QNL_L1_030_ICT_ROOM_02</t>
  </si>
  <si>
    <t>L1_030</t>
  </si>
  <si>
    <t>ICT_ROOM_02</t>
  </si>
  <si>
    <t>entity:QNL_L1_040_HEAD_LIBRARIAN_OFFICE</t>
  </si>
  <si>
    <t>L1_040</t>
  </si>
  <si>
    <t>HEAD_LIBRARIAN_OFFICE</t>
  </si>
  <si>
    <t>entity:QNL_L1_041_MULTPURPOSE_ROOM</t>
  </si>
  <si>
    <t>L1_041</t>
  </si>
  <si>
    <t>MULTPURPOSE_ROOM</t>
  </si>
  <si>
    <t>L1_042</t>
  </si>
  <si>
    <t>L1_043</t>
  </si>
  <si>
    <t>BABY_CHAN</t>
  </si>
  <si>
    <t>L1_044</t>
  </si>
  <si>
    <t>BREAST_FEEDING</t>
  </si>
  <si>
    <t>L1_045</t>
  </si>
  <si>
    <t>L1_046</t>
  </si>
  <si>
    <t>entity:QNL_L1_047_CHILDREN_LIBRARY_-_PRE_SCHOOL_READING_&amp;_PLAYING</t>
  </si>
  <si>
    <t>L1_047</t>
  </si>
  <si>
    <t>CHILDREN_LIBRARY_-_PRE_SCHOOL_READING_&amp;_PLAYING</t>
  </si>
  <si>
    <t>entity:QNL_L1_048_STAFF_OFFICE</t>
  </si>
  <si>
    <t>L1_048</t>
  </si>
  <si>
    <t>STAFF_OFFICE</t>
  </si>
  <si>
    <t>L1_049</t>
  </si>
  <si>
    <t>L1_050</t>
  </si>
  <si>
    <t>STROLLER_PARKING</t>
  </si>
  <si>
    <t>L1_061</t>
  </si>
  <si>
    <t>L1_062</t>
  </si>
  <si>
    <t>entity:QNL_L1_063_MEDIA_STUDIO_1</t>
  </si>
  <si>
    <t>L1_063</t>
  </si>
  <si>
    <t>MEDIA_STUDIO_1</t>
  </si>
  <si>
    <t>L1_064</t>
  </si>
  <si>
    <t>entity:QNL_L1_065_MEDIA_STUDIO_1</t>
  </si>
  <si>
    <t>L1_065</t>
  </si>
  <si>
    <t>L1067_FRO</t>
  </si>
  <si>
    <t>FRONT_KITCHEN</t>
  </si>
  <si>
    <t>L1067_RES</t>
  </si>
  <si>
    <t>RESTAURANT</t>
  </si>
  <si>
    <t>entity:QNL_L1_080_PUBLIC_SERVICE</t>
  </si>
  <si>
    <t>L1_080</t>
  </si>
  <si>
    <t>PUBLIC_SERVICE</t>
  </si>
  <si>
    <t>entity:QNL_L1_081_BIBLIOGRANHER1</t>
  </si>
  <si>
    <t>L1_081</t>
  </si>
  <si>
    <t>BIBLIOGRANHER1</t>
  </si>
  <si>
    <t>entity:QNL_L1_082_BIBLIOGRAPHER2</t>
  </si>
  <si>
    <t>L1_082</t>
  </si>
  <si>
    <t>BIBLIOGRAPHER2</t>
  </si>
  <si>
    <t>entity:QNL_L1_083_SPEC_COLL&amp;ARCH</t>
  </si>
  <si>
    <t>L1_083</t>
  </si>
  <si>
    <t>SPEC_COLL&amp;ARCH</t>
  </si>
  <si>
    <t>entity:QNL_L1_084_R&amp;L_SERVICES</t>
  </si>
  <si>
    <t>L1_084</t>
  </si>
  <si>
    <t>R&amp;L_SERVICES</t>
  </si>
  <si>
    <t>entity:QNL_L1_085_ADPUBLIC_SERVICE</t>
  </si>
  <si>
    <t>L1_085</t>
  </si>
  <si>
    <t>ADPUBLIC_SERVICE</t>
  </si>
  <si>
    <t>entity:QNL_L1_086_REF_LIBRARIAN_1</t>
  </si>
  <si>
    <t>L1_086</t>
  </si>
  <si>
    <t>REF_LIBRARIAN_1</t>
  </si>
  <si>
    <t>entity:QNL_L1_087_REF_LIBRARIAN_2</t>
  </si>
  <si>
    <t>L1_087</t>
  </si>
  <si>
    <t>REF_LIBRARIAN_2</t>
  </si>
  <si>
    <t>entity:QNL_L1_088_REF_LIBRARIAN_3</t>
  </si>
  <si>
    <t>L1_088</t>
  </si>
  <si>
    <t>REF_LIBRARIAN_3</t>
  </si>
  <si>
    <t>entity:QNL_L1_089_REF_LIBRARIAN_4</t>
  </si>
  <si>
    <t>L1_089</t>
  </si>
  <si>
    <t>REF_LIBRARIAN_4</t>
  </si>
  <si>
    <t>entity:QNL_L1_090_REF_LIBRARIAN_5</t>
  </si>
  <si>
    <t>L1_090</t>
  </si>
  <si>
    <t>REF_LIBRARIAN_5</t>
  </si>
  <si>
    <t>entity:QNL_L1_091_REF_LIBRARIAN_6</t>
  </si>
  <si>
    <t>L1_091</t>
  </si>
  <si>
    <t>REF_LIBRARIAN_6</t>
  </si>
  <si>
    <t>entity:QNL_L1_092_REF_LIBRARIAN_7</t>
  </si>
  <si>
    <t>L1_092</t>
  </si>
  <si>
    <t>REF_LIBRARIAN_7</t>
  </si>
  <si>
    <t>entity:QNL_L1_093_REF_LIBRARIAN_8</t>
  </si>
  <si>
    <t>L1_093</t>
  </si>
  <si>
    <t>REF_LIBRARIAN_8</t>
  </si>
  <si>
    <t>entity:QNL_L1_094_REF_LIBRARIAN_9</t>
  </si>
  <si>
    <t>L1_094</t>
  </si>
  <si>
    <t>REF_LIBRARIAN_9</t>
  </si>
  <si>
    <t>entity:QNL_L1_095_REF_LIBRARIAN_10</t>
  </si>
  <si>
    <t>L1_095</t>
  </si>
  <si>
    <t>REF_LIBRARIAN_10</t>
  </si>
  <si>
    <t>entity:QNL_L1_096_REF_LIBRARIAN_11</t>
  </si>
  <si>
    <t>L1_096</t>
  </si>
  <si>
    <t>REF_LIBRARIAN_11</t>
  </si>
  <si>
    <t>entity:QNL_L1_097_REF_LIBRARIAN_12</t>
  </si>
  <si>
    <t>L1_097</t>
  </si>
  <si>
    <t>REF_LIBRARIAN_12</t>
  </si>
  <si>
    <t>L1_098</t>
  </si>
  <si>
    <t>entity:QNL_L1_099_IDF_ROOM_02</t>
  </si>
  <si>
    <t>L1_099</t>
  </si>
  <si>
    <t>IDF_ROOM_02</t>
  </si>
  <si>
    <t>entity:QNL_L1_100_AERIAL_PLATFORM_PARKING</t>
  </si>
  <si>
    <t>L1_100</t>
  </si>
  <si>
    <t>AERIAL_PLATFORM_PARKING</t>
  </si>
  <si>
    <t>L1_101</t>
  </si>
  <si>
    <t>REST_ROOMMEN</t>
  </si>
  <si>
    <t>L1_102</t>
  </si>
  <si>
    <t>L1104_FEM</t>
  </si>
  <si>
    <t>PRAYER_ROOM_FEMALE</t>
  </si>
  <si>
    <t>L1104_MEL</t>
  </si>
  <si>
    <t>PRAYER_ROOM_MALE</t>
  </si>
  <si>
    <t>entity:QNL_L1_105_ABLUTIONMEN</t>
  </si>
  <si>
    <t>L1_105</t>
  </si>
  <si>
    <t>ABLUTIONMEN</t>
  </si>
  <si>
    <t>entity:QNL_L1_106_ABLUTIONWOMEN</t>
  </si>
  <si>
    <t>L1_106</t>
  </si>
  <si>
    <t>ABLUTIONWOMEN</t>
  </si>
  <si>
    <t>L1_130</t>
  </si>
  <si>
    <t>PUBLIS_SPACE</t>
  </si>
  <si>
    <t>L1_142</t>
  </si>
  <si>
    <t>LEARNING_COMMONS</t>
  </si>
  <si>
    <t>entity:QNL_L1_153_FURNITURE_STORAGE</t>
  </si>
  <si>
    <t>L1_153</t>
  </si>
  <si>
    <t>FURNITURE_STORAGE</t>
  </si>
  <si>
    <t>L1-L-1</t>
  </si>
  <si>
    <t>L1-L-2</t>
  </si>
  <si>
    <t>entity:QNL_L1-L-3_L-3</t>
  </si>
  <si>
    <t>L1-L-3</t>
  </si>
  <si>
    <t>L1-L-4</t>
  </si>
  <si>
    <t>L1-L-5</t>
  </si>
  <si>
    <t>L-5</t>
  </si>
  <si>
    <t>L1-RP-10</t>
  </si>
  <si>
    <t>RP-10</t>
  </si>
  <si>
    <t>L1-ST-01</t>
  </si>
  <si>
    <t>L1-ST-02</t>
  </si>
  <si>
    <t>L1-ST-03</t>
  </si>
  <si>
    <t>L1-ST-10</t>
  </si>
  <si>
    <t>L1_140</t>
  </si>
  <si>
    <t>SPECIAL_EVENTS</t>
  </si>
  <si>
    <t>L2_006</t>
  </si>
  <si>
    <t>L2_007</t>
  </si>
  <si>
    <t>L2_008</t>
  </si>
  <si>
    <t>entity:QNL_L2_009_KDF_ROOM</t>
  </si>
  <si>
    <t>L2_009</t>
  </si>
  <si>
    <t>KDF_ROOM</t>
  </si>
  <si>
    <t>entity:QNL_L2_010_BREAKOUT_SPACE</t>
  </si>
  <si>
    <t>L2_010</t>
  </si>
  <si>
    <t>BREAKOUT_SPACE</t>
  </si>
  <si>
    <t>entity:QNL_L2_011_CTRCULATION_OFFICE</t>
  </si>
  <si>
    <t>L2_011</t>
  </si>
  <si>
    <t>CTRCULATION_OFFICE</t>
  </si>
  <si>
    <t>entity:QNL_L2_012_OFFICE_SPEC_COL</t>
  </si>
  <si>
    <t>L2_012</t>
  </si>
  <si>
    <t>OFFICE_SPEC_COL</t>
  </si>
  <si>
    <t>entity:QNL_L2_013_OFFICE_SPEC_COL</t>
  </si>
  <si>
    <t>L2_013</t>
  </si>
  <si>
    <t>L2_014</t>
  </si>
  <si>
    <t>TRANSL_SPC_&amp;_EDI_PUBLICATIONS_SPC</t>
  </si>
  <si>
    <t>entity:QNL_L2_015_40_GROUP_STUDY_ROOM_5</t>
  </si>
  <si>
    <t>L2_015</t>
  </si>
  <si>
    <t>40_GROUP_STUDY_ROOM_5</t>
  </si>
  <si>
    <t>entity:QNL_L2_016_40_GROUP_STUDY_ROOM_6</t>
  </si>
  <si>
    <t>L2_016</t>
  </si>
  <si>
    <t>40_GROUP_STUDY_ROOM_6</t>
  </si>
  <si>
    <t>entity:QNL_L2_017_40_GROUP_STUDY_ROOM_7</t>
  </si>
  <si>
    <t>L2_017</t>
  </si>
  <si>
    <t>40_GROUP_STUDY_ROOM_7</t>
  </si>
  <si>
    <t>L2_018</t>
  </si>
  <si>
    <t>L2_021</t>
  </si>
  <si>
    <t>LIBR_COM_REO_&amp;_EVENTS_SPC</t>
  </si>
  <si>
    <t>entity:QNL_L2_022_ACADEMIC_PERS_LIBRARIA</t>
  </si>
  <si>
    <t>L2_022</t>
  </si>
  <si>
    <t>ACADEMIC_PERS_LIBRARIA</t>
  </si>
  <si>
    <t>entity:QNL_L2_023_AD_ADMIN_&amp;_PLANNING</t>
  </si>
  <si>
    <t>L2_023</t>
  </si>
  <si>
    <t>AD_ADMIN_&amp;_PLANNING</t>
  </si>
  <si>
    <t>entity:QNL_L2_024_OFFICE_COORD</t>
  </si>
  <si>
    <t>L2_024</t>
  </si>
  <si>
    <t>OFFICE_COORD</t>
  </si>
  <si>
    <t>entity:QNL_L2_025_OPEN_OFFICE</t>
  </si>
  <si>
    <t>L2_025</t>
  </si>
  <si>
    <t>OPEN_OFFICE</t>
  </si>
  <si>
    <t>L2_041</t>
  </si>
  <si>
    <t>L2_042</t>
  </si>
  <si>
    <t>REST_ROOM</t>
  </si>
  <si>
    <t>entity:QNL_L2_043_SERVICE_&amp;_LOUNGE</t>
  </si>
  <si>
    <t>L2_043</t>
  </si>
  <si>
    <t>SERVICE_&amp;_LOUNGE</t>
  </si>
  <si>
    <t>entity:QNL_L2_044_LIBDIRECTORS_ROOM</t>
  </si>
  <si>
    <t>L2_044</t>
  </si>
  <si>
    <t>LIBDIRECTORS_ROOM</t>
  </si>
  <si>
    <t>entity:QNL_L2_046_VIP_MEETING</t>
  </si>
  <si>
    <t>L2_046</t>
  </si>
  <si>
    <t>VIP_MEETING</t>
  </si>
  <si>
    <t>L2_047</t>
  </si>
  <si>
    <t>entity:QNL_L2_048_VIP_WATING</t>
  </si>
  <si>
    <t>L2_048</t>
  </si>
  <si>
    <t>VIP_WATING</t>
  </si>
  <si>
    <t>L2_049</t>
  </si>
  <si>
    <t>L2_050</t>
  </si>
  <si>
    <t>entity:QNL_L2_051_VIP_ROOM</t>
  </si>
  <si>
    <t>L2_051</t>
  </si>
  <si>
    <t>VIP_ROOM</t>
  </si>
  <si>
    <t>entity:QNL_L2_070_INDIVISTUDY_ROOM</t>
  </si>
  <si>
    <t>L2_070</t>
  </si>
  <si>
    <t>INDIVISTUDY_ROOM</t>
  </si>
  <si>
    <t>L2_071</t>
  </si>
  <si>
    <t>L2_072</t>
  </si>
  <si>
    <t>entity:QNL_L2_073_INDIVISTUDY_ROOM</t>
  </si>
  <si>
    <t>L2_073</t>
  </si>
  <si>
    <t>L2_074</t>
  </si>
  <si>
    <t>L2_075</t>
  </si>
  <si>
    <t>entity:QNL_L2_076_GROUP_STUDY_ROOM</t>
  </si>
  <si>
    <t>L2_076</t>
  </si>
  <si>
    <t>GROUP_STUDY_ROOM</t>
  </si>
  <si>
    <t>L2_077</t>
  </si>
  <si>
    <t>L2_079</t>
  </si>
  <si>
    <t>entity:QNL_L2_081_GROUP_STUDY_ROOM</t>
  </si>
  <si>
    <t>L2_081</t>
  </si>
  <si>
    <t>L2_085</t>
  </si>
  <si>
    <t>entity:QNL_L2_087_AUDITORIUM_HIGH_LEVLEL_IN_CEILING_VOID</t>
  </si>
  <si>
    <t>L2_087</t>
  </si>
  <si>
    <t>AUDITORIUM_HIGH_LEVLEL_IN_CEILING_VOID</t>
  </si>
  <si>
    <t>L2-L-1_1</t>
  </si>
  <si>
    <t>L2-L-1_2</t>
  </si>
  <si>
    <t>L2-L-3</t>
  </si>
  <si>
    <t>L2-L-4</t>
  </si>
  <si>
    <t>L2-ST-01</t>
  </si>
  <si>
    <t>L2-ST-02</t>
  </si>
  <si>
    <t>entity:QNL_T1_020_OPEN_LOUNGE_TERRACE</t>
  </si>
  <si>
    <t>T1_020</t>
  </si>
  <si>
    <t>OPEN_LOUNGE_TERRACE</t>
  </si>
  <si>
    <t>entity:QNL_T1_021_OPEN_STUDY_TERRACE</t>
  </si>
  <si>
    <t>T1_021</t>
  </si>
  <si>
    <t>OPEN_STUDY_TERRACE</t>
  </si>
  <si>
    <t>entity:QNL_T1_323_IDF_ROOM</t>
  </si>
  <si>
    <t>T1_323</t>
  </si>
  <si>
    <t>entity:QNL_L1_144_ILL_DIRECTOR</t>
  </si>
  <si>
    <t>L1_144</t>
  </si>
  <si>
    <t>ILL_DIRECTOR</t>
  </si>
  <si>
    <t>entity:QNL_L1_150_RESTAURANT</t>
  </si>
  <si>
    <t>L1_150</t>
  </si>
  <si>
    <t>entity:QNL_T1_275_IDF_ROOM</t>
  </si>
  <si>
    <t>T1_275</t>
  </si>
  <si>
    <t>entity:QNL_T1_276_IDF_ROOM</t>
  </si>
  <si>
    <t>T1_276</t>
  </si>
  <si>
    <t>entity:QNL_T1_171_IDF_ROOM</t>
  </si>
  <si>
    <t>T1_171</t>
  </si>
  <si>
    <t>entity:QNL_T1_1714_IDF_ROOM</t>
  </si>
  <si>
    <t>T1_1714</t>
  </si>
  <si>
    <t>entity:QNL_L2_088_BRIDGE_RAISED_FLOOR</t>
  </si>
  <si>
    <t>L2_088</t>
  </si>
  <si>
    <t>BRIDGE_RAISED_FLOOR</t>
  </si>
  <si>
    <t>entity:QNL_B_140_HL_PLANT_ROOM</t>
  </si>
  <si>
    <t>B_140</t>
  </si>
  <si>
    <t>entity:QNL_B_105_SECURITY_CONTOL_ROOM</t>
  </si>
  <si>
    <t>B_105</t>
  </si>
  <si>
    <t>SECURITY_CONTOL_ROOM</t>
  </si>
  <si>
    <t>entity:QNL_B_212_MISTING_PUMP_ROOM</t>
  </si>
  <si>
    <t>B_212</t>
  </si>
  <si>
    <t>MISTING_PUMP_ROOM</t>
  </si>
  <si>
    <t>entity:QNL_L1_104_PRAYER_ROOM_FEMALE</t>
  </si>
  <si>
    <t>L1_104</t>
  </si>
  <si>
    <t>entity:QNL_B_001A_BREAK_OUT_AREA</t>
  </si>
  <si>
    <t>B_001A</t>
  </si>
  <si>
    <t>BREAK_OUT_AREA</t>
  </si>
  <si>
    <t>B_001</t>
  </si>
  <si>
    <t>entity:QNL_B_056_OFFICE_DIG_INIT</t>
  </si>
  <si>
    <t>B_056</t>
  </si>
  <si>
    <t>entity:QNL_B_057_OFFICE_AD_FOR_LIT</t>
  </si>
  <si>
    <t>B_057</t>
  </si>
  <si>
    <t>entity:QNL_B_59_SHELL_SPACE</t>
  </si>
  <si>
    <t>B_59</t>
  </si>
  <si>
    <t>entity:QNL_B_044_BOH_KITCHEN</t>
  </si>
  <si>
    <t>B_044</t>
  </si>
  <si>
    <t>BOH_KITCHEN</t>
  </si>
  <si>
    <t>entity:QNL_L1_023_CORRIDOR</t>
  </si>
  <si>
    <t>L1_023</t>
  </si>
  <si>
    <t>entity:QNL_B_061_CORRIDOR</t>
  </si>
  <si>
    <t>B_061</t>
  </si>
  <si>
    <t>entity:QNL_B_064_CORRIDOR_2</t>
  </si>
  <si>
    <t>B_064</t>
  </si>
  <si>
    <t>CORRIDOR_2</t>
  </si>
  <si>
    <t>entity:QNL_B_035_CORRIDOR_4</t>
  </si>
  <si>
    <t>B_035</t>
  </si>
  <si>
    <t>CORRIDOR_4</t>
  </si>
  <si>
    <t>entity:QNL_B_104A_PLANT_ROOM</t>
  </si>
  <si>
    <t>B_104A</t>
  </si>
  <si>
    <t>entity:QNL_B_052_CORRIDOR_3</t>
  </si>
  <si>
    <t>B_052</t>
  </si>
  <si>
    <t>CORRIDOR_3</t>
  </si>
  <si>
    <t>entity:QNL_L1_990_VESTIBULE</t>
  </si>
  <si>
    <t>L1_990</t>
  </si>
  <si>
    <t>entity:QNL_L1_991_EXTERNAL_BOOK_DROP</t>
  </si>
  <si>
    <t>L1_991</t>
  </si>
  <si>
    <t>EXTERNAL_BOOK_DROP</t>
  </si>
  <si>
    <t>entity:QNL_L2_992_GULF_MATERIAL</t>
  </si>
  <si>
    <t>L2_992</t>
  </si>
  <si>
    <t>GULF_MATERIAL</t>
  </si>
  <si>
    <t>entity:QNL_L2_993_CORRIDOR</t>
  </si>
  <si>
    <t>L2_993</t>
  </si>
  <si>
    <t>entity:QNL_B_001_TECH_SERVICES_AND_COLLECTIONS_OFFICE</t>
  </si>
  <si>
    <t>IDF ROOM T1.323</t>
  </si>
  <si>
    <t>ILL DIRECTOR L1.144</t>
  </si>
  <si>
    <t>ILL DIRECTOR L1.145</t>
  </si>
  <si>
    <t>IDF ROOM T1.275</t>
  </si>
  <si>
    <t>IDF ROOM T1.276</t>
  </si>
  <si>
    <t>IDF ROOM T1.171</t>
  </si>
  <si>
    <t>IDF ROOM T1.1714</t>
  </si>
  <si>
    <t>GULF MATERIAL L2</t>
  </si>
  <si>
    <t>BIBLIOGRAPHER 1 L1.081</t>
  </si>
  <si>
    <t>BIBLIOGRAPHER 2 L1.082</t>
  </si>
  <si>
    <t>TECHNICAL SERVICES B.203</t>
  </si>
  <si>
    <t>Asked me to confirm that all equipment in Controllable Asset Registry column A rows 779-1229 (QNL block) has been filtered and transposed into column D of 'QNL Room Names with Equip.', matching CAR column E to QNL column A, excluding assets with no value in column E.</t>
  </si>
  <si>
    <t>Read-only audit. Built the set of 451 QNL tags (CAR A779:A1229) with their column E entity, read every spilled value in QNL D2:AK1041, and reconciled the two sets both ways.</t>
  </si>
  <si>
    <t>451 tags, no duplicates. 2 have blank column E (VAV0001 row 931, VAV_B_S13_005 row 1134) - correctly excluded by rule, but they spill into QNL rows 338-1041 where column A is blank, because the FILTER test compares blank E to blank A and returns TRUE. 16 tags (VAV_B_S11_003 to _020, CAR rows 1086-1103) are missing entirely: CAR E reads entity:QNL_B_001_TECH_SERVICES_AND_COLLECTIONS_OFFICE while QNL A323 reads entity:QNL_B_001_TECH_SERVICES_&amp;_COLLECTIONS_OFFICE (AND vs &amp;). Remaining 433 tags all placed. All 1040 rows of column D carry the formula.</t>
  </si>
  <si>
    <t>Not fully confirmed: 433 of 449 eligible tags transposed. Awaiting user decision on (a) which spelling to standardise for the B.001 Tech Services room and (b) whether to stop the formula spilling into blank-column-A rows.</t>
  </si>
  <si>
    <t>TECH_SERVICES_AND_COLLECTIONS_OFFICE</t>
  </si>
  <si>
    <t>After editing QNL room names in A2:C337 and clearing rows 338 down, asked me to re-run the confirmation check.</t>
  </si>
  <si>
    <t>Re-ran the full two-way reconciliation of CAR A779:A1229 against the column D spills in 'QNL Room Names with Equip.', then spot-checked row 323 and the cleared tail rows.</t>
  </si>
  <si>
    <t>451 tags total, 449 eligible (2 blank-entity: VAV0001 row 931, VAV_B_S13_005 row 1134). All 449 eligible tags now found in column D - 0 missing. The AND vs &amp; mismatch is resolved: A323 now reads entity:QNL_B_001_TECH_SERVICES_AND_COLLECTIONS_OFFICE and returns its 16 VAVs (VAV_B_S11_003 to _020). The blank-entity leak is gone - column D formulas now stop at row 337 (336 rooms), and A338:E345 verified empty of both values and formulas. 172 of 336 rooms legitimately show 'No Equipment in entity'.</t>
  </si>
  <si>
    <t>Confirmed. QNL block fully reconciled: 449 of 449 eligible assets transposed, 2 correctly excluded for having no column E value, no spurious spill.</t>
  </si>
  <si>
    <t>ahu-8601</t>
  </si>
  <si>
    <t>BRIDGE CEILING VOID L1.BR6</t>
  </si>
  <si>
    <t>BRIDGE CEILING VOID L1.BR5</t>
  </si>
  <si>
    <t>BRIDGE CEILING VOID L1.BR4</t>
  </si>
  <si>
    <t>BRIDGE CEILING</t>
  </si>
  <si>
    <t>VOID L1.BR4</t>
  </si>
  <si>
    <t>BRIDGE CEILING VOID L1.BR3</t>
  </si>
  <si>
    <t>BRIDGE CEILING VOID L1.BR2</t>
  </si>
  <si>
    <t>BRIDGE CEILING VOID L1.BR1</t>
  </si>
  <si>
    <t>VOID L1.BR5</t>
  </si>
  <si>
    <t>BRIDGE IDF L1.BI</t>
  </si>
  <si>
    <t>entity:QNL_L1_BR6_BRIDGE_CEILING_VOID</t>
  </si>
  <si>
    <t>entity:QNL_L1_BR5_BRIDGE_CEILING_VOID</t>
  </si>
  <si>
    <t>entity:QNL_L1_BR4_BRIDGE_CEILING_VOID</t>
  </si>
  <si>
    <t>entity:QNL_L1_BC1_BRIDGE_CEILING</t>
  </si>
  <si>
    <t>entity:QNL_L1_BR3_BRIDGE_CEILING_VOID</t>
  </si>
  <si>
    <t>entity:QNL_L1_BR2_BRIDGE_CEILING_VOID</t>
  </si>
  <si>
    <t>entity:QNL_L1_BR1_BRIDGE_CEILING_VOID</t>
  </si>
  <si>
    <t>entity:QNL_L1_BC2_BRIDGE_CEILING</t>
  </si>
  <si>
    <t>entity:QNL_L1_BI_BRIDGE_IDF</t>
  </si>
  <si>
    <t>entity:QNL_L2_018_GROUP_STUDY_ROOM_8</t>
  </si>
  <si>
    <t>Room Number</t>
  </si>
  <si>
    <t>Room Name</t>
  </si>
  <si>
    <t>GROUP_STUDY_ROOM_8</t>
  </si>
  <si>
    <t>L1_BR6</t>
  </si>
  <si>
    <t>BRIDGE_CEILING_VOID</t>
  </si>
  <si>
    <t>L1_BR5</t>
  </si>
  <si>
    <t>L1_BR4</t>
  </si>
  <si>
    <t>L1_BR3</t>
  </si>
  <si>
    <t>L1_BR2</t>
  </si>
  <si>
    <t>L1_BR1</t>
  </si>
  <si>
    <t>L1_BC1</t>
  </si>
  <si>
    <t>BRIDGE_CEILING</t>
  </si>
  <si>
    <t>L1_BC2</t>
  </si>
  <si>
    <t>L1_BI</t>
  </si>
  <si>
    <t>BRIDGE_IDF</t>
  </si>
  <si>
    <t>Asked me to redo the validation exercise on the QNL equipment mapping.</t>
  </si>
  <si>
    <t>Re-ran the two-way reconciliation, found 5 newly added rooms had no formula in column D, and filled D337 down to D338:D342.</t>
  </si>
  <si>
    <t>Initial re-run showed 16 eligible tags unplaced across 5 entities (L2_992_GULF_MATERIAL, L2_993_CORRIDOR, L1_BC1_BRIDGE_CEILING, L1_BC2_BRIDGE_CEILING, L1_BI_BRIDGE_IDF). Cause was structural, not a name mismatch: rooms were added at rows 338-342 in column A but the TRANSPOSE(FILTER(...)) formula still stopped at row 337. Copied D337 into D338:D342 (destination was empty, no overwrite). Also checked for duplicate CAR tags, duplicate placements, tags landing in the wrong room row, and spill errors - none found.</t>
  </si>
  <si>
    <t>Resolved. 449 of 449 eligible tags now placed, 0 missing, 0 misplaced, 0 errors. Formula rows in D now 341, matching the 341 rooms in column A. New rows returned 6, 7, 1, 1 and 1 asset respectively.</t>
  </si>
  <si>
    <t>Uploaded a photo of the QNL Honeywell DX Unit Summary HMI page and asked to copy the room numbers in for the equipment in column A, rows 1230-1253.</t>
  </si>
  <si>
    <t>Mapped the 24 DX units on the HMI screen to rows 1230-1253 and wrote room numbers into column D (not C - see details). Wrote D1234:D1252 (16 cells); left 3 cells blank with explanatory notes.</t>
  </si>
  <si>
    <t>User said column C, but C is the 'Included/Not Included' flag column and D is 'ROOM NAME AS PER DRAWINGS' - D1230:D1233 and D1243 already held B.081/B.082 matching the HMI, confirming D is the right target. Mapping: B01/B02=B.081; B03/B04/B14=B.082; B05/B06=B.083; B07/B16=B.095; B08/B09=B.084; B10=B.102; B12/B23=B.107; B13/B15=B.093; B17/B18/B19=B.045A; B20=B.092; B22=B.106. DX_B11 (Basement Zone 5) has no room number on the HMI; DX_B21 and DX_B24 are DX/RP roof units (Zone C) with no room number - notes added instead of values.</t>
  </si>
  <si>
    <t>Verified by re-reading A1230:D1253 - all 24 rows populated except D1240, D1250, D1253 which are intentionally blank with notes. Column C left untouched.</t>
  </si>
  <si>
    <t>MV ROOM B.081</t>
  </si>
  <si>
    <t>TRANSFORMER ROOM B.082</t>
  </si>
  <si>
    <t>EMERGENCY LIGHTING BATTERY ROOM B.095</t>
  </si>
  <si>
    <t>SECURITY &amp; BMS B.102</t>
  </si>
  <si>
    <t>SECURITY EQUIPMENT ROOM B.107</t>
  </si>
  <si>
    <t>TRASH CHAMBER B.093</t>
  </si>
  <si>
    <t>STORAGE B.092</t>
  </si>
  <si>
    <t>QTEL ROOM B.048</t>
  </si>
  <si>
    <t>TELECOM ROOM B.050</t>
  </si>
  <si>
    <t>SERVER ROOM B.089</t>
  </si>
  <si>
    <t>IDF B.222</t>
  </si>
  <si>
    <t>Supplied a full QNL basement room name/number list and asked to prefix the room names before every room number already in column D, from row 1230 to the end of the QNL section.</t>
  </si>
  <si>
    <t>Determined QNL section spans rows 1230-1329 (row 1330 = SSC header). Populated names on 24 cells: D1230:D1252 (DX units) and D1301:D1311 (CCU units). Left 8 cells with bare room numbers and added explanatory notes.</t>
  </si>
  <si>
    <t>Format used: NAME + existing room number, e.g. 'MV ROOM B.081'. Only rows 1230-1253 and 1301-1311 held room numbers within the QNL block; all other QNL rows (HEX, EF, KEF, SEF, TEF, CHW pumps, generator) have empty column D so nothing to prefix. Unresolved: B.083 (rows 1234-1235) and B.045A (rows 1246-1248) do not appear in the supplied list; B.106 (row 1251) and B.141 (rows 1308-1309) each have two candidate names in the list. 'TRANSH CHAMBER B093' interpreted as TRASH CHAMBER. Rows 1240/1250/1253 hold Basement Zone 5 and ROOF ZONE C - no room number, left as-is.</t>
  </si>
  <si>
    <t>Verified by re-reading A1230:D1253 and A1301:D1311 - 24 cells now carry name + number; 8 flagged with notes pending user confirmation.</t>
  </si>
  <si>
    <t>HV ROOM B.083</t>
  </si>
  <si>
    <t>REST ROOM SECURITY B.106_RES</t>
  </si>
  <si>
    <t>VAULT_B.141_VAU</t>
  </si>
  <si>
    <t>ITTIGATION CONTROL ROOM B.046_ITT</t>
  </si>
  <si>
    <t>REFRIGERATE STORE B.045A</t>
  </si>
  <si>
    <t>Generator B.080</t>
  </si>
  <si>
    <t>Loading Room B.109</t>
  </si>
  <si>
    <t>Sprinklers Pumps B.072</t>
  </si>
  <si>
    <t>Plant Zone P.002</t>
  </si>
  <si>
    <t>Plant Zone P.004</t>
  </si>
  <si>
    <t>Plant Zone P.006</t>
  </si>
  <si>
    <t>Plant Zone P.007</t>
  </si>
  <si>
    <t>ELEC SHAFT L1.E2</t>
  </si>
  <si>
    <t>ELEC SHAFT L1.E1</t>
  </si>
  <si>
    <t>PLANT ROOM 2 B.070</t>
  </si>
  <si>
    <t>COMPACT SHELVING-MAIN COLLECTION B.120</t>
  </si>
  <si>
    <t>BREAKOUT AREA B.001A</t>
  </si>
  <si>
    <t>DIGITIZATION CENTER B.055</t>
  </si>
  <si>
    <t>Trash room B.093</t>
  </si>
  <si>
    <t>Fuel pump room B.091</t>
  </si>
  <si>
    <t>IDF ROOM B.214</t>
  </si>
  <si>
    <t>L-3 L1.L-3</t>
  </si>
  <si>
    <t>RESTAURANT L1.067</t>
  </si>
  <si>
    <t>MEP KITCHEN B.049</t>
  </si>
  <si>
    <t>PH PLANT B.211</t>
  </si>
  <si>
    <t>IDF Roof RP.001</t>
  </si>
  <si>
    <t>entity:QNL_B_083_HV_ROOM</t>
  </si>
  <si>
    <t>entity:QNL_B_045A_REFRIGERATE_STORE</t>
  </si>
  <si>
    <t>entity:QNL_P_004_PLANT_ZONE</t>
  </si>
  <si>
    <t>entity:QNL_B_055_DIGITIZATION_CENTER</t>
  </si>
  <si>
    <t>entity:QNL_B_214_IDF_ROOM</t>
  </si>
  <si>
    <t>entity:QNL_P_002_PLANT_ZONE</t>
  </si>
  <si>
    <t>entity:QNL_P_007_PLANT_ZONE</t>
  </si>
  <si>
    <t>entity:QNL_L1_067_RESTAURANT</t>
  </si>
  <si>
    <t>entity:QNL_P_006_PLANT_ZONE</t>
  </si>
  <si>
    <t>entity:QNL_L1-E2_ELEC_SHAFT</t>
  </si>
  <si>
    <t>entity:QNL_L1-E1_ELEC_SHAFT</t>
  </si>
  <si>
    <t>B_083</t>
  </si>
  <si>
    <t>HV_ROOM</t>
  </si>
  <si>
    <t>B_045A</t>
  </si>
  <si>
    <t>REFRIGERATE_STORE</t>
  </si>
  <si>
    <t>P_004</t>
  </si>
  <si>
    <t>PLANT_ZONE</t>
  </si>
  <si>
    <t>B_055</t>
  </si>
  <si>
    <t>DIGITIZATION_CENTER</t>
  </si>
  <si>
    <t>B_214</t>
  </si>
  <si>
    <t>P_002</t>
  </si>
  <si>
    <t>P_007</t>
  </si>
  <si>
    <t>L1_067</t>
  </si>
  <si>
    <t>P_006</t>
  </si>
  <si>
    <t>L1-E2</t>
  </si>
  <si>
    <t>ELEC_SHAFT</t>
  </si>
  <si>
    <t>L1-E1</t>
  </si>
  <si>
    <t>User asked to re-run the validation of the QNL room/equipment mapping.</t>
  </si>
  <si>
    <t>Re-audited 'Controllable Asset Registry' A779:A1329 against column D of 'QNL Room Names with Equip.'. Read-only; no changes made.</t>
  </si>
  <si>
    <t>Source range in the column D TRANSPOSE(FILTER(...)) formulas has widened since the earlier audit, from A779:A1229 to A779:A1329, and now carries an if_empty argument returning "No Equipment in entity". Rooms in column A run to row 353 (352 entities) with matching formulas in D2:D353. Audited against the widened range: 551 asset tags, 537 with a non-blank column E entity. Also checked CAR rows below 1329 - 271 further assets exist but all carry SSC_ prefixed entities (different building), so ending the range at 1329 is correct and no QNL assets are excluded.</t>
  </si>
  <si>
    <t>Clean. 537 of 537 eligible assets placed in the correct room row; 0 unplaced, 0 misplaced, 0 orphans, 0 spill errors, no duplicate tags or duplicate room entities. 14 blank-entity assets correctly excluded with no leakage. 154 rooms legitimately show "No Equipment in entity".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</si>
</sst>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h:mm:ss"/>
  </numFmts>
  <fonts count="19" x14ac:knownFonts="1">
    <font>
      <sz val="11"/>
      <color theme="1"/>
      <name val="Calibri"/>
      <family val="2"/>
      <charset val="1"/>
    </font>
    <font>
      <b/>
      <sz val="15"/>
      <color rgb="FFFFFFFF"/>
      <name val="Arial"/>
      <family val="2"/>
    </font>
    <font>
      <b/>
      <sz val="9"/>
      <color rgb="FFFFFFFF"/>
      <name val="Arial"/>
      <family val="2"/>
    </font>
    <font>
      <sz val="9"/>
      <name val="Arial"/>
      <family val="2"/>
    </font>
    <font>
      <b/>
      <sz val="10"/>
      <color rgb="FFFFFFFF"/>
      <name val="Arial"/>
      <family val="2"/>
    </font>
    <font>
      <b/>
      <sz val="9"/>
      <name val="Arial"/>
      <family val="2"/>
    </font>
    <font>
      <sz val="9"/>
      <name val="Arial"/>
      <family val="2"/>
    </font>
    <font>
      <b/>
      <sz val="9"/>
      <name val="Arial"/>
      <family val="2"/>
    </font>
    <font>
      <b/>
      <sz val="11"/>
      <color theme="1"/>
      <name val="Calibri"/>
      <family val="2"/>
    </font>
    <font>
      <b/>
      <sz val="11"/>
      <color rgb="FF000000"/>
      <name val="Calibri"/>
      <family val="2"/>
    </font>
    <font>
      <b/>
      <sz val="11"/>
      <color rgb="FFFFFFFF"/>
      <name val="Calibri"/>
      <family val="2"/>
      <charset val="1"/>
    </font>
    <font>
      <sz val="11"/>
      <color rgb="FFFF0000"/>
      <name val="Calibri"/>
      <family val="2"/>
      <charset val="1"/>
    </font>
    <font>
      <sz val="11"/>
      <color rgb="FF000000"/>
      <name val="Calibri"/>
      <family val="2"/>
      <charset val="1"/>
    </font>
    <font>
      <b/>
      <sz val="9"/>
      <color rgb="FF000000"/>
      <name val="Segoe UI"/>
      <family val="2"/>
    </font>
    <font>
      <sz val="9"/>
      <name val="Segoe UI"/>
      <family val="2"/>
    </font>
    <font>
      <sz val="8"/>
      <name val="Calibri"/>
      <family val="2"/>
      <charset val="1"/>
    </font>
    <font>
      <b/>
      <sz val="12"/>
      <color theme="1"/>
      <name val="Calibri"/>
      <family val="2"/>
      <charset val="1"/>
    </font>
    <font>
      <sz val="9"/>
      <color indexed="81"/>
      <name val="Tahoma"/>
      <charset val="1"/>
    </font>
    <font>
      <b/>
      <sz val="9"/>
      <color indexed="81"/>
      <name val="Tahoma"/>
      <charset val="1"/>
    </font>
  </fonts>
  <fills count="13">
    <fill>
      <patternFill patternType="none"/>
    </fill>
    <fill>
      <patternFill patternType="gray125"/>
    </fill>
    <fill>
      <patternFill patternType="solid">
        <fgColor rgb="FF1F4E79"/>
        <bgColor rgb="FF003366"/>
      </patternFill>
    </fill>
    <fill>
      <patternFill patternType="solid">
        <fgColor rgb="FF2E75B6"/>
        <bgColor rgb="FF0066CC"/>
      </patternFill>
    </fill>
    <fill>
      <patternFill patternType="solid">
        <fgColor rgb="FFFFFFFF"/>
        <bgColor rgb="FFF5F5F5"/>
      </patternFill>
    </fill>
    <fill>
      <patternFill patternType="solid">
        <fgColor rgb="FFF5F5F5"/>
        <bgColor rgb="FFFFFFFF"/>
      </patternFill>
    </fill>
    <fill>
      <patternFill patternType="solid">
        <fgColor theme="0" tint="-0.499984740745262"/>
        <bgColor indexed="64"/>
      </patternFill>
    </fill>
    <fill>
      <patternFill patternType="solid">
        <fgColor rgb="FF808080"/>
        <bgColor rgb="FF000000"/>
      </patternFill>
    </fill>
    <fill>
      <patternFill patternType="solid">
        <fgColor rgb="FF1F4E79"/>
        <bgColor indexed="64"/>
      </patternFill>
    </fill>
    <fill>
      <patternFill patternType="solid">
        <fgColor rgb="FFFFFF00"/>
        <bgColor indexed="64"/>
      </patternFill>
    </fill>
    <fill>
      <patternFill patternType="solid">
        <fgColor theme="0"/>
        <bgColor indexed="64"/>
      </patternFill>
    </fill>
    <fill>
      <patternFill patternType="solid">
        <fgColor rgb="FFC8C8C8"/>
        <bgColor rgb="FF000000"/>
      </patternFill>
    </fill>
    <fill>
      <patternFill patternType="solid">
        <fgColor rgb="FFFFFF00"/>
        <bgColor rgb="FFFFFF00"/>
      </patternFill>
    </fill>
  </fills>
  <borders count="11">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style="thin">
        <color rgb="FFBFBFBF"/>
      </left>
      <right style="thin">
        <color rgb="FFBFBFBF"/>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bottom/>
      <diagonal/>
    </border>
  </borders>
  <cellStyleXfs count="1">
    <xf numFmtId="0" fontId="0" fillId="0" borderId="0"/>
  </cellStyleXfs>
  <cellXfs count="39">
    <xf numFmtId="0" fontId="0" fillId="0" borderId="0" xfId="0"/>
    <xf numFmtId="0" fontId="2" fillId="2" borderId="1" xfId="0" applyFont="1" applyFill="1" applyBorder="1" applyAlignment="1">
      <alignment horizontal="center" vertical="center" wrapText="1"/>
    </xf>
    <xf numFmtId="0" fontId="3" fillId="4" borderId="1" xfId="0" applyFont="1" applyFill="1" applyBorder="1" applyAlignment="1">
      <alignment horizontal="center" vertical="center"/>
    </xf>
    <xf numFmtId="0" fontId="5" fillId="5" borderId="1" xfId="0" applyFont="1" applyFill="1" applyBorder="1" applyAlignment="1">
      <alignment horizontal="center"/>
    </xf>
    <xf numFmtId="0" fontId="3" fillId="0" borderId="1" xfId="0" applyFont="1" applyBorder="1" applyAlignment="1">
      <alignment horizontal="center"/>
    </xf>
    <xf numFmtId="0" fontId="2" fillId="2" borderId="1" xfId="0" applyFont="1" applyFill="1" applyBorder="1" applyAlignment="1">
      <alignment horizontal="center"/>
    </xf>
    <xf numFmtId="0" fontId="4" fillId="3" borderId="2" xfId="0" applyFont="1" applyFill="1" applyBorder="1"/>
    <xf numFmtId="0" fontId="6" fillId="4" borderId="1" xfId="0" applyFont="1" applyFill="1" applyBorder="1" applyAlignment="1">
      <alignment horizontal="center" vertical="center"/>
    </xf>
    <xf numFmtId="0" fontId="7" fillId="5" borderId="1" xfId="0" applyFont="1" applyFill="1" applyBorder="1" applyAlignment="1">
      <alignment horizontal="center"/>
    </xf>
    <xf numFmtId="0" fontId="10" fillId="8" borderId="0" xfId="0" applyFont="1" applyFill="1"/>
    <xf numFmtId="14" fontId="0" fillId="0" borderId="0" xfId="0" applyNumberFormat="1"/>
    <xf numFmtId="0" fontId="0" fillId="9" borderId="0" xfId="0" applyFill="1"/>
    <xf numFmtId="0" fontId="2" fillId="2" borderId="5" xfId="0" applyFont="1" applyFill="1" applyBorder="1" applyAlignment="1">
      <alignment horizontal="center" vertical="center" wrapText="1"/>
    </xf>
    <xf numFmtId="0" fontId="11" fillId="0" borderId="0" xfId="0" applyFont="1"/>
    <xf numFmtId="0" fontId="2" fillId="0" borderId="1" xfId="0" applyFont="1" applyBorder="1" applyAlignment="1">
      <alignment horizontal="center" vertical="center" wrapText="1"/>
    </xf>
    <xf numFmtId="0" fontId="12" fillId="0" borderId="0" xfId="0" applyFont="1"/>
    <xf numFmtId="0" fontId="0" fillId="10" borderId="0" xfId="0" applyFill="1"/>
    <xf numFmtId="0" fontId="13" fillId="11" borderId="6" xfId="0" applyFont="1" applyFill="1" applyBorder="1"/>
    <xf numFmtId="0" fontId="13" fillId="11" borderId="7" xfId="0" applyFont="1" applyFill="1" applyBorder="1"/>
    <xf numFmtId="0" fontId="14" fillId="0" borderId="8" xfId="0" applyFont="1" applyBorder="1" applyAlignment="1">
      <alignment wrapText="1"/>
    </xf>
    <xf numFmtId="0" fontId="14" fillId="0" borderId="9" xfId="0" applyFont="1" applyBorder="1" applyAlignment="1">
      <alignment wrapText="1"/>
    </xf>
    <xf numFmtId="0" fontId="13" fillId="11" borderId="10" xfId="0" applyFont="1" applyFill="1" applyBorder="1"/>
    <xf numFmtId="0" fontId="8" fillId="6" borderId="0" xfId="0" applyFont="1" applyFill="1" applyAlignment="1">
      <alignment horizontal="left"/>
    </xf>
    <xf numFmtId="0" fontId="9" fillId="7" borderId="0" xfId="0" applyFont="1" applyFill="1" applyAlignment="1">
      <alignment horizontal="left"/>
    </xf>
    <xf numFmtId="164" fontId="0" fillId="0" borderId="0" xfId="0" applyNumberFormat="1"/>
    <xf numFmtId="165" fontId="0" fillId="0" borderId="0" xfId="0" applyNumberFormat="1"/>
    <xf numFmtId="0" fontId="0" fillId="12" borderId="0" xfId="0" applyFill="1"/>
    <xf numFmtId="0" fontId="12" fillId="12" borderId="0" xfId="0" applyFont="1" applyFill="1"/>
    <xf numFmtId="0" fontId="16" fillId="0" borderId="0" xfId="0" applyFont="1"/>
    <xf numFmtId="0" fontId="1" fillId="2" borderId="0" xfId="0" applyFont="1" applyFill="1" applyAlignment="1">
      <alignment horizontal="center" vertical="center"/>
    </xf>
    <xf numFmtId="0" fontId="0" fillId="0" borderId="0" xfId="0"/>
    <xf numFmtId="0" fontId="8" fillId="6" borderId="0" xfId="0" applyFont="1" applyFill="1" applyAlignment="1">
      <alignment horizontal="left"/>
    </xf>
    <xf numFmtId="0" fontId="3" fillId="4" borderId="1" xfId="0" applyFont="1" applyFill="1" applyBorder="1" applyAlignment="1">
      <alignment horizontal="center" vertical="center"/>
    </xf>
    <xf numFmtId="0" fontId="0" fillId="0" borderId="4" xfId="0" applyBorder="1"/>
    <xf numFmtId="0" fontId="4" fillId="3" borderId="1" xfId="0" applyFont="1" applyFill="1" applyBorder="1" applyAlignment="1">
      <alignment horizontal="center"/>
    </xf>
    <xf numFmtId="0" fontId="0" fillId="0" borderId="3" xfId="0" applyBorder="1"/>
    <xf numFmtId="0" fontId="12" fillId="0" borderId="0" xfId="0" applyFont="1" applyFill="1"/>
    <xf numFmtId="0" fontId="0" fillId="0" borderId="0" xfId="0" applyFill="1"/>
    <xf numFmtId="49" fontId="0" fillId="0" borderId="0" xfId="0" applyNumberFormat="1"/>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5F5F5"/>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14"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C81A8AF-2451-46A0-84EF-8CA32219AB0E}">
  <we:reference id="WA200009404" version="1.0.0.8" store="Omex" storeType="OMEX"/>
  <we:alternateReferences>
    <we:reference id="WA200009404" version="1.0.0.8" store="WA200009404" storeType="OMEX"/>
  </we:alternateReferences>
  <we:properties>
    <we:property name="claude.fileId" value="&quot;735b78b4-f50d-44a7-bcd6-8483aa9808f9&quot;"/>
  </we:properties>
  <we:bindings/>
  <we:snapshot xmlns:r="http://schemas.openxmlformats.org/officeDocument/2006/relationships"/>
</we:webextension>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9"/>
  <sheetViews>
    <sheetView workbookViewId="0">
      <selection sqref="A1:D1"/>
    </sheetView>
  </sheetViews>
  <sheetFormatPr defaultRowHeight="14.4" x14ac:dyDescent="0.3"/>
  <cols>
    <col min="1" max="1" width="8.33203125" customWidth="1"/>
    <col min="2" max="2" width="13" customWidth="1"/>
    <col min="3" max="6" width="40.77734375" customWidth="1"/>
  </cols>
  <sheetData>
    <row r="1" spans="1:6" x14ac:dyDescent="0.3">
      <c r="A1" s="9" t="s">
        <v>4860</v>
      </c>
      <c r="B1" s="9" t="s">
        <v>4861</v>
      </c>
      <c r="C1" s="9" t="s">
        <v>4862</v>
      </c>
      <c r="D1" s="9" t="s">
        <v>4863</v>
      </c>
      <c r="E1" s="9" t="s">
        <v>4864</v>
      </c>
      <c r="F1" s="9" t="s">
        <v>4865</v>
      </c>
    </row>
    <row r="2" spans="1:6" x14ac:dyDescent="0.3">
      <c r="A2">
        <v>1</v>
      </c>
      <c r="B2" s="10">
        <v>46244</v>
      </c>
      <c r="C2" t="s">
        <v>4866</v>
      </c>
      <c r="D2" t="s">
        <v>4867</v>
      </c>
      <c r="E2" t="s">
        <v>4868</v>
      </c>
      <c r="F2" t="s">
        <v>4869</v>
      </c>
    </row>
    <row r="3" spans="1:6" x14ac:dyDescent="0.3">
      <c r="A3">
        <v>3</v>
      </c>
      <c r="B3" s="10">
        <v>46244</v>
      </c>
      <c r="C3" t="s">
        <v>4870</v>
      </c>
      <c r="D3" t="s">
        <v>4871</v>
      </c>
      <c r="E3" t="s">
        <v>4872</v>
      </c>
      <c r="F3" t="s">
        <v>4873</v>
      </c>
    </row>
    <row r="4" spans="1:6" x14ac:dyDescent="0.3">
      <c r="A4">
        <v>4</v>
      </c>
      <c r="B4" s="10">
        <v>46244</v>
      </c>
      <c r="C4" t="s">
        <v>4874</v>
      </c>
      <c r="D4" t="s">
        <v>4875</v>
      </c>
      <c r="E4" t="s">
        <v>4876</v>
      </c>
      <c r="F4" t="s">
        <v>4877</v>
      </c>
    </row>
    <row r="5" spans="1:6" x14ac:dyDescent="0.3">
      <c r="A5">
        <v>5</v>
      </c>
      <c r="B5" s="10">
        <v>46244</v>
      </c>
      <c r="C5" t="s">
        <v>4878</v>
      </c>
      <c r="D5" t="s">
        <v>4879</v>
      </c>
      <c r="E5" t="s">
        <v>4880</v>
      </c>
      <c r="F5" t="s">
        <v>4881</v>
      </c>
    </row>
    <row r="6" spans="1:6" x14ac:dyDescent="0.3">
      <c r="A6">
        <v>6</v>
      </c>
      <c r="B6" s="10">
        <v>46245</v>
      </c>
      <c r="C6" t="s">
        <v>4882</v>
      </c>
      <c r="D6" t="s">
        <v>4883</v>
      </c>
      <c r="E6" t="s">
        <v>4884</v>
      </c>
      <c r="F6" t="s">
        <v>4885</v>
      </c>
    </row>
    <row r="7" spans="1:6" x14ac:dyDescent="0.3">
      <c r="A7">
        <v>7</v>
      </c>
      <c r="B7" s="10">
        <v>46245</v>
      </c>
      <c r="C7" t="s">
        <v>4886</v>
      </c>
      <c r="D7" t="s">
        <v>4887</v>
      </c>
      <c r="E7" t="s">
        <v>4888</v>
      </c>
      <c r="F7" t="s">
        <v>4889</v>
      </c>
    </row>
    <row r="8" spans="1:6" x14ac:dyDescent="0.3">
      <c r="A8">
        <v>8</v>
      </c>
      <c r="B8" s="10">
        <v>46245</v>
      </c>
      <c r="C8" t="s">
        <v>4890</v>
      </c>
      <c r="D8" t="s">
        <v>4891</v>
      </c>
      <c r="E8" t="s">
        <v>4892</v>
      </c>
      <c r="F8" t="s">
        <v>4893</v>
      </c>
    </row>
    <row r="9" spans="1:6" x14ac:dyDescent="0.3">
      <c r="A9">
        <v>9</v>
      </c>
      <c r="B9" s="10">
        <v>46245</v>
      </c>
      <c r="C9" t="s">
        <v>4894</v>
      </c>
      <c r="D9" t="s">
        <v>4895</v>
      </c>
      <c r="E9" t="s">
        <v>4896</v>
      </c>
      <c r="F9" t="s">
        <v>4897</v>
      </c>
    </row>
    <row r="10" spans="1:6" x14ac:dyDescent="0.3">
      <c r="A10">
        <v>10</v>
      </c>
      <c r="B10" s="10">
        <v>46245</v>
      </c>
      <c r="C10" t="s">
        <v>4898</v>
      </c>
      <c r="D10" t="s">
        <v>4899</v>
      </c>
      <c r="E10" t="s">
        <v>4900</v>
      </c>
      <c r="F10" t="s">
        <v>4901</v>
      </c>
    </row>
    <row r="11" spans="1:6" x14ac:dyDescent="0.3">
      <c r="A11">
        <v>11</v>
      </c>
      <c r="B11" s="10">
        <v>46245</v>
      </c>
      <c r="C11" t="s">
        <v>4902</v>
      </c>
      <c r="D11" t="s">
        <v>4903</v>
      </c>
      <c r="E11" t="s">
        <v>4904</v>
      </c>
      <c r="F11" t="s">
        <v>4905</v>
      </c>
    </row>
    <row r="12" spans="1:6" x14ac:dyDescent="0.3">
      <c r="A12">
        <v>12</v>
      </c>
      <c r="B12" s="10">
        <v>46245</v>
      </c>
      <c r="C12" t="s">
        <v>4906</v>
      </c>
      <c r="D12" t="s">
        <v>4907</v>
      </c>
      <c r="E12" t="s">
        <v>4908</v>
      </c>
      <c r="F12" t="s">
        <v>4909</v>
      </c>
    </row>
    <row r="13" spans="1:6" x14ac:dyDescent="0.3">
      <c r="A13">
        <v>13</v>
      </c>
      <c r="B13" s="10">
        <v>46245</v>
      </c>
      <c r="C13" t="s">
        <v>4910</v>
      </c>
      <c r="D13" t="s">
        <v>4911</v>
      </c>
      <c r="E13" t="s">
        <v>4912</v>
      </c>
      <c r="F13" t="s">
        <v>4913</v>
      </c>
    </row>
    <row r="14" spans="1:6" x14ac:dyDescent="0.3">
      <c r="A14">
        <v>14</v>
      </c>
      <c r="B14" s="10">
        <v>46245</v>
      </c>
      <c r="C14" t="s">
        <v>4914</v>
      </c>
      <c r="D14" t="s">
        <v>4915</v>
      </c>
      <c r="E14" t="s">
        <v>4916</v>
      </c>
      <c r="F14" t="s">
        <v>4917</v>
      </c>
    </row>
    <row r="15" spans="1:6" x14ac:dyDescent="0.3">
      <c r="A15">
        <v>15</v>
      </c>
      <c r="B15" s="10">
        <v>46245</v>
      </c>
      <c r="C15" t="s">
        <v>4918</v>
      </c>
      <c r="D15" t="s">
        <v>4919</v>
      </c>
      <c r="E15" t="s">
        <v>4920</v>
      </c>
      <c r="F15" t="s">
        <v>4921</v>
      </c>
    </row>
    <row r="16" spans="1:6" x14ac:dyDescent="0.3">
      <c r="A16">
        <v>16</v>
      </c>
      <c r="B16" s="10">
        <v>46246</v>
      </c>
      <c r="C16" t="s">
        <v>4922</v>
      </c>
      <c r="D16" t="s">
        <v>4923</v>
      </c>
      <c r="E16" t="s">
        <v>4924</v>
      </c>
      <c r="F16" t="s">
        <v>4925</v>
      </c>
    </row>
    <row r="17" spans="1:6" x14ac:dyDescent="0.3">
      <c r="A17">
        <v>17</v>
      </c>
      <c r="B17" s="10">
        <v>46246</v>
      </c>
      <c r="C17" t="s">
        <v>4926</v>
      </c>
      <c r="D17" t="s">
        <v>4927</v>
      </c>
      <c r="E17" t="s">
        <v>4928</v>
      </c>
      <c r="F17" t="s">
        <v>4929</v>
      </c>
    </row>
    <row r="18" spans="1:6" x14ac:dyDescent="0.3">
      <c r="A18">
        <v>18</v>
      </c>
      <c r="B18" s="10">
        <v>46246</v>
      </c>
      <c r="C18" t="s">
        <v>4930</v>
      </c>
      <c r="D18" t="s">
        <v>4931</v>
      </c>
      <c r="E18" t="s">
        <v>4932</v>
      </c>
      <c r="F18" t="s">
        <v>4933</v>
      </c>
    </row>
    <row r="19" spans="1:6" x14ac:dyDescent="0.3">
      <c r="A19">
        <v>19</v>
      </c>
      <c r="B19" s="10">
        <v>46246</v>
      </c>
      <c r="C19" t="s">
        <v>4934</v>
      </c>
      <c r="D19" t="s">
        <v>4935</v>
      </c>
      <c r="E19" t="s">
        <v>4936</v>
      </c>
      <c r="F19" t="s">
        <v>4937</v>
      </c>
    </row>
    <row r="20" spans="1:6" x14ac:dyDescent="0.3">
      <c r="A20">
        <v>20</v>
      </c>
      <c r="B20" s="10">
        <v>46246</v>
      </c>
      <c r="C20" t="s">
        <v>4938</v>
      </c>
      <c r="D20" t="s">
        <v>4939</v>
      </c>
      <c r="E20" t="s">
        <v>4940</v>
      </c>
      <c r="F20" t="s">
        <v>4941</v>
      </c>
    </row>
    <row r="21" spans="1:6" x14ac:dyDescent="0.3">
      <c r="A21">
        <v>21</v>
      </c>
      <c r="B21" s="10">
        <v>46246</v>
      </c>
      <c r="C21" t="s">
        <v>4942</v>
      </c>
      <c r="D21" t="s">
        <v>4943</v>
      </c>
      <c r="E21" t="s">
        <v>4944</v>
      </c>
      <c r="F21" t="s">
        <v>4945</v>
      </c>
    </row>
    <row r="22" spans="1:6" x14ac:dyDescent="0.3">
      <c r="A22">
        <v>22</v>
      </c>
      <c r="B22" s="10">
        <v>46246</v>
      </c>
      <c r="C22" t="s">
        <v>4946</v>
      </c>
      <c r="D22" t="s">
        <v>4947</v>
      </c>
      <c r="E22" t="s">
        <v>4948</v>
      </c>
      <c r="F22" t="s">
        <v>4949</v>
      </c>
    </row>
    <row r="23" spans="1:6" x14ac:dyDescent="0.3">
      <c r="A23">
        <v>23</v>
      </c>
      <c r="B23" s="10">
        <v>46246</v>
      </c>
      <c r="C23" t="s">
        <v>4950</v>
      </c>
      <c r="D23" t="s">
        <v>4951</v>
      </c>
      <c r="E23" t="s">
        <v>4952</v>
      </c>
      <c r="F23" t="s">
        <v>4953</v>
      </c>
    </row>
    <row r="24" spans="1:6" x14ac:dyDescent="0.3">
      <c r="A24">
        <v>24</v>
      </c>
      <c r="B24" s="10">
        <v>46246</v>
      </c>
      <c r="C24" t="s">
        <v>4954</v>
      </c>
      <c r="D24" t="s">
        <v>4955</v>
      </c>
      <c r="E24" t="s">
        <v>4956</v>
      </c>
      <c r="F24" t="s">
        <v>4957</v>
      </c>
    </row>
    <row r="25" spans="1:6" x14ac:dyDescent="0.3">
      <c r="A25">
        <v>25</v>
      </c>
      <c r="B25" s="10">
        <v>46246</v>
      </c>
      <c r="C25" t="s">
        <v>4958</v>
      </c>
      <c r="D25" t="s">
        <v>4959</v>
      </c>
      <c r="E25" t="s">
        <v>4960</v>
      </c>
      <c r="F25" t="s">
        <v>4961</v>
      </c>
    </row>
    <row r="26" spans="1:6" x14ac:dyDescent="0.3">
      <c r="A26">
        <v>26</v>
      </c>
      <c r="B26" s="10">
        <v>46246</v>
      </c>
      <c r="C26" t="s">
        <v>4962</v>
      </c>
      <c r="D26" t="s">
        <v>4963</v>
      </c>
      <c r="E26" t="s">
        <v>4964</v>
      </c>
      <c r="F26" t="s">
        <v>4965</v>
      </c>
    </row>
    <row r="27" spans="1:6" x14ac:dyDescent="0.3">
      <c r="A27">
        <v>27</v>
      </c>
      <c r="B27" s="10">
        <v>46246</v>
      </c>
      <c r="C27" t="s">
        <v>4966</v>
      </c>
      <c r="D27" t="s">
        <v>4967</v>
      </c>
      <c r="E27" t="s">
        <v>4968</v>
      </c>
      <c r="F27" t="s">
        <v>4969</v>
      </c>
    </row>
    <row r="28" spans="1:6" x14ac:dyDescent="0.3">
      <c r="A28">
        <v>28</v>
      </c>
      <c r="B28" s="10">
        <v>46246</v>
      </c>
      <c r="C28" t="s">
        <v>4970</v>
      </c>
      <c r="D28" t="s">
        <v>4971</v>
      </c>
      <c r="E28" t="s">
        <v>4972</v>
      </c>
      <c r="F28" t="s">
        <v>4973</v>
      </c>
    </row>
    <row r="29" spans="1:6" x14ac:dyDescent="0.3">
      <c r="A29">
        <v>29</v>
      </c>
      <c r="B29" s="10">
        <v>46246</v>
      </c>
      <c r="C29" t="s">
        <v>4974</v>
      </c>
      <c r="D29" t="s">
        <v>4975</v>
      </c>
      <c r="E29" t="s">
        <v>4976</v>
      </c>
      <c r="F29" t="s">
        <v>4977</v>
      </c>
    </row>
    <row r="30" spans="1:6" x14ac:dyDescent="0.3">
      <c r="A30">
        <v>30</v>
      </c>
      <c r="B30" s="10">
        <v>46246</v>
      </c>
      <c r="C30" t="s">
        <v>4978</v>
      </c>
      <c r="D30" t="s">
        <v>4979</v>
      </c>
      <c r="E30" t="s">
        <v>4980</v>
      </c>
      <c r="F30" t="s">
        <v>4981</v>
      </c>
    </row>
    <row r="31" spans="1:6" x14ac:dyDescent="0.3">
      <c r="A31">
        <v>31</v>
      </c>
      <c r="B31" s="10">
        <v>46246</v>
      </c>
      <c r="C31" t="s">
        <v>4982</v>
      </c>
      <c r="D31" t="s">
        <v>4983</v>
      </c>
      <c r="E31" t="s">
        <v>4984</v>
      </c>
      <c r="F31" t="s">
        <v>4985</v>
      </c>
    </row>
    <row r="32" spans="1:6" x14ac:dyDescent="0.3">
      <c r="A32">
        <v>32</v>
      </c>
      <c r="B32" s="10">
        <v>46246</v>
      </c>
      <c r="C32" t="s">
        <v>4986</v>
      </c>
      <c r="D32" t="s">
        <v>4987</v>
      </c>
      <c r="E32" t="s">
        <v>4988</v>
      </c>
      <c r="F32" t="s">
        <v>4989</v>
      </c>
    </row>
    <row r="33" spans="1:6" x14ac:dyDescent="0.3">
      <c r="A33">
        <v>33</v>
      </c>
      <c r="B33" s="10">
        <v>46246</v>
      </c>
      <c r="C33" t="s">
        <v>4990</v>
      </c>
      <c r="D33" t="s">
        <v>4991</v>
      </c>
      <c r="E33" t="s">
        <v>4992</v>
      </c>
      <c r="F33" t="s">
        <v>4993</v>
      </c>
    </row>
    <row r="34" spans="1:6" x14ac:dyDescent="0.3">
      <c r="A34">
        <v>34</v>
      </c>
      <c r="B34" s="10">
        <v>46246</v>
      </c>
      <c r="C34" t="s">
        <v>4994</v>
      </c>
      <c r="D34" t="s">
        <v>4995</v>
      </c>
      <c r="E34" t="s">
        <v>4996</v>
      </c>
      <c r="F34" t="s">
        <v>4997</v>
      </c>
    </row>
    <row r="35" spans="1:6" x14ac:dyDescent="0.3">
      <c r="A35">
        <v>35</v>
      </c>
      <c r="B35" s="10">
        <v>46246</v>
      </c>
      <c r="C35" t="s">
        <v>4998</v>
      </c>
      <c r="D35" t="s">
        <v>4999</v>
      </c>
      <c r="E35" t="s">
        <v>5000</v>
      </c>
      <c r="F35" t="s">
        <v>5001</v>
      </c>
    </row>
    <row r="36" spans="1:6" x14ac:dyDescent="0.3">
      <c r="A36">
        <v>36</v>
      </c>
      <c r="B36" s="10">
        <v>46246</v>
      </c>
      <c r="C36" t="s">
        <v>5002</v>
      </c>
      <c r="D36" t="s">
        <v>5003</v>
      </c>
      <c r="E36" t="s">
        <v>5004</v>
      </c>
      <c r="F36" t="s">
        <v>5005</v>
      </c>
    </row>
    <row r="37" spans="1:6" x14ac:dyDescent="0.3">
      <c r="A37">
        <v>37</v>
      </c>
      <c r="B37" s="10">
        <v>46246</v>
      </c>
      <c r="C37" t="s">
        <v>5006</v>
      </c>
      <c r="D37" t="s">
        <v>5007</v>
      </c>
      <c r="E37" t="s">
        <v>5008</v>
      </c>
      <c r="F37" t="s">
        <v>5009</v>
      </c>
    </row>
    <row r="38" spans="1:6" x14ac:dyDescent="0.3">
      <c r="A38">
        <v>38</v>
      </c>
      <c r="B38" s="10">
        <v>46246</v>
      </c>
      <c r="C38" t="s">
        <v>5010</v>
      </c>
      <c r="D38" t="s">
        <v>5011</v>
      </c>
      <c r="E38" t="s">
        <v>5012</v>
      </c>
      <c r="F38" t="s">
        <v>5013</v>
      </c>
    </row>
    <row r="39" spans="1:6" x14ac:dyDescent="0.3">
      <c r="A39">
        <v>39</v>
      </c>
      <c r="B39" s="24">
        <v>46248</v>
      </c>
      <c r="C39" t="s">
        <v>5014</v>
      </c>
      <c r="D39" t="s">
        <v>5015</v>
      </c>
      <c r="E39" t="s">
        <v>5016</v>
      </c>
      <c r="F39" t="s">
        <v>5017</v>
      </c>
    </row>
    <row r="40" spans="1:6" x14ac:dyDescent="0.3">
      <c r="A40">
        <v>40</v>
      </c>
      <c r="B40" s="24">
        <v>46248</v>
      </c>
      <c r="C40" t="s">
        <v>5018</v>
      </c>
      <c r="D40" t="s">
        <v>5019</v>
      </c>
      <c r="E40" t="s">
        <v>5020</v>
      </c>
      <c r="F40" t="s">
        <v>5021</v>
      </c>
    </row>
    <row r="41" spans="1:6" x14ac:dyDescent="0.3">
      <c r="A41">
        <v>41</v>
      </c>
      <c r="B41" s="24">
        <v>46248</v>
      </c>
      <c r="C41" t="s">
        <v>5022</v>
      </c>
      <c r="D41" t="s">
        <v>5023</v>
      </c>
      <c r="E41" t="s">
        <v>5024</v>
      </c>
      <c r="F41" t="s">
        <v>5025</v>
      </c>
    </row>
    <row r="42" spans="1:6" x14ac:dyDescent="0.3">
      <c r="A42">
        <v>42</v>
      </c>
      <c r="B42" s="10">
        <v>46251</v>
      </c>
      <c r="C42" t="s">
        <v>5026</v>
      </c>
      <c r="D42" t="s">
        <v>5027</v>
      </c>
      <c r="E42" t="s">
        <v>5028</v>
      </c>
      <c r="F42" t="s">
        <v>5029</v>
      </c>
    </row>
    <row r="43" spans="1:6" x14ac:dyDescent="0.3">
      <c r="A43">
        <v>43</v>
      </c>
      <c r="B43" s="10">
        <v>46251</v>
      </c>
      <c r="C43" t="s">
        <v>5030</v>
      </c>
      <c r="D43" t="s">
        <v>5031</v>
      </c>
      <c r="E43" t="s">
        <v>5032</v>
      </c>
      <c r="F43" t="s">
        <v>5033</v>
      </c>
    </row>
    <row r="44" spans="1:6" x14ac:dyDescent="0.3">
      <c r="A44">
        <v>40</v>
      </c>
      <c r="B44" s="25">
        <v>46251</v>
      </c>
      <c r="C44" t="s">
        <v>5034</v>
      </c>
      <c r="D44" t="s">
        <v>5035</v>
      </c>
      <c r="E44" t="s">
        <v>5036</v>
      </c>
      <c r="F44" t="s">
        <v>5037</v>
      </c>
    </row>
    <row r="45" spans="1:6" x14ac:dyDescent="0.3">
      <c r="A45">
        <v>41</v>
      </c>
      <c r="B45" s="25">
        <v>46251</v>
      </c>
      <c r="C45" t="s">
        <v>5038</v>
      </c>
      <c r="D45" t="s">
        <v>5039</v>
      </c>
      <c r="E45" t="s">
        <v>5040</v>
      </c>
      <c r="F45" t="s">
        <v>5041</v>
      </c>
    </row>
    <row r="46" spans="1:6" x14ac:dyDescent="0.3">
      <c r="A46">
        <v>42</v>
      </c>
      <c r="B46" s="25">
        <v>46251</v>
      </c>
      <c r="C46" t="s">
        <v>5042</v>
      </c>
      <c r="D46" t="s">
        <v>5043</v>
      </c>
      <c r="E46" t="s">
        <v>5044</v>
      </c>
      <c r="F46" t="s">
        <v>5045</v>
      </c>
    </row>
    <row r="47" spans="1:6" x14ac:dyDescent="0.3">
      <c r="A47">
        <v>43</v>
      </c>
      <c r="B47" s="25">
        <v>46251</v>
      </c>
      <c r="C47" t="s">
        <v>5046</v>
      </c>
      <c r="D47" t="s">
        <v>5047</v>
      </c>
      <c r="E47" t="s">
        <v>5048</v>
      </c>
      <c r="F47" t="s">
        <v>5049</v>
      </c>
    </row>
    <row r="48" spans="1:6" x14ac:dyDescent="0.3">
      <c r="A48">
        <v>44</v>
      </c>
      <c r="B48" s="25">
        <v>46251</v>
      </c>
      <c r="C48" t="s">
        <v>5050</v>
      </c>
      <c r="D48" t="s">
        <v>5051</v>
      </c>
      <c r="E48" t="s">
        <v>5052</v>
      </c>
      <c r="F48" t="s">
        <v>5053</v>
      </c>
    </row>
    <row r="49" spans="1:6" x14ac:dyDescent="0.3">
      <c r="A49">
        <v>45</v>
      </c>
      <c r="B49" s="25">
        <v>46251</v>
      </c>
      <c r="C49" t="s">
        <v>5054</v>
      </c>
      <c r="D49" t="s">
        <v>5055</v>
      </c>
      <c r="E49" t="s">
        <v>5056</v>
      </c>
      <c r="F49" t="s">
        <v>5057</v>
      </c>
    </row>
    <row r="50" spans="1:6" x14ac:dyDescent="0.3">
      <c r="A50">
        <v>46</v>
      </c>
      <c r="B50" s="25">
        <v>46251</v>
      </c>
      <c r="C50" t="s">
        <v>6032</v>
      </c>
      <c r="D50" t="s">
        <v>6033</v>
      </c>
      <c r="E50" t="s">
        <v>6034</v>
      </c>
      <c r="F50" t="s">
        <v>6035</v>
      </c>
    </row>
    <row r="51" spans="1:6" x14ac:dyDescent="0.3">
      <c r="A51">
        <v>47</v>
      </c>
      <c r="B51" s="25">
        <v>46251</v>
      </c>
      <c r="C51" t="s">
        <v>7481</v>
      </c>
      <c r="D51" t="s">
        <v>7482</v>
      </c>
      <c r="E51" t="s">
        <v>7483</v>
      </c>
      <c r="F51" t="s">
        <v>7484</v>
      </c>
    </row>
    <row r="52" spans="1:6" x14ac:dyDescent="0.3">
      <c r="A52">
        <v>48</v>
      </c>
      <c r="B52" s="25">
        <v>46251</v>
      </c>
      <c r="C52" t="s">
        <v>7485</v>
      </c>
      <c r="D52" t="s">
        <v>7486</v>
      </c>
      <c r="E52" t="s">
        <v>7487</v>
      </c>
      <c r="F52" t="s">
        <v>7488</v>
      </c>
    </row>
    <row r="53" spans="1:6" x14ac:dyDescent="0.3">
      <c r="A53">
        <v>49</v>
      </c>
      <c r="B53" s="25">
        <v>46251</v>
      </c>
      <c r="C53" t="s">
        <v>8467</v>
      </c>
      <c r="D53" t="s">
        <v>8468</v>
      </c>
      <c r="E53" t="s">
        <v>8469</v>
      </c>
      <c r="F53" t="s">
        <v>8470</v>
      </c>
    </row>
    <row r="54" spans="1:6" x14ac:dyDescent="0.3">
      <c r="A54">
        <v>50</v>
      </c>
      <c r="B54" s="10">
        <v>46252</v>
      </c>
      <c r="C54" t="s">
        <v>9199</v>
      </c>
      <c r="D54" t="s">
        <v>9200</v>
      </c>
      <c r="E54" t="s">
        <v>9201</v>
      </c>
      <c r="F54" t="s">
        <v>9202</v>
      </c>
    </row>
    <row r="55" spans="1:6" x14ac:dyDescent="0.3">
      <c r="A55">
        <v>51</v>
      </c>
      <c r="B55" s="10">
        <v>46252</v>
      </c>
      <c r="C55" t="s">
        <v>9204</v>
      </c>
      <c r="D55" t="s">
        <v>9205</v>
      </c>
      <c r="E55" t="s">
        <v>9206</v>
      </c>
      <c r="F55" t="s">
        <v>9207</v>
      </c>
    </row>
    <row r="56" spans="1:6" x14ac:dyDescent="0.3">
      <c r="A56">
        <v>52</v>
      </c>
      <c r="B56" s="10">
        <v>46252</v>
      </c>
      <c r="C56" t="s">
        <v>9244</v>
      </c>
      <c r="D56" t="s">
        <v>9245</v>
      </c>
      <c r="E56" t="s">
        <v>9246</v>
      </c>
      <c r="F56" t="s">
        <v>9247</v>
      </c>
    </row>
    <row r="57" spans="1:6" x14ac:dyDescent="0.3">
      <c r="A57">
        <v>53</v>
      </c>
      <c r="B57" s="10">
        <v>46260</v>
      </c>
      <c r="C57" t="s">
        <v>9248</v>
      </c>
      <c r="D57" t="s">
        <v>9249</v>
      </c>
      <c r="E57" t="s">
        <v>9250</v>
      </c>
      <c r="F57" t="s">
        <v>9251</v>
      </c>
    </row>
    <row r="58" spans="1:6" x14ac:dyDescent="0.3">
      <c r="A58">
        <v>54</v>
      </c>
      <c r="B58" s="10">
        <v>46260</v>
      </c>
      <c r="C58" t="s">
        <v>9263</v>
      </c>
      <c r="D58" t="s">
        <v>9264</v>
      </c>
      <c r="E58" t="s">
        <v>9265</v>
      </c>
      <c r="F58" t="s">
        <v>9266</v>
      </c>
    </row>
    <row r="59" spans="1:6" x14ac:dyDescent="0.3">
      <c r="A59">
        <v>55</v>
      </c>
      <c r="B59" s="10">
        <v>46261</v>
      </c>
      <c r="C59" t="s">
        <v>9320</v>
      </c>
      <c r="D59" t="s">
        <v>9321</v>
      </c>
      <c r="E59" t="s">
        <v>9322</v>
      </c>
      <c r="F59" t="s">
        <v>9323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914"/>
  <sheetViews>
    <sheetView topLeftCell="C1" workbookViewId="0">
      <selection activeCell="H7" sqref="H7:H8"/>
    </sheetView>
  </sheetViews>
  <sheetFormatPr defaultColWidth="8.6640625" defaultRowHeight="14.4" x14ac:dyDescent="0.3"/>
  <cols>
    <col min="1" max="1" width="23.5546875" customWidth="1"/>
    <col min="2" max="2" width="54.5546875" customWidth="1"/>
    <col min="3" max="3" width="60" customWidth="1"/>
    <col min="4" max="4" width="18.33203125" customWidth="1"/>
    <col min="6" max="6" width="20" bestFit="1" customWidth="1"/>
    <col min="7" max="7" width="22" customWidth="1"/>
    <col min="8" max="8" width="21.6640625" customWidth="1"/>
    <col min="9" max="9" width="62" bestFit="1" customWidth="1"/>
  </cols>
  <sheetData>
    <row r="1" spans="1:8" ht="19.2" customHeight="1" x14ac:dyDescent="0.3">
      <c r="A1" s="29" t="s">
        <v>5058</v>
      </c>
      <c r="B1" s="30"/>
      <c r="C1" s="30"/>
      <c r="D1" s="30"/>
    </row>
    <row r="2" spans="1:8" ht="30" customHeight="1" x14ac:dyDescent="0.3">
      <c r="A2" s="1" t="s">
        <v>1</v>
      </c>
      <c r="B2" s="1" t="s">
        <v>2</v>
      </c>
      <c r="C2" s="1" t="s">
        <v>5059</v>
      </c>
      <c r="D2" s="1" t="s">
        <v>5060</v>
      </c>
    </row>
    <row r="3" spans="1:8" ht="18" customHeight="1" x14ac:dyDescent="0.3">
      <c r="A3" s="2" t="s">
        <v>6</v>
      </c>
      <c r="B3" s="2" t="s">
        <v>7</v>
      </c>
      <c r="C3" s="2" t="s">
        <v>5061</v>
      </c>
      <c r="D3" s="2"/>
    </row>
    <row r="4" spans="1:8" ht="18" customHeight="1" x14ac:dyDescent="0.3">
      <c r="A4" s="2" t="s">
        <v>9</v>
      </c>
      <c r="B4" s="2" t="s">
        <v>7</v>
      </c>
      <c r="C4" s="2" t="s">
        <v>5061</v>
      </c>
      <c r="D4" s="2"/>
    </row>
    <row r="5" spans="1:8" ht="18" customHeight="1" x14ac:dyDescent="0.3">
      <c r="A5" s="2" t="s">
        <v>11</v>
      </c>
      <c r="B5" s="2" t="s">
        <v>7</v>
      </c>
      <c r="C5" s="2" t="s">
        <v>5061</v>
      </c>
      <c r="D5" s="2"/>
    </row>
    <row r="6" spans="1:8" ht="18" customHeight="1" x14ac:dyDescent="0.3">
      <c r="A6" s="2" t="s">
        <v>12</v>
      </c>
      <c r="B6" s="2" t="s">
        <v>7</v>
      </c>
      <c r="C6" s="2" t="s">
        <v>5061</v>
      </c>
      <c r="D6" s="2"/>
      <c r="F6" s="34" t="s">
        <v>5062</v>
      </c>
      <c r="G6" s="35"/>
    </row>
    <row r="7" spans="1:8" ht="18" customHeight="1" x14ac:dyDescent="0.3">
      <c r="A7" s="2" t="s">
        <v>13</v>
      </c>
      <c r="B7" s="2" t="s">
        <v>7</v>
      </c>
      <c r="C7" s="2" t="s">
        <v>5061</v>
      </c>
      <c r="D7" s="2"/>
      <c r="F7" s="3" t="s">
        <v>7</v>
      </c>
      <c r="G7" s="4">
        <f>COUNTIF(B:B,"AHU")</f>
        <v>26</v>
      </c>
      <c r="H7" s="2"/>
    </row>
    <row r="8" spans="1:8" ht="18" customHeight="1" x14ac:dyDescent="0.3">
      <c r="A8" s="2" t="s">
        <v>15</v>
      </c>
      <c r="B8" s="2" t="s">
        <v>7</v>
      </c>
      <c r="C8" s="2" t="s">
        <v>5061</v>
      </c>
      <c r="D8" s="2"/>
      <c r="F8" s="3" t="s">
        <v>48</v>
      </c>
      <c r="G8" s="4">
        <f>COUNTIF(B:B,"FCU")</f>
        <v>133</v>
      </c>
      <c r="H8" s="2"/>
    </row>
    <row r="9" spans="1:8" ht="18" customHeight="1" x14ac:dyDescent="0.3">
      <c r="A9" s="2" t="s">
        <v>17</v>
      </c>
      <c r="B9" s="2" t="s">
        <v>7</v>
      </c>
      <c r="C9" s="2" t="s">
        <v>5061</v>
      </c>
      <c r="D9" s="2"/>
      <c r="F9" s="3" t="s">
        <v>5063</v>
      </c>
      <c r="G9" s="4">
        <f>COUNTIF(B:B,"CHW Pump")</f>
        <v>4</v>
      </c>
    </row>
    <row r="10" spans="1:8" ht="18" customHeight="1" x14ac:dyDescent="0.3">
      <c r="A10" s="2" t="s">
        <v>18</v>
      </c>
      <c r="B10" s="2" t="s">
        <v>7</v>
      </c>
      <c r="C10" s="2" t="s">
        <v>5061</v>
      </c>
      <c r="D10" s="2"/>
      <c r="F10" s="3" t="s">
        <v>5064</v>
      </c>
      <c r="G10" s="4">
        <f>COUNTIF(B:B,"VAV")</f>
        <v>602</v>
      </c>
    </row>
    <row r="11" spans="1:8" ht="18" customHeight="1" x14ac:dyDescent="0.3">
      <c r="A11" s="2" t="s">
        <v>19</v>
      </c>
      <c r="B11" s="2" t="s">
        <v>7</v>
      </c>
      <c r="C11" s="2" t="s">
        <v>5061</v>
      </c>
      <c r="D11" s="2"/>
      <c r="F11" s="3" t="s">
        <v>5065</v>
      </c>
      <c r="G11" s="4">
        <f>COUNTIF(B:B,"DX Unit")</f>
        <v>24</v>
      </c>
    </row>
    <row r="12" spans="1:8" ht="18" customHeight="1" x14ac:dyDescent="0.3">
      <c r="A12" s="2" t="s">
        <v>21</v>
      </c>
      <c r="B12" s="2" t="s">
        <v>7</v>
      </c>
      <c r="C12" s="2" t="s">
        <v>5061</v>
      </c>
      <c r="D12" s="2"/>
      <c r="F12" s="3" t="s">
        <v>5066</v>
      </c>
      <c r="G12" s="4">
        <f>COUNTIF(B:B,"HEX")</f>
        <v>5</v>
      </c>
    </row>
    <row r="13" spans="1:8" ht="18" customHeight="1" x14ac:dyDescent="0.3">
      <c r="A13" s="2" t="s">
        <v>23</v>
      </c>
      <c r="B13" s="2" t="s">
        <v>7</v>
      </c>
      <c r="C13" s="2" t="s">
        <v>5061</v>
      </c>
      <c r="D13" s="2"/>
      <c r="F13" s="3" t="s">
        <v>5067</v>
      </c>
      <c r="G13" s="4">
        <f>COUNTIF(B:B,"CCU")</f>
        <v>11</v>
      </c>
    </row>
    <row r="14" spans="1:8" ht="18" customHeight="1" x14ac:dyDescent="0.3">
      <c r="A14" s="2" t="s">
        <v>25</v>
      </c>
      <c r="B14" s="2" t="s">
        <v>7</v>
      </c>
      <c r="C14" s="2" t="s">
        <v>5061</v>
      </c>
      <c r="D14" s="2"/>
      <c r="F14" s="3" t="s">
        <v>5068</v>
      </c>
      <c r="G14" s="4">
        <f>COUNTIF(B:B,"EF")</f>
        <v>12</v>
      </c>
    </row>
    <row r="15" spans="1:8" ht="18" customHeight="1" x14ac:dyDescent="0.3">
      <c r="A15" s="2" t="s">
        <v>26</v>
      </c>
      <c r="B15" s="2" t="s">
        <v>7</v>
      </c>
      <c r="C15" s="2" t="s">
        <v>5061</v>
      </c>
      <c r="D15" s="2"/>
      <c r="F15" s="3" t="s">
        <v>5069</v>
      </c>
      <c r="G15" s="4">
        <f>COUNTIF(B:B,"GEF")</f>
        <v>13</v>
      </c>
    </row>
    <row r="16" spans="1:8" ht="18" customHeight="1" x14ac:dyDescent="0.3">
      <c r="A16" s="2" t="s">
        <v>28</v>
      </c>
      <c r="B16" s="2" t="s">
        <v>7</v>
      </c>
      <c r="C16" s="2" t="s">
        <v>5061</v>
      </c>
      <c r="D16" s="2"/>
      <c r="F16" s="3" t="s">
        <v>5070</v>
      </c>
      <c r="G16" s="4">
        <f>COUNTIF(B:B,"TEF")</f>
        <v>4</v>
      </c>
    </row>
    <row r="17" spans="1:9" ht="18" customHeight="1" x14ac:dyDescent="0.3">
      <c r="A17" s="2" t="s">
        <v>29</v>
      </c>
      <c r="B17" s="2" t="s">
        <v>7</v>
      </c>
      <c r="C17" s="2" t="s">
        <v>5061</v>
      </c>
      <c r="D17" s="2"/>
      <c r="F17" s="3" t="s">
        <v>5071</v>
      </c>
      <c r="G17" s="4">
        <f>COUNTIF(B:B,"CEF")</f>
        <v>60</v>
      </c>
    </row>
    <row r="18" spans="1:9" ht="18" customHeight="1" x14ac:dyDescent="0.3">
      <c r="A18" s="2" t="s">
        <v>31</v>
      </c>
      <c r="B18" s="2" t="s">
        <v>7</v>
      </c>
      <c r="C18" s="2" t="s">
        <v>5061</v>
      </c>
      <c r="D18" s="2"/>
      <c r="F18" s="3" t="s">
        <v>5072</v>
      </c>
      <c r="G18" s="4">
        <f>COUNTIF(B:B,"SF")</f>
        <v>16</v>
      </c>
    </row>
    <row r="19" spans="1:9" ht="18" customHeight="1" x14ac:dyDescent="0.3">
      <c r="A19" s="2" t="s">
        <v>33</v>
      </c>
      <c r="B19" s="2" t="s">
        <v>7</v>
      </c>
      <c r="C19" s="2" t="s">
        <v>5061</v>
      </c>
      <c r="D19" s="2"/>
      <c r="F19" s="3" t="s">
        <v>5073</v>
      </c>
      <c r="G19" s="4">
        <f>COUNTIF(B:B,"Generator")</f>
        <v>2</v>
      </c>
    </row>
    <row r="20" spans="1:9" ht="18" customHeight="1" x14ac:dyDescent="0.3">
      <c r="A20" s="2" t="s">
        <v>34</v>
      </c>
      <c r="B20" s="2" t="s">
        <v>7</v>
      </c>
      <c r="C20" s="2" t="s">
        <v>5061</v>
      </c>
      <c r="D20" s="2"/>
      <c r="F20" s="5" t="s">
        <v>5074</v>
      </c>
      <c r="G20" s="5">
        <f>SUM(G7:G19)</f>
        <v>912</v>
      </c>
    </row>
    <row r="21" spans="1:9" ht="18" customHeight="1" x14ac:dyDescent="0.3">
      <c r="A21" s="2" t="s">
        <v>36</v>
      </c>
      <c r="B21" s="2" t="s">
        <v>7</v>
      </c>
      <c r="C21" s="2" t="s">
        <v>5061</v>
      </c>
      <c r="D21" s="2"/>
    </row>
    <row r="22" spans="1:9" ht="18" customHeight="1" x14ac:dyDescent="0.3">
      <c r="A22" s="2" t="s">
        <v>37</v>
      </c>
      <c r="B22" s="2" t="s">
        <v>7</v>
      </c>
      <c r="C22" s="2" t="s">
        <v>5061</v>
      </c>
      <c r="D22" s="2"/>
    </row>
    <row r="23" spans="1:9" ht="18" customHeight="1" x14ac:dyDescent="0.3">
      <c r="A23" s="2" t="s">
        <v>39</v>
      </c>
      <c r="B23" s="2" t="s">
        <v>7</v>
      </c>
      <c r="C23" s="2" t="s">
        <v>5061</v>
      </c>
      <c r="D23" s="2"/>
    </row>
    <row r="24" spans="1:9" ht="18" customHeight="1" x14ac:dyDescent="0.3">
      <c r="A24" s="2" t="s">
        <v>40</v>
      </c>
      <c r="B24" s="2" t="s">
        <v>7</v>
      </c>
      <c r="C24" s="2" t="s">
        <v>5061</v>
      </c>
      <c r="D24" s="2"/>
    </row>
    <row r="25" spans="1:9" x14ac:dyDescent="0.3">
      <c r="A25" s="2" t="s">
        <v>42</v>
      </c>
      <c r="B25" s="2" t="s">
        <v>7</v>
      </c>
      <c r="C25" s="2" t="s">
        <v>5061</v>
      </c>
      <c r="D25" s="2"/>
    </row>
    <row r="26" spans="1:9" x14ac:dyDescent="0.3">
      <c r="A26" s="2" t="s">
        <v>43</v>
      </c>
      <c r="B26" s="2" t="s">
        <v>7</v>
      </c>
      <c r="C26" s="2" t="s">
        <v>5061</v>
      </c>
      <c r="D26" s="2"/>
    </row>
    <row r="27" spans="1:9" ht="18" customHeight="1" x14ac:dyDescent="0.3">
      <c r="A27" s="2" t="s">
        <v>45</v>
      </c>
      <c r="B27" s="2" t="s">
        <v>7</v>
      </c>
      <c r="C27" s="2" t="s">
        <v>5061</v>
      </c>
      <c r="D27" s="2"/>
      <c r="F27" s="6" t="s">
        <v>5075</v>
      </c>
      <c r="G27" s="6" t="s">
        <v>5076</v>
      </c>
      <c r="H27" s="6" t="s">
        <v>5077</v>
      </c>
      <c r="I27" s="6" t="s">
        <v>5078</v>
      </c>
    </row>
    <row r="28" spans="1:9" ht="18" customHeight="1" x14ac:dyDescent="0.3">
      <c r="A28" s="2" t="s">
        <v>46</v>
      </c>
      <c r="B28" s="2" t="s">
        <v>7</v>
      </c>
      <c r="C28" s="2" t="s">
        <v>5061</v>
      </c>
      <c r="D28" s="2"/>
      <c r="F28" s="32">
        <v>1</v>
      </c>
      <c r="G28" s="32" t="s">
        <v>7</v>
      </c>
      <c r="H28" s="2" t="s">
        <v>19</v>
      </c>
      <c r="I28" s="32" t="s">
        <v>5079</v>
      </c>
    </row>
    <row r="29" spans="1:9" ht="18" customHeight="1" x14ac:dyDescent="0.3">
      <c r="A29" s="2" t="s">
        <v>5080</v>
      </c>
      <c r="B29" s="2" t="s">
        <v>5065</v>
      </c>
      <c r="C29" s="2" t="s">
        <v>5081</v>
      </c>
      <c r="D29" s="2"/>
      <c r="F29" s="33"/>
      <c r="G29" s="33"/>
      <c r="H29" s="2" t="s">
        <v>5082</v>
      </c>
      <c r="I29" s="33"/>
    </row>
    <row r="30" spans="1:9" ht="18" customHeight="1" x14ac:dyDescent="0.3">
      <c r="A30" s="2" t="s">
        <v>5083</v>
      </c>
      <c r="B30" s="2" t="s">
        <v>5065</v>
      </c>
      <c r="C30" s="2" t="s">
        <v>5081</v>
      </c>
      <c r="D30" s="2"/>
      <c r="F30" s="32">
        <v>2</v>
      </c>
      <c r="G30" s="32" t="s">
        <v>7</v>
      </c>
      <c r="H30" s="2" t="s">
        <v>5084</v>
      </c>
      <c r="I30" s="32" t="s">
        <v>5079</v>
      </c>
    </row>
    <row r="31" spans="1:9" ht="18" customHeight="1" x14ac:dyDescent="0.3">
      <c r="A31" s="2" t="s">
        <v>5085</v>
      </c>
      <c r="B31" s="2" t="s">
        <v>5065</v>
      </c>
      <c r="C31" s="2" t="s">
        <v>5081</v>
      </c>
      <c r="D31" s="2"/>
      <c r="F31" s="33"/>
      <c r="G31" s="33"/>
      <c r="H31" s="2" t="s">
        <v>33</v>
      </c>
      <c r="I31" s="33"/>
    </row>
    <row r="32" spans="1:9" ht="18" customHeight="1" x14ac:dyDescent="0.3">
      <c r="A32" s="2" t="s">
        <v>5086</v>
      </c>
      <c r="B32" s="2" t="s">
        <v>5065</v>
      </c>
      <c r="C32" s="2" t="s">
        <v>5081</v>
      </c>
      <c r="D32" s="2"/>
      <c r="F32" s="32">
        <v>3</v>
      </c>
      <c r="G32" s="32" t="s">
        <v>7</v>
      </c>
      <c r="H32" s="2" t="s">
        <v>5087</v>
      </c>
      <c r="I32" s="32" t="s">
        <v>5079</v>
      </c>
    </row>
    <row r="33" spans="1:9" ht="18" customHeight="1" x14ac:dyDescent="0.3">
      <c r="A33" s="2" t="s">
        <v>5088</v>
      </c>
      <c r="B33" s="2" t="s">
        <v>5065</v>
      </c>
      <c r="C33" s="2" t="s">
        <v>5081</v>
      </c>
      <c r="D33" s="2"/>
      <c r="F33" s="33"/>
      <c r="G33" s="33"/>
      <c r="H33" s="2" t="s">
        <v>36</v>
      </c>
      <c r="I33" s="33"/>
    </row>
    <row r="34" spans="1:9" ht="18" customHeight="1" x14ac:dyDescent="0.3">
      <c r="A34" s="2" t="s">
        <v>5089</v>
      </c>
      <c r="B34" s="2" t="s">
        <v>5065</v>
      </c>
      <c r="C34" s="2" t="s">
        <v>5081</v>
      </c>
      <c r="D34" s="2"/>
      <c r="F34" s="32">
        <v>4</v>
      </c>
      <c r="G34" s="32" t="s">
        <v>7</v>
      </c>
      <c r="H34" s="2" t="s">
        <v>5090</v>
      </c>
      <c r="I34" s="32" t="s">
        <v>5079</v>
      </c>
    </row>
    <row r="35" spans="1:9" ht="18" customHeight="1" x14ac:dyDescent="0.3">
      <c r="A35" s="2" t="s">
        <v>5091</v>
      </c>
      <c r="B35" s="2" t="s">
        <v>5065</v>
      </c>
      <c r="C35" s="2" t="s">
        <v>5081</v>
      </c>
      <c r="D35" s="2"/>
      <c r="F35" s="33"/>
      <c r="G35" s="33"/>
      <c r="H35" s="2" t="s">
        <v>39</v>
      </c>
      <c r="I35" s="33"/>
    </row>
    <row r="36" spans="1:9" ht="18" customHeight="1" x14ac:dyDescent="0.3">
      <c r="A36" s="2" t="s">
        <v>5092</v>
      </c>
      <c r="B36" s="2" t="s">
        <v>5065</v>
      </c>
      <c r="C36" s="2" t="s">
        <v>5081</v>
      </c>
      <c r="D36" s="2"/>
      <c r="F36" s="32">
        <v>5</v>
      </c>
      <c r="G36" s="32" t="s">
        <v>7</v>
      </c>
      <c r="H36" s="2" t="s">
        <v>5093</v>
      </c>
      <c r="I36" s="32" t="s">
        <v>5079</v>
      </c>
    </row>
    <row r="37" spans="1:9" ht="18" customHeight="1" x14ac:dyDescent="0.3">
      <c r="A37" s="2" t="s">
        <v>5094</v>
      </c>
      <c r="B37" s="2" t="s">
        <v>5065</v>
      </c>
      <c r="C37" s="2" t="s">
        <v>5081</v>
      </c>
      <c r="D37" s="2"/>
      <c r="F37" s="33"/>
      <c r="G37" s="33"/>
      <c r="H37" s="2" t="s">
        <v>40</v>
      </c>
      <c r="I37" s="33"/>
    </row>
    <row r="38" spans="1:9" ht="18" customHeight="1" x14ac:dyDescent="0.3">
      <c r="A38" s="2" t="s">
        <v>5095</v>
      </c>
      <c r="B38" s="2" t="s">
        <v>5065</v>
      </c>
      <c r="C38" s="2" t="s">
        <v>5081</v>
      </c>
      <c r="D38" s="2"/>
      <c r="F38" s="32">
        <v>6</v>
      </c>
      <c r="G38" s="32" t="s">
        <v>7</v>
      </c>
      <c r="H38" s="2" t="s">
        <v>5096</v>
      </c>
      <c r="I38" s="32" t="s">
        <v>5079</v>
      </c>
    </row>
    <row r="39" spans="1:9" ht="18" customHeight="1" x14ac:dyDescent="0.3">
      <c r="A39" s="2" t="s">
        <v>5097</v>
      </c>
      <c r="B39" s="2" t="s">
        <v>5065</v>
      </c>
      <c r="C39" s="2" t="s">
        <v>5081</v>
      </c>
      <c r="D39" s="2"/>
      <c r="F39" s="33"/>
      <c r="G39" s="33"/>
      <c r="H39" s="2" t="s">
        <v>42</v>
      </c>
      <c r="I39" s="33"/>
    </row>
    <row r="40" spans="1:9" ht="18" customHeight="1" x14ac:dyDescent="0.3">
      <c r="A40" s="2" t="s">
        <v>5098</v>
      </c>
      <c r="B40" s="2" t="s">
        <v>5065</v>
      </c>
      <c r="C40" s="2" t="s">
        <v>5081</v>
      </c>
      <c r="D40" s="2"/>
      <c r="F40" s="32">
        <v>7</v>
      </c>
      <c r="G40" s="32" t="s">
        <v>7</v>
      </c>
      <c r="H40" s="2" t="s">
        <v>5099</v>
      </c>
      <c r="I40" s="32" t="s">
        <v>5079</v>
      </c>
    </row>
    <row r="41" spans="1:9" ht="18" customHeight="1" x14ac:dyDescent="0.3">
      <c r="A41" s="2" t="s">
        <v>5100</v>
      </c>
      <c r="B41" s="2" t="s">
        <v>5065</v>
      </c>
      <c r="C41" s="2" t="s">
        <v>5081</v>
      </c>
      <c r="D41" s="2"/>
      <c r="F41" s="33"/>
      <c r="G41" s="33"/>
      <c r="H41" s="2" t="s">
        <v>45</v>
      </c>
      <c r="I41" s="33"/>
    </row>
    <row r="42" spans="1:9" ht="18" customHeight="1" x14ac:dyDescent="0.3">
      <c r="A42" s="2" t="s">
        <v>5101</v>
      </c>
      <c r="B42" s="2" t="s">
        <v>5065</v>
      </c>
      <c r="C42" s="2" t="s">
        <v>5081</v>
      </c>
      <c r="D42" s="2"/>
      <c r="F42" s="32">
        <v>8</v>
      </c>
      <c r="G42" s="32" t="s">
        <v>7</v>
      </c>
      <c r="H42" s="2" t="s">
        <v>5102</v>
      </c>
      <c r="I42" s="32" t="s">
        <v>5079</v>
      </c>
    </row>
    <row r="43" spans="1:9" ht="18" customHeight="1" x14ac:dyDescent="0.3">
      <c r="A43" s="2" t="s">
        <v>5103</v>
      </c>
      <c r="B43" s="2" t="s">
        <v>5065</v>
      </c>
      <c r="C43" s="2" t="s">
        <v>5081</v>
      </c>
      <c r="D43" s="2"/>
      <c r="F43" s="33"/>
      <c r="G43" s="33"/>
      <c r="H43" s="2" t="s">
        <v>46</v>
      </c>
      <c r="I43" s="33"/>
    </row>
    <row r="44" spans="1:9" ht="18" customHeight="1" x14ac:dyDescent="0.3">
      <c r="A44" s="2" t="s">
        <v>5104</v>
      </c>
      <c r="B44" s="2" t="s">
        <v>5065</v>
      </c>
      <c r="C44" s="2" t="s">
        <v>5081</v>
      </c>
      <c r="D44" s="2"/>
      <c r="F44" s="2">
        <v>9</v>
      </c>
      <c r="G44" s="2" t="s">
        <v>5065</v>
      </c>
      <c r="H44" s="2" t="s">
        <v>5105</v>
      </c>
      <c r="I44" s="2" t="s">
        <v>5106</v>
      </c>
    </row>
    <row r="45" spans="1:9" ht="18" customHeight="1" x14ac:dyDescent="0.3">
      <c r="A45" s="2" t="s">
        <v>5107</v>
      </c>
      <c r="B45" s="2" t="s">
        <v>5065</v>
      </c>
      <c r="C45" s="2" t="s">
        <v>5081</v>
      </c>
      <c r="D45" s="2"/>
      <c r="F45" s="2">
        <v>10</v>
      </c>
      <c r="G45" s="2" t="s">
        <v>5065</v>
      </c>
      <c r="H45" s="2" t="s">
        <v>5108</v>
      </c>
      <c r="I45" s="2" t="s">
        <v>5106</v>
      </c>
    </row>
    <row r="46" spans="1:9" ht="18" customHeight="1" x14ac:dyDescent="0.3">
      <c r="A46" s="2" t="s">
        <v>5109</v>
      </c>
      <c r="B46" s="2" t="s">
        <v>5065</v>
      </c>
      <c r="C46" s="2" t="s">
        <v>5081</v>
      </c>
      <c r="D46" s="2"/>
      <c r="F46" s="2">
        <v>11</v>
      </c>
      <c r="G46" s="2" t="s">
        <v>5065</v>
      </c>
      <c r="H46" s="2" t="s">
        <v>5110</v>
      </c>
      <c r="I46" s="2" t="s">
        <v>5106</v>
      </c>
    </row>
    <row r="47" spans="1:9" ht="18" customHeight="1" x14ac:dyDescent="0.3">
      <c r="A47" s="2" t="s">
        <v>5111</v>
      </c>
      <c r="B47" s="2" t="s">
        <v>5065</v>
      </c>
      <c r="C47" s="2" t="s">
        <v>5081</v>
      </c>
      <c r="D47" s="2"/>
      <c r="F47" s="2">
        <v>12</v>
      </c>
      <c r="G47" s="2" t="s">
        <v>5065</v>
      </c>
      <c r="H47" s="2" t="s">
        <v>5112</v>
      </c>
      <c r="I47" s="2" t="s">
        <v>5106</v>
      </c>
    </row>
    <row r="48" spans="1:9" ht="18" customHeight="1" x14ac:dyDescent="0.3">
      <c r="A48" s="2" t="s">
        <v>5113</v>
      </c>
      <c r="B48" s="2" t="s">
        <v>5065</v>
      </c>
      <c r="C48" s="2" t="s">
        <v>5081</v>
      </c>
      <c r="D48" s="2"/>
      <c r="F48" s="2">
        <v>13</v>
      </c>
      <c r="G48" s="2" t="s">
        <v>5065</v>
      </c>
      <c r="H48" s="2" t="s">
        <v>5107</v>
      </c>
      <c r="I48" s="2" t="s">
        <v>5106</v>
      </c>
    </row>
    <row r="49" spans="1:4" ht="18" customHeight="1" x14ac:dyDescent="0.3">
      <c r="A49" s="2" t="s">
        <v>5105</v>
      </c>
      <c r="B49" s="2" t="s">
        <v>5065</v>
      </c>
      <c r="C49" s="2" t="s">
        <v>5114</v>
      </c>
      <c r="D49" s="2"/>
    </row>
    <row r="50" spans="1:4" ht="18" customHeight="1" x14ac:dyDescent="0.3">
      <c r="A50" s="2" t="s">
        <v>5108</v>
      </c>
      <c r="B50" s="2" t="s">
        <v>5065</v>
      </c>
      <c r="C50" s="2" t="s">
        <v>5114</v>
      </c>
      <c r="D50" s="2"/>
    </row>
    <row r="51" spans="1:4" ht="18" customHeight="1" x14ac:dyDescent="0.3">
      <c r="A51" s="2" t="s">
        <v>5110</v>
      </c>
      <c r="B51" s="2" t="s">
        <v>5065</v>
      </c>
      <c r="C51" s="2" t="s">
        <v>5114</v>
      </c>
      <c r="D51" s="2"/>
    </row>
    <row r="52" spans="1:4" ht="18" customHeight="1" x14ac:dyDescent="0.3">
      <c r="A52" s="2" t="s">
        <v>5112</v>
      </c>
      <c r="B52" s="2" t="s">
        <v>5065</v>
      </c>
      <c r="C52" s="2" t="s">
        <v>5114</v>
      </c>
      <c r="D52" s="2"/>
    </row>
    <row r="53" spans="1:4" ht="18" customHeight="1" x14ac:dyDescent="0.3">
      <c r="A53" s="2" t="s">
        <v>47</v>
      </c>
      <c r="B53" s="2" t="s">
        <v>48</v>
      </c>
      <c r="C53" s="2" t="s">
        <v>5115</v>
      </c>
      <c r="D53" s="2"/>
    </row>
    <row r="54" spans="1:4" ht="18" customHeight="1" x14ac:dyDescent="0.3">
      <c r="A54" s="2" t="s">
        <v>50</v>
      </c>
      <c r="B54" s="2" t="s">
        <v>48</v>
      </c>
      <c r="C54" s="2" t="s">
        <v>5115</v>
      </c>
      <c r="D54" s="2"/>
    </row>
    <row r="55" spans="1:4" ht="18" customHeight="1" x14ac:dyDescent="0.3">
      <c r="A55" s="2" t="s">
        <v>52</v>
      </c>
      <c r="B55" s="2" t="s">
        <v>48</v>
      </c>
      <c r="C55" s="2" t="s">
        <v>5115</v>
      </c>
      <c r="D55" s="2"/>
    </row>
    <row r="56" spans="1:4" ht="18" customHeight="1" x14ac:dyDescent="0.3">
      <c r="A56" s="2" t="s">
        <v>54</v>
      </c>
      <c r="B56" s="2" t="s">
        <v>48</v>
      </c>
      <c r="C56" s="2" t="s">
        <v>5115</v>
      </c>
      <c r="D56" s="2"/>
    </row>
    <row r="57" spans="1:4" ht="18" customHeight="1" x14ac:dyDescent="0.3">
      <c r="A57" s="2" t="s">
        <v>56</v>
      </c>
      <c r="B57" s="2" t="s">
        <v>48</v>
      </c>
      <c r="C57" s="2" t="s">
        <v>5115</v>
      </c>
      <c r="D57" s="2"/>
    </row>
    <row r="58" spans="1:4" ht="18" customHeight="1" x14ac:dyDescent="0.3">
      <c r="A58" s="2" t="s">
        <v>58</v>
      </c>
      <c r="B58" s="2" t="s">
        <v>48</v>
      </c>
      <c r="C58" s="2" t="s">
        <v>5115</v>
      </c>
      <c r="D58" s="2"/>
    </row>
    <row r="59" spans="1:4" ht="18" customHeight="1" x14ac:dyDescent="0.3">
      <c r="A59" s="2" t="s">
        <v>60</v>
      </c>
      <c r="B59" s="2" t="s">
        <v>48</v>
      </c>
      <c r="C59" s="2" t="s">
        <v>5115</v>
      </c>
      <c r="D59" s="2"/>
    </row>
    <row r="60" spans="1:4" ht="18" customHeight="1" x14ac:dyDescent="0.3">
      <c r="A60" s="2" t="s">
        <v>62</v>
      </c>
      <c r="B60" s="2" t="s">
        <v>48</v>
      </c>
      <c r="C60" s="2" t="s">
        <v>5115</v>
      </c>
      <c r="D60" s="2"/>
    </row>
    <row r="61" spans="1:4" ht="18" customHeight="1" x14ac:dyDescent="0.3">
      <c r="A61" s="2" t="s">
        <v>64</v>
      </c>
      <c r="B61" s="2" t="s">
        <v>48</v>
      </c>
      <c r="C61" s="2" t="s">
        <v>5115</v>
      </c>
      <c r="D61" s="2"/>
    </row>
    <row r="62" spans="1:4" ht="18" customHeight="1" x14ac:dyDescent="0.3">
      <c r="A62" s="2" t="s">
        <v>65</v>
      </c>
      <c r="B62" s="2" t="s">
        <v>48</v>
      </c>
      <c r="C62" s="2" t="s">
        <v>5115</v>
      </c>
      <c r="D62" s="2"/>
    </row>
    <row r="63" spans="1:4" ht="18" customHeight="1" x14ac:dyDescent="0.3">
      <c r="A63" s="2" t="s">
        <v>67</v>
      </c>
      <c r="B63" s="2" t="s">
        <v>48</v>
      </c>
      <c r="C63" s="2" t="s">
        <v>5115</v>
      </c>
      <c r="D63" s="2"/>
    </row>
    <row r="64" spans="1:4" ht="18" customHeight="1" x14ac:dyDescent="0.3">
      <c r="A64" s="2" t="s">
        <v>69</v>
      </c>
      <c r="B64" s="2" t="s">
        <v>48</v>
      </c>
      <c r="C64" s="2" t="s">
        <v>5115</v>
      </c>
      <c r="D64" s="2"/>
    </row>
    <row r="65" spans="1:4" ht="18" customHeight="1" x14ac:dyDescent="0.3">
      <c r="A65" s="2" t="s">
        <v>71</v>
      </c>
      <c r="B65" s="2" t="s">
        <v>48</v>
      </c>
      <c r="C65" s="2" t="s">
        <v>5115</v>
      </c>
      <c r="D65" s="2"/>
    </row>
    <row r="66" spans="1:4" ht="18" customHeight="1" x14ac:dyDescent="0.3">
      <c r="A66" s="2" t="s">
        <v>5116</v>
      </c>
      <c r="B66" s="2" t="s">
        <v>48</v>
      </c>
      <c r="C66" s="2" t="s">
        <v>5115</v>
      </c>
      <c r="D66" s="2"/>
    </row>
    <row r="67" spans="1:4" ht="18" customHeight="1" x14ac:dyDescent="0.3">
      <c r="A67" s="2" t="s">
        <v>72</v>
      </c>
      <c r="B67" s="2" t="s">
        <v>48</v>
      </c>
      <c r="C67" s="2" t="s">
        <v>5115</v>
      </c>
      <c r="D67" s="2"/>
    </row>
    <row r="68" spans="1:4" ht="18" customHeight="1" x14ac:dyDescent="0.3">
      <c r="A68" s="2" t="s">
        <v>74</v>
      </c>
      <c r="B68" s="2" t="s">
        <v>48</v>
      </c>
      <c r="C68" s="2" t="s">
        <v>5115</v>
      </c>
      <c r="D68" s="2"/>
    </row>
    <row r="69" spans="1:4" ht="18" customHeight="1" x14ac:dyDescent="0.3">
      <c r="A69" s="2" t="s">
        <v>76</v>
      </c>
      <c r="B69" s="2" t="s">
        <v>48</v>
      </c>
      <c r="C69" s="2" t="s">
        <v>5115</v>
      </c>
      <c r="D69" s="2"/>
    </row>
    <row r="70" spans="1:4" ht="18" customHeight="1" x14ac:dyDescent="0.3">
      <c r="A70" s="2" t="s">
        <v>78</v>
      </c>
      <c r="B70" s="2" t="s">
        <v>48</v>
      </c>
      <c r="C70" s="2" t="s">
        <v>5115</v>
      </c>
      <c r="D70" s="2"/>
    </row>
    <row r="71" spans="1:4" ht="18" customHeight="1" x14ac:dyDescent="0.3">
      <c r="A71" s="2" t="s">
        <v>80</v>
      </c>
      <c r="B71" s="2" t="s">
        <v>48</v>
      </c>
      <c r="C71" s="2" t="s">
        <v>5115</v>
      </c>
      <c r="D71" s="2"/>
    </row>
    <row r="72" spans="1:4" ht="18" customHeight="1" x14ac:dyDescent="0.3">
      <c r="A72" s="2" t="s">
        <v>82</v>
      </c>
      <c r="B72" s="2" t="s">
        <v>48</v>
      </c>
      <c r="C72" s="2" t="s">
        <v>5115</v>
      </c>
      <c r="D72" s="2"/>
    </row>
    <row r="73" spans="1:4" ht="18" customHeight="1" x14ac:dyDescent="0.3">
      <c r="A73" s="2" t="s">
        <v>84</v>
      </c>
      <c r="B73" s="2" t="s">
        <v>48</v>
      </c>
      <c r="C73" s="2" t="s">
        <v>5115</v>
      </c>
      <c r="D73" s="2"/>
    </row>
    <row r="74" spans="1:4" ht="18" customHeight="1" x14ac:dyDescent="0.3">
      <c r="A74" s="2" t="s">
        <v>85</v>
      </c>
      <c r="B74" s="2" t="s">
        <v>48</v>
      </c>
      <c r="C74" s="2" t="s">
        <v>5115</v>
      </c>
      <c r="D74" s="2"/>
    </row>
    <row r="75" spans="1:4" ht="18" customHeight="1" x14ac:dyDescent="0.3">
      <c r="A75" s="2" t="s">
        <v>87</v>
      </c>
      <c r="B75" s="2" t="s">
        <v>48</v>
      </c>
      <c r="C75" s="2" t="s">
        <v>5115</v>
      </c>
      <c r="D75" s="2"/>
    </row>
    <row r="76" spans="1:4" ht="18" customHeight="1" x14ac:dyDescent="0.3">
      <c r="A76" s="2" t="s">
        <v>89</v>
      </c>
      <c r="B76" s="2" t="s">
        <v>48</v>
      </c>
      <c r="C76" s="2" t="s">
        <v>5115</v>
      </c>
      <c r="D76" s="2"/>
    </row>
    <row r="77" spans="1:4" ht="18" customHeight="1" x14ac:dyDescent="0.3">
      <c r="A77" s="2" t="s">
        <v>91</v>
      </c>
      <c r="B77" s="2" t="s">
        <v>48</v>
      </c>
      <c r="C77" s="2" t="s">
        <v>5115</v>
      </c>
      <c r="D77" s="2"/>
    </row>
    <row r="78" spans="1:4" ht="18" customHeight="1" x14ac:dyDescent="0.3">
      <c r="A78" s="2" t="s">
        <v>92</v>
      </c>
      <c r="B78" s="2" t="s">
        <v>48</v>
      </c>
      <c r="C78" s="2" t="s">
        <v>5115</v>
      </c>
      <c r="D78" s="2"/>
    </row>
    <row r="79" spans="1:4" ht="18" customHeight="1" x14ac:dyDescent="0.3">
      <c r="A79" s="2" t="s">
        <v>94</v>
      </c>
      <c r="B79" s="2" t="s">
        <v>48</v>
      </c>
      <c r="C79" s="2" t="s">
        <v>5115</v>
      </c>
      <c r="D79" s="2"/>
    </row>
    <row r="80" spans="1:4" ht="18" customHeight="1" x14ac:dyDescent="0.3">
      <c r="A80" s="2" t="s">
        <v>95</v>
      </c>
      <c r="B80" s="2" t="s">
        <v>48</v>
      </c>
      <c r="C80" s="2" t="s">
        <v>5115</v>
      </c>
      <c r="D80" s="2"/>
    </row>
    <row r="81" spans="1:4" ht="18" customHeight="1" x14ac:dyDescent="0.3">
      <c r="A81" s="2" t="s">
        <v>96</v>
      </c>
      <c r="B81" s="2" t="s">
        <v>48</v>
      </c>
      <c r="C81" s="2" t="s">
        <v>5115</v>
      </c>
      <c r="D81" s="2"/>
    </row>
    <row r="82" spans="1:4" ht="18" customHeight="1" x14ac:dyDescent="0.3">
      <c r="A82" s="2" t="s">
        <v>98</v>
      </c>
      <c r="B82" s="2" t="s">
        <v>48</v>
      </c>
      <c r="C82" s="2" t="s">
        <v>5115</v>
      </c>
      <c r="D82" s="2"/>
    </row>
    <row r="83" spans="1:4" ht="18" customHeight="1" x14ac:dyDescent="0.3">
      <c r="A83" s="2" t="s">
        <v>100</v>
      </c>
      <c r="B83" s="2" t="s">
        <v>48</v>
      </c>
      <c r="C83" s="2" t="s">
        <v>5115</v>
      </c>
      <c r="D83" s="2"/>
    </row>
    <row r="84" spans="1:4" ht="18" customHeight="1" x14ac:dyDescent="0.3">
      <c r="A84" s="2" t="s">
        <v>101</v>
      </c>
      <c r="B84" s="2" t="s">
        <v>48</v>
      </c>
      <c r="C84" s="2" t="s">
        <v>5115</v>
      </c>
      <c r="D84" s="2"/>
    </row>
    <row r="85" spans="1:4" ht="18" customHeight="1" x14ac:dyDescent="0.3">
      <c r="A85" s="2" t="s">
        <v>103</v>
      </c>
      <c r="B85" s="2" t="s">
        <v>48</v>
      </c>
      <c r="C85" s="2" t="s">
        <v>5115</v>
      </c>
      <c r="D85" s="2"/>
    </row>
    <row r="86" spans="1:4" ht="18" customHeight="1" x14ac:dyDescent="0.3">
      <c r="A86" s="2" t="s">
        <v>104</v>
      </c>
      <c r="B86" s="2" t="s">
        <v>48</v>
      </c>
      <c r="C86" s="2" t="s">
        <v>5115</v>
      </c>
      <c r="D86" s="2"/>
    </row>
    <row r="87" spans="1:4" ht="18" customHeight="1" x14ac:dyDescent="0.3">
      <c r="A87" s="2" t="s">
        <v>105</v>
      </c>
      <c r="B87" s="2" t="s">
        <v>48</v>
      </c>
      <c r="C87" s="2" t="s">
        <v>5115</v>
      </c>
      <c r="D87" s="2"/>
    </row>
    <row r="88" spans="1:4" ht="18" customHeight="1" x14ac:dyDescent="0.3">
      <c r="A88" s="2" t="s">
        <v>107</v>
      </c>
      <c r="B88" s="2" t="s">
        <v>48</v>
      </c>
      <c r="C88" s="2" t="s">
        <v>5115</v>
      </c>
      <c r="D88" s="2"/>
    </row>
    <row r="89" spans="1:4" ht="18" customHeight="1" x14ac:dyDescent="0.3">
      <c r="A89" s="2" t="s">
        <v>109</v>
      </c>
      <c r="B89" s="2" t="s">
        <v>48</v>
      </c>
      <c r="C89" s="2" t="s">
        <v>5115</v>
      </c>
      <c r="D89" s="2"/>
    </row>
    <row r="90" spans="1:4" ht="18" customHeight="1" x14ac:dyDescent="0.3">
      <c r="A90" s="2" t="s">
        <v>111</v>
      </c>
      <c r="B90" s="2" t="s">
        <v>48</v>
      </c>
      <c r="C90" s="2" t="s">
        <v>5115</v>
      </c>
      <c r="D90" s="2"/>
    </row>
    <row r="91" spans="1:4" ht="18" customHeight="1" x14ac:dyDescent="0.3">
      <c r="A91" s="2" t="s">
        <v>112</v>
      </c>
      <c r="B91" s="2" t="s">
        <v>48</v>
      </c>
      <c r="C91" s="2" t="s">
        <v>5115</v>
      </c>
      <c r="D91" s="2"/>
    </row>
    <row r="92" spans="1:4" ht="18" customHeight="1" x14ac:dyDescent="0.3">
      <c r="A92" s="2" t="s">
        <v>114</v>
      </c>
      <c r="B92" s="2" t="s">
        <v>48</v>
      </c>
      <c r="C92" s="2" t="s">
        <v>5115</v>
      </c>
      <c r="D92" s="2"/>
    </row>
    <row r="93" spans="1:4" ht="18" customHeight="1" x14ac:dyDescent="0.3">
      <c r="A93" s="2" t="s">
        <v>116</v>
      </c>
      <c r="B93" s="2" t="s">
        <v>48</v>
      </c>
      <c r="C93" s="2" t="s">
        <v>5115</v>
      </c>
      <c r="D93" s="2"/>
    </row>
    <row r="94" spans="1:4" ht="18" customHeight="1" x14ac:dyDescent="0.3">
      <c r="A94" s="2" t="s">
        <v>117</v>
      </c>
      <c r="B94" s="2" t="s">
        <v>48</v>
      </c>
      <c r="C94" s="2" t="s">
        <v>5115</v>
      </c>
      <c r="D94" s="2"/>
    </row>
    <row r="95" spans="1:4" ht="18" customHeight="1" x14ac:dyDescent="0.3">
      <c r="A95" s="2" t="s">
        <v>119</v>
      </c>
      <c r="B95" s="2" t="s">
        <v>48</v>
      </c>
      <c r="C95" s="2" t="s">
        <v>5115</v>
      </c>
      <c r="D95" s="2"/>
    </row>
    <row r="96" spans="1:4" ht="18" customHeight="1" x14ac:dyDescent="0.3">
      <c r="A96" s="2" t="s">
        <v>121</v>
      </c>
      <c r="B96" s="2" t="s">
        <v>48</v>
      </c>
      <c r="C96" s="2" t="s">
        <v>5115</v>
      </c>
      <c r="D96" s="2"/>
    </row>
    <row r="97" spans="1:4" ht="18" customHeight="1" x14ac:dyDescent="0.3">
      <c r="A97" s="2" t="s">
        <v>123</v>
      </c>
      <c r="B97" s="2" t="s">
        <v>48</v>
      </c>
      <c r="C97" s="2" t="s">
        <v>5115</v>
      </c>
      <c r="D97" s="2"/>
    </row>
    <row r="98" spans="1:4" ht="18" customHeight="1" x14ac:dyDescent="0.3">
      <c r="A98" s="2" t="s">
        <v>124</v>
      </c>
      <c r="B98" s="2" t="s">
        <v>48</v>
      </c>
      <c r="C98" s="2" t="s">
        <v>5115</v>
      </c>
      <c r="D98" s="2"/>
    </row>
    <row r="99" spans="1:4" ht="18" customHeight="1" x14ac:dyDescent="0.3">
      <c r="A99" s="2" t="s">
        <v>126</v>
      </c>
      <c r="B99" s="2" t="s">
        <v>48</v>
      </c>
      <c r="C99" s="2" t="s">
        <v>5115</v>
      </c>
      <c r="D99" s="2"/>
    </row>
    <row r="100" spans="1:4" ht="18" customHeight="1" x14ac:dyDescent="0.3">
      <c r="A100" s="2" t="s">
        <v>127</v>
      </c>
      <c r="B100" s="2" t="s">
        <v>48</v>
      </c>
      <c r="C100" s="2" t="s">
        <v>5115</v>
      </c>
      <c r="D100" s="2"/>
    </row>
    <row r="101" spans="1:4" ht="18" customHeight="1" x14ac:dyDescent="0.3">
      <c r="A101" s="2" t="s">
        <v>128</v>
      </c>
      <c r="B101" s="2" t="s">
        <v>48</v>
      </c>
      <c r="C101" s="2" t="s">
        <v>5115</v>
      </c>
      <c r="D101" s="2"/>
    </row>
    <row r="102" spans="1:4" ht="18" customHeight="1" x14ac:dyDescent="0.3">
      <c r="A102" s="2" t="s">
        <v>130</v>
      </c>
      <c r="B102" s="2" t="s">
        <v>48</v>
      </c>
      <c r="C102" s="2" t="s">
        <v>5115</v>
      </c>
      <c r="D102" s="2"/>
    </row>
    <row r="103" spans="1:4" ht="18" customHeight="1" x14ac:dyDescent="0.3">
      <c r="A103" s="2" t="s">
        <v>132</v>
      </c>
      <c r="B103" s="2" t="s">
        <v>48</v>
      </c>
      <c r="C103" s="2" t="s">
        <v>5115</v>
      </c>
      <c r="D103" s="2"/>
    </row>
    <row r="104" spans="1:4" ht="18" customHeight="1" x14ac:dyDescent="0.3">
      <c r="A104" s="2" t="s">
        <v>134</v>
      </c>
      <c r="B104" s="2" t="s">
        <v>48</v>
      </c>
      <c r="C104" s="2" t="s">
        <v>5115</v>
      </c>
      <c r="D104" s="2"/>
    </row>
    <row r="105" spans="1:4" ht="18" customHeight="1" x14ac:dyDescent="0.3">
      <c r="A105" s="2" t="s">
        <v>136</v>
      </c>
      <c r="B105" s="2" t="s">
        <v>48</v>
      </c>
      <c r="C105" s="2" t="s">
        <v>5115</v>
      </c>
      <c r="D105" s="2"/>
    </row>
    <row r="106" spans="1:4" ht="18" customHeight="1" x14ac:dyDescent="0.3">
      <c r="A106" s="2" t="s">
        <v>137</v>
      </c>
      <c r="B106" s="2" t="s">
        <v>48</v>
      </c>
      <c r="C106" s="2" t="s">
        <v>5115</v>
      </c>
      <c r="D106" s="2"/>
    </row>
    <row r="107" spans="1:4" ht="18" customHeight="1" x14ac:dyDescent="0.3">
      <c r="A107" s="2" t="s">
        <v>139</v>
      </c>
      <c r="B107" s="2" t="s">
        <v>48</v>
      </c>
      <c r="C107" s="2" t="s">
        <v>5115</v>
      </c>
      <c r="D107" s="2"/>
    </row>
    <row r="108" spans="1:4" ht="18" customHeight="1" x14ac:dyDescent="0.3">
      <c r="A108" s="2" t="s">
        <v>141</v>
      </c>
      <c r="B108" s="2" t="s">
        <v>48</v>
      </c>
      <c r="C108" s="2" t="s">
        <v>5115</v>
      </c>
      <c r="D108" s="2"/>
    </row>
    <row r="109" spans="1:4" ht="18" customHeight="1" x14ac:dyDescent="0.3">
      <c r="A109" s="2" t="s">
        <v>142</v>
      </c>
      <c r="B109" s="2" t="s">
        <v>48</v>
      </c>
      <c r="C109" s="2" t="s">
        <v>5115</v>
      </c>
      <c r="D109" s="2"/>
    </row>
    <row r="110" spans="1:4" ht="18" customHeight="1" x14ac:dyDescent="0.3">
      <c r="A110" s="2" t="s">
        <v>144</v>
      </c>
      <c r="B110" s="2" t="s">
        <v>48</v>
      </c>
      <c r="C110" s="2" t="s">
        <v>5115</v>
      </c>
      <c r="D110" s="2"/>
    </row>
    <row r="111" spans="1:4" ht="18" customHeight="1" x14ac:dyDescent="0.3">
      <c r="A111" s="2" t="s">
        <v>145</v>
      </c>
      <c r="B111" s="2" t="s">
        <v>48</v>
      </c>
      <c r="C111" s="2" t="s">
        <v>5115</v>
      </c>
      <c r="D111" s="2"/>
    </row>
    <row r="112" spans="1:4" ht="18" customHeight="1" x14ac:dyDescent="0.3">
      <c r="A112" s="2" t="s">
        <v>146</v>
      </c>
      <c r="B112" s="2" t="s">
        <v>48</v>
      </c>
      <c r="C112" s="2" t="s">
        <v>5115</v>
      </c>
      <c r="D112" s="2"/>
    </row>
    <row r="113" spans="1:4" ht="18" customHeight="1" x14ac:dyDescent="0.3">
      <c r="A113" s="2" t="s">
        <v>148</v>
      </c>
      <c r="B113" s="2" t="s">
        <v>48</v>
      </c>
      <c r="C113" s="2" t="s">
        <v>5115</v>
      </c>
      <c r="D113" s="2"/>
    </row>
    <row r="114" spans="1:4" ht="18" customHeight="1" x14ac:dyDescent="0.3">
      <c r="A114" s="2" t="s">
        <v>149</v>
      </c>
      <c r="B114" s="2" t="s">
        <v>48</v>
      </c>
      <c r="C114" s="2" t="s">
        <v>5115</v>
      </c>
      <c r="D114" s="2"/>
    </row>
    <row r="115" spans="1:4" ht="18" customHeight="1" x14ac:dyDescent="0.3">
      <c r="A115" s="2" t="s">
        <v>151</v>
      </c>
      <c r="B115" s="2" t="s">
        <v>48</v>
      </c>
      <c r="C115" s="2" t="s">
        <v>5115</v>
      </c>
      <c r="D115" s="2"/>
    </row>
    <row r="116" spans="1:4" ht="18" customHeight="1" x14ac:dyDescent="0.3">
      <c r="A116" s="2" t="s">
        <v>153</v>
      </c>
      <c r="B116" s="2" t="s">
        <v>48</v>
      </c>
      <c r="C116" s="2" t="s">
        <v>5115</v>
      </c>
      <c r="D116" s="2"/>
    </row>
    <row r="117" spans="1:4" ht="18" customHeight="1" x14ac:dyDescent="0.3">
      <c r="A117" s="2" t="s">
        <v>155</v>
      </c>
      <c r="B117" s="2" t="s">
        <v>48</v>
      </c>
      <c r="C117" s="2" t="s">
        <v>5115</v>
      </c>
      <c r="D117" s="2"/>
    </row>
    <row r="118" spans="1:4" ht="18" customHeight="1" x14ac:dyDescent="0.3">
      <c r="A118" s="2" t="s">
        <v>157</v>
      </c>
      <c r="B118" s="2" t="s">
        <v>48</v>
      </c>
      <c r="C118" s="2" t="s">
        <v>5115</v>
      </c>
      <c r="D118" s="2"/>
    </row>
    <row r="119" spans="1:4" ht="18" customHeight="1" x14ac:dyDescent="0.3">
      <c r="A119" s="2" t="s">
        <v>158</v>
      </c>
      <c r="B119" s="2" t="s">
        <v>48</v>
      </c>
      <c r="C119" s="2" t="s">
        <v>5115</v>
      </c>
      <c r="D119" s="2"/>
    </row>
    <row r="120" spans="1:4" ht="18" customHeight="1" x14ac:dyDescent="0.3">
      <c r="A120" s="2" t="s">
        <v>159</v>
      </c>
      <c r="B120" s="2" t="s">
        <v>48</v>
      </c>
      <c r="C120" s="2" t="s">
        <v>5115</v>
      </c>
      <c r="D120" s="2"/>
    </row>
    <row r="121" spans="1:4" ht="18" customHeight="1" x14ac:dyDescent="0.3">
      <c r="A121" s="2" t="s">
        <v>161</v>
      </c>
      <c r="B121" s="2" t="s">
        <v>48</v>
      </c>
      <c r="C121" s="2" t="s">
        <v>5115</v>
      </c>
      <c r="D121" s="2"/>
    </row>
    <row r="122" spans="1:4" ht="18" customHeight="1" x14ac:dyDescent="0.3">
      <c r="A122" s="2" t="s">
        <v>162</v>
      </c>
      <c r="B122" s="2" t="s">
        <v>48</v>
      </c>
      <c r="C122" s="2" t="s">
        <v>5115</v>
      </c>
      <c r="D122" s="2"/>
    </row>
    <row r="123" spans="1:4" ht="18" customHeight="1" x14ac:dyDescent="0.3">
      <c r="A123" s="2" t="s">
        <v>163</v>
      </c>
      <c r="B123" s="2" t="s">
        <v>48</v>
      </c>
      <c r="C123" s="2" t="s">
        <v>5115</v>
      </c>
      <c r="D123" s="2"/>
    </row>
    <row r="124" spans="1:4" ht="18" customHeight="1" x14ac:dyDescent="0.3">
      <c r="A124" s="2" t="s">
        <v>164</v>
      </c>
      <c r="B124" s="2" t="s">
        <v>48</v>
      </c>
      <c r="C124" s="2" t="s">
        <v>5115</v>
      </c>
      <c r="D124" s="2"/>
    </row>
    <row r="125" spans="1:4" ht="18" customHeight="1" x14ac:dyDescent="0.3">
      <c r="A125" s="2" t="s">
        <v>166</v>
      </c>
      <c r="B125" s="2" t="s">
        <v>48</v>
      </c>
      <c r="C125" s="2" t="s">
        <v>5115</v>
      </c>
      <c r="D125" s="2"/>
    </row>
    <row r="126" spans="1:4" ht="18" customHeight="1" x14ac:dyDescent="0.3">
      <c r="A126" s="2" t="s">
        <v>167</v>
      </c>
      <c r="B126" s="2" t="s">
        <v>48</v>
      </c>
      <c r="C126" s="2" t="s">
        <v>5115</v>
      </c>
      <c r="D126" s="2"/>
    </row>
    <row r="127" spans="1:4" ht="18" customHeight="1" x14ac:dyDescent="0.3">
      <c r="A127" s="2" t="s">
        <v>169</v>
      </c>
      <c r="B127" s="2" t="s">
        <v>48</v>
      </c>
      <c r="C127" s="2" t="s">
        <v>5115</v>
      </c>
      <c r="D127" s="2"/>
    </row>
    <row r="128" spans="1:4" ht="18" customHeight="1" x14ac:dyDescent="0.3">
      <c r="A128" s="2" t="s">
        <v>171</v>
      </c>
      <c r="B128" s="2" t="s">
        <v>48</v>
      </c>
      <c r="C128" s="2" t="s">
        <v>5115</v>
      </c>
      <c r="D128" s="2"/>
    </row>
    <row r="129" spans="1:4" ht="18" customHeight="1" x14ac:dyDescent="0.3">
      <c r="A129" s="2" t="s">
        <v>173</v>
      </c>
      <c r="B129" s="2" t="s">
        <v>48</v>
      </c>
      <c r="C129" s="2" t="s">
        <v>5115</v>
      </c>
      <c r="D129" s="2"/>
    </row>
    <row r="130" spans="1:4" ht="18" customHeight="1" x14ac:dyDescent="0.3">
      <c r="A130" s="2" t="s">
        <v>174</v>
      </c>
      <c r="B130" s="2" t="s">
        <v>48</v>
      </c>
      <c r="C130" s="2" t="s">
        <v>5115</v>
      </c>
      <c r="D130" s="2"/>
    </row>
    <row r="131" spans="1:4" ht="18" customHeight="1" x14ac:dyDescent="0.3">
      <c r="A131" s="2" t="s">
        <v>175</v>
      </c>
      <c r="B131" s="2" t="s">
        <v>48</v>
      </c>
      <c r="C131" s="2" t="s">
        <v>5115</v>
      </c>
      <c r="D131" s="2"/>
    </row>
    <row r="132" spans="1:4" ht="18" customHeight="1" x14ac:dyDescent="0.3">
      <c r="A132" s="2" t="s">
        <v>176</v>
      </c>
      <c r="B132" s="2" t="s">
        <v>48</v>
      </c>
      <c r="C132" s="2" t="s">
        <v>5115</v>
      </c>
      <c r="D132" s="2"/>
    </row>
    <row r="133" spans="1:4" ht="18" customHeight="1" x14ac:dyDescent="0.3">
      <c r="A133" s="2" t="s">
        <v>177</v>
      </c>
      <c r="B133" s="2" t="s">
        <v>48</v>
      </c>
      <c r="C133" s="2" t="s">
        <v>5115</v>
      </c>
      <c r="D133" s="2"/>
    </row>
    <row r="134" spans="1:4" ht="18" customHeight="1" x14ac:dyDescent="0.3">
      <c r="A134" s="2" t="s">
        <v>178</v>
      </c>
      <c r="B134" s="2" t="s">
        <v>48</v>
      </c>
      <c r="C134" s="2" t="s">
        <v>5115</v>
      </c>
      <c r="D134" s="2"/>
    </row>
    <row r="135" spans="1:4" ht="18" customHeight="1" x14ac:dyDescent="0.3">
      <c r="A135" s="2" t="s">
        <v>180</v>
      </c>
      <c r="B135" s="2" t="s">
        <v>48</v>
      </c>
      <c r="C135" s="2" t="s">
        <v>5115</v>
      </c>
      <c r="D135" s="2"/>
    </row>
    <row r="136" spans="1:4" ht="18" customHeight="1" x14ac:dyDescent="0.3">
      <c r="A136" s="2" t="s">
        <v>182</v>
      </c>
      <c r="B136" s="2" t="s">
        <v>48</v>
      </c>
      <c r="C136" s="2" t="s">
        <v>5115</v>
      </c>
      <c r="D136" s="2"/>
    </row>
    <row r="137" spans="1:4" ht="18" customHeight="1" x14ac:dyDescent="0.3">
      <c r="A137" s="2" t="s">
        <v>183</v>
      </c>
      <c r="B137" s="2" t="s">
        <v>48</v>
      </c>
      <c r="C137" s="2" t="s">
        <v>5115</v>
      </c>
      <c r="D137" s="2"/>
    </row>
    <row r="138" spans="1:4" ht="18" customHeight="1" x14ac:dyDescent="0.3">
      <c r="A138" s="2" t="s">
        <v>185</v>
      </c>
      <c r="B138" s="2" t="s">
        <v>48</v>
      </c>
      <c r="C138" s="2" t="s">
        <v>5115</v>
      </c>
      <c r="D138" s="2"/>
    </row>
    <row r="139" spans="1:4" ht="18" customHeight="1" x14ac:dyDescent="0.3">
      <c r="A139" s="2" t="s">
        <v>187</v>
      </c>
      <c r="B139" s="2" t="s">
        <v>48</v>
      </c>
      <c r="C139" s="2" t="s">
        <v>5115</v>
      </c>
      <c r="D139" s="2"/>
    </row>
    <row r="140" spans="1:4" ht="18" customHeight="1" x14ac:dyDescent="0.3">
      <c r="A140" s="2" t="s">
        <v>188</v>
      </c>
      <c r="B140" s="2" t="s">
        <v>48</v>
      </c>
      <c r="C140" s="2" t="s">
        <v>5115</v>
      </c>
      <c r="D140" s="2"/>
    </row>
    <row r="141" spans="1:4" ht="18" customHeight="1" x14ac:dyDescent="0.3">
      <c r="A141" s="2" t="s">
        <v>190</v>
      </c>
      <c r="B141" s="2" t="s">
        <v>48</v>
      </c>
      <c r="C141" s="2" t="s">
        <v>5115</v>
      </c>
      <c r="D141" s="2"/>
    </row>
    <row r="142" spans="1:4" ht="18" customHeight="1" x14ac:dyDescent="0.3">
      <c r="A142" s="2" t="s">
        <v>192</v>
      </c>
      <c r="B142" s="2" t="s">
        <v>48</v>
      </c>
      <c r="C142" s="2" t="s">
        <v>5115</v>
      </c>
      <c r="D142" s="2"/>
    </row>
    <row r="143" spans="1:4" ht="18" customHeight="1" x14ac:dyDescent="0.3">
      <c r="A143" s="2" t="s">
        <v>194</v>
      </c>
      <c r="B143" s="2" t="s">
        <v>48</v>
      </c>
      <c r="C143" s="2" t="s">
        <v>5115</v>
      </c>
      <c r="D143" s="2"/>
    </row>
    <row r="144" spans="1:4" ht="18" customHeight="1" x14ac:dyDescent="0.3">
      <c r="A144" s="2" t="s">
        <v>195</v>
      </c>
      <c r="B144" s="2" t="s">
        <v>48</v>
      </c>
      <c r="C144" s="2" t="s">
        <v>5115</v>
      </c>
      <c r="D144" s="2"/>
    </row>
    <row r="145" spans="1:4" ht="18" customHeight="1" x14ac:dyDescent="0.3">
      <c r="A145" s="2" t="s">
        <v>196</v>
      </c>
      <c r="B145" s="2" t="s">
        <v>48</v>
      </c>
      <c r="C145" s="2" t="s">
        <v>5115</v>
      </c>
      <c r="D145" s="2"/>
    </row>
    <row r="146" spans="1:4" ht="18" customHeight="1" x14ac:dyDescent="0.3">
      <c r="A146" s="2" t="s">
        <v>198</v>
      </c>
      <c r="B146" s="2" t="s">
        <v>48</v>
      </c>
      <c r="C146" s="2" t="s">
        <v>5115</v>
      </c>
      <c r="D146" s="2"/>
    </row>
    <row r="147" spans="1:4" ht="18" customHeight="1" x14ac:dyDescent="0.3">
      <c r="A147" s="2" t="s">
        <v>199</v>
      </c>
      <c r="B147" s="2" t="s">
        <v>48</v>
      </c>
      <c r="C147" s="2" t="s">
        <v>5115</v>
      </c>
      <c r="D147" s="2"/>
    </row>
    <row r="148" spans="1:4" ht="18" customHeight="1" x14ac:dyDescent="0.3">
      <c r="A148" s="2" t="s">
        <v>200</v>
      </c>
      <c r="B148" s="2" t="s">
        <v>48</v>
      </c>
      <c r="C148" s="2" t="s">
        <v>5115</v>
      </c>
      <c r="D148" s="2"/>
    </row>
    <row r="149" spans="1:4" ht="18" customHeight="1" x14ac:dyDescent="0.3">
      <c r="A149" s="2" t="s">
        <v>201</v>
      </c>
      <c r="B149" s="2" t="s">
        <v>48</v>
      </c>
      <c r="C149" s="2" t="s">
        <v>5115</v>
      </c>
      <c r="D149" s="2"/>
    </row>
    <row r="150" spans="1:4" ht="18" customHeight="1" x14ac:dyDescent="0.3">
      <c r="A150" s="2" t="s">
        <v>203</v>
      </c>
      <c r="B150" s="2" t="s">
        <v>48</v>
      </c>
      <c r="C150" s="2" t="s">
        <v>5115</v>
      </c>
      <c r="D150" s="2"/>
    </row>
    <row r="151" spans="1:4" ht="18" customHeight="1" x14ac:dyDescent="0.3">
      <c r="A151" s="2" t="s">
        <v>205</v>
      </c>
      <c r="B151" s="2" t="s">
        <v>48</v>
      </c>
      <c r="C151" s="2" t="s">
        <v>5115</v>
      </c>
      <c r="D151" s="2"/>
    </row>
    <row r="152" spans="1:4" ht="18" customHeight="1" x14ac:dyDescent="0.3">
      <c r="A152" s="2" t="s">
        <v>207</v>
      </c>
      <c r="B152" s="2" t="s">
        <v>48</v>
      </c>
      <c r="C152" s="2" t="s">
        <v>5115</v>
      </c>
      <c r="D152" s="2"/>
    </row>
    <row r="153" spans="1:4" ht="18" customHeight="1" x14ac:dyDescent="0.3">
      <c r="A153" s="2" t="s">
        <v>209</v>
      </c>
      <c r="B153" s="2" t="s">
        <v>48</v>
      </c>
      <c r="C153" s="2" t="s">
        <v>5115</v>
      </c>
      <c r="D153" s="2"/>
    </row>
    <row r="154" spans="1:4" ht="18" customHeight="1" x14ac:dyDescent="0.3">
      <c r="A154" s="2" t="s">
        <v>210</v>
      </c>
      <c r="B154" s="2" t="s">
        <v>48</v>
      </c>
      <c r="C154" s="2" t="s">
        <v>5115</v>
      </c>
      <c r="D154" s="2"/>
    </row>
    <row r="155" spans="1:4" ht="18" customHeight="1" x14ac:dyDescent="0.3">
      <c r="A155" s="2" t="s">
        <v>211</v>
      </c>
      <c r="B155" s="2" t="s">
        <v>48</v>
      </c>
      <c r="C155" s="2" t="s">
        <v>5115</v>
      </c>
      <c r="D155" s="2"/>
    </row>
    <row r="156" spans="1:4" ht="18" customHeight="1" x14ac:dyDescent="0.3">
      <c r="A156" s="2" t="s">
        <v>213</v>
      </c>
      <c r="B156" s="2" t="s">
        <v>48</v>
      </c>
      <c r="C156" s="2" t="s">
        <v>5115</v>
      </c>
      <c r="D156" s="2"/>
    </row>
    <row r="157" spans="1:4" ht="18" customHeight="1" x14ac:dyDescent="0.3">
      <c r="A157" s="2" t="s">
        <v>215</v>
      </c>
      <c r="B157" s="2" t="s">
        <v>48</v>
      </c>
      <c r="C157" s="2" t="s">
        <v>5115</v>
      </c>
      <c r="D157" s="2"/>
    </row>
    <row r="158" spans="1:4" ht="18" customHeight="1" x14ac:dyDescent="0.3">
      <c r="A158" s="2" t="s">
        <v>217</v>
      </c>
      <c r="B158" s="2" t="s">
        <v>48</v>
      </c>
      <c r="C158" s="2" t="s">
        <v>5115</v>
      </c>
      <c r="D158" s="2"/>
    </row>
    <row r="159" spans="1:4" ht="18" customHeight="1" x14ac:dyDescent="0.3">
      <c r="A159" s="2" t="s">
        <v>218</v>
      </c>
      <c r="B159" s="2" t="s">
        <v>48</v>
      </c>
      <c r="C159" s="2" t="s">
        <v>5115</v>
      </c>
      <c r="D159" s="2"/>
    </row>
    <row r="160" spans="1:4" ht="18" customHeight="1" x14ac:dyDescent="0.3">
      <c r="A160" s="2" t="s">
        <v>220</v>
      </c>
      <c r="B160" s="2" t="s">
        <v>48</v>
      </c>
      <c r="C160" s="2" t="s">
        <v>5115</v>
      </c>
      <c r="D160" s="2"/>
    </row>
    <row r="161" spans="1:4" ht="18" customHeight="1" x14ac:dyDescent="0.3">
      <c r="A161" s="2" t="s">
        <v>222</v>
      </c>
      <c r="B161" s="2" t="s">
        <v>48</v>
      </c>
      <c r="C161" s="2" t="s">
        <v>5115</v>
      </c>
      <c r="D161" s="2"/>
    </row>
    <row r="162" spans="1:4" ht="18" customHeight="1" x14ac:dyDescent="0.3">
      <c r="A162" s="2" t="s">
        <v>224</v>
      </c>
      <c r="B162" s="2" t="s">
        <v>48</v>
      </c>
      <c r="C162" s="2" t="s">
        <v>5115</v>
      </c>
      <c r="D162" s="2"/>
    </row>
    <row r="163" spans="1:4" ht="18" customHeight="1" x14ac:dyDescent="0.3">
      <c r="A163" s="2" t="s">
        <v>226</v>
      </c>
      <c r="B163" s="2" t="s">
        <v>48</v>
      </c>
      <c r="C163" s="2" t="s">
        <v>5115</v>
      </c>
      <c r="D163" s="2"/>
    </row>
    <row r="164" spans="1:4" ht="18" customHeight="1" x14ac:dyDescent="0.3">
      <c r="A164" s="2" t="s">
        <v>228</v>
      </c>
      <c r="B164" s="2" t="s">
        <v>48</v>
      </c>
      <c r="C164" s="2" t="s">
        <v>5115</v>
      </c>
      <c r="D164" s="2"/>
    </row>
    <row r="165" spans="1:4" ht="18" customHeight="1" x14ac:dyDescent="0.3">
      <c r="A165" s="2" t="s">
        <v>229</v>
      </c>
      <c r="B165" s="2" t="s">
        <v>48</v>
      </c>
      <c r="C165" s="2" t="s">
        <v>5115</v>
      </c>
      <c r="D165" s="2"/>
    </row>
    <row r="166" spans="1:4" ht="18" customHeight="1" x14ac:dyDescent="0.3">
      <c r="A166" s="2" t="s">
        <v>231</v>
      </c>
      <c r="B166" s="2" t="s">
        <v>48</v>
      </c>
      <c r="C166" s="2" t="s">
        <v>5115</v>
      </c>
      <c r="D166" s="2"/>
    </row>
    <row r="167" spans="1:4" ht="18" customHeight="1" x14ac:dyDescent="0.3">
      <c r="A167" s="2" t="s">
        <v>233</v>
      </c>
      <c r="B167" s="2" t="s">
        <v>48</v>
      </c>
      <c r="C167" s="2" t="s">
        <v>5115</v>
      </c>
      <c r="D167" s="2"/>
    </row>
    <row r="168" spans="1:4" ht="18" customHeight="1" x14ac:dyDescent="0.3">
      <c r="A168" s="2" t="s">
        <v>235</v>
      </c>
      <c r="B168" s="2" t="s">
        <v>48</v>
      </c>
      <c r="C168" s="2" t="s">
        <v>5115</v>
      </c>
      <c r="D168" s="2"/>
    </row>
    <row r="169" spans="1:4" ht="18" customHeight="1" x14ac:dyDescent="0.3">
      <c r="A169" s="2" t="s">
        <v>237</v>
      </c>
      <c r="B169" s="2" t="s">
        <v>48</v>
      </c>
      <c r="C169" s="2" t="s">
        <v>5115</v>
      </c>
      <c r="D169" s="2"/>
    </row>
    <row r="170" spans="1:4" ht="18" customHeight="1" x14ac:dyDescent="0.3">
      <c r="A170" s="2" t="s">
        <v>239</v>
      </c>
      <c r="B170" s="2" t="s">
        <v>48</v>
      </c>
      <c r="C170" s="2" t="s">
        <v>5115</v>
      </c>
      <c r="D170" s="2"/>
    </row>
    <row r="171" spans="1:4" ht="18" customHeight="1" x14ac:dyDescent="0.3">
      <c r="A171" s="2" t="s">
        <v>241</v>
      </c>
      <c r="B171" s="2" t="s">
        <v>48</v>
      </c>
      <c r="C171" s="2" t="s">
        <v>5115</v>
      </c>
      <c r="D171" s="2"/>
    </row>
    <row r="172" spans="1:4" ht="18" customHeight="1" x14ac:dyDescent="0.3">
      <c r="A172" s="2" t="s">
        <v>243</v>
      </c>
      <c r="B172" s="2" t="s">
        <v>48</v>
      </c>
      <c r="C172" s="2" t="s">
        <v>5115</v>
      </c>
      <c r="D172" s="2"/>
    </row>
    <row r="173" spans="1:4" ht="18" customHeight="1" x14ac:dyDescent="0.3">
      <c r="A173" s="2" t="s">
        <v>245</v>
      </c>
      <c r="B173" s="2" t="s">
        <v>48</v>
      </c>
      <c r="C173" s="2" t="s">
        <v>5115</v>
      </c>
      <c r="D173" s="2"/>
    </row>
    <row r="174" spans="1:4" ht="18" customHeight="1" x14ac:dyDescent="0.3">
      <c r="A174" s="2" t="s">
        <v>246</v>
      </c>
      <c r="B174" s="2" t="s">
        <v>48</v>
      </c>
      <c r="C174" s="2" t="s">
        <v>5115</v>
      </c>
      <c r="D174" s="2"/>
    </row>
    <row r="175" spans="1:4" ht="18" customHeight="1" x14ac:dyDescent="0.3">
      <c r="A175" s="2" t="s">
        <v>248</v>
      </c>
      <c r="B175" s="2" t="s">
        <v>48</v>
      </c>
      <c r="C175" s="2" t="s">
        <v>5115</v>
      </c>
      <c r="D175" s="2"/>
    </row>
    <row r="176" spans="1:4" ht="18" customHeight="1" x14ac:dyDescent="0.3">
      <c r="A176" s="2" t="s">
        <v>250</v>
      </c>
      <c r="B176" s="2" t="s">
        <v>48</v>
      </c>
      <c r="C176" s="2" t="s">
        <v>5115</v>
      </c>
      <c r="D176" s="2"/>
    </row>
    <row r="177" spans="1:4" ht="18" customHeight="1" x14ac:dyDescent="0.3">
      <c r="A177" s="2" t="s">
        <v>252</v>
      </c>
      <c r="B177" s="2" t="s">
        <v>48</v>
      </c>
      <c r="C177" s="2" t="s">
        <v>5115</v>
      </c>
      <c r="D177" s="2"/>
    </row>
    <row r="178" spans="1:4" ht="18" customHeight="1" x14ac:dyDescent="0.3">
      <c r="A178" s="2" t="s">
        <v>254</v>
      </c>
      <c r="B178" s="2" t="s">
        <v>48</v>
      </c>
      <c r="C178" s="2" t="s">
        <v>5115</v>
      </c>
      <c r="D178" s="2"/>
    </row>
    <row r="179" spans="1:4" ht="18" customHeight="1" x14ac:dyDescent="0.3">
      <c r="A179" s="2" t="s">
        <v>256</v>
      </c>
      <c r="B179" s="2" t="s">
        <v>48</v>
      </c>
      <c r="C179" s="2" t="s">
        <v>5115</v>
      </c>
      <c r="D179" s="2"/>
    </row>
    <row r="180" spans="1:4" ht="18" customHeight="1" x14ac:dyDescent="0.3">
      <c r="A180" s="2" t="s">
        <v>258</v>
      </c>
      <c r="B180" s="2" t="s">
        <v>48</v>
      </c>
      <c r="C180" s="2" t="s">
        <v>5115</v>
      </c>
      <c r="D180" s="2"/>
    </row>
    <row r="181" spans="1:4" ht="18" customHeight="1" x14ac:dyDescent="0.3">
      <c r="A181" s="2" t="s">
        <v>259</v>
      </c>
      <c r="B181" s="2" t="s">
        <v>48</v>
      </c>
      <c r="C181" s="2" t="s">
        <v>5115</v>
      </c>
      <c r="D181" s="2"/>
    </row>
    <row r="182" spans="1:4" ht="18" customHeight="1" x14ac:dyDescent="0.3">
      <c r="A182" s="2" t="s">
        <v>261</v>
      </c>
      <c r="B182" s="2" t="s">
        <v>48</v>
      </c>
      <c r="C182" s="2" t="s">
        <v>5115</v>
      </c>
      <c r="D182" s="2"/>
    </row>
    <row r="183" spans="1:4" ht="18" customHeight="1" x14ac:dyDescent="0.3">
      <c r="A183" s="2" t="s">
        <v>262</v>
      </c>
      <c r="B183" s="2" t="s">
        <v>48</v>
      </c>
      <c r="C183" s="2" t="s">
        <v>5115</v>
      </c>
      <c r="D183" s="2"/>
    </row>
    <row r="184" spans="1:4" ht="18" customHeight="1" x14ac:dyDescent="0.3">
      <c r="A184" s="2" t="s">
        <v>264</v>
      </c>
      <c r="B184" s="2" t="s">
        <v>48</v>
      </c>
      <c r="C184" s="2" t="s">
        <v>5115</v>
      </c>
      <c r="D184" s="2"/>
    </row>
    <row r="185" spans="1:4" ht="18" customHeight="1" x14ac:dyDescent="0.3">
      <c r="A185" s="2" t="s">
        <v>266</v>
      </c>
      <c r="B185" s="2" t="s">
        <v>48</v>
      </c>
      <c r="C185" s="2" t="s">
        <v>5115</v>
      </c>
      <c r="D185" s="2"/>
    </row>
    <row r="186" spans="1:4" ht="18" customHeight="1" x14ac:dyDescent="0.3">
      <c r="A186" s="2" t="s">
        <v>5117</v>
      </c>
      <c r="B186" s="2" t="s">
        <v>5118</v>
      </c>
      <c r="C186" s="2" t="s">
        <v>5066</v>
      </c>
      <c r="D186" s="2"/>
    </row>
    <row r="187" spans="1:4" ht="18" customHeight="1" x14ac:dyDescent="0.3">
      <c r="A187" s="2" t="s">
        <v>5119</v>
      </c>
      <c r="B187" s="2" t="s">
        <v>5118</v>
      </c>
      <c r="C187" s="2" t="s">
        <v>5066</v>
      </c>
      <c r="D187" s="2"/>
    </row>
    <row r="188" spans="1:4" ht="18" customHeight="1" x14ac:dyDescent="0.3">
      <c r="A188" s="2" t="s">
        <v>5120</v>
      </c>
      <c r="B188" s="2" t="s">
        <v>5118</v>
      </c>
      <c r="C188" s="2" t="s">
        <v>5066</v>
      </c>
      <c r="D188" s="2"/>
    </row>
    <row r="189" spans="1:4" ht="18" customHeight="1" x14ac:dyDescent="0.3">
      <c r="A189" s="2" t="s">
        <v>5121</v>
      </c>
      <c r="B189" s="2" t="s">
        <v>5118</v>
      </c>
      <c r="C189" s="2" t="s">
        <v>5066</v>
      </c>
      <c r="D189" s="2"/>
    </row>
    <row r="190" spans="1:4" ht="18" customHeight="1" x14ac:dyDescent="0.3">
      <c r="A190" s="2" t="s">
        <v>5122</v>
      </c>
      <c r="B190" s="2" t="s">
        <v>5118</v>
      </c>
      <c r="C190" s="2" t="s">
        <v>5066</v>
      </c>
      <c r="D190" s="2"/>
    </row>
    <row r="191" spans="1:4" ht="18" customHeight="1" x14ac:dyDescent="0.3">
      <c r="A191" s="2" t="s">
        <v>268</v>
      </c>
      <c r="B191" s="2" t="s">
        <v>269</v>
      </c>
      <c r="C191" s="2" t="s">
        <v>5064</v>
      </c>
      <c r="D191" s="2"/>
    </row>
    <row r="192" spans="1:4" ht="18" customHeight="1" x14ac:dyDescent="0.3">
      <c r="A192" s="2" t="s">
        <v>271</v>
      </c>
      <c r="B192" s="2" t="s">
        <v>269</v>
      </c>
      <c r="C192" s="2" t="s">
        <v>5064</v>
      </c>
      <c r="D192" s="2"/>
    </row>
    <row r="193" spans="1:4" ht="18" customHeight="1" x14ac:dyDescent="0.3">
      <c r="A193" s="2" t="s">
        <v>273</v>
      </c>
      <c r="B193" s="2" t="s">
        <v>269</v>
      </c>
      <c r="C193" s="2" t="s">
        <v>5064</v>
      </c>
      <c r="D193" s="2"/>
    </row>
    <row r="194" spans="1:4" ht="18" customHeight="1" x14ac:dyDescent="0.3">
      <c r="A194" s="2" t="s">
        <v>274</v>
      </c>
      <c r="B194" s="2" t="s">
        <v>269</v>
      </c>
      <c r="C194" s="2" t="s">
        <v>5064</v>
      </c>
      <c r="D194" s="2"/>
    </row>
    <row r="195" spans="1:4" ht="18" customHeight="1" x14ac:dyDescent="0.3">
      <c r="A195" s="2" t="s">
        <v>276</v>
      </c>
      <c r="B195" s="2" t="s">
        <v>269</v>
      </c>
      <c r="C195" s="2" t="s">
        <v>5064</v>
      </c>
      <c r="D195" s="2"/>
    </row>
    <row r="196" spans="1:4" ht="18" customHeight="1" x14ac:dyDescent="0.3">
      <c r="A196" s="2" t="s">
        <v>278</v>
      </c>
      <c r="B196" s="2" t="s">
        <v>269</v>
      </c>
      <c r="C196" s="2" t="s">
        <v>5064</v>
      </c>
      <c r="D196" s="2"/>
    </row>
    <row r="197" spans="1:4" ht="18" customHeight="1" x14ac:dyDescent="0.3">
      <c r="A197" s="2" t="s">
        <v>279</v>
      </c>
      <c r="B197" s="2" t="s">
        <v>269</v>
      </c>
      <c r="C197" s="2" t="s">
        <v>5064</v>
      </c>
      <c r="D197" s="2"/>
    </row>
    <row r="198" spans="1:4" ht="18" customHeight="1" x14ac:dyDescent="0.3">
      <c r="A198" s="2" t="s">
        <v>281</v>
      </c>
      <c r="B198" s="2" t="s">
        <v>269</v>
      </c>
      <c r="C198" s="2" t="s">
        <v>5064</v>
      </c>
      <c r="D198" s="2"/>
    </row>
    <row r="199" spans="1:4" ht="18" customHeight="1" x14ac:dyDescent="0.3">
      <c r="A199" s="2" t="s">
        <v>283</v>
      </c>
      <c r="B199" s="2" t="s">
        <v>269</v>
      </c>
      <c r="C199" s="2" t="s">
        <v>5064</v>
      </c>
      <c r="D199" s="2"/>
    </row>
    <row r="200" spans="1:4" ht="18" customHeight="1" x14ac:dyDescent="0.3">
      <c r="A200" s="2" t="s">
        <v>285</v>
      </c>
      <c r="B200" s="2" t="s">
        <v>269</v>
      </c>
      <c r="C200" s="2" t="s">
        <v>5064</v>
      </c>
      <c r="D200" s="2"/>
    </row>
    <row r="201" spans="1:4" ht="18" customHeight="1" x14ac:dyDescent="0.3">
      <c r="A201" s="2" t="s">
        <v>287</v>
      </c>
      <c r="B201" s="2" t="s">
        <v>269</v>
      </c>
      <c r="C201" s="2" t="s">
        <v>5064</v>
      </c>
      <c r="D201" s="2"/>
    </row>
    <row r="202" spans="1:4" ht="18" customHeight="1" x14ac:dyDescent="0.3">
      <c r="A202" s="2" t="s">
        <v>289</v>
      </c>
      <c r="B202" s="2" t="s">
        <v>269</v>
      </c>
      <c r="C202" s="2" t="s">
        <v>5064</v>
      </c>
      <c r="D202" s="2"/>
    </row>
    <row r="203" spans="1:4" ht="18" customHeight="1" x14ac:dyDescent="0.3">
      <c r="A203" s="2" t="s">
        <v>291</v>
      </c>
      <c r="B203" s="2" t="s">
        <v>269</v>
      </c>
      <c r="C203" s="2" t="s">
        <v>5064</v>
      </c>
      <c r="D203" s="2"/>
    </row>
    <row r="204" spans="1:4" ht="18" customHeight="1" x14ac:dyDescent="0.3">
      <c r="A204" s="2" t="s">
        <v>293</v>
      </c>
      <c r="B204" s="2" t="s">
        <v>269</v>
      </c>
      <c r="C204" s="2" t="s">
        <v>5064</v>
      </c>
      <c r="D204" s="2"/>
    </row>
    <row r="205" spans="1:4" ht="18" customHeight="1" x14ac:dyDescent="0.3">
      <c r="A205" s="2" t="s">
        <v>295</v>
      </c>
      <c r="B205" s="2" t="s">
        <v>269</v>
      </c>
      <c r="C205" s="2" t="s">
        <v>5064</v>
      </c>
      <c r="D205" s="2"/>
    </row>
    <row r="206" spans="1:4" ht="18" customHeight="1" x14ac:dyDescent="0.3">
      <c r="A206" s="2" t="s">
        <v>297</v>
      </c>
      <c r="B206" s="2" t="s">
        <v>269</v>
      </c>
      <c r="C206" s="2" t="s">
        <v>5064</v>
      </c>
      <c r="D206" s="2"/>
    </row>
    <row r="207" spans="1:4" ht="18" customHeight="1" x14ac:dyDescent="0.3">
      <c r="A207" s="2" t="s">
        <v>299</v>
      </c>
      <c r="B207" s="2" t="s">
        <v>269</v>
      </c>
      <c r="C207" s="2" t="s">
        <v>5064</v>
      </c>
      <c r="D207" s="2"/>
    </row>
    <row r="208" spans="1:4" ht="18" customHeight="1" x14ac:dyDescent="0.3">
      <c r="A208" s="2" t="s">
        <v>301</v>
      </c>
      <c r="B208" s="2" t="s">
        <v>269</v>
      </c>
      <c r="C208" s="2" t="s">
        <v>5064</v>
      </c>
      <c r="D208" s="2"/>
    </row>
    <row r="209" spans="1:4" ht="18" customHeight="1" x14ac:dyDescent="0.3">
      <c r="A209" s="2" t="s">
        <v>303</v>
      </c>
      <c r="B209" s="2" t="s">
        <v>269</v>
      </c>
      <c r="C209" s="2" t="s">
        <v>5064</v>
      </c>
      <c r="D209" s="2"/>
    </row>
    <row r="210" spans="1:4" ht="18" customHeight="1" x14ac:dyDescent="0.3">
      <c r="A210" s="2" t="s">
        <v>305</v>
      </c>
      <c r="B210" s="2" t="s">
        <v>269</v>
      </c>
      <c r="C210" s="2" t="s">
        <v>5064</v>
      </c>
      <c r="D210" s="2"/>
    </row>
    <row r="211" spans="1:4" ht="18" customHeight="1" x14ac:dyDescent="0.3">
      <c r="A211" s="2" t="s">
        <v>307</v>
      </c>
      <c r="B211" s="2" t="s">
        <v>269</v>
      </c>
      <c r="C211" s="2" t="s">
        <v>5064</v>
      </c>
      <c r="D211" s="2"/>
    </row>
    <row r="212" spans="1:4" ht="18" customHeight="1" x14ac:dyDescent="0.3">
      <c r="A212" s="2" t="s">
        <v>308</v>
      </c>
      <c r="B212" s="2" t="s">
        <v>269</v>
      </c>
      <c r="C212" s="2" t="s">
        <v>5064</v>
      </c>
      <c r="D212" s="2"/>
    </row>
    <row r="213" spans="1:4" ht="18" customHeight="1" x14ac:dyDescent="0.3">
      <c r="A213" s="2" t="s">
        <v>310</v>
      </c>
      <c r="B213" s="2" t="s">
        <v>269</v>
      </c>
      <c r="C213" s="2" t="s">
        <v>5064</v>
      </c>
      <c r="D213" s="2"/>
    </row>
    <row r="214" spans="1:4" ht="18" customHeight="1" x14ac:dyDescent="0.3">
      <c r="A214" s="2" t="s">
        <v>312</v>
      </c>
      <c r="B214" s="2" t="s">
        <v>269</v>
      </c>
      <c r="C214" s="2" t="s">
        <v>5064</v>
      </c>
      <c r="D214" s="2"/>
    </row>
    <row r="215" spans="1:4" ht="18" customHeight="1" x14ac:dyDescent="0.3">
      <c r="A215" s="2" t="s">
        <v>313</v>
      </c>
      <c r="B215" s="2" t="s">
        <v>269</v>
      </c>
      <c r="C215" s="2" t="s">
        <v>5064</v>
      </c>
      <c r="D215" s="2"/>
    </row>
    <row r="216" spans="1:4" ht="18" customHeight="1" x14ac:dyDescent="0.3">
      <c r="A216" s="2" t="s">
        <v>315</v>
      </c>
      <c r="B216" s="2" t="s">
        <v>269</v>
      </c>
      <c r="C216" s="2" t="s">
        <v>5064</v>
      </c>
      <c r="D216" s="2"/>
    </row>
    <row r="217" spans="1:4" ht="18" customHeight="1" x14ac:dyDescent="0.3">
      <c r="A217" s="2" t="s">
        <v>317</v>
      </c>
      <c r="B217" s="2" t="s">
        <v>269</v>
      </c>
      <c r="C217" s="2" t="s">
        <v>5064</v>
      </c>
      <c r="D217" s="2"/>
    </row>
    <row r="218" spans="1:4" ht="18" customHeight="1" x14ac:dyDescent="0.3">
      <c r="A218" s="2" t="s">
        <v>319</v>
      </c>
      <c r="B218" s="2" t="s">
        <v>269</v>
      </c>
      <c r="C218" s="2" t="s">
        <v>5064</v>
      </c>
      <c r="D218" s="2"/>
    </row>
    <row r="219" spans="1:4" ht="18" customHeight="1" x14ac:dyDescent="0.3">
      <c r="A219" s="2" t="s">
        <v>321</v>
      </c>
      <c r="B219" s="2" t="s">
        <v>269</v>
      </c>
      <c r="C219" s="2" t="s">
        <v>5064</v>
      </c>
      <c r="D219" s="2"/>
    </row>
    <row r="220" spans="1:4" ht="18" customHeight="1" x14ac:dyDescent="0.3">
      <c r="A220" s="2" t="s">
        <v>323</v>
      </c>
      <c r="B220" s="2" t="s">
        <v>269</v>
      </c>
      <c r="C220" s="2" t="s">
        <v>5064</v>
      </c>
      <c r="D220" s="2"/>
    </row>
    <row r="221" spans="1:4" ht="18" customHeight="1" x14ac:dyDescent="0.3">
      <c r="A221" s="2" t="s">
        <v>325</v>
      </c>
      <c r="B221" s="2" t="s">
        <v>269</v>
      </c>
      <c r="C221" s="2" t="s">
        <v>5064</v>
      </c>
      <c r="D221" s="2"/>
    </row>
    <row r="222" spans="1:4" ht="18" customHeight="1" x14ac:dyDescent="0.3">
      <c r="A222" s="2" t="s">
        <v>327</v>
      </c>
      <c r="B222" s="2" t="s">
        <v>269</v>
      </c>
      <c r="C222" s="2" t="s">
        <v>5064</v>
      </c>
      <c r="D222" s="2"/>
    </row>
    <row r="223" spans="1:4" ht="18" customHeight="1" x14ac:dyDescent="0.3">
      <c r="A223" s="2" t="s">
        <v>329</v>
      </c>
      <c r="B223" s="2" t="s">
        <v>269</v>
      </c>
      <c r="C223" s="2" t="s">
        <v>5064</v>
      </c>
      <c r="D223" s="2"/>
    </row>
    <row r="224" spans="1:4" ht="18" customHeight="1" x14ac:dyDescent="0.3">
      <c r="A224" s="2" t="s">
        <v>331</v>
      </c>
      <c r="B224" s="2" t="s">
        <v>269</v>
      </c>
      <c r="C224" s="2" t="s">
        <v>5064</v>
      </c>
      <c r="D224" s="2"/>
    </row>
    <row r="225" spans="1:4" ht="18" customHeight="1" x14ac:dyDescent="0.3">
      <c r="A225" s="2" t="s">
        <v>333</v>
      </c>
      <c r="B225" s="2" t="s">
        <v>269</v>
      </c>
      <c r="C225" s="2" t="s">
        <v>5064</v>
      </c>
      <c r="D225" s="2"/>
    </row>
    <row r="226" spans="1:4" ht="18" customHeight="1" x14ac:dyDescent="0.3">
      <c r="A226" s="2" t="s">
        <v>335</v>
      </c>
      <c r="B226" s="2" t="s">
        <v>269</v>
      </c>
      <c r="C226" s="2" t="s">
        <v>5064</v>
      </c>
      <c r="D226" s="2"/>
    </row>
    <row r="227" spans="1:4" ht="18" customHeight="1" x14ac:dyDescent="0.3">
      <c r="A227" s="2" t="s">
        <v>337</v>
      </c>
      <c r="B227" s="2" t="s">
        <v>269</v>
      </c>
      <c r="C227" s="2" t="s">
        <v>5064</v>
      </c>
      <c r="D227" s="2"/>
    </row>
    <row r="228" spans="1:4" ht="18" customHeight="1" x14ac:dyDescent="0.3">
      <c r="A228" s="2" t="s">
        <v>339</v>
      </c>
      <c r="B228" s="2" t="s">
        <v>269</v>
      </c>
      <c r="C228" s="2" t="s">
        <v>5064</v>
      </c>
      <c r="D228" s="2"/>
    </row>
    <row r="229" spans="1:4" ht="18" customHeight="1" x14ac:dyDescent="0.3">
      <c r="A229" s="2" t="s">
        <v>341</v>
      </c>
      <c r="B229" s="2" t="s">
        <v>269</v>
      </c>
      <c r="C229" s="2" t="s">
        <v>5064</v>
      </c>
      <c r="D229" s="2"/>
    </row>
    <row r="230" spans="1:4" ht="18" customHeight="1" x14ac:dyDescent="0.3">
      <c r="A230" s="2" t="s">
        <v>343</v>
      </c>
      <c r="B230" s="2" t="s">
        <v>269</v>
      </c>
      <c r="C230" s="2" t="s">
        <v>5064</v>
      </c>
      <c r="D230" s="2"/>
    </row>
    <row r="231" spans="1:4" ht="18" customHeight="1" x14ac:dyDescent="0.3">
      <c r="A231" s="2" t="s">
        <v>344</v>
      </c>
      <c r="B231" s="2" t="s">
        <v>269</v>
      </c>
      <c r="C231" s="2" t="s">
        <v>5064</v>
      </c>
      <c r="D231" s="2"/>
    </row>
    <row r="232" spans="1:4" ht="18" customHeight="1" x14ac:dyDescent="0.3">
      <c r="A232" s="2" t="s">
        <v>346</v>
      </c>
      <c r="B232" s="2" t="s">
        <v>269</v>
      </c>
      <c r="C232" s="2" t="s">
        <v>5064</v>
      </c>
      <c r="D232" s="2"/>
    </row>
    <row r="233" spans="1:4" ht="18" customHeight="1" x14ac:dyDescent="0.3">
      <c r="A233" s="2" t="s">
        <v>348</v>
      </c>
      <c r="B233" s="2" t="s">
        <v>269</v>
      </c>
      <c r="C233" s="2" t="s">
        <v>5064</v>
      </c>
      <c r="D233" s="2"/>
    </row>
    <row r="234" spans="1:4" ht="18" customHeight="1" x14ac:dyDescent="0.3">
      <c r="A234" s="2" t="s">
        <v>350</v>
      </c>
      <c r="B234" s="2" t="s">
        <v>269</v>
      </c>
      <c r="C234" s="2" t="s">
        <v>5064</v>
      </c>
      <c r="D234" s="2"/>
    </row>
    <row r="235" spans="1:4" ht="18" customHeight="1" x14ac:dyDescent="0.3">
      <c r="A235" s="2" t="s">
        <v>352</v>
      </c>
      <c r="B235" s="2" t="s">
        <v>269</v>
      </c>
      <c r="C235" s="2" t="s">
        <v>5064</v>
      </c>
      <c r="D235" s="2"/>
    </row>
    <row r="236" spans="1:4" ht="18" customHeight="1" x14ac:dyDescent="0.3">
      <c r="A236" s="2" t="s">
        <v>354</v>
      </c>
      <c r="B236" s="2" t="s">
        <v>269</v>
      </c>
      <c r="C236" s="2" t="s">
        <v>5064</v>
      </c>
      <c r="D236" s="2"/>
    </row>
    <row r="237" spans="1:4" ht="18" customHeight="1" x14ac:dyDescent="0.3">
      <c r="A237" s="2" t="s">
        <v>356</v>
      </c>
      <c r="B237" s="2" t="s">
        <v>269</v>
      </c>
      <c r="C237" s="2" t="s">
        <v>5064</v>
      </c>
      <c r="D237" s="2"/>
    </row>
    <row r="238" spans="1:4" ht="18" customHeight="1" x14ac:dyDescent="0.3">
      <c r="A238" s="2" t="s">
        <v>358</v>
      </c>
      <c r="B238" s="2" t="s">
        <v>269</v>
      </c>
      <c r="C238" s="2" t="s">
        <v>5064</v>
      </c>
      <c r="D238" s="2"/>
    </row>
    <row r="239" spans="1:4" ht="18" customHeight="1" x14ac:dyDescent="0.3">
      <c r="A239" s="2" t="s">
        <v>359</v>
      </c>
      <c r="B239" s="2" t="s">
        <v>269</v>
      </c>
      <c r="C239" s="2" t="s">
        <v>5064</v>
      </c>
      <c r="D239" s="2"/>
    </row>
    <row r="240" spans="1:4" ht="18" customHeight="1" x14ac:dyDescent="0.3">
      <c r="A240" s="2" t="s">
        <v>360</v>
      </c>
      <c r="B240" s="2" t="s">
        <v>269</v>
      </c>
      <c r="C240" s="2" t="s">
        <v>5064</v>
      </c>
      <c r="D240" s="2"/>
    </row>
    <row r="241" spans="1:4" ht="18" customHeight="1" x14ac:dyDescent="0.3">
      <c r="A241" s="2" t="s">
        <v>361</v>
      </c>
      <c r="B241" s="2" t="s">
        <v>269</v>
      </c>
      <c r="C241" s="2" t="s">
        <v>5064</v>
      </c>
      <c r="D241" s="2"/>
    </row>
    <row r="242" spans="1:4" ht="18" customHeight="1" x14ac:dyDescent="0.3">
      <c r="A242" s="2" t="s">
        <v>363</v>
      </c>
      <c r="B242" s="2" t="s">
        <v>269</v>
      </c>
      <c r="C242" s="2" t="s">
        <v>5064</v>
      </c>
      <c r="D242" s="2"/>
    </row>
    <row r="243" spans="1:4" ht="18" customHeight="1" x14ac:dyDescent="0.3">
      <c r="A243" s="2" t="s">
        <v>364</v>
      </c>
      <c r="B243" s="2" t="s">
        <v>269</v>
      </c>
      <c r="C243" s="2" t="s">
        <v>5064</v>
      </c>
      <c r="D243" s="2"/>
    </row>
    <row r="244" spans="1:4" ht="18" customHeight="1" x14ac:dyDescent="0.3">
      <c r="A244" s="2" t="s">
        <v>366</v>
      </c>
      <c r="B244" s="2" t="s">
        <v>269</v>
      </c>
      <c r="C244" s="2" t="s">
        <v>5064</v>
      </c>
      <c r="D244" s="2"/>
    </row>
    <row r="245" spans="1:4" ht="18" customHeight="1" x14ac:dyDescent="0.3">
      <c r="A245" s="2" t="s">
        <v>368</v>
      </c>
      <c r="B245" s="2" t="s">
        <v>269</v>
      </c>
      <c r="C245" s="2" t="s">
        <v>5064</v>
      </c>
      <c r="D245" s="2"/>
    </row>
    <row r="246" spans="1:4" ht="18" customHeight="1" x14ac:dyDescent="0.3">
      <c r="A246" s="2" t="s">
        <v>370</v>
      </c>
      <c r="B246" s="2" t="s">
        <v>269</v>
      </c>
      <c r="C246" s="2" t="s">
        <v>5064</v>
      </c>
      <c r="D246" s="2"/>
    </row>
    <row r="247" spans="1:4" ht="18" customHeight="1" x14ac:dyDescent="0.3">
      <c r="A247" s="2" t="s">
        <v>372</v>
      </c>
      <c r="B247" s="2" t="s">
        <v>269</v>
      </c>
      <c r="C247" s="2" t="s">
        <v>5064</v>
      </c>
      <c r="D247" s="2"/>
    </row>
    <row r="248" spans="1:4" ht="18" customHeight="1" x14ac:dyDescent="0.3">
      <c r="A248" s="2" t="s">
        <v>374</v>
      </c>
      <c r="B248" s="2" t="s">
        <v>269</v>
      </c>
      <c r="C248" s="2" t="s">
        <v>5064</v>
      </c>
      <c r="D248" s="2"/>
    </row>
    <row r="249" spans="1:4" ht="18" customHeight="1" x14ac:dyDescent="0.3">
      <c r="A249" s="2" t="s">
        <v>376</v>
      </c>
      <c r="B249" s="2" t="s">
        <v>269</v>
      </c>
      <c r="C249" s="2" t="s">
        <v>5064</v>
      </c>
      <c r="D249" s="2"/>
    </row>
    <row r="250" spans="1:4" ht="18" customHeight="1" x14ac:dyDescent="0.3">
      <c r="A250" s="2" t="s">
        <v>378</v>
      </c>
      <c r="B250" s="2" t="s">
        <v>269</v>
      </c>
      <c r="C250" s="2" t="s">
        <v>5064</v>
      </c>
      <c r="D250" s="2"/>
    </row>
    <row r="251" spans="1:4" ht="18" customHeight="1" x14ac:dyDescent="0.3">
      <c r="A251" s="2" t="s">
        <v>380</v>
      </c>
      <c r="B251" s="2" t="s">
        <v>269</v>
      </c>
      <c r="C251" s="2" t="s">
        <v>5064</v>
      </c>
      <c r="D251" s="2"/>
    </row>
    <row r="252" spans="1:4" ht="18" customHeight="1" x14ac:dyDescent="0.3">
      <c r="A252" s="2" t="s">
        <v>382</v>
      </c>
      <c r="B252" s="2" t="s">
        <v>269</v>
      </c>
      <c r="C252" s="2" t="s">
        <v>5064</v>
      </c>
      <c r="D252" s="2"/>
    </row>
    <row r="253" spans="1:4" ht="18" customHeight="1" x14ac:dyDescent="0.3">
      <c r="A253" s="2" t="s">
        <v>384</v>
      </c>
      <c r="B253" s="2" t="s">
        <v>269</v>
      </c>
      <c r="C253" s="2" t="s">
        <v>5064</v>
      </c>
      <c r="D253" s="2"/>
    </row>
    <row r="254" spans="1:4" ht="18" customHeight="1" x14ac:dyDescent="0.3">
      <c r="A254" s="2" t="s">
        <v>386</v>
      </c>
      <c r="B254" s="2" t="s">
        <v>269</v>
      </c>
      <c r="C254" s="2" t="s">
        <v>5064</v>
      </c>
      <c r="D254" s="2"/>
    </row>
    <row r="255" spans="1:4" ht="18" customHeight="1" x14ac:dyDescent="0.3">
      <c r="A255" s="2" t="s">
        <v>388</v>
      </c>
      <c r="B255" s="2" t="s">
        <v>269</v>
      </c>
      <c r="C255" s="2" t="s">
        <v>5064</v>
      </c>
      <c r="D255" s="2"/>
    </row>
    <row r="256" spans="1:4" ht="18" customHeight="1" x14ac:dyDescent="0.3">
      <c r="A256" s="2" t="s">
        <v>390</v>
      </c>
      <c r="B256" s="2" t="s">
        <v>269</v>
      </c>
      <c r="C256" s="2" t="s">
        <v>5064</v>
      </c>
      <c r="D256" s="2"/>
    </row>
    <row r="257" spans="1:4" ht="18" customHeight="1" x14ac:dyDescent="0.3">
      <c r="A257" s="2" t="s">
        <v>392</v>
      </c>
      <c r="B257" s="2" t="s">
        <v>269</v>
      </c>
      <c r="C257" s="2" t="s">
        <v>5064</v>
      </c>
      <c r="D257" s="2"/>
    </row>
    <row r="258" spans="1:4" ht="18" customHeight="1" x14ac:dyDescent="0.3">
      <c r="A258" s="2" t="s">
        <v>394</v>
      </c>
      <c r="B258" s="2" t="s">
        <v>269</v>
      </c>
      <c r="C258" s="2" t="s">
        <v>5064</v>
      </c>
      <c r="D258" s="2"/>
    </row>
    <row r="259" spans="1:4" ht="18" customHeight="1" x14ac:dyDescent="0.3">
      <c r="A259" s="2" t="s">
        <v>396</v>
      </c>
      <c r="B259" s="2" t="s">
        <v>269</v>
      </c>
      <c r="C259" s="2" t="s">
        <v>5064</v>
      </c>
      <c r="D259" s="2"/>
    </row>
    <row r="260" spans="1:4" ht="18" customHeight="1" x14ac:dyDescent="0.3">
      <c r="A260" s="2" t="s">
        <v>398</v>
      </c>
      <c r="B260" s="2" t="s">
        <v>269</v>
      </c>
      <c r="C260" s="2" t="s">
        <v>5064</v>
      </c>
      <c r="D260" s="2"/>
    </row>
    <row r="261" spans="1:4" ht="18" customHeight="1" x14ac:dyDescent="0.3">
      <c r="A261" s="2" t="s">
        <v>400</v>
      </c>
      <c r="B261" s="2" t="s">
        <v>269</v>
      </c>
      <c r="C261" s="2" t="s">
        <v>5064</v>
      </c>
      <c r="D261" s="2"/>
    </row>
    <row r="262" spans="1:4" ht="18" customHeight="1" x14ac:dyDescent="0.3">
      <c r="A262" s="2" t="s">
        <v>402</v>
      </c>
      <c r="B262" s="2" t="s">
        <v>269</v>
      </c>
      <c r="C262" s="2" t="s">
        <v>5064</v>
      </c>
      <c r="D262" s="2"/>
    </row>
    <row r="263" spans="1:4" ht="18" customHeight="1" x14ac:dyDescent="0.3">
      <c r="A263" s="2" t="s">
        <v>404</v>
      </c>
      <c r="B263" s="2" t="s">
        <v>269</v>
      </c>
      <c r="C263" s="2" t="s">
        <v>5064</v>
      </c>
      <c r="D263" s="2"/>
    </row>
    <row r="264" spans="1:4" ht="18" customHeight="1" x14ac:dyDescent="0.3">
      <c r="A264" s="2" t="s">
        <v>406</v>
      </c>
      <c r="B264" s="2" t="s">
        <v>269</v>
      </c>
      <c r="C264" s="2" t="s">
        <v>5064</v>
      </c>
      <c r="D264" s="2"/>
    </row>
    <row r="265" spans="1:4" ht="18" customHeight="1" x14ac:dyDescent="0.3">
      <c r="A265" s="2" t="s">
        <v>408</v>
      </c>
      <c r="B265" s="2" t="s">
        <v>269</v>
      </c>
      <c r="C265" s="2" t="s">
        <v>5064</v>
      </c>
      <c r="D265" s="2"/>
    </row>
    <row r="266" spans="1:4" ht="18" customHeight="1" x14ac:dyDescent="0.3">
      <c r="A266" s="2" t="s">
        <v>410</v>
      </c>
      <c r="B266" s="2" t="s">
        <v>269</v>
      </c>
      <c r="C266" s="2" t="s">
        <v>5064</v>
      </c>
      <c r="D266" s="2"/>
    </row>
    <row r="267" spans="1:4" ht="18" customHeight="1" x14ac:dyDescent="0.3">
      <c r="A267" s="2" t="s">
        <v>412</v>
      </c>
      <c r="B267" s="2" t="s">
        <v>269</v>
      </c>
      <c r="C267" s="2" t="s">
        <v>5064</v>
      </c>
      <c r="D267" s="2"/>
    </row>
    <row r="268" spans="1:4" ht="18" customHeight="1" x14ac:dyDescent="0.3">
      <c r="A268" s="2" t="s">
        <v>414</v>
      </c>
      <c r="B268" s="2" t="s">
        <v>269</v>
      </c>
      <c r="C268" s="2" t="s">
        <v>5064</v>
      </c>
      <c r="D268" s="2"/>
    </row>
    <row r="269" spans="1:4" ht="18" customHeight="1" x14ac:dyDescent="0.3">
      <c r="A269" s="2" t="s">
        <v>416</v>
      </c>
      <c r="B269" s="2" t="s">
        <v>269</v>
      </c>
      <c r="C269" s="2" t="s">
        <v>5064</v>
      </c>
      <c r="D269" s="2"/>
    </row>
    <row r="270" spans="1:4" ht="18" customHeight="1" x14ac:dyDescent="0.3">
      <c r="A270" s="2" t="s">
        <v>418</v>
      </c>
      <c r="B270" s="2" t="s">
        <v>269</v>
      </c>
      <c r="C270" s="2" t="s">
        <v>5064</v>
      </c>
      <c r="D270" s="2"/>
    </row>
    <row r="271" spans="1:4" ht="18" customHeight="1" x14ac:dyDescent="0.3">
      <c r="A271" s="2" t="s">
        <v>419</v>
      </c>
      <c r="B271" s="2" t="s">
        <v>269</v>
      </c>
      <c r="C271" s="2" t="s">
        <v>5064</v>
      </c>
      <c r="D271" s="2"/>
    </row>
    <row r="272" spans="1:4" ht="18" customHeight="1" x14ac:dyDescent="0.3">
      <c r="A272" s="2" t="s">
        <v>420</v>
      </c>
      <c r="B272" s="2" t="s">
        <v>269</v>
      </c>
      <c r="C272" s="2" t="s">
        <v>5064</v>
      </c>
      <c r="D272" s="2"/>
    </row>
    <row r="273" spans="1:4" ht="18" customHeight="1" x14ac:dyDescent="0.3">
      <c r="A273" s="2" t="s">
        <v>422</v>
      </c>
      <c r="B273" s="2" t="s">
        <v>269</v>
      </c>
      <c r="C273" s="2" t="s">
        <v>5064</v>
      </c>
      <c r="D273" s="2"/>
    </row>
    <row r="274" spans="1:4" ht="18" customHeight="1" x14ac:dyDescent="0.3">
      <c r="A274" s="2" t="s">
        <v>423</v>
      </c>
      <c r="B274" s="2" t="s">
        <v>269</v>
      </c>
      <c r="C274" s="2" t="s">
        <v>5064</v>
      </c>
      <c r="D274" s="2"/>
    </row>
    <row r="275" spans="1:4" ht="18" customHeight="1" x14ac:dyDescent="0.3">
      <c r="A275" s="2" t="s">
        <v>424</v>
      </c>
      <c r="B275" s="2" t="s">
        <v>269</v>
      </c>
      <c r="C275" s="2" t="s">
        <v>5064</v>
      </c>
      <c r="D275" s="2"/>
    </row>
    <row r="276" spans="1:4" ht="18" customHeight="1" x14ac:dyDescent="0.3">
      <c r="A276" s="2" t="s">
        <v>425</v>
      </c>
      <c r="B276" s="2" t="s">
        <v>269</v>
      </c>
      <c r="C276" s="2" t="s">
        <v>5064</v>
      </c>
      <c r="D276" s="2"/>
    </row>
    <row r="277" spans="1:4" ht="18" customHeight="1" x14ac:dyDescent="0.3">
      <c r="A277" s="2" t="s">
        <v>427</v>
      </c>
      <c r="B277" s="2" t="s">
        <v>269</v>
      </c>
      <c r="C277" s="2" t="s">
        <v>5064</v>
      </c>
      <c r="D277" s="2"/>
    </row>
    <row r="278" spans="1:4" ht="18" customHeight="1" x14ac:dyDescent="0.3">
      <c r="A278" s="2" t="s">
        <v>429</v>
      </c>
      <c r="B278" s="2" t="s">
        <v>269</v>
      </c>
      <c r="C278" s="2" t="s">
        <v>5064</v>
      </c>
      <c r="D278" s="2"/>
    </row>
    <row r="279" spans="1:4" ht="18" customHeight="1" x14ac:dyDescent="0.3">
      <c r="A279" s="2" t="s">
        <v>430</v>
      </c>
      <c r="B279" s="2" t="s">
        <v>269</v>
      </c>
      <c r="C279" s="2" t="s">
        <v>5064</v>
      </c>
      <c r="D279" s="2"/>
    </row>
    <row r="280" spans="1:4" ht="18" customHeight="1" x14ac:dyDescent="0.3">
      <c r="A280" s="2" t="s">
        <v>432</v>
      </c>
      <c r="B280" s="2" t="s">
        <v>269</v>
      </c>
      <c r="C280" s="2" t="s">
        <v>5064</v>
      </c>
      <c r="D280" s="2"/>
    </row>
    <row r="281" spans="1:4" ht="18" customHeight="1" x14ac:dyDescent="0.3">
      <c r="A281" s="2" t="s">
        <v>434</v>
      </c>
      <c r="B281" s="2" t="s">
        <v>269</v>
      </c>
      <c r="C281" s="2" t="s">
        <v>5064</v>
      </c>
      <c r="D281" s="2"/>
    </row>
    <row r="282" spans="1:4" ht="18" customHeight="1" x14ac:dyDescent="0.3">
      <c r="A282" s="2" t="s">
        <v>436</v>
      </c>
      <c r="B282" s="2" t="s">
        <v>269</v>
      </c>
      <c r="C282" s="2" t="s">
        <v>5064</v>
      </c>
      <c r="D282" s="2"/>
    </row>
    <row r="283" spans="1:4" ht="18" customHeight="1" x14ac:dyDescent="0.3">
      <c r="A283" s="2" t="s">
        <v>438</v>
      </c>
      <c r="B283" s="2" t="s">
        <v>269</v>
      </c>
      <c r="C283" s="2" t="s">
        <v>5064</v>
      </c>
      <c r="D283" s="2"/>
    </row>
    <row r="284" spans="1:4" ht="18" customHeight="1" x14ac:dyDescent="0.3">
      <c r="A284" s="2" t="s">
        <v>440</v>
      </c>
      <c r="B284" s="2" t="s">
        <v>269</v>
      </c>
      <c r="C284" s="2" t="s">
        <v>5064</v>
      </c>
      <c r="D284" s="2"/>
    </row>
    <row r="285" spans="1:4" ht="18" customHeight="1" x14ac:dyDescent="0.3">
      <c r="A285" s="2" t="s">
        <v>442</v>
      </c>
      <c r="B285" s="2" t="s">
        <v>269</v>
      </c>
      <c r="C285" s="2" t="s">
        <v>5064</v>
      </c>
      <c r="D285" s="2"/>
    </row>
    <row r="286" spans="1:4" ht="18" customHeight="1" x14ac:dyDescent="0.3">
      <c r="A286" s="2" t="s">
        <v>443</v>
      </c>
      <c r="B286" s="2" t="s">
        <v>269</v>
      </c>
      <c r="C286" s="2" t="s">
        <v>5064</v>
      </c>
      <c r="D286" s="2"/>
    </row>
    <row r="287" spans="1:4" ht="18" customHeight="1" x14ac:dyDescent="0.3">
      <c r="A287" s="2" t="s">
        <v>445</v>
      </c>
      <c r="B287" s="2" t="s">
        <v>269</v>
      </c>
      <c r="C287" s="2" t="s">
        <v>5064</v>
      </c>
      <c r="D287" s="2"/>
    </row>
    <row r="288" spans="1:4" ht="18" customHeight="1" x14ac:dyDescent="0.3">
      <c r="A288" s="2" t="s">
        <v>446</v>
      </c>
      <c r="B288" s="2" t="s">
        <v>269</v>
      </c>
      <c r="C288" s="2" t="s">
        <v>5064</v>
      </c>
      <c r="D288" s="2"/>
    </row>
    <row r="289" spans="1:4" ht="18" customHeight="1" x14ac:dyDescent="0.3">
      <c r="A289" s="2" t="s">
        <v>448</v>
      </c>
      <c r="B289" s="2" t="s">
        <v>269</v>
      </c>
      <c r="C289" s="2" t="s">
        <v>5064</v>
      </c>
      <c r="D289" s="2"/>
    </row>
    <row r="290" spans="1:4" ht="18" customHeight="1" x14ac:dyDescent="0.3">
      <c r="A290" s="2" t="s">
        <v>450</v>
      </c>
      <c r="B290" s="2" t="s">
        <v>269</v>
      </c>
      <c r="C290" s="2" t="s">
        <v>5064</v>
      </c>
      <c r="D290" s="2"/>
    </row>
    <row r="291" spans="1:4" ht="18" customHeight="1" x14ac:dyDescent="0.3">
      <c r="A291" s="2" t="s">
        <v>452</v>
      </c>
      <c r="B291" s="2" t="s">
        <v>269</v>
      </c>
      <c r="C291" s="2" t="s">
        <v>5064</v>
      </c>
      <c r="D291" s="2"/>
    </row>
    <row r="292" spans="1:4" ht="18" customHeight="1" x14ac:dyDescent="0.3">
      <c r="A292" s="2" t="s">
        <v>454</v>
      </c>
      <c r="B292" s="2" t="s">
        <v>269</v>
      </c>
      <c r="C292" s="2" t="s">
        <v>5064</v>
      </c>
      <c r="D292" s="2"/>
    </row>
    <row r="293" spans="1:4" ht="18" customHeight="1" x14ac:dyDescent="0.3">
      <c r="A293" s="2" t="s">
        <v>456</v>
      </c>
      <c r="B293" s="2" t="s">
        <v>269</v>
      </c>
      <c r="C293" s="2" t="s">
        <v>5064</v>
      </c>
      <c r="D293" s="2"/>
    </row>
    <row r="294" spans="1:4" ht="18" customHeight="1" x14ac:dyDescent="0.3">
      <c r="A294" s="2" t="s">
        <v>457</v>
      </c>
      <c r="B294" s="2" t="s">
        <v>269</v>
      </c>
      <c r="C294" s="2" t="s">
        <v>5064</v>
      </c>
      <c r="D294" s="2"/>
    </row>
    <row r="295" spans="1:4" ht="18" customHeight="1" x14ac:dyDescent="0.3">
      <c r="A295" s="2" t="s">
        <v>458</v>
      </c>
      <c r="B295" s="2" t="s">
        <v>269</v>
      </c>
      <c r="C295" s="2" t="s">
        <v>5064</v>
      </c>
      <c r="D295" s="2"/>
    </row>
    <row r="296" spans="1:4" ht="18" customHeight="1" x14ac:dyDescent="0.3">
      <c r="A296" s="2" t="s">
        <v>459</v>
      </c>
      <c r="B296" s="2" t="s">
        <v>269</v>
      </c>
      <c r="C296" s="2" t="s">
        <v>5064</v>
      </c>
      <c r="D296" s="2"/>
    </row>
    <row r="297" spans="1:4" ht="18" customHeight="1" x14ac:dyDescent="0.3">
      <c r="A297" s="2" t="s">
        <v>461</v>
      </c>
      <c r="B297" s="2" t="s">
        <v>269</v>
      </c>
      <c r="C297" s="2" t="s">
        <v>5064</v>
      </c>
      <c r="D297" s="2"/>
    </row>
    <row r="298" spans="1:4" ht="18" customHeight="1" x14ac:dyDescent="0.3">
      <c r="A298" s="2" t="s">
        <v>462</v>
      </c>
      <c r="B298" s="2" t="s">
        <v>269</v>
      </c>
      <c r="C298" s="2" t="s">
        <v>5064</v>
      </c>
      <c r="D298" s="2"/>
    </row>
    <row r="299" spans="1:4" ht="18" customHeight="1" x14ac:dyDescent="0.3">
      <c r="A299" s="2" t="s">
        <v>464</v>
      </c>
      <c r="B299" s="2" t="s">
        <v>269</v>
      </c>
      <c r="C299" s="2" t="s">
        <v>5064</v>
      </c>
      <c r="D299" s="2"/>
    </row>
    <row r="300" spans="1:4" ht="18" customHeight="1" x14ac:dyDescent="0.3">
      <c r="A300" s="2" t="s">
        <v>466</v>
      </c>
      <c r="B300" s="2" t="s">
        <v>269</v>
      </c>
      <c r="C300" s="2" t="s">
        <v>5064</v>
      </c>
      <c r="D300" s="2"/>
    </row>
    <row r="301" spans="1:4" ht="18" customHeight="1" x14ac:dyDescent="0.3">
      <c r="A301" s="2" t="s">
        <v>468</v>
      </c>
      <c r="B301" s="2" t="s">
        <v>269</v>
      </c>
      <c r="C301" s="2" t="s">
        <v>5064</v>
      </c>
      <c r="D301" s="2"/>
    </row>
    <row r="302" spans="1:4" ht="18" customHeight="1" x14ac:dyDescent="0.3">
      <c r="A302" s="2" t="s">
        <v>470</v>
      </c>
      <c r="B302" s="2" t="s">
        <v>269</v>
      </c>
      <c r="C302" s="2" t="s">
        <v>5064</v>
      </c>
      <c r="D302" s="2"/>
    </row>
    <row r="303" spans="1:4" ht="18" customHeight="1" x14ac:dyDescent="0.3">
      <c r="A303" s="2" t="s">
        <v>472</v>
      </c>
      <c r="B303" s="2" t="s">
        <v>269</v>
      </c>
      <c r="C303" s="2" t="s">
        <v>5064</v>
      </c>
      <c r="D303" s="2"/>
    </row>
    <row r="304" spans="1:4" ht="18" customHeight="1" x14ac:dyDescent="0.3">
      <c r="A304" s="2" t="s">
        <v>474</v>
      </c>
      <c r="B304" s="2" t="s">
        <v>269</v>
      </c>
      <c r="C304" s="2" t="s">
        <v>5064</v>
      </c>
      <c r="D304" s="2"/>
    </row>
    <row r="305" spans="1:4" ht="18" customHeight="1" x14ac:dyDescent="0.3">
      <c r="A305" s="2" t="s">
        <v>476</v>
      </c>
      <c r="B305" s="2" t="s">
        <v>269</v>
      </c>
      <c r="C305" s="2" t="s">
        <v>5064</v>
      </c>
      <c r="D305" s="2"/>
    </row>
    <row r="306" spans="1:4" ht="18" customHeight="1" x14ac:dyDescent="0.3">
      <c r="A306" s="2" t="s">
        <v>478</v>
      </c>
      <c r="B306" s="2" t="s">
        <v>269</v>
      </c>
      <c r="C306" s="2" t="s">
        <v>5064</v>
      </c>
      <c r="D306" s="2"/>
    </row>
    <row r="307" spans="1:4" ht="18" customHeight="1" x14ac:dyDescent="0.3">
      <c r="A307" s="2" t="s">
        <v>480</v>
      </c>
      <c r="B307" s="2" t="s">
        <v>269</v>
      </c>
      <c r="C307" s="2" t="s">
        <v>5064</v>
      </c>
      <c r="D307" s="2"/>
    </row>
    <row r="308" spans="1:4" ht="18" customHeight="1" x14ac:dyDescent="0.3">
      <c r="A308" s="2" t="s">
        <v>482</v>
      </c>
      <c r="B308" s="2" t="s">
        <v>269</v>
      </c>
      <c r="C308" s="2" t="s">
        <v>5064</v>
      </c>
      <c r="D308" s="2"/>
    </row>
    <row r="309" spans="1:4" ht="18" customHeight="1" x14ac:dyDescent="0.3">
      <c r="A309" s="2" t="s">
        <v>484</v>
      </c>
      <c r="B309" s="2" t="s">
        <v>269</v>
      </c>
      <c r="C309" s="2" t="s">
        <v>5064</v>
      </c>
      <c r="D309" s="2"/>
    </row>
    <row r="310" spans="1:4" ht="18" customHeight="1" x14ac:dyDescent="0.3">
      <c r="A310" s="2" t="s">
        <v>486</v>
      </c>
      <c r="B310" s="2" t="s">
        <v>269</v>
      </c>
      <c r="C310" s="2" t="s">
        <v>5064</v>
      </c>
      <c r="D310" s="2"/>
    </row>
    <row r="311" spans="1:4" ht="18" customHeight="1" x14ac:dyDescent="0.3">
      <c r="A311" s="2" t="s">
        <v>488</v>
      </c>
      <c r="B311" s="2" t="s">
        <v>269</v>
      </c>
      <c r="C311" s="2" t="s">
        <v>5064</v>
      </c>
      <c r="D311" s="2"/>
    </row>
    <row r="312" spans="1:4" ht="18" customHeight="1" x14ac:dyDescent="0.3">
      <c r="A312" s="2" t="s">
        <v>490</v>
      </c>
      <c r="B312" s="2" t="s">
        <v>269</v>
      </c>
      <c r="C312" s="2" t="s">
        <v>5064</v>
      </c>
      <c r="D312" s="2"/>
    </row>
    <row r="313" spans="1:4" ht="18" customHeight="1" x14ac:dyDescent="0.3">
      <c r="A313" s="2" t="s">
        <v>492</v>
      </c>
      <c r="B313" s="2" t="s">
        <v>269</v>
      </c>
      <c r="C313" s="2" t="s">
        <v>5064</v>
      </c>
      <c r="D313" s="2"/>
    </row>
    <row r="314" spans="1:4" ht="18" customHeight="1" x14ac:dyDescent="0.3">
      <c r="A314" s="2" t="s">
        <v>494</v>
      </c>
      <c r="B314" s="2" t="s">
        <v>269</v>
      </c>
      <c r="C314" s="2" t="s">
        <v>5064</v>
      </c>
      <c r="D314" s="2"/>
    </row>
    <row r="315" spans="1:4" ht="18" customHeight="1" x14ac:dyDescent="0.3">
      <c r="A315" s="2" t="s">
        <v>496</v>
      </c>
      <c r="B315" s="2" t="s">
        <v>269</v>
      </c>
      <c r="C315" s="2" t="s">
        <v>5064</v>
      </c>
      <c r="D315" s="2"/>
    </row>
    <row r="316" spans="1:4" ht="18" customHeight="1" x14ac:dyDescent="0.3">
      <c r="A316" s="2" t="s">
        <v>498</v>
      </c>
      <c r="B316" s="2" t="s">
        <v>269</v>
      </c>
      <c r="C316" s="2" t="s">
        <v>5064</v>
      </c>
      <c r="D316" s="2"/>
    </row>
    <row r="317" spans="1:4" ht="18" customHeight="1" x14ac:dyDescent="0.3">
      <c r="A317" s="2" t="s">
        <v>500</v>
      </c>
      <c r="B317" s="2" t="s">
        <v>269</v>
      </c>
      <c r="C317" s="2" t="s">
        <v>5064</v>
      </c>
      <c r="D317" s="2"/>
    </row>
    <row r="318" spans="1:4" ht="18" customHeight="1" x14ac:dyDescent="0.3">
      <c r="A318" s="2" t="s">
        <v>502</v>
      </c>
      <c r="B318" s="2" t="s">
        <v>269</v>
      </c>
      <c r="C318" s="2" t="s">
        <v>5064</v>
      </c>
      <c r="D318" s="2"/>
    </row>
    <row r="319" spans="1:4" ht="18" customHeight="1" x14ac:dyDescent="0.3">
      <c r="A319" s="2" t="s">
        <v>504</v>
      </c>
      <c r="B319" s="2" t="s">
        <v>269</v>
      </c>
      <c r="C319" s="2" t="s">
        <v>5064</v>
      </c>
      <c r="D319" s="2"/>
    </row>
    <row r="320" spans="1:4" x14ac:dyDescent="0.3">
      <c r="A320" s="2" t="s">
        <v>505</v>
      </c>
      <c r="B320" s="2" t="s">
        <v>269</v>
      </c>
      <c r="C320" s="2" t="s">
        <v>5064</v>
      </c>
      <c r="D320" s="2"/>
    </row>
    <row r="321" spans="1:4" x14ac:dyDescent="0.3">
      <c r="A321" s="2" t="s">
        <v>507</v>
      </c>
      <c r="B321" s="2" t="s">
        <v>269</v>
      </c>
      <c r="C321" s="2" t="s">
        <v>5064</v>
      </c>
      <c r="D321" s="2"/>
    </row>
    <row r="322" spans="1:4" x14ac:dyDescent="0.3">
      <c r="A322" s="2" t="s">
        <v>509</v>
      </c>
      <c r="B322" s="2" t="s">
        <v>269</v>
      </c>
      <c r="C322" s="2" t="s">
        <v>5064</v>
      </c>
      <c r="D322" s="2"/>
    </row>
    <row r="323" spans="1:4" x14ac:dyDescent="0.3">
      <c r="A323" s="2" t="s">
        <v>510</v>
      </c>
      <c r="B323" s="2" t="s">
        <v>269</v>
      </c>
      <c r="C323" s="2" t="s">
        <v>5064</v>
      </c>
      <c r="D323" s="2"/>
    </row>
    <row r="324" spans="1:4" x14ac:dyDescent="0.3">
      <c r="A324" s="2" t="s">
        <v>512</v>
      </c>
      <c r="B324" s="2" t="s">
        <v>269</v>
      </c>
      <c r="C324" s="2" t="s">
        <v>5064</v>
      </c>
      <c r="D324" s="2"/>
    </row>
    <row r="325" spans="1:4" x14ac:dyDescent="0.3">
      <c r="A325" s="2" t="s">
        <v>514</v>
      </c>
      <c r="B325" s="2" t="s">
        <v>269</v>
      </c>
      <c r="C325" s="2" t="s">
        <v>5064</v>
      </c>
      <c r="D325" s="2"/>
    </row>
    <row r="326" spans="1:4" x14ac:dyDescent="0.3">
      <c r="A326" s="2" t="s">
        <v>515</v>
      </c>
      <c r="B326" s="2" t="s">
        <v>269</v>
      </c>
      <c r="C326" s="2" t="s">
        <v>5064</v>
      </c>
      <c r="D326" s="2"/>
    </row>
    <row r="327" spans="1:4" x14ac:dyDescent="0.3">
      <c r="A327" s="2" t="s">
        <v>517</v>
      </c>
      <c r="B327" s="2" t="s">
        <v>269</v>
      </c>
      <c r="C327" s="2" t="s">
        <v>5064</v>
      </c>
      <c r="D327" s="2"/>
    </row>
    <row r="328" spans="1:4" x14ac:dyDescent="0.3">
      <c r="A328" s="2" t="s">
        <v>519</v>
      </c>
      <c r="B328" s="2" t="s">
        <v>269</v>
      </c>
      <c r="C328" s="2" t="s">
        <v>5064</v>
      </c>
      <c r="D328" s="2"/>
    </row>
    <row r="329" spans="1:4" x14ac:dyDescent="0.3">
      <c r="A329" s="2" t="s">
        <v>521</v>
      </c>
      <c r="B329" s="2" t="s">
        <v>269</v>
      </c>
      <c r="C329" s="2" t="s">
        <v>5064</v>
      </c>
      <c r="D329" s="2"/>
    </row>
    <row r="330" spans="1:4" x14ac:dyDescent="0.3">
      <c r="A330" s="2" t="s">
        <v>523</v>
      </c>
      <c r="B330" s="2" t="s">
        <v>269</v>
      </c>
      <c r="C330" s="2" t="s">
        <v>5064</v>
      </c>
      <c r="D330" s="2"/>
    </row>
    <row r="331" spans="1:4" x14ac:dyDescent="0.3">
      <c r="A331" s="2" t="s">
        <v>525</v>
      </c>
      <c r="B331" s="2" t="s">
        <v>269</v>
      </c>
      <c r="C331" s="2" t="s">
        <v>5064</v>
      </c>
      <c r="D331" s="2"/>
    </row>
    <row r="332" spans="1:4" x14ac:dyDescent="0.3">
      <c r="A332" s="2" t="s">
        <v>527</v>
      </c>
      <c r="B332" s="2" t="s">
        <v>269</v>
      </c>
      <c r="C332" s="2" t="s">
        <v>5064</v>
      </c>
      <c r="D332" s="2"/>
    </row>
    <row r="333" spans="1:4" x14ac:dyDescent="0.3">
      <c r="A333" s="2" t="s">
        <v>529</v>
      </c>
      <c r="B333" s="2" t="s">
        <v>269</v>
      </c>
      <c r="C333" s="2" t="s">
        <v>5064</v>
      </c>
      <c r="D333" s="2"/>
    </row>
    <row r="334" spans="1:4" x14ac:dyDescent="0.3">
      <c r="A334" s="2" t="s">
        <v>531</v>
      </c>
      <c r="B334" s="2" t="s">
        <v>269</v>
      </c>
      <c r="C334" s="2" t="s">
        <v>5064</v>
      </c>
      <c r="D334" s="2"/>
    </row>
    <row r="335" spans="1:4" x14ac:dyDescent="0.3">
      <c r="A335" s="2" t="s">
        <v>533</v>
      </c>
      <c r="B335" s="2" t="s">
        <v>269</v>
      </c>
      <c r="C335" s="2" t="s">
        <v>5064</v>
      </c>
      <c r="D335" s="2"/>
    </row>
    <row r="336" spans="1:4" x14ac:dyDescent="0.3">
      <c r="A336" s="2" t="s">
        <v>535</v>
      </c>
      <c r="B336" s="2" t="s">
        <v>269</v>
      </c>
      <c r="C336" s="2" t="s">
        <v>5064</v>
      </c>
      <c r="D336" s="2"/>
    </row>
    <row r="337" spans="1:4" x14ac:dyDescent="0.3">
      <c r="A337" s="2" t="s">
        <v>537</v>
      </c>
      <c r="B337" s="2" t="s">
        <v>269</v>
      </c>
      <c r="C337" s="2" t="s">
        <v>5064</v>
      </c>
      <c r="D337" s="2"/>
    </row>
    <row r="338" spans="1:4" x14ac:dyDescent="0.3">
      <c r="A338" s="2" t="s">
        <v>539</v>
      </c>
      <c r="B338" s="2" t="s">
        <v>269</v>
      </c>
      <c r="C338" s="2" t="s">
        <v>5064</v>
      </c>
      <c r="D338" s="2"/>
    </row>
    <row r="339" spans="1:4" x14ac:dyDescent="0.3">
      <c r="A339" s="2" t="s">
        <v>541</v>
      </c>
      <c r="B339" s="2" t="s">
        <v>269</v>
      </c>
      <c r="C339" s="2" t="s">
        <v>5064</v>
      </c>
      <c r="D339" s="2"/>
    </row>
    <row r="340" spans="1:4" x14ac:dyDescent="0.3">
      <c r="A340" s="2" t="s">
        <v>543</v>
      </c>
      <c r="B340" s="2" t="s">
        <v>269</v>
      </c>
      <c r="C340" s="2" t="s">
        <v>5064</v>
      </c>
      <c r="D340" s="2"/>
    </row>
    <row r="341" spans="1:4" x14ac:dyDescent="0.3">
      <c r="A341" s="2" t="s">
        <v>545</v>
      </c>
      <c r="B341" s="2" t="s">
        <v>269</v>
      </c>
      <c r="C341" s="2" t="s">
        <v>5064</v>
      </c>
      <c r="D341" s="2"/>
    </row>
    <row r="342" spans="1:4" x14ac:dyDescent="0.3">
      <c r="A342" s="2" t="s">
        <v>547</v>
      </c>
      <c r="B342" s="2" t="s">
        <v>269</v>
      </c>
      <c r="C342" s="2" t="s">
        <v>5064</v>
      </c>
      <c r="D342" s="2"/>
    </row>
    <row r="343" spans="1:4" x14ac:dyDescent="0.3">
      <c r="A343" s="2" t="s">
        <v>549</v>
      </c>
      <c r="B343" s="2" t="s">
        <v>269</v>
      </c>
      <c r="C343" s="2" t="s">
        <v>5064</v>
      </c>
      <c r="D343" s="2"/>
    </row>
    <row r="344" spans="1:4" x14ac:dyDescent="0.3">
      <c r="A344" s="2" t="s">
        <v>551</v>
      </c>
      <c r="B344" s="2" t="s">
        <v>269</v>
      </c>
      <c r="C344" s="2" t="s">
        <v>5064</v>
      </c>
      <c r="D344" s="2"/>
    </row>
    <row r="345" spans="1:4" x14ac:dyDescent="0.3">
      <c r="A345" s="2" t="s">
        <v>553</v>
      </c>
      <c r="B345" s="2" t="s">
        <v>269</v>
      </c>
      <c r="C345" s="2" t="s">
        <v>5064</v>
      </c>
      <c r="D345" s="2"/>
    </row>
    <row r="346" spans="1:4" x14ac:dyDescent="0.3">
      <c r="A346" s="2" t="s">
        <v>554</v>
      </c>
      <c r="B346" s="2" t="s">
        <v>269</v>
      </c>
      <c r="C346" s="2" t="s">
        <v>5064</v>
      </c>
      <c r="D346" s="2"/>
    </row>
    <row r="347" spans="1:4" x14ac:dyDescent="0.3">
      <c r="A347" s="2" t="s">
        <v>556</v>
      </c>
      <c r="B347" s="2" t="s">
        <v>269</v>
      </c>
      <c r="C347" s="2" t="s">
        <v>5064</v>
      </c>
      <c r="D347" s="2"/>
    </row>
    <row r="348" spans="1:4" x14ac:dyDescent="0.3">
      <c r="A348" s="2" t="s">
        <v>558</v>
      </c>
      <c r="B348" s="2" t="s">
        <v>269</v>
      </c>
      <c r="C348" s="2" t="s">
        <v>5064</v>
      </c>
      <c r="D348" s="2"/>
    </row>
    <row r="349" spans="1:4" x14ac:dyDescent="0.3">
      <c r="A349" s="2" t="s">
        <v>560</v>
      </c>
      <c r="B349" s="2" t="s">
        <v>269</v>
      </c>
      <c r="C349" s="2" t="s">
        <v>5064</v>
      </c>
      <c r="D349" s="2"/>
    </row>
    <row r="350" spans="1:4" x14ac:dyDescent="0.3">
      <c r="A350" s="2" t="s">
        <v>562</v>
      </c>
      <c r="B350" s="2" t="s">
        <v>269</v>
      </c>
      <c r="C350" s="2" t="s">
        <v>5064</v>
      </c>
      <c r="D350" s="2"/>
    </row>
    <row r="351" spans="1:4" x14ac:dyDescent="0.3">
      <c r="A351" s="2" t="s">
        <v>564</v>
      </c>
      <c r="B351" s="2" t="s">
        <v>269</v>
      </c>
      <c r="C351" s="2" t="s">
        <v>5064</v>
      </c>
      <c r="D351" s="2"/>
    </row>
    <row r="352" spans="1:4" x14ac:dyDescent="0.3">
      <c r="A352" s="2" t="s">
        <v>566</v>
      </c>
      <c r="B352" s="2" t="s">
        <v>269</v>
      </c>
      <c r="C352" s="2" t="s">
        <v>5064</v>
      </c>
      <c r="D352" s="2"/>
    </row>
    <row r="353" spans="1:4" x14ac:dyDescent="0.3">
      <c r="A353" s="2" t="s">
        <v>568</v>
      </c>
      <c r="B353" s="2" t="s">
        <v>269</v>
      </c>
      <c r="C353" s="2" t="s">
        <v>5064</v>
      </c>
      <c r="D353" s="2"/>
    </row>
    <row r="354" spans="1:4" x14ac:dyDescent="0.3">
      <c r="A354" s="2" t="s">
        <v>570</v>
      </c>
      <c r="B354" s="2" t="s">
        <v>269</v>
      </c>
      <c r="C354" s="2" t="s">
        <v>5064</v>
      </c>
      <c r="D354" s="2"/>
    </row>
    <row r="355" spans="1:4" x14ac:dyDescent="0.3">
      <c r="A355" s="2" t="s">
        <v>572</v>
      </c>
      <c r="B355" s="2" t="s">
        <v>269</v>
      </c>
      <c r="C355" s="2" t="s">
        <v>5064</v>
      </c>
      <c r="D355" s="2"/>
    </row>
    <row r="356" spans="1:4" x14ac:dyDescent="0.3">
      <c r="A356" s="2" t="s">
        <v>574</v>
      </c>
      <c r="B356" s="2" t="s">
        <v>269</v>
      </c>
      <c r="C356" s="2" t="s">
        <v>5064</v>
      </c>
      <c r="D356" s="2"/>
    </row>
    <row r="357" spans="1:4" x14ac:dyDescent="0.3">
      <c r="A357" s="2" t="s">
        <v>576</v>
      </c>
      <c r="B357" s="2" t="s">
        <v>269</v>
      </c>
      <c r="C357" s="2" t="s">
        <v>5064</v>
      </c>
      <c r="D357" s="2"/>
    </row>
    <row r="358" spans="1:4" x14ac:dyDescent="0.3">
      <c r="A358" s="2" t="s">
        <v>578</v>
      </c>
      <c r="B358" s="2" t="s">
        <v>269</v>
      </c>
      <c r="C358" s="2" t="s">
        <v>5064</v>
      </c>
      <c r="D358" s="2"/>
    </row>
    <row r="359" spans="1:4" x14ac:dyDescent="0.3">
      <c r="A359" s="2" t="s">
        <v>580</v>
      </c>
      <c r="B359" s="2" t="s">
        <v>269</v>
      </c>
      <c r="C359" s="2" t="s">
        <v>5064</v>
      </c>
      <c r="D359" s="2"/>
    </row>
    <row r="360" spans="1:4" x14ac:dyDescent="0.3">
      <c r="A360" s="2" t="s">
        <v>582</v>
      </c>
      <c r="B360" s="2" t="s">
        <v>269</v>
      </c>
      <c r="C360" s="2" t="s">
        <v>5064</v>
      </c>
      <c r="D360" s="2"/>
    </row>
    <row r="361" spans="1:4" x14ac:dyDescent="0.3">
      <c r="A361" s="2" t="s">
        <v>584</v>
      </c>
      <c r="B361" s="2" t="s">
        <v>269</v>
      </c>
      <c r="C361" s="2" t="s">
        <v>5064</v>
      </c>
      <c r="D361" s="2"/>
    </row>
    <row r="362" spans="1:4" x14ac:dyDescent="0.3">
      <c r="A362" s="2" t="s">
        <v>586</v>
      </c>
      <c r="B362" s="2" t="s">
        <v>269</v>
      </c>
      <c r="C362" s="2" t="s">
        <v>5064</v>
      </c>
      <c r="D362" s="2"/>
    </row>
    <row r="363" spans="1:4" x14ac:dyDescent="0.3">
      <c r="A363" s="2" t="s">
        <v>588</v>
      </c>
      <c r="B363" s="2" t="s">
        <v>269</v>
      </c>
      <c r="C363" s="2" t="s">
        <v>5064</v>
      </c>
      <c r="D363" s="2"/>
    </row>
    <row r="364" spans="1:4" x14ac:dyDescent="0.3">
      <c r="A364" s="2" t="s">
        <v>589</v>
      </c>
      <c r="B364" s="2" t="s">
        <v>269</v>
      </c>
      <c r="C364" s="2" t="s">
        <v>5064</v>
      </c>
      <c r="D364" s="2"/>
    </row>
    <row r="365" spans="1:4" x14ac:dyDescent="0.3">
      <c r="A365" s="2" t="s">
        <v>591</v>
      </c>
      <c r="B365" s="2" t="s">
        <v>269</v>
      </c>
      <c r="C365" s="2" t="s">
        <v>5064</v>
      </c>
      <c r="D365" s="2"/>
    </row>
    <row r="366" spans="1:4" x14ac:dyDescent="0.3">
      <c r="A366" s="2" t="s">
        <v>593</v>
      </c>
      <c r="B366" s="2" t="s">
        <v>269</v>
      </c>
      <c r="C366" s="2" t="s">
        <v>5064</v>
      </c>
      <c r="D366" s="2"/>
    </row>
    <row r="367" spans="1:4" x14ac:dyDescent="0.3">
      <c r="A367" s="2" t="s">
        <v>595</v>
      </c>
      <c r="B367" s="2" t="s">
        <v>269</v>
      </c>
      <c r="C367" s="2" t="s">
        <v>5064</v>
      </c>
      <c r="D367" s="2"/>
    </row>
    <row r="368" spans="1:4" x14ac:dyDescent="0.3">
      <c r="A368" s="2" t="s">
        <v>597</v>
      </c>
      <c r="B368" s="2" t="s">
        <v>269</v>
      </c>
      <c r="C368" s="2" t="s">
        <v>5064</v>
      </c>
      <c r="D368" s="2"/>
    </row>
    <row r="369" spans="1:4" x14ac:dyDescent="0.3">
      <c r="A369" s="2" t="s">
        <v>598</v>
      </c>
      <c r="B369" s="2" t="s">
        <v>269</v>
      </c>
      <c r="C369" s="2" t="s">
        <v>5064</v>
      </c>
      <c r="D369" s="2"/>
    </row>
    <row r="370" spans="1:4" x14ac:dyDescent="0.3">
      <c r="A370" s="2" t="s">
        <v>600</v>
      </c>
      <c r="B370" s="2" t="s">
        <v>269</v>
      </c>
      <c r="C370" s="2" t="s">
        <v>5064</v>
      </c>
      <c r="D370" s="2"/>
    </row>
    <row r="371" spans="1:4" x14ac:dyDescent="0.3">
      <c r="A371" s="2" t="s">
        <v>602</v>
      </c>
      <c r="B371" s="2" t="s">
        <v>269</v>
      </c>
      <c r="C371" s="2" t="s">
        <v>5064</v>
      </c>
      <c r="D371" s="2"/>
    </row>
    <row r="372" spans="1:4" x14ac:dyDescent="0.3">
      <c r="A372" s="2" t="s">
        <v>603</v>
      </c>
      <c r="B372" s="2" t="s">
        <v>269</v>
      </c>
      <c r="C372" s="2" t="s">
        <v>5064</v>
      </c>
      <c r="D372" s="2"/>
    </row>
    <row r="373" spans="1:4" x14ac:dyDescent="0.3">
      <c r="A373" s="2" t="s">
        <v>604</v>
      </c>
      <c r="B373" s="2" t="s">
        <v>269</v>
      </c>
      <c r="C373" s="2" t="s">
        <v>5064</v>
      </c>
      <c r="D373" s="2"/>
    </row>
    <row r="374" spans="1:4" x14ac:dyDescent="0.3">
      <c r="A374" s="2" t="s">
        <v>606</v>
      </c>
      <c r="B374" s="2" t="s">
        <v>269</v>
      </c>
      <c r="C374" s="2" t="s">
        <v>5064</v>
      </c>
      <c r="D374" s="2"/>
    </row>
    <row r="375" spans="1:4" x14ac:dyDescent="0.3">
      <c r="A375" s="2" t="s">
        <v>608</v>
      </c>
      <c r="B375" s="2" t="s">
        <v>269</v>
      </c>
      <c r="C375" s="2" t="s">
        <v>5064</v>
      </c>
      <c r="D375" s="2"/>
    </row>
    <row r="376" spans="1:4" x14ac:dyDescent="0.3">
      <c r="A376" s="2" t="s">
        <v>610</v>
      </c>
      <c r="B376" s="2" t="s">
        <v>269</v>
      </c>
      <c r="C376" s="2" t="s">
        <v>5064</v>
      </c>
      <c r="D376" s="2"/>
    </row>
    <row r="377" spans="1:4" x14ac:dyDescent="0.3">
      <c r="A377" s="2" t="s">
        <v>612</v>
      </c>
      <c r="B377" s="2" t="s">
        <v>269</v>
      </c>
      <c r="C377" s="2" t="s">
        <v>5064</v>
      </c>
      <c r="D377" s="2"/>
    </row>
    <row r="378" spans="1:4" x14ac:dyDescent="0.3">
      <c r="A378" s="2" t="s">
        <v>614</v>
      </c>
      <c r="B378" s="2" t="s">
        <v>269</v>
      </c>
      <c r="C378" s="2" t="s">
        <v>5064</v>
      </c>
      <c r="D378" s="2"/>
    </row>
    <row r="379" spans="1:4" x14ac:dyDescent="0.3">
      <c r="A379" s="2" t="s">
        <v>616</v>
      </c>
      <c r="B379" s="2" t="s">
        <v>269</v>
      </c>
      <c r="C379" s="2" t="s">
        <v>5064</v>
      </c>
      <c r="D379" s="2"/>
    </row>
    <row r="380" spans="1:4" x14ac:dyDescent="0.3">
      <c r="A380" s="2" t="s">
        <v>618</v>
      </c>
      <c r="B380" s="2" t="s">
        <v>269</v>
      </c>
      <c r="C380" s="2" t="s">
        <v>5064</v>
      </c>
      <c r="D380" s="2"/>
    </row>
    <row r="381" spans="1:4" x14ac:dyDescent="0.3">
      <c r="A381" s="2" t="s">
        <v>620</v>
      </c>
      <c r="B381" s="2" t="s">
        <v>269</v>
      </c>
      <c r="C381" s="2" t="s">
        <v>5064</v>
      </c>
      <c r="D381" s="2"/>
    </row>
    <row r="382" spans="1:4" x14ac:dyDescent="0.3">
      <c r="A382" s="2" t="s">
        <v>622</v>
      </c>
      <c r="B382" s="2" t="s">
        <v>269</v>
      </c>
      <c r="C382" s="2" t="s">
        <v>5064</v>
      </c>
      <c r="D382" s="2"/>
    </row>
    <row r="383" spans="1:4" x14ac:dyDescent="0.3">
      <c r="A383" s="2" t="s">
        <v>624</v>
      </c>
      <c r="B383" s="2" t="s">
        <v>269</v>
      </c>
      <c r="C383" s="2" t="s">
        <v>5064</v>
      </c>
      <c r="D383" s="2"/>
    </row>
    <row r="384" spans="1:4" x14ac:dyDescent="0.3">
      <c r="A384" s="2" t="s">
        <v>626</v>
      </c>
      <c r="B384" s="2" t="s">
        <v>269</v>
      </c>
      <c r="C384" s="2" t="s">
        <v>5064</v>
      </c>
      <c r="D384" s="2"/>
    </row>
    <row r="385" spans="1:4" x14ac:dyDescent="0.3">
      <c r="A385" s="2" t="s">
        <v>628</v>
      </c>
      <c r="B385" s="2" t="s">
        <v>269</v>
      </c>
      <c r="C385" s="2" t="s">
        <v>5064</v>
      </c>
      <c r="D385" s="2"/>
    </row>
    <row r="386" spans="1:4" x14ac:dyDescent="0.3">
      <c r="A386" s="2" t="s">
        <v>630</v>
      </c>
      <c r="B386" s="2" t="s">
        <v>269</v>
      </c>
      <c r="C386" s="2" t="s">
        <v>5064</v>
      </c>
      <c r="D386" s="2"/>
    </row>
    <row r="387" spans="1:4" x14ac:dyDescent="0.3">
      <c r="A387" s="2" t="s">
        <v>632</v>
      </c>
      <c r="B387" s="2" t="s">
        <v>269</v>
      </c>
      <c r="C387" s="2" t="s">
        <v>5064</v>
      </c>
      <c r="D387" s="2"/>
    </row>
    <row r="388" spans="1:4" x14ac:dyDescent="0.3">
      <c r="A388" s="2" t="s">
        <v>634</v>
      </c>
      <c r="B388" s="2" t="s">
        <v>269</v>
      </c>
      <c r="C388" s="2" t="s">
        <v>5064</v>
      </c>
      <c r="D388" s="2"/>
    </row>
    <row r="389" spans="1:4" x14ac:dyDescent="0.3">
      <c r="A389" s="2" t="s">
        <v>636</v>
      </c>
      <c r="B389" s="2" t="s">
        <v>269</v>
      </c>
      <c r="C389" s="2" t="s">
        <v>5064</v>
      </c>
      <c r="D389" s="2"/>
    </row>
    <row r="390" spans="1:4" x14ac:dyDescent="0.3">
      <c r="A390" s="2" t="s">
        <v>638</v>
      </c>
      <c r="B390" s="2" t="s">
        <v>269</v>
      </c>
      <c r="C390" s="2" t="s">
        <v>5064</v>
      </c>
      <c r="D390" s="2"/>
    </row>
    <row r="391" spans="1:4" x14ac:dyDescent="0.3">
      <c r="A391" s="2" t="s">
        <v>639</v>
      </c>
      <c r="B391" s="2" t="s">
        <v>269</v>
      </c>
      <c r="C391" s="2" t="s">
        <v>5064</v>
      </c>
      <c r="D391" s="2"/>
    </row>
    <row r="392" spans="1:4" x14ac:dyDescent="0.3">
      <c r="A392" s="2" t="s">
        <v>641</v>
      </c>
      <c r="B392" s="2" t="s">
        <v>269</v>
      </c>
      <c r="C392" s="2" t="s">
        <v>5064</v>
      </c>
      <c r="D392" s="2"/>
    </row>
    <row r="393" spans="1:4" x14ac:dyDescent="0.3">
      <c r="A393" s="2" t="s">
        <v>643</v>
      </c>
      <c r="B393" s="2" t="s">
        <v>269</v>
      </c>
      <c r="C393" s="2" t="s">
        <v>5064</v>
      </c>
      <c r="D393" s="2"/>
    </row>
    <row r="394" spans="1:4" x14ac:dyDescent="0.3">
      <c r="A394" s="2" t="s">
        <v>645</v>
      </c>
      <c r="B394" s="2" t="s">
        <v>269</v>
      </c>
      <c r="C394" s="2" t="s">
        <v>5064</v>
      </c>
      <c r="D394" s="2"/>
    </row>
    <row r="395" spans="1:4" x14ac:dyDescent="0.3">
      <c r="A395" s="2" t="s">
        <v>647</v>
      </c>
      <c r="B395" s="2" t="s">
        <v>269</v>
      </c>
      <c r="C395" s="2" t="s">
        <v>5064</v>
      </c>
      <c r="D395" s="2"/>
    </row>
    <row r="396" spans="1:4" x14ac:dyDescent="0.3">
      <c r="A396" s="2" t="s">
        <v>649</v>
      </c>
      <c r="B396" s="2" t="s">
        <v>269</v>
      </c>
      <c r="C396" s="2" t="s">
        <v>5064</v>
      </c>
      <c r="D396" s="2"/>
    </row>
    <row r="397" spans="1:4" x14ac:dyDescent="0.3">
      <c r="A397" s="2" t="s">
        <v>651</v>
      </c>
      <c r="B397" s="2" t="s">
        <v>269</v>
      </c>
      <c r="C397" s="2" t="s">
        <v>5064</v>
      </c>
      <c r="D397" s="2"/>
    </row>
    <row r="398" spans="1:4" x14ac:dyDescent="0.3">
      <c r="A398" s="2" t="s">
        <v>653</v>
      </c>
      <c r="B398" s="2" t="s">
        <v>269</v>
      </c>
      <c r="C398" s="2" t="s">
        <v>5064</v>
      </c>
      <c r="D398" s="2"/>
    </row>
    <row r="399" spans="1:4" x14ac:dyDescent="0.3">
      <c r="A399" s="2" t="s">
        <v>655</v>
      </c>
      <c r="B399" s="2" t="s">
        <v>269</v>
      </c>
      <c r="C399" s="2" t="s">
        <v>5064</v>
      </c>
      <c r="D399" s="2"/>
    </row>
    <row r="400" spans="1:4" x14ac:dyDescent="0.3">
      <c r="A400" s="2" t="s">
        <v>656</v>
      </c>
      <c r="B400" s="2" t="s">
        <v>269</v>
      </c>
      <c r="C400" s="2" t="s">
        <v>5064</v>
      </c>
      <c r="D400" s="2"/>
    </row>
    <row r="401" spans="1:4" x14ac:dyDescent="0.3">
      <c r="A401" s="2" t="s">
        <v>658</v>
      </c>
      <c r="B401" s="2" t="s">
        <v>269</v>
      </c>
      <c r="C401" s="2" t="s">
        <v>5064</v>
      </c>
      <c r="D401" s="2"/>
    </row>
    <row r="402" spans="1:4" x14ac:dyDescent="0.3">
      <c r="A402" s="2" t="s">
        <v>660</v>
      </c>
      <c r="B402" s="2" t="s">
        <v>269</v>
      </c>
      <c r="C402" s="2" t="s">
        <v>5064</v>
      </c>
      <c r="D402" s="2"/>
    </row>
    <row r="403" spans="1:4" x14ac:dyDescent="0.3">
      <c r="A403" s="2" t="s">
        <v>662</v>
      </c>
      <c r="B403" s="2" t="s">
        <v>269</v>
      </c>
      <c r="C403" s="2" t="s">
        <v>5064</v>
      </c>
      <c r="D403" s="2"/>
    </row>
    <row r="404" spans="1:4" x14ac:dyDescent="0.3">
      <c r="A404" s="2" t="s">
        <v>664</v>
      </c>
      <c r="B404" s="2" t="s">
        <v>269</v>
      </c>
      <c r="C404" s="2" t="s">
        <v>5064</v>
      </c>
      <c r="D404" s="2"/>
    </row>
    <row r="405" spans="1:4" x14ac:dyDescent="0.3">
      <c r="A405" s="2" t="s">
        <v>666</v>
      </c>
      <c r="B405" s="2" t="s">
        <v>269</v>
      </c>
      <c r="C405" s="2" t="s">
        <v>5064</v>
      </c>
      <c r="D405" s="2"/>
    </row>
    <row r="406" spans="1:4" x14ac:dyDescent="0.3">
      <c r="A406" s="2" t="s">
        <v>668</v>
      </c>
      <c r="B406" s="2" t="s">
        <v>269</v>
      </c>
      <c r="C406" s="2" t="s">
        <v>5064</v>
      </c>
      <c r="D406" s="2"/>
    </row>
    <row r="407" spans="1:4" x14ac:dyDescent="0.3">
      <c r="A407" s="2" t="s">
        <v>670</v>
      </c>
      <c r="B407" s="2" t="s">
        <v>269</v>
      </c>
      <c r="C407" s="2" t="s">
        <v>5064</v>
      </c>
      <c r="D407" s="2"/>
    </row>
    <row r="408" spans="1:4" x14ac:dyDescent="0.3">
      <c r="A408" s="2" t="s">
        <v>672</v>
      </c>
      <c r="B408" s="2" t="s">
        <v>269</v>
      </c>
      <c r="C408" s="2" t="s">
        <v>5064</v>
      </c>
      <c r="D408" s="2"/>
    </row>
    <row r="409" spans="1:4" x14ac:dyDescent="0.3">
      <c r="A409" s="2" t="s">
        <v>673</v>
      </c>
      <c r="B409" s="2" t="s">
        <v>269</v>
      </c>
      <c r="C409" s="2" t="s">
        <v>5064</v>
      </c>
      <c r="D409" s="2"/>
    </row>
    <row r="410" spans="1:4" x14ac:dyDescent="0.3">
      <c r="A410" s="2" t="s">
        <v>675</v>
      </c>
      <c r="B410" s="2" t="s">
        <v>269</v>
      </c>
      <c r="C410" s="2" t="s">
        <v>5064</v>
      </c>
      <c r="D410" s="2"/>
    </row>
    <row r="411" spans="1:4" x14ac:dyDescent="0.3">
      <c r="A411" s="2" t="s">
        <v>677</v>
      </c>
      <c r="B411" s="2" t="s">
        <v>269</v>
      </c>
      <c r="C411" s="2" t="s">
        <v>5064</v>
      </c>
      <c r="D411" s="2"/>
    </row>
    <row r="412" spans="1:4" x14ac:dyDescent="0.3">
      <c r="A412" s="2" t="s">
        <v>679</v>
      </c>
      <c r="B412" s="2" t="s">
        <v>269</v>
      </c>
      <c r="C412" s="2" t="s">
        <v>5064</v>
      </c>
      <c r="D412" s="2"/>
    </row>
    <row r="413" spans="1:4" x14ac:dyDescent="0.3">
      <c r="A413" s="2" t="s">
        <v>681</v>
      </c>
      <c r="B413" s="2" t="s">
        <v>269</v>
      </c>
      <c r="C413" s="2" t="s">
        <v>5064</v>
      </c>
      <c r="D413" s="2"/>
    </row>
    <row r="414" spans="1:4" x14ac:dyDescent="0.3">
      <c r="A414" s="2" t="s">
        <v>683</v>
      </c>
      <c r="B414" s="2" t="s">
        <v>269</v>
      </c>
      <c r="C414" s="2" t="s">
        <v>5064</v>
      </c>
      <c r="D414" s="2"/>
    </row>
    <row r="415" spans="1:4" x14ac:dyDescent="0.3">
      <c r="A415" s="2" t="s">
        <v>685</v>
      </c>
      <c r="B415" s="2" t="s">
        <v>269</v>
      </c>
      <c r="C415" s="2" t="s">
        <v>5064</v>
      </c>
      <c r="D415" s="2"/>
    </row>
    <row r="416" spans="1:4" x14ac:dyDescent="0.3">
      <c r="A416" s="2" t="s">
        <v>687</v>
      </c>
      <c r="B416" s="2" t="s">
        <v>269</v>
      </c>
      <c r="C416" s="2" t="s">
        <v>5064</v>
      </c>
      <c r="D416" s="2"/>
    </row>
    <row r="417" spans="1:4" x14ac:dyDescent="0.3">
      <c r="A417" s="2" t="s">
        <v>689</v>
      </c>
      <c r="B417" s="2" t="s">
        <v>269</v>
      </c>
      <c r="C417" s="2" t="s">
        <v>5064</v>
      </c>
      <c r="D417" s="2"/>
    </row>
    <row r="418" spans="1:4" x14ac:dyDescent="0.3">
      <c r="A418" s="2" t="s">
        <v>691</v>
      </c>
      <c r="B418" s="2" t="s">
        <v>269</v>
      </c>
      <c r="C418" s="2" t="s">
        <v>5064</v>
      </c>
      <c r="D418" s="2"/>
    </row>
    <row r="419" spans="1:4" x14ac:dyDescent="0.3">
      <c r="A419" s="2" t="s">
        <v>693</v>
      </c>
      <c r="B419" s="2" t="s">
        <v>269</v>
      </c>
      <c r="C419" s="2" t="s">
        <v>5064</v>
      </c>
      <c r="D419" s="2"/>
    </row>
    <row r="420" spans="1:4" x14ac:dyDescent="0.3">
      <c r="A420" s="2" t="s">
        <v>695</v>
      </c>
      <c r="B420" s="2" t="s">
        <v>269</v>
      </c>
      <c r="C420" s="2" t="s">
        <v>5064</v>
      </c>
      <c r="D420" s="2"/>
    </row>
    <row r="421" spans="1:4" x14ac:dyDescent="0.3">
      <c r="A421" s="2" t="s">
        <v>697</v>
      </c>
      <c r="B421" s="2" t="s">
        <v>269</v>
      </c>
      <c r="C421" s="2" t="s">
        <v>5064</v>
      </c>
      <c r="D421" s="2"/>
    </row>
    <row r="422" spans="1:4" x14ac:dyDescent="0.3">
      <c r="A422" s="2" t="s">
        <v>699</v>
      </c>
      <c r="B422" s="2" t="s">
        <v>269</v>
      </c>
      <c r="C422" s="2" t="s">
        <v>5064</v>
      </c>
      <c r="D422" s="2"/>
    </row>
    <row r="423" spans="1:4" x14ac:dyDescent="0.3">
      <c r="A423" s="2" t="s">
        <v>701</v>
      </c>
      <c r="B423" s="2" t="s">
        <v>269</v>
      </c>
      <c r="C423" s="2" t="s">
        <v>5064</v>
      </c>
      <c r="D423" s="2"/>
    </row>
    <row r="424" spans="1:4" x14ac:dyDescent="0.3">
      <c r="A424" s="2" t="s">
        <v>703</v>
      </c>
      <c r="B424" s="2" t="s">
        <v>269</v>
      </c>
      <c r="C424" s="2" t="s">
        <v>5064</v>
      </c>
      <c r="D424" s="2"/>
    </row>
    <row r="425" spans="1:4" x14ac:dyDescent="0.3">
      <c r="A425" s="2" t="s">
        <v>704</v>
      </c>
      <c r="B425" s="2" t="s">
        <v>269</v>
      </c>
      <c r="C425" s="2" t="s">
        <v>5064</v>
      </c>
      <c r="D425" s="2"/>
    </row>
    <row r="426" spans="1:4" x14ac:dyDescent="0.3">
      <c r="A426" s="2" t="s">
        <v>706</v>
      </c>
      <c r="B426" s="2" t="s">
        <v>269</v>
      </c>
      <c r="C426" s="2" t="s">
        <v>5064</v>
      </c>
      <c r="D426" s="2"/>
    </row>
    <row r="427" spans="1:4" x14ac:dyDescent="0.3">
      <c r="A427" s="2" t="s">
        <v>707</v>
      </c>
      <c r="B427" s="2" t="s">
        <v>269</v>
      </c>
      <c r="C427" s="2" t="s">
        <v>5064</v>
      </c>
      <c r="D427" s="2"/>
    </row>
    <row r="428" spans="1:4" x14ac:dyDescent="0.3">
      <c r="A428" s="2" t="s">
        <v>709</v>
      </c>
      <c r="B428" s="2" t="s">
        <v>269</v>
      </c>
      <c r="C428" s="2" t="s">
        <v>5064</v>
      </c>
      <c r="D428" s="2"/>
    </row>
    <row r="429" spans="1:4" x14ac:dyDescent="0.3">
      <c r="A429" s="2" t="s">
        <v>711</v>
      </c>
      <c r="B429" s="2" t="s">
        <v>269</v>
      </c>
      <c r="C429" s="2" t="s">
        <v>5064</v>
      </c>
      <c r="D429" s="2"/>
    </row>
    <row r="430" spans="1:4" x14ac:dyDescent="0.3">
      <c r="A430" s="2" t="s">
        <v>713</v>
      </c>
      <c r="B430" s="2" t="s">
        <v>269</v>
      </c>
      <c r="C430" s="2" t="s">
        <v>5064</v>
      </c>
      <c r="D430" s="2"/>
    </row>
    <row r="431" spans="1:4" x14ac:dyDescent="0.3">
      <c r="A431" s="2" t="s">
        <v>714</v>
      </c>
      <c r="B431" s="2" t="s">
        <v>269</v>
      </c>
      <c r="C431" s="2" t="s">
        <v>5064</v>
      </c>
      <c r="D431" s="2"/>
    </row>
    <row r="432" spans="1:4" x14ac:dyDescent="0.3">
      <c r="A432" s="2" t="s">
        <v>716</v>
      </c>
      <c r="B432" s="2" t="s">
        <v>269</v>
      </c>
      <c r="C432" s="2" t="s">
        <v>5064</v>
      </c>
      <c r="D432" s="2"/>
    </row>
    <row r="433" spans="1:4" x14ac:dyDescent="0.3">
      <c r="A433" s="2" t="s">
        <v>718</v>
      </c>
      <c r="B433" s="2" t="s">
        <v>269</v>
      </c>
      <c r="C433" s="2" t="s">
        <v>5064</v>
      </c>
      <c r="D433" s="2"/>
    </row>
    <row r="434" spans="1:4" x14ac:dyDescent="0.3">
      <c r="A434" s="2" t="s">
        <v>720</v>
      </c>
      <c r="B434" s="2" t="s">
        <v>269</v>
      </c>
      <c r="C434" s="2" t="s">
        <v>5064</v>
      </c>
      <c r="D434" s="2"/>
    </row>
    <row r="435" spans="1:4" x14ac:dyDescent="0.3">
      <c r="A435" s="2" t="s">
        <v>722</v>
      </c>
      <c r="B435" s="2" t="s">
        <v>269</v>
      </c>
      <c r="C435" s="2" t="s">
        <v>5064</v>
      </c>
      <c r="D435" s="2"/>
    </row>
    <row r="436" spans="1:4" x14ac:dyDescent="0.3">
      <c r="A436" s="2" t="s">
        <v>724</v>
      </c>
      <c r="B436" s="2" t="s">
        <v>269</v>
      </c>
      <c r="C436" s="2" t="s">
        <v>5064</v>
      </c>
      <c r="D436" s="2"/>
    </row>
    <row r="437" spans="1:4" x14ac:dyDescent="0.3">
      <c r="A437" s="2" t="s">
        <v>726</v>
      </c>
      <c r="B437" s="2" t="s">
        <v>269</v>
      </c>
      <c r="C437" s="2" t="s">
        <v>5064</v>
      </c>
      <c r="D437" s="2"/>
    </row>
    <row r="438" spans="1:4" x14ac:dyDescent="0.3">
      <c r="A438" s="2" t="s">
        <v>728</v>
      </c>
      <c r="B438" s="2" t="s">
        <v>269</v>
      </c>
      <c r="C438" s="2" t="s">
        <v>5064</v>
      </c>
      <c r="D438" s="2"/>
    </row>
    <row r="439" spans="1:4" x14ac:dyDescent="0.3">
      <c r="A439" s="2" t="s">
        <v>730</v>
      </c>
      <c r="B439" s="2" t="s">
        <v>269</v>
      </c>
      <c r="C439" s="2" t="s">
        <v>5064</v>
      </c>
      <c r="D439" s="2"/>
    </row>
    <row r="440" spans="1:4" x14ac:dyDescent="0.3">
      <c r="A440" s="2" t="s">
        <v>732</v>
      </c>
      <c r="B440" s="2" t="s">
        <v>269</v>
      </c>
      <c r="C440" s="2" t="s">
        <v>5064</v>
      </c>
      <c r="D440" s="2"/>
    </row>
    <row r="441" spans="1:4" x14ac:dyDescent="0.3">
      <c r="A441" s="2" t="s">
        <v>733</v>
      </c>
      <c r="B441" s="2" t="s">
        <v>269</v>
      </c>
      <c r="C441" s="2" t="s">
        <v>5064</v>
      </c>
      <c r="D441" s="2"/>
    </row>
    <row r="442" spans="1:4" x14ac:dyDescent="0.3">
      <c r="A442" s="2" t="s">
        <v>735</v>
      </c>
      <c r="B442" s="2" t="s">
        <v>269</v>
      </c>
      <c r="C442" s="2" t="s">
        <v>5064</v>
      </c>
      <c r="D442" s="2"/>
    </row>
    <row r="443" spans="1:4" x14ac:dyDescent="0.3">
      <c r="A443" s="2" t="s">
        <v>737</v>
      </c>
      <c r="B443" s="2" t="s">
        <v>269</v>
      </c>
      <c r="C443" s="2" t="s">
        <v>5064</v>
      </c>
      <c r="D443" s="2"/>
    </row>
    <row r="444" spans="1:4" x14ac:dyDescent="0.3">
      <c r="A444" s="2" t="s">
        <v>739</v>
      </c>
      <c r="B444" s="2" t="s">
        <v>269</v>
      </c>
      <c r="C444" s="2" t="s">
        <v>5064</v>
      </c>
      <c r="D444" s="2"/>
    </row>
    <row r="445" spans="1:4" x14ac:dyDescent="0.3">
      <c r="A445" s="2" t="s">
        <v>741</v>
      </c>
      <c r="B445" s="2" t="s">
        <v>269</v>
      </c>
      <c r="C445" s="2" t="s">
        <v>5064</v>
      </c>
      <c r="D445" s="2"/>
    </row>
    <row r="446" spans="1:4" x14ac:dyDescent="0.3">
      <c r="A446" s="2" t="s">
        <v>743</v>
      </c>
      <c r="B446" s="2" t="s">
        <v>269</v>
      </c>
      <c r="C446" s="2" t="s">
        <v>5064</v>
      </c>
      <c r="D446" s="2"/>
    </row>
    <row r="447" spans="1:4" x14ac:dyDescent="0.3">
      <c r="A447" s="2" t="s">
        <v>744</v>
      </c>
      <c r="B447" s="2" t="s">
        <v>269</v>
      </c>
      <c r="C447" s="2" t="s">
        <v>5064</v>
      </c>
      <c r="D447" s="2"/>
    </row>
    <row r="448" spans="1:4" x14ac:dyDescent="0.3">
      <c r="A448" s="2" t="s">
        <v>746</v>
      </c>
      <c r="B448" s="2" t="s">
        <v>269</v>
      </c>
      <c r="C448" s="2" t="s">
        <v>5064</v>
      </c>
      <c r="D448" s="2"/>
    </row>
    <row r="449" spans="1:4" x14ac:dyDescent="0.3">
      <c r="A449" s="2" t="s">
        <v>748</v>
      </c>
      <c r="B449" s="2" t="s">
        <v>269</v>
      </c>
      <c r="C449" s="2" t="s">
        <v>5064</v>
      </c>
      <c r="D449" s="2"/>
    </row>
    <row r="450" spans="1:4" x14ac:dyDescent="0.3">
      <c r="A450" s="2" t="s">
        <v>750</v>
      </c>
      <c r="B450" s="2" t="s">
        <v>269</v>
      </c>
      <c r="C450" s="2" t="s">
        <v>5064</v>
      </c>
      <c r="D450" s="2"/>
    </row>
    <row r="451" spans="1:4" x14ac:dyDescent="0.3">
      <c r="A451" s="2" t="s">
        <v>752</v>
      </c>
      <c r="B451" s="2" t="s">
        <v>269</v>
      </c>
      <c r="C451" s="2" t="s">
        <v>5064</v>
      </c>
      <c r="D451" s="2"/>
    </row>
    <row r="452" spans="1:4" x14ac:dyDescent="0.3">
      <c r="A452" s="2" t="s">
        <v>754</v>
      </c>
      <c r="B452" s="2" t="s">
        <v>269</v>
      </c>
      <c r="C452" s="2" t="s">
        <v>5064</v>
      </c>
      <c r="D452" s="2"/>
    </row>
    <row r="453" spans="1:4" x14ac:dyDescent="0.3">
      <c r="A453" s="2" t="s">
        <v>756</v>
      </c>
      <c r="B453" s="2" t="s">
        <v>269</v>
      </c>
      <c r="C453" s="2" t="s">
        <v>5064</v>
      </c>
      <c r="D453" s="2"/>
    </row>
    <row r="454" spans="1:4" x14ac:dyDescent="0.3">
      <c r="A454" s="2" t="s">
        <v>757</v>
      </c>
      <c r="B454" s="2" t="s">
        <v>269</v>
      </c>
      <c r="C454" s="2" t="s">
        <v>5064</v>
      </c>
      <c r="D454" s="2"/>
    </row>
    <row r="455" spans="1:4" x14ac:dyDescent="0.3">
      <c r="A455" s="2" t="s">
        <v>758</v>
      </c>
      <c r="B455" s="2" t="s">
        <v>269</v>
      </c>
      <c r="C455" s="2" t="s">
        <v>5064</v>
      </c>
      <c r="D455" s="2"/>
    </row>
    <row r="456" spans="1:4" x14ac:dyDescent="0.3">
      <c r="A456" s="2" t="s">
        <v>759</v>
      </c>
      <c r="B456" s="2" t="s">
        <v>269</v>
      </c>
      <c r="C456" s="2" t="s">
        <v>5064</v>
      </c>
      <c r="D456" s="2"/>
    </row>
    <row r="457" spans="1:4" x14ac:dyDescent="0.3">
      <c r="A457" s="2" t="s">
        <v>761</v>
      </c>
      <c r="B457" s="2" t="s">
        <v>269</v>
      </c>
      <c r="C457" s="2" t="s">
        <v>5064</v>
      </c>
      <c r="D457" s="2"/>
    </row>
    <row r="458" spans="1:4" x14ac:dyDescent="0.3">
      <c r="A458" s="2" t="s">
        <v>763</v>
      </c>
      <c r="B458" s="2" t="s">
        <v>269</v>
      </c>
      <c r="C458" s="2" t="s">
        <v>5064</v>
      </c>
      <c r="D458" s="2"/>
    </row>
    <row r="459" spans="1:4" x14ac:dyDescent="0.3">
      <c r="A459" s="2" t="s">
        <v>765</v>
      </c>
      <c r="B459" s="2" t="s">
        <v>269</v>
      </c>
      <c r="C459" s="2" t="s">
        <v>5064</v>
      </c>
      <c r="D459" s="2"/>
    </row>
    <row r="460" spans="1:4" x14ac:dyDescent="0.3">
      <c r="A460" s="2" t="s">
        <v>767</v>
      </c>
      <c r="B460" s="2" t="s">
        <v>269</v>
      </c>
      <c r="C460" s="2" t="s">
        <v>5064</v>
      </c>
      <c r="D460" s="2"/>
    </row>
    <row r="461" spans="1:4" x14ac:dyDescent="0.3">
      <c r="A461" s="2" t="s">
        <v>769</v>
      </c>
      <c r="B461" s="2" t="s">
        <v>269</v>
      </c>
      <c r="C461" s="2" t="s">
        <v>5064</v>
      </c>
      <c r="D461" s="2"/>
    </row>
    <row r="462" spans="1:4" x14ac:dyDescent="0.3">
      <c r="A462" s="2" t="s">
        <v>771</v>
      </c>
      <c r="B462" s="2" t="s">
        <v>269</v>
      </c>
      <c r="C462" s="2" t="s">
        <v>5064</v>
      </c>
      <c r="D462" s="2"/>
    </row>
    <row r="463" spans="1:4" x14ac:dyDescent="0.3">
      <c r="A463" s="2" t="s">
        <v>773</v>
      </c>
      <c r="B463" s="2" t="s">
        <v>269</v>
      </c>
      <c r="C463" s="2" t="s">
        <v>5064</v>
      </c>
      <c r="D463" s="2"/>
    </row>
    <row r="464" spans="1:4" x14ac:dyDescent="0.3">
      <c r="A464" s="2" t="s">
        <v>775</v>
      </c>
      <c r="B464" s="2" t="s">
        <v>269</v>
      </c>
      <c r="C464" s="2" t="s">
        <v>5064</v>
      </c>
      <c r="D464" s="2"/>
    </row>
    <row r="465" spans="1:4" x14ac:dyDescent="0.3">
      <c r="A465" s="2" t="s">
        <v>777</v>
      </c>
      <c r="B465" s="2" t="s">
        <v>269</v>
      </c>
      <c r="C465" s="2" t="s">
        <v>5064</v>
      </c>
      <c r="D465" s="2"/>
    </row>
    <row r="466" spans="1:4" x14ac:dyDescent="0.3">
      <c r="A466" s="2" t="s">
        <v>779</v>
      </c>
      <c r="B466" s="2" t="s">
        <v>269</v>
      </c>
      <c r="C466" s="2" t="s">
        <v>5064</v>
      </c>
      <c r="D466" s="2"/>
    </row>
    <row r="467" spans="1:4" x14ac:dyDescent="0.3">
      <c r="A467" s="2" t="s">
        <v>781</v>
      </c>
      <c r="B467" s="2" t="s">
        <v>269</v>
      </c>
      <c r="C467" s="2" t="s">
        <v>5064</v>
      </c>
      <c r="D467" s="2"/>
    </row>
    <row r="468" spans="1:4" x14ac:dyDescent="0.3">
      <c r="A468" s="2" t="s">
        <v>783</v>
      </c>
      <c r="B468" s="2" t="s">
        <v>269</v>
      </c>
      <c r="C468" s="2" t="s">
        <v>5064</v>
      </c>
      <c r="D468" s="2"/>
    </row>
    <row r="469" spans="1:4" x14ac:dyDescent="0.3">
      <c r="A469" s="2" t="s">
        <v>785</v>
      </c>
      <c r="B469" s="2" t="s">
        <v>269</v>
      </c>
      <c r="C469" s="2" t="s">
        <v>5064</v>
      </c>
      <c r="D469" s="2"/>
    </row>
    <row r="470" spans="1:4" x14ac:dyDescent="0.3">
      <c r="A470" s="2" t="s">
        <v>787</v>
      </c>
      <c r="B470" s="2" t="s">
        <v>269</v>
      </c>
      <c r="C470" s="2" t="s">
        <v>5064</v>
      </c>
      <c r="D470" s="2"/>
    </row>
    <row r="471" spans="1:4" x14ac:dyDescent="0.3">
      <c r="A471" s="2" t="s">
        <v>789</v>
      </c>
      <c r="B471" s="2" t="s">
        <v>269</v>
      </c>
      <c r="C471" s="2" t="s">
        <v>5064</v>
      </c>
      <c r="D471" s="2"/>
    </row>
    <row r="472" spans="1:4" x14ac:dyDescent="0.3">
      <c r="A472" s="2" t="s">
        <v>791</v>
      </c>
      <c r="B472" s="2" t="s">
        <v>269</v>
      </c>
      <c r="C472" s="2" t="s">
        <v>5064</v>
      </c>
      <c r="D472" s="2"/>
    </row>
    <row r="473" spans="1:4" x14ac:dyDescent="0.3">
      <c r="A473" s="2" t="s">
        <v>793</v>
      </c>
      <c r="B473" s="2" t="s">
        <v>269</v>
      </c>
      <c r="C473" s="2" t="s">
        <v>5064</v>
      </c>
      <c r="D473" s="2"/>
    </row>
    <row r="474" spans="1:4" x14ac:dyDescent="0.3">
      <c r="A474" s="2" t="s">
        <v>795</v>
      </c>
      <c r="B474" s="2" t="s">
        <v>269</v>
      </c>
      <c r="C474" s="2" t="s">
        <v>5064</v>
      </c>
      <c r="D474" s="2"/>
    </row>
    <row r="475" spans="1:4" x14ac:dyDescent="0.3">
      <c r="A475" s="2" t="s">
        <v>797</v>
      </c>
      <c r="B475" s="2" t="s">
        <v>269</v>
      </c>
      <c r="C475" s="2" t="s">
        <v>5064</v>
      </c>
      <c r="D475" s="2"/>
    </row>
    <row r="476" spans="1:4" x14ac:dyDescent="0.3">
      <c r="A476" s="2" t="s">
        <v>799</v>
      </c>
      <c r="B476" s="2" t="s">
        <v>269</v>
      </c>
      <c r="C476" s="2" t="s">
        <v>5064</v>
      </c>
      <c r="D476" s="2"/>
    </row>
    <row r="477" spans="1:4" x14ac:dyDescent="0.3">
      <c r="A477" s="2" t="s">
        <v>800</v>
      </c>
      <c r="B477" s="2" t="s">
        <v>269</v>
      </c>
      <c r="C477" s="2" t="s">
        <v>5064</v>
      </c>
      <c r="D477" s="2"/>
    </row>
    <row r="478" spans="1:4" x14ac:dyDescent="0.3">
      <c r="A478" s="2" t="s">
        <v>802</v>
      </c>
      <c r="B478" s="2" t="s">
        <v>269</v>
      </c>
      <c r="C478" s="2" t="s">
        <v>5064</v>
      </c>
      <c r="D478" s="2"/>
    </row>
    <row r="479" spans="1:4" x14ac:dyDescent="0.3">
      <c r="A479" s="2" t="s">
        <v>803</v>
      </c>
      <c r="B479" s="2" t="s">
        <v>269</v>
      </c>
      <c r="C479" s="2" t="s">
        <v>5064</v>
      </c>
      <c r="D479" s="2"/>
    </row>
    <row r="480" spans="1:4" x14ac:dyDescent="0.3">
      <c r="A480" s="2" t="s">
        <v>805</v>
      </c>
      <c r="B480" s="2" t="s">
        <v>269</v>
      </c>
      <c r="C480" s="2" t="s">
        <v>5064</v>
      </c>
      <c r="D480" s="2"/>
    </row>
    <row r="481" spans="1:4" x14ac:dyDescent="0.3">
      <c r="A481" s="2" t="s">
        <v>807</v>
      </c>
      <c r="B481" s="2" t="s">
        <v>269</v>
      </c>
      <c r="C481" s="2" t="s">
        <v>5064</v>
      </c>
      <c r="D481" s="2"/>
    </row>
    <row r="482" spans="1:4" x14ac:dyDescent="0.3">
      <c r="A482" s="2" t="s">
        <v>809</v>
      </c>
      <c r="B482" s="2" t="s">
        <v>269</v>
      </c>
      <c r="C482" s="2" t="s">
        <v>5064</v>
      </c>
      <c r="D482" s="2"/>
    </row>
    <row r="483" spans="1:4" x14ac:dyDescent="0.3">
      <c r="A483" s="2" t="s">
        <v>811</v>
      </c>
      <c r="B483" s="2" t="s">
        <v>269</v>
      </c>
      <c r="C483" s="2" t="s">
        <v>5064</v>
      </c>
      <c r="D483" s="2"/>
    </row>
    <row r="484" spans="1:4" x14ac:dyDescent="0.3">
      <c r="A484" s="2" t="s">
        <v>813</v>
      </c>
      <c r="B484" s="2" t="s">
        <v>269</v>
      </c>
      <c r="C484" s="2" t="s">
        <v>5064</v>
      </c>
      <c r="D484" s="2"/>
    </row>
    <row r="485" spans="1:4" x14ac:dyDescent="0.3">
      <c r="A485" s="2" t="s">
        <v>815</v>
      </c>
      <c r="B485" s="2" t="s">
        <v>269</v>
      </c>
      <c r="C485" s="2" t="s">
        <v>5064</v>
      </c>
      <c r="D485" s="2"/>
    </row>
    <row r="486" spans="1:4" x14ac:dyDescent="0.3">
      <c r="A486" s="2" t="s">
        <v>817</v>
      </c>
      <c r="B486" s="2" t="s">
        <v>269</v>
      </c>
      <c r="C486" s="2" t="s">
        <v>5064</v>
      </c>
      <c r="D486" s="2"/>
    </row>
    <row r="487" spans="1:4" x14ac:dyDescent="0.3">
      <c r="A487" s="2" t="s">
        <v>819</v>
      </c>
      <c r="B487" s="2" t="s">
        <v>269</v>
      </c>
      <c r="C487" s="2" t="s">
        <v>5064</v>
      </c>
      <c r="D487" s="2"/>
    </row>
    <row r="488" spans="1:4" x14ac:dyDescent="0.3">
      <c r="A488" s="2" t="s">
        <v>821</v>
      </c>
      <c r="B488" s="2" t="s">
        <v>269</v>
      </c>
      <c r="C488" s="2" t="s">
        <v>5064</v>
      </c>
      <c r="D488" s="2"/>
    </row>
    <row r="489" spans="1:4" x14ac:dyDescent="0.3">
      <c r="A489" s="2" t="s">
        <v>823</v>
      </c>
      <c r="B489" s="2" t="s">
        <v>269</v>
      </c>
      <c r="C489" s="2" t="s">
        <v>5064</v>
      </c>
      <c r="D489" s="2"/>
    </row>
    <row r="490" spans="1:4" x14ac:dyDescent="0.3">
      <c r="A490" s="2" t="s">
        <v>825</v>
      </c>
      <c r="B490" s="2" t="s">
        <v>269</v>
      </c>
      <c r="C490" s="2" t="s">
        <v>5064</v>
      </c>
      <c r="D490" s="2"/>
    </row>
    <row r="491" spans="1:4" x14ac:dyDescent="0.3">
      <c r="A491" s="2" t="s">
        <v>826</v>
      </c>
      <c r="B491" s="2" t="s">
        <v>269</v>
      </c>
      <c r="C491" s="2" t="s">
        <v>5064</v>
      </c>
      <c r="D491" s="2"/>
    </row>
    <row r="492" spans="1:4" x14ac:dyDescent="0.3">
      <c r="A492" s="2" t="s">
        <v>828</v>
      </c>
      <c r="B492" s="2" t="s">
        <v>269</v>
      </c>
      <c r="C492" s="2" t="s">
        <v>5064</v>
      </c>
      <c r="D492" s="2"/>
    </row>
    <row r="493" spans="1:4" x14ac:dyDescent="0.3">
      <c r="A493" s="2" t="s">
        <v>830</v>
      </c>
      <c r="B493" s="2" t="s">
        <v>269</v>
      </c>
      <c r="C493" s="2" t="s">
        <v>5064</v>
      </c>
      <c r="D493" s="2"/>
    </row>
    <row r="494" spans="1:4" x14ac:dyDescent="0.3">
      <c r="A494" s="2" t="s">
        <v>831</v>
      </c>
      <c r="B494" s="2" t="s">
        <v>269</v>
      </c>
      <c r="C494" s="2" t="s">
        <v>5064</v>
      </c>
      <c r="D494" s="2"/>
    </row>
    <row r="495" spans="1:4" x14ac:dyDescent="0.3">
      <c r="A495" s="2" t="s">
        <v>833</v>
      </c>
      <c r="B495" s="2" t="s">
        <v>269</v>
      </c>
      <c r="C495" s="2" t="s">
        <v>5064</v>
      </c>
      <c r="D495" s="2"/>
    </row>
    <row r="496" spans="1:4" x14ac:dyDescent="0.3">
      <c r="A496" s="2" t="s">
        <v>835</v>
      </c>
      <c r="B496" s="2" t="s">
        <v>269</v>
      </c>
      <c r="C496" s="2" t="s">
        <v>5064</v>
      </c>
      <c r="D496" s="2"/>
    </row>
    <row r="497" spans="1:4" x14ac:dyDescent="0.3">
      <c r="A497" s="2" t="s">
        <v>837</v>
      </c>
      <c r="B497" s="2" t="s">
        <v>269</v>
      </c>
      <c r="C497" s="2" t="s">
        <v>5064</v>
      </c>
      <c r="D497" s="2"/>
    </row>
    <row r="498" spans="1:4" x14ac:dyDescent="0.3">
      <c r="A498" s="2" t="s">
        <v>839</v>
      </c>
      <c r="B498" s="2" t="s">
        <v>269</v>
      </c>
      <c r="C498" s="2" t="s">
        <v>5064</v>
      </c>
      <c r="D498" s="2"/>
    </row>
    <row r="499" spans="1:4" x14ac:dyDescent="0.3">
      <c r="A499" s="2" t="s">
        <v>840</v>
      </c>
      <c r="B499" s="2" t="s">
        <v>269</v>
      </c>
      <c r="C499" s="2" t="s">
        <v>5064</v>
      </c>
      <c r="D499" s="2"/>
    </row>
    <row r="500" spans="1:4" x14ac:dyDescent="0.3">
      <c r="A500" s="2" t="s">
        <v>842</v>
      </c>
      <c r="B500" s="2" t="s">
        <v>269</v>
      </c>
      <c r="C500" s="2" t="s">
        <v>5064</v>
      </c>
      <c r="D500" s="2"/>
    </row>
    <row r="501" spans="1:4" x14ac:dyDescent="0.3">
      <c r="A501" s="2" t="s">
        <v>844</v>
      </c>
      <c r="B501" s="2" t="s">
        <v>269</v>
      </c>
      <c r="C501" s="2" t="s">
        <v>5064</v>
      </c>
      <c r="D501" s="2"/>
    </row>
    <row r="502" spans="1:4" x14ac:dyDescent="0.3">
      <c r="A502" s="2" t="s">
        <v>846</v>
      </c>
      <c r="B502" s="2" t="s">
        <v>269</v>
      </c>
      <c r="C502" s="2" t="s">
        <v>5064</v>
      </c>
      <c r="D502" s="2"/>
    </row>
    <row r="503" spans="1:4" x14ac:dyDescent="0.3">
      <c r="A503" s="2" t="s">
        <v>848</v>
      </c>
      <c r="B503" s="2" t="s">
        <v>269</v>
      </c>
      <c r="C503" s="2" t="s">
        <v>5064</v>
      </c>
      <c r="D503" s="2"/>
    </row>
    <row r="504" spans="1:4" x14ac:dyDescent="0.3">
      <c r="A504" s="2" t="s">
        <v>850</v>
      </c>
      <c r="B504" s="2" t="s">
        <v>269</v>
      </c>
      <c r="C504" s="2" t="s">
        <v>5064</v>
      </c>
      <c r="D504" s="2"/>
    </row>
    <row r="505" spans="1:4" x14ac:dyDescent="0.3">
      <c r="A505" s="2" t="s">
        <v>852</v>
      </c>
      <c r="B505" s="2" t="s">
        <v>269</v>
      </c>
      <c r="C505" s="2" t="s">
        <v>5064</v>
      </c>
      <c r="D505" s="2"/>
    </row>
    <row r="506" spans="1:4" x14ac:dyDescent="0.3">
      <c r="A506" s="2" t="s">
        <v>854</v>
      </c>
      <c r="B506" s="2" t="s">
        <v>269</v>
      </c>
      <c r="C506" s="2" t="s">
        <v>5064</v>
      </c>
      <c r="D506" s="2"/>
    </row>
    <row r="507" spans="1:4" x14ac:dyDescent="0.3">
      <c r="A507" s="2" t="s">
        <v>856</v>
      </c>
      <c r="B507" s="2" t="s">
        <v>269</v>
      </c>
      <c r="C507" s="2" t="s">
        <v>5064</v>
      </c>
      <c r="D507" s="2"/>
    </row>
    <row r="508" spans="1:4" x14ac:dyDescent="0.3">
      <c r="A508" s="2" t="s">
        <v>857</v>
      </c>
      <c r="B508" s="2" t="s">
        <v>269</v>
      </c>
      <c r="C508" s="2" t="s">
        <v>5064</v>
      </c>
      <c r="D508" s="2"/>
    </row>
    <row r="509" spans="1:4" x14ac:dyDescent="0.3">
      <c r="A509" s="2" t="s">
        <v>858</v>
      </c>
      <c r="B509" s="2" t="s">
        <v>269</v>
      </c>
      <c r="C509" s="2" t="s">
        <v>5064</v>
      </c>
      <c r="D509" s="2"/>
    </row>
    <row r="510" spans="1:4" x14ac:dyDescent="0.3">
      <c r="A510" s="2" t="s">
        <v>859</v>
      </c>
      <c r="B510" s="2" t="s">
        <v>269</v>
      </c>
      <c r="C510" s="2" t="s">
        <v>5064</v>
      </c>
      <c r="D510" s="2"/>
    </row>
    <row r="511" spans="1:4" x14ac:dyDescent="0.3">
      <c r="A511" s="2" t="s">
        <v>860</v>
      </c>
      <c r="B511" s="2" t="s">
        <v>269</v>
      </c>
      <c r="C511" s="2" t="s">
        <v>5064</v>
      </c>
      <c r="D511" s="2"/>
    </row>
    <row r="512" spans="1:4" x14ac:dyDescent="0.3">
      <c r="A512" s="2" t="s">
        <v>862</v>
      </c>
      <c r="B512" s="2" t="s">
        <v>269</v>
      </c>
      <c r="C512" s="2" t="s">
        <v>5064</v>
      </c>
      <c r="D512" s="2"/>
    </row>
    <row r="513" spans="1:4" x14ac:dyDescent="0.3">
      <c r="A513" s="2" t="s">
        <v>864</v>
      </c>
      <c r="B513" s="2" t="s">
        <v>269</v>
      </c>
      <c r="C513" s="2" t="s">
        <v>5064</v>
      </c>
      <c r="D513" s="2"/>
    </row>
    <row r="514" spans="1:4" x14ac:dyDescent="0.3">
      <c r="A514" s="2" t="s">
        <v>866</v>
      </c>
      <c r="B514" s="2" t="s">
        <v>269</v>
      </c>
      <c r="C514" s="2" t="s">
        <v>5064</v>
      </c>
      <c r="D514" s="2"/>
    </row>
    <row r="515" spans="1:4" x14ac:dyDescent="0.3">
      <c r="A515" s="2" t="s">
        <v>868</v>
      </c>
      <c r="B515" s="2" t="s">
        <v>269</v>
      </c>
      <c r="C515" s="2" t="s">
        <v>5064</v>
      </c>
      <c r="D515" s="2"/>
    </row>
    <row r="516" spans="1:4" x14ac:dyDescent="0.3">
      <c r="A516" s="2" t="s">
        <v>870</v>
      </c>
      <c r="B516" s="2" t="s">
        <v>269</v>
      </c>
      <c r="C516" s="2" t="s">
        <v>5064</v>
      </c>
      <c r="D516" s="2"/>
    </row>
    <row r="517" spans="1:4" x14ac:dyDescent="0.3">
      <c r="A517" s="2" t="s">
        <v>872</v>
      </c>
      <c r="B517" s="2" t="s">
        <v>269</v>
      </c>
      <c r="C517" s="2" t="s">
        <v>5064</v>
      </c>
      <c r="D517" s="2"/>
    </row>
    <row r="518" spans="1:4" x14ac:dyDescent="0.3">
      <c r="A518" s="2" t="s">
        <v>874</v>
      </c>
      <c r="B518" s="2" t="s">
        <v>269</v>
      </c>
      <c r="C518" s="2" t="s">
        <v>5064</v>
      </c>
      <c r="D518" s="2"/>
    </row>
    <row r="519" spans="1:4" x14ac:dyDescent="0.3">
      <c r="A519" s="2" t="s">
        <v>876</v>
      </c>
      <c r="B519" s="2" t="s">
        <v>269</v>
      </c>
      <c r="C519" s="2" t="s">
        <v>5064</v>
      </c>
      <c r="D519" s="2"/>
    </row>
    <row r="520" spans="1:4" x14ac:dyDescent="0.3">
      <c r="A520" s="2" t="s">
        <v>878</v>
      </c>
      <c r="B520" s="2" t="s">
        <v>269</v>
      </c>
      <c r="C520" s="2" t="s">
        <v>5064</v>
      </c>
      <c r="D520" s="2"/>
    </row>
    <row r="521" spans="1:4" x14ac:dyDescent="0.3">
      <c r="A521" s="2" t="s">
        <v>880</v>
      </c>
      <c r="B521" s="2" t="s">
        <v>269</v>
      </c>
      <c r="C521" s="2" t="s">
        <v>5064</v>
      </c>
      <c r="D521" s="2"/>
    </row>
    <row r="522" spans="1:4" x14ac:dyDescent="0.3">
      <c r="A522" s="2" t="s">
        <v>882</v>
      </c>
      <c r="B522" s="2" t="s">
        <v>269</v>
      </c>
      <c r="C522" s="2" t="s">
        <v>5064</v>
      </c>
      <c r="D522" s="2"/>
    </row>
    <row r="523" spans="1:4" x14ac:dyDescent="0.3">
      <c r="A523" s="2" t="s">
        <v>884</v>
      </c>
      <c r="B523" s="2" t="s">
        <v>269</v>
      </c>
      <c r="C523" s="2" t="s">
        <v>5064</v>
      </c>
      <c r="D523" s="2"/>
    </row>
    <row r="524" spans="1:4" x14ac:dyDescent="0.3">
      <c r="A524" s="2" t="s">
        <v>886</v>
      </c>
      <c r="B524" s="2" t="s">
        <v>269</v>
      </c>
      <c r="C524" s="2" t="s">
        <v>5064</v>
      </c>
      <c r="D524" s="2"/>
    </row>
    <row r="525" spans="1:4" x14ac:dyDescent="0.3">
      <c r="A525" s="2" t="s">
        <v>888</v>
      </c>
      <c r="B525" s="2" t="s">
        <v>269</v>
      </c>
      <c r="C525" s="2" t="s">
        <v>5064</v>
      </c>
      <c r="D525" s="2"/>
    </row>
    <row r="526" spans="1:4" x14ac:dyDescent="0.3">
      <c r="A526" s="2" t="s">
        <v>890</v>
      </c>
      <c r="B526" s="2" t="s">
        <v>269</v>
      </c>
      <c r="C526" s="2" t="s">
        <v>5064</v>
      </c>
      <c r="D526" s="2"/>
    </row>
    <row r="527" spans="1:4" x14ac:dyDescent="0.3">
      <c r="A527" s="2" t="s">
        <v>892</v>
      </c>
      <c r="B527" s="2" t="s">
        <v>269</v>
      </c>
      <c r="C527" s="2" t="s">
        <v>5064</v>
      </c>
      <c r="D527" s="2"/>
    </row>
    <row r="528" spans="1:4" x14ac:dyDescent="0.3">
      <c r="A528" s="2" t="s">
        <v>894</v>
      </c>
      <c r="B528" s="2" t="s">
        <v>269</v>
      </c>
      <c r="C528" s="2" t="s">
        <v>5064</v>
      </c>
      <c r="D528" s="2"/>
    </row>
    <row r="529" spans="1:4" x14ac:dyDescent="0.3">
      <c r="A529" s="2" t="s">
        <v>896</v>
      </c>
      <c r="B529" s="2" t="s">
        <v>269</v>
      </c>
      <c r="C529" s="2" t="s">
        <v>5064</v>
      </c>
      <c r="D529" s="2"/>
    </row>
    <row r="530" spans="1:4" x14ac:dyDescent="0.3">
      <c r="A530" s="2" t="s">
        <v>897</v>
      </c>
      <c r="B530" s="2" t="s">
        <v>269</v>
      </c>
      <c r="C530" s="2" t="s">
        <v>5064</v>
      </c>
      <c r="D530" s="2"/>
    </row>
    <row r="531" spans="1:4" x14ac:dyDescent="0.3">
      <c r="A531" s="2" t="s">
        <v>899</v>
      </c>
      <c r="B531" s="2" t="s">
        <v>269</v>
      </c>
      <c r="C531" s="2" t="s">
        <v>5064</v>
      </c>
      <c r="D531" s="2"/>
    </row>
    <row r="532" spans="1:4" x14ac:dyDescent="0.3">
      <c r="A532" s="2" t="s">
        <v>901</v>
      </c>
      <c r="B532" s="2" t="s">
        <v>269</v>
      </c>
      <c r="C532" s="2" t="s">
        <v>5064</v>
      </c>
      <c r="D532" s="2"/>
    </row>
    <row r="533" spans="1:4" x14ac:dyDescent="0.3">
      <c r="A533" s="2" t="s">
        <v>902</v>
      </c>
      <c r="B533" s="2" t="s">
        <v>269</v>
      </c>
      <c r="C533" s="2" t="s">
        <v>5064</v>
      </c>
      <c r="D533" s="2"/>
    </row>
    <row r="534" spans="1:4" x14ac:dyDescent="0.3">
      <c r="A534" s="2" t="s">
        <v>904</v>
      </c>
      <c r="B534" s="2" t="s">
        <v>269</v>
      </c>
      <c r="C534" s="2" t="s">
        <v>5064</v>
      </c>
      <c r="D534" s="2"/>
    </row>
    <row r="535" spans="1:4" x14ac:dyDescent="0.3">
      <c r="A535" s="2" t="s">
        <v>905</v>
      </c>
      <c r="B535" s="2" t="s">
        <v>269</v>
      </c>
      <c r="C535" s="2" t="s">
        <v>5064</v>
      </c>
      <c r="D535" s="2"/>
    </row>
    <row r="536" spans="1:4" x14ac:dyDescent="0.3">
      <c r="A536" s="2" t="s">
        <v>907</v>
      </c>
      <c r="B536" s="2" t="s">
        <v>269</v>
      </c>
      <c r="C536" s="2" t="s">
        <v>5064</v>
      </c>
      <c r="D536" s="2"/>
    </row>
    <row r="537" spans="1:4" x14ac:dyDescent="0.3">
      <c r="A537" s="2" t="s">
        <v>909</v>
      </c>
      <c r="B537" s="2" t="s">
        <v>269</v>
      </c>
      <c r="C537" s="2" t="s">
        <v>5064</v>
      </c>
      <c r="D537" s="2"/>
    </row>
    <row r="538" spans="1:4" x14ac:dyDescent="0.3">
      <c r="A538" s="2" t="s">
        <v>911</v>
      </c>
      <c r="B538" s="2" t="s">
        <v>269</v>
      </c>
      <c r="C538" s="2" t="s">
        <v>5064</v>
      </c>
      <c r="D538" s="2"/>
    </row>
    <row r="539" spans="1:4" x14ac:dyDescent="0.3">
      <c r="A539" s="2" t="s">
        <v>913</v>
      </c>
      <c r="B539" s="2" t="s">
        <v>269</v>
      </c>
      <c r="C539" s="2" t="s">
        <v>5064</v>
      </c>
      <c r="D539" s="2"/>
    </row>
    <row r="540" spans="1:4" x14ac:dyDescent="0.3">
      <c r="A540" s="2" t="s">
        <v>915</v>
      </c>
      <c r="B540" s="2" t="s">
        <v>269</v>
      </c>
      <c r="C540" s="2" t="s">
        <v>5064</v>
      </c>
      <c r="D540" s="2"/>
    </row>
    <row r="541" spans="1:4" x14ac:dyDescent="0.3">
      <c r="A541" s="2" t="s">
        <v>917</v>
      </c>
      <c r="B541" s="2" t="s">
        <v>269</v>
      </c>
      <c r="C541" s="2" t="s">
        <v>5064</v>
      </c>
      <c r="D541" s="2"/>
    </row>
    <row r="542" spans="1:4" x14ac:dyDescent="0.3">
      <c r="A542" s="2" t="s">
        <v>919</v>
      </c>
      <c r="B542" s="2" t="s">
        <v>269</v>
      </c>
      <c r="C542" s="2" t="s">
        <v>5064</v>
      </c>
      <c r="D542" s="2"/>
    </row>
    <row r="543" spans="1:4" x14ac:dyDescent="0.3">
      <c r="A543" s="2" t="s">
        <v>921</v>
      </c>
      <c r="B543" s="2" t="s">
        <v>269</v>
      </c>
      <c r="C543" s="2" t="s">
        <v>5064</v>
      </c>
      <c r="D543" s="2"/>
    </row>
    <row r="544" spans="1:4" x14ac:dyDescent="0.3">
      <c r="A544" s="2" t="s">
        <v>923</v>
      </c>
      <c r="B544" s="2" t="s">
        <v>269</v>
      </c>
      <c r="C544" s="2" t="s">
        <v>5064</v>
      </c>
      <c r="D544" s="2"/>
    </row>
    <row r="545" spans="1:4" x14ac:dyDescent="0.3">
      <c r="A545" s="2" t="s">
        <v>925</v>
      </c>
      <c r="B545" s="2" t="s">
        <v>269</v>
      </c>
      <c r="C545" s="2" t="s">
        <v>5064</v>
      </c>
      <c r="D545" s="2"/>
    </row>
    <row r="546" spans="1:4" x14ac:dyDescent="0.3">
      <c r="A546" s="2" t="s">
        <v>927</v>
      </c>
      <c r="B546" s="2" t="s">
        <v>269</v>
      </c>
      <c r="C546" s="2" t="s">
        <v>5064</v>
      </c>
      <c r="D546" s="2"/>
    </row>
    <row r="547" spans="1:4" x14ac:dyDescent="0.3">
      <c r="A547" s="2" t="s">
        <v>929</v>
      </c>
      <c r="B547" s="2" t="s">
        <v>269</v>
      </c>
      <c r="C547" s="2" t="s">
        <v>5064</v>
      </c>
      <c r="D547" s="2"/>
    </row>
    <row r="548" spans="1:4" x14ac:dyDescent="0.3">
      <c r="A548" s="2" t="s">
        <v>931</v>
      </c>
      <c r="B548" s="2" t="s">
        <v>269</v>
      </c>
      <c r="C548" s="2" t="s">
        <v>5064</v>
      </c>
      <c r="D548" s="2"/>
    </row>
    <row r="549" spans="1:4" x14ac:dyDescent="0.3">
      <c r="A549" s="2" t="s">
        <v>933</v>
      </c>
      <c r="B549" s="2" t="s">
        <v>269</v>
      </c>
      <c r="C549" s="2" t="s">
        <v>5064</v>
      </c>
      <c r="D549" s="2"/>
    </row>
    <row r="550" spans="1:4" x14ac:dyDescent="0.3">
      <c r="A550" s="2" t="s">
        <v>934</v>
      </c>
      <c r="B550" s="2" t="s">
        <v>269</v>
      </c>
      <c r="C550" s="2" t="s">
        <v>5064</v>
      </c>
      <c r="D550" s="2"/>
    </row>
    <row r="551" spans="1:4" x14ac:dyDescent="0.3">
      <c r="A551" s="2" t="s">
        <v>936</v>
      </c>
      <c r="B551" s="2" t="s">
        <v>269</v>
      </c>
      <c r="C551" s="2" t="s">
        <v>5064</v>
      </c>
      <c r="D551" s="2"/>
    </row>
    <row r="552" spans="1:4" x14ac:dyDescent="0.3">
      <c r="A552" s="2" t="s">
        <v>938</v>
      </c>
      <c r="B552" s="2" t="s">
        <v>269</v>
      </c>
      <c r="C552" s="2" t="s">
        <v>5064</v>
      </c>
      <c r="D552" s="2"/>
    </row>
    <row r="553" spans="1:4" x14ac:dyDescent="0.3">
      <c r="A553" s="2" t="s">
        <v>940</v>
      </c>
      <c r="B553" s="2" t="s">
        <v>269</v>
      </c>
      <c r="C553" s="2" t="s">
        <v>5064</v>
      </c>
      <c r="D553" s="2"/>
    </row>
    <row r="554" spans="1:4" x14ac:dyDescent="0.3">
      <c r="A554" s="2" t="s">
        <v>942</v>
      </c>
      <c r="B554" s="2" t="s">
        <v>269</v>
      </c>
      <c r="C554" s="2" t="s">
        <v>5064</v>
      </c>
      <c r="D554" s="2"/>
    </row>
    <row r="555" spans="1:4" x14ac:dyDescent="0.3">
      <c r="A555" s="2" t="s">
        <v>944</v>
      </c>
      <c r="B555" s="2" t="s">
        <v>269</v>
      </c>
      <c r="C555" s="2" t="s">
        <v>5064</v>
      </c>
      <c r="D555" s="2"/>
    </row>
    <row r="556" spans="1:4" x14ac:dyDescent="0.3">
      <c r="A556" s="2" t="s">
        <v>946</v>
      </c>
      <c r="B556" s="2" t="s">
        <v>269</v>
      </c>
      <c r="C556" s="2" t="s">
        <v>5064</v>
      </c>
      <c r="D556" s="2"/>
    </row>
    <row r="557" spans="1:4" x14ac:dyDescent="0.3">
      <c r="A557" s="2" t="s">
        <v>948</v>
      </c>
      <c r="B557" s="2" t="s">
        <v>269</v>
      </c>
      <c r="C557" s="2" t="s">
        <v>5064</v>
      </c>
      <c r="D557" s="2"/>
    </row>
    <row r="558" spans="1:4" x14ac:dyDescent="0.3">
      <c r="A558" s="2" t="s">
        <v>950</v>
      </c>
      <c r="B558" s="2" t="s">
        <v>269</v>
      </c>
      <c r="C558" s="2" t="s">
        <v>5064</v>
      </c>
      <c r="D558" s="2"/>
    </row>
    <row r="559" spans="1:4" x14ac:dyDescent="0.3">
      <c r="A559" s="2" t="s">
        <v>952</v>
      </c>
      <c r="B559" s="2" t="s">
        <v>269</v>
      </c>
      <c r="C559" s="2" t="s">
        <v>5064</v>
      </c>
      <c r="D559" s="2"/>
    </row>
    <row r="560" spans="1:4" x14ac:dyDescent="0.3">
      <c r="A560" s="2" t="s">
        <v>954</v>
      </c>
      <c r="B560" s="2" t="s">
        <v>269</v>
      </c>
      <c r="C560" s="2" t="s">
        <v>5064</v>
      </c>
      <c r="D560" s="2"/>
    </row>
    <row r="561" spans="1:4" x14ac:dyDescent="0.3">
      <c r="A561" s="2" t="s">
        <v>955</v>
      </c>
      <c r="B561" s="2" t="s">
        <v>269</v>
      </c>
      <c r="C561" s="2" t="s">
        <v>5064</v>
      </c>
      <c r="D561" s="2"/>
    </row>
    <row r="562" spans="1:4" x14ac:dyDescent="0.3">
      <c r="A562" s="2" t="s">
        <v>956</v>
      </c>
      <c r="B562" s="2" t="s">
        <v>269</v>
      </c>
      <c r="C562" s="2" t="s">
        <v>5064</v>
      </c>
      <c r="D562" s="2"/>
    </row>
    <row r="563" spans="1:4" x14ac:dyDescent="0.3">
      <c r="A563" s="2" t="s">
        <v>958</v>
      </c>
      <c r="B563" s="2" t="s">
        <v>269</v>
      </c>
      <c r="C563" s="2" t="s">
        <v>5064</v>
      </c>
      <c r="D563" s="2"/>
    </row>
    <row r="564" spans="1:4" x14ac:dyDescent="0.3">
      <c r="A564" s="2" t="s">
        <v>960</v>
      </c>
      <c r="B564" s="2" t="s">
        <v>269</v>
      </c>
      <c r="C564" s="2" t="s">
        <v>5064</v>
      </c>
      <c r="D564" s="2"/>
    </row>
    <row r="565" spans="1:4" x14ac:dyDescent="0.3">
      <c r="A565" s="2" t="s">
        <v>962</v>
      </c>
      <c r="B565" s="2" t="s">
        <v>269</v>
      </c>
      <c r="C565" s="2" t="s">
        <v>5064</v>
      </c>
      <c r="D565" s="2"/>
    </row>
    <row r="566" spans="1:4" x14ac:dyDescent="0.3">
      <c r="A566" s="2" t="s">
        <v>964</v>
      </c>
      <c r="B566" s="2" t="s">
        <v>269</v>
      </c>
      <c r="C566" s="2" t="s">
        <v>5064</v>
      </c>
      <c r="D566" s="2"/>
    </row>
    <row r="567" spans="1:4" x14ac:dyDescent="0.3">
      <c r="A567" s="2" t="s">
        <v>966</v>
      </c>
      <c r="B567" s="2" t="s">
        <v>269</v>
      </c>
      <c r="C567" s="2" t="s">
        <v>5064</v>
      </c>
      <c r="D567" s="2"/>
    </row>
    <row r="568" spans="1:4" x14ac:dyDescent="0.3">
      <c r="A568" s="2" t="s">
        <v>968</v>
      </c>
      <c r="B568" s="2" t="s">
        <v>269</v>
      </c>
      <c r="C568" s="2" t="s">
        <v>5064</v>
      </c>
      <c r="D568" s="2"/>
    </row>
    <row r="569" spans="1:4" x14ac:dyDescent="0.3">
      <c r="A569" s="2" t="s">
        <v>970</v>
      </c>
      <c r="B569" s="2" t="s">
        <v>269</v>
      </c>
      <c r="C569" s="2" t="s">
        <v>5064</v>
      </c>
      <c r="D569" s="2"/>
    </row>
    <row r="570" spans="1:4" x14ac:dyDescent="0.3">
      <c r="A570" s="2" t="s">
        <v>972</v>
      </c>
      <c r="B570" s="2" t="s">
        <v>269</v>
      </c>
      <c r="C570" s="2" t="s">
        <v>5064</v>
      </c>
    </row>
    <row r="571" spans="1:4" x14ac:dyDescent="0.3">
      <c r="A571" s="2" t="s">
        <v>974</v>
      </c>
      <c r="B571" s="2" t="s">
        <v>269</v>
      </c>
      <c r="C571" s="2" t="s">
        <v>5064</v>
      </c>
    </row>
    <row r="572" spans="1:4" x14ac:dyDescent="0.3">
      <c r="A572" s="2" t="s">
        <v>976</v>
      </c>
      <c r="B572" s="2" t="s">
        <v>269</v>
      </c>
      <c r="C572" s="2" t="s">
        <v>5064</v>
      </c>
    </row>
    <row r="573" spans="1:4" x14ac:dyDescent="0.3">
      <c r="A573" s="2" t="s">
        <v>978</v>
      </c>
      <c r="B573" s="2" t="s">
        <v>269</v>
      </c>
      <c r="C573" s="2" t="s">
        <v>5064</v>
      </c>
    </row>
    <row r="574" spans="1:4" x14ac:dyDescent="0.3">
      <c r="A574" s="2" t="s">
        <v>980</v>
      </c>
      <c r="B574" s="2" t="s">
        <v>269</v>
      </c>
      <c r="C574" s="2" t="s">
        <v>5064</v>
      </c>
    </row>
    <row r="575" spans="1:4" x14ac:dyDescent="0.3">
      <c r="A575" s="2" t="s">
        <v>982</v>
      </c>
      <c r="B575" s="2" t="s">
        <v>269</v>
      </c>
      <c r="C575" s="2" t="s">
        <v>5064</v>
      </c>
    </row>
    <row r="576" spans="1:4" x14ac:dyDescent="0.3">
      <c r="A576" s="2" t="s">
        <v>983</v>
      </c>
      <c r="B576" s="2" t="s">
        <v>269</v>
      </c>
      <c r="C576" s="2" t="s">
        <v>5064</v>
      </c>
    </row>
    <row r="577" spans="1:3" x14ac:dyDescent="0.3">
      <c r="A577" s="2" t="s">
        <v>985</v>
      </c>
      <c r="B577" s="2" t="s">
        <v>269</v>
      </c>
      <c r="C577" s="2" t="s">
        <v>5064</v>
      </c>
    </row>
    <row r="578" spans="1:3" x14ac:dyDescent="0.3">
      <c r="A578" s="2" t="s">
        <v>987</v>
      </c>
      <c r="B578" s="2" t="s">
        <v>269</v>
      </c>
      <c r="C578" s="2" t="s">
        <v>5064</v>
      </c>
    </row>
    <row r="579" spans="1:3" x14ac:dyDescent="0.3">
      <c r="A579" s="2" t="s">
        <v>988</v>
      </c>
      <c r="B579" s="2" t="s">
        <v>269</v>
      </c>
      <c r="C579" s="2" t="s">
        <v>5064</v>
      </c>
    </row>
    <row r="580" spans="1:3" x14ac:dyDescent="0.3">
      <c r="A580" s="2" t="s">
        <v>989</v>
      </c>
      <c r="B580" s="2" t="s">
        <v>269</v>
      </c>
      <c r="C580" s="2" t="s">
        <v>5064</v>
      </c>
    </row>
    <row r="581" spans="1:3" x14ac:dyDescent="0.3">
      <c r="A581" s="2" t="s">
        <v>991</v>
      </c>
      <c r="B581" s="2" t="s">
        <v>269</v>
      </c>
      <c r="C581" s="2" t="s">
        <v>5064</v>
      </c>
    </row>
    <row r="582" spans="1:3" x14ac:dyDescent="0.3">
      <c r="A582" s="2" t="s">
        <v>992</v>
      </c>
      <c r="B582" s="2" t="s">
        <v>269</v>
      </c>
      <c r="C582" s="2" t="s">
        <v>5064</v>
      </c>
    </row>
    <row r="583" spans="1:3" x14ac:dyDescent="0.3">
      <c r="A583" s="2" t="s">
        <v>994</v>
      </c>
      <c r="B583" s="2" t="s">
        <v>269</v>
      </c>
      <c r="C583" s="2" t="s">
        <v>5064</v>
      </c>
    </row>
    <row r="584" spans="1:3" x14ac:dyDescent="0.3">
      <c r="A584" s="2" t="s">
        <v>996</v>
      </c>
      <c r="B584" s="2" t="s">
        <v>269</v>
      </c>
      <c r="C584" s="2" t="s">
        <v>5064</v>
      </c>
    </row>
    <row r="585" spans="1:3" x14ac:dyDescent="0.3">
      <c r="A585" s="2" t="s">
        <v>998</v>
      </c>
      <c r="B585" s="2" t="s">
        <v>269</v>
      </c>
      <c r="C585" s="2" t="s">
        <v>5064</v>
      </c>
    </row>
    <row r="586" spans="1:3" x14ac:dyDescent="0.3">
      <c r="A586" s="2" t="s">
        <v>1000</v>
      </c>
      <c r="B586" s="2" t="s">
        <v>269</v>
      </c>
      <c r="C586" s="2" t="s">
        <v>5064</v>
      </c>
    </row>
    <row r="587" spans="1:3" x14ac:dyDescent="0.3">
      <c r="A587" s="2" t="s">
        <v>1002</v>
      </c>
      <c r="B587" s="2" t="s">
        <v>269</v>
      </c>
      <c r="C587" s="2" t="s">
        <v>5064</v>
      </c>
    </row>
    <row r="588" spans="1:3" x14ac:dyDescent="0.3">
      <c r="A588" s="2" t="s">
        <v>1004</v>
      </c>
      <c r="B588" s="2" t="s">
        <v>269</v>
      </c>
      <c r="C588" s="2" t="s">
        <v>5064</v>
      </c>
    </row>
    <row r="589" spans="1:3" x14ac:dyDescent="0.3">
      <c r="A589" s="2" t="s">
        <v>1005</v>
      </c>
      <c r="B589" s="2" t="s">
        <v>269</v>
      </c>
      <c r="C589" s="2" t="s">
        <v>5064</v>
      </c>
    </row>
    <row r="590" spans="1:3" x14ac:dyDescent="0.3">
      <c r="A590" s="2" t="s">
        <v>1006</v>
      </c>
      <c r="B590" s="2" t="s">
        <v>269</v>
      </c>
      <c r="C590" s="2" t="s">
        <v>5064</v>
      </c>
    </row>
    <row r="591" spans="1:3" x14ac:dyDescent="0.3">
      <c r="A591" s="2" t="s">
        <v>1008</v>
      </c>
      <c r="B591" s="2" t="s">
        <v>269</v>
      </c>
      <c r="C591" s="2" t="s">
        <v>5064</v>
      </c>
    </row>
    <row r="592" spans="1:3" x14ac:dyDescent="0.3">
      <c r="A592" s="2" t="s">
        <v>1010</v>
      </c>
      <c r="B592" s="2" t="s">
        <v>269</v>
      </c>
      <c r="C592" s="2" t="s">
        <v>5064</v>
      </c>
    </row>
    <row r="593" spans="1:3" x14ac:dyDescent="0.3">
      <c r="A593" s="2" t="s">
        <v>1012</v>
      </c>
      <c r="B593" s="2" t="s">
        <v>269</v>
      </c>
      <c r="C593" s="2" t="s">
        <v>5064</v>
      </c>
    </row>
    <row r="594" spans="1:3" x14ac:dyDescent="0.3">
      <c r="A594" s="2" t="s">
        <v>1014</v>
      </c>
      <c r="B594" s="2" t="s">
        <v>269</v>
      </c>
      <c r="C594" s="2" t="s">
        <v>5064</v>
      </c>
    </row>
    <row r="595" spans="1:3" x14ac:dyDescent="0.3">
      <c r="A595" s="2" t="s">
        <v>1016</v>
      </c>
      <c r="B595" s="2" t="s">
        <v>269</v>
      </c>
      <c r="C595" s="2" t="s">
        <v>5064</v>
      </c>
    </row>
    <row r="596" spans="1:3" x14ac:dyDescent="0.3">
      <c r="A596" s="2" t="s">
        <v>1018</v>
      </c>
      <c r="B596" s="2" t="s">
        <v>269</v>
      </c>
      <c r="C596" s="2" t="s">
        <v>5064</v>
      </c>
    </row>
    <row r="597" spans="1:3" x14ac:dyDescent="0.3">
      <c r="A597" s="2" t="s">
        <v>1020</v>
      </c>
      <c r="B597" s="2" t="s">
        <v>269</v>
      </c>
      <c r="C597" s="2" t="s">
        <v>5064</v>
      </c>
    </row>
    <row r="598" spans="1:3" x14ac:dyDescent="0.3">
      <c r="A598" s="2" t="s">
        <v>1022</v>
      </c>
      <c r="B598" s="2" t="s">
        <v>269</v>
      </c>
      <c r="C598" s="2" t="s">
        <v>5064</v>
      </c>
    </row>
    <row r="599" spans="1:3" x14ac:dyDescent="0.3">
      <c r="A599" s="2" t="s">
        <v>1024</v>
      </c>
      <c r="B599" s="2" t="s">
        <v>269</v>
      </c>
      <c r="C599" s="2" t="s">
        <v>5064</v>
      </c>
    </row>
    <row r="600" spans="1:3" x14ac:dyDescent="0.3">
      <c r="A600" s="2" t="s">
        <v>1026</v>
      </c>
      <c r="B600" s="2" t="s">
        <v>269</v>
      </c>
      <c r="C600" s="2" t="s">
        <v>5064</v>
      </c>
    </row>
    <row r="601" spans="1:3" x14ac:dyDescent="0.3">
      <c r="A601" s="2" t="s">
        <v>1028</v>
      </c>
      <c r="B601" s="2" t="s">
        <v>269</v>
      </c>
      <c r="C601" s="2" t="s">
        <v>5064</v>
      </c>
    </row>
    <row r="602" spans="1:3" x14ac:dyDescent="0.3">
      <c r="A602" s="2" t="s">
        <v>1030</v>
      </c>
      <c r="B602" s="2" t="s">
        <v>269</v>
      </c>
      <c r="C602" s="2" t="s">
        <v>5064</v>
      </c>
    </row>
    <row r="603" spans="1:3" x14ac:dyDescent="0.3">
      <c r="A603" s="2" t="s">
        <v>1032</v>
      </c>
      <c r="B603" s="2" t="s">
        <v>269</v>
      </c>
      <c r="C603" s="2" t="s">
        <v>5064</v>
      </c>
    </row>
    <row r="604" spans="1:3" x14ac:dyDescent="0.3">
      <c r="A604" s="2" t="s">
        <v>1034</v>
      </c>
      <c r="B604" s="2" t="s">
        <v>269</v>
      </c>
      <c r="C604" s="2" t="s">
        <v>5064</v>
      </c>
    </row>
    <row r="605" spans="1:3" x14ac:dyDescent="0.3">
      <c r="A605" s="2" t="s">
        <v>1036</v>
      </c>
      <c r="B605" s="2" t="s">
        <v>269</v>
      </c>
      <c r="C605" s="2" t="s">
        <v>5064</v>
      </c>
    </row>
    <row r="606" spans="1:3" x14ac:dyDescent="0.3">
      <c r="A606" s="2" t="s">
        <v>1038</v>
      </c>
      <c r="B606" s="2" t="s">
        <v>269</v>
      </c>
      <c r="C606" s="2" t="s">
        <v>5064</v>
      </c>
    </row>
    <row r="607" spans="1:3" x14ac:dyDescent="0.3">
      <c r="A607" s="2" t="s">
        <v>1040</v>
      </c>
      <c r="B607" s="2" t="s">
        <v>269</v>
      </c>
      <c r="C607" s="2" t="s">
        <v>5064</v>
      </c>
    </row>
    <row r="608" spans="1:3" x14ac:dyDescent="0.3">
      <c r="A608" s="2" t="s">
        <v>1041</v>
      </c>
      <c r="B608" s="2" t="s">
        <v>269</v>
      </c>
      <c r="C608" s="2" t="s">
        <v>5064</v>
      </c>
    </row>
    <row r="609" spans="1:3" x14ac:dyDescent="0.3">
      <c r="A609" s="2" t="s">
        <v>1043</v>
      </c>
      <c r="B609" s="2" t="s">
        <v>269</v>
      </c>
      <c r="C609" s="2" t="s">
        <v>5064</v>
      </c>
    </row>
    <row r="610" spans="1:3" x14ac:dyDescent="0.3">
      <c r="A610" s="2" t="s">
        <v>1044</v>
      </c>
      <c r="B610" s="2" t="s">
        <v>269</v>
      </c>
      <c r="C610" s="2" t="s">
        <v>5064</v>
      </c>
    </row>
    <row r="611" spans="1:3" x14ac:dyDescent="0.3">
      <c r="A611" s="2" t="s">
        <v>1046</v>
      </c>
      <c r="B611" s="2" t="s">
        <v>269</v>
      </c>
      <c r="C611" s="2" t="s">
        <v>5064</v>
      </c>
    </row>
    <row r="612" spans="1:3" x14ac:dyDescent="0.3">
      <c r="A612" s="2" t="s">
        <v>1048</v>
      </c>
      <c r="B612" s="2" t="s">
        <v>269</v>
      </c>
      <c r="C612" s="2" t="s">
        <v>5064</v>
      </c>
    </row>
    <row r="613" spans="1:3" x14ac:dyDescent="0.3">
      <c r="A613" s="2" t="s">
        <v>1050</v>
      </c>
      <c r="B613" s="2" t="s">
        <v>269</v>
      </c>
      <c r="C613" s="2" t="s">
        <v>5064</v>
      </c>
    </row>
    <row r="614" spans="1:3" x14ac:dyDescent="0.3">
      <c r="A614" s="2" t="s">
        <v>1052</v>
      </c>
      <c r="B614" s="2" t="s">
        <v>269</v>
      </c>
      <c r="C614" s="2" t="s">
        <v>5064</v>
      </c>
    </row>
    <row r="615" spans="1:3" x14ac:dyDescent="0.3">
      <c r="A615" s="2" t="s">
        <v>1054</v>
      </c>
      <c r="B615" s="2" t="s">
        <v>269</v>
      </c>
      <c r="C615" s="2" t="s">
        <v>5064</v>
      </c>
    </row>
    <row r="616" spans="1:3" x14ac:dyDescent="0.3">
      <c r="A616" s="2" t="s">
        <v>1056</v>
      </c>
      <c r="B616" s="2" t="s">
        <v>269</v>
      </c>
      <c r="C616" s="2" t="s">
        <v>5064</v>
      </c>
    </row>
    <row r="617" spans="1:3" x14ac:dyDescent="0.3">
      <c r="A617" s="2" t="s">
        <v>1058</v>
      </c>
      <c r="B617" s="2" t="s">
        <v>269</v>
      </c>
      <c r="C617" s="2" t="s">
        <v>5064</v>
      </c>
    </row>
    <row r="618" spans="1:3" x14ac:dyDescent="0.3">
      <c r="A618" s="2" t="s">
        <v>1060</v>
      </c>
      <c r="B618" s="2" t="s">
        <v>269</v>
      </c>
      <c r="C618" s="2" t="s">
        <v>5064</v>
      </c>
    </row>
    <row r="619" spans="1:3" x14ac:dyDescent="0.3">
      <c r="A619" s="2" t="s">
        <v>1062</v>
      </c>
      <c r="B619" s="2" t="s">
        <v>269</v>
      </c>
      <c r="C619" s="2" t="s">
        <v>5064</v>
      </c>
    </row>
    <row r="620" spans="1:3" x14ac:dyDescent="0.3">
      <c r="A620" s="2" t="s">
        <v>1064</v>
      </c>
      <c r="B620" s="2" t="s">
        <v>269</v>
      </c>
      <c r="C620" s="2" t="s">
        <v>5064</v>
      </c>
    </row>
    <row r="621" spans="1:3" x14ac:dyDescent="0.3">
      <c r="A621" s="2" t="s">
        <v>1065</v>
      </c>
      <c r="B621" s="2" t="s">
        <v>269</v>
      </c>
      <c r="C621" s="2" t="s">
        <v>5064</v>
      </c>
    </row>
    <row r="622" spans="1:3" x14ac:dyDescent="0.3">
      <c r="A622" s="2" t="s">
        <v>1066</v>
      </c>
      <c r="B622" s="2" t="s">
        <v>269</v>
      </c>
      <c r="C622" s="2" t="s">
        <v>5064</v>
      </c>
    </row>
    <row r="623" spans="1:3" x14ac:dyDescent="0.3">
      <c r="A623" s="2" t="s">
        <v>1068</v>
      </c>
      <c r="B623" s="2" t="s">
        <v>269</v>
      </c>
      <c r="C623" s="2" t="s">
        <v>5064</v>
      </c>
    </row>
    <row r="624" spans="1:3" x14ac:dyDescent="0.3">
      <c r="A624" s="2" t="s">
        <v>1069</v>
      </c>
      <c r="B624" s="2" t="s">
        <v>269</v>
      </c>
      <c r="C624" s="2" t="s">
        <v>5064</v>
      </c>
    </row>
    <row r="625" spans="1:3" x14ac:dyDescent="0.3">
      <c r="A625" s="2" t="s">
        <v>1070</v>
      </c>
      <c r="B625" s="2" t="s">
        <v>269</v>
      </c>
      <c r="C625" s="2" t="s">
        <v>5064</v>
      </c>
    </row>
    <row r="626" spans="1:3" x14ac:dyDescent="0.3">
      <c r="A626" s="2" t="s">
        <v>1071</v>
      </c>
      <c r="B626" s="2" t="s">
        <v>269</v>
      </c>
      <c r="C626" s="2" t="s">
        <v>5064</v>
      </c>
    </row>
    <row r="627" spans="1:3" x14ac:dyDescent="0.3">
      <c r="A627" s="2" t="s">
        <v>1072</v>
      </c>
      <c r="B627" s="2" t="s">
        <v>269</v>
      </c>
      <c r="C627" s="2" t="s">
        <v>5064</v>
      </c>
    </row>
    <row r="628" spans="1:3" x14ac:dyDescent="0.3">
      <c r="A628" s="2" t="s">
        <v>1074</v>
      </c>
      <c r="B628" s="2" t="s">
        <v>269</v>
      </c>
      <c r="C628" s="2" t="s">
        <v>5064</v>
      </c>
    </row>
    <row r="629" spans="1:3" x14ac:dyDescent="0.3">
      <c r="A629" s="2" t="s">
        <v>1076</v>
      </c>
      <c r="B629" s="2" t="s">
        <v>269</v>
      </c>
      <c r="C629" s="2" t="s">
        <v>5064</v>
      </c>
    </row>
    <row r="630" spans="1:3" x14ac:dyDescent="0.3">
      <c r="A630" s="2" t="s">
        <v>1077</v>
      </c>
      <c r="B630" s="2" t="s">
        <v>269</v>
      </c>
      <c r="C630" s="2" t="s">
        <v>5064</v>
      </c>
    </row>
    <row r="631" spans="1:3" x14ac:dyDescent="0.3">
      <c r="A631" s="2" t="s">
        <v>1078</v>
      </c>
      <c r="B631" s="2" t="s">
        <v>269</v>
      </c>
      <c r="C631" s="2" t="s">
        <v>5064</v>
      </c>
    </row>
    <row r="632" spans="1:3" x14ac:dyDescent="0.3">
      <c r="A632" s="2" t="s">
        <v>1079</v>
      </c>
      <c r="B632" s="2" t="s">
        <v>269</v>
      </c>
      <c r="C632" s="2" t="s">
        <v>5064</v>
      </c>
    </row>
    <row r="633" spans="1:3" x14ac:dyDescent="0.3">
      <c r="A633" s="2" t="s">
        <v>1080</v>
      </c>
      <c r="B633" s="2" t="s">
        <v>269</v>
      </c>
      <c r="C633" s="2" t="s">
        <v>5064</v>
      </c>
    </row>
    <row r="634" spans="1:3" x14ac:dyDescent="0.3">
      <c r="A634" s="2" t="s">
        <v>1082</v>
      </c>
      <c r="B634" s="2" t="s">
        <v>269</v>
      </c>
      <c r="C634" s="2" t="s">
        <v>5064</v>
      </c>
    </row>
    <row r="635" spans="1:3" x14ac:dyDescent="0.3">
      <c r="A635" s="2" t="s">
        <v>1084</v>
      </c>
      <c r="B635" s="2" t="s">
        <v>269</v>
      </c>
      <c r="C635" s="2" t="s">
        <v>5064</v>
      </c>
    </row>
    <row r="636" spans="1:3" x14ac:dyDescent="0.3">
      <c r="A636" s="2" t="s">
        <v>1086</v>
      </c>
      <c r="B636" s="2" t="s">
        <v>269</v>
      </c>
      <c r="C636" s="2" t="s">
        <v>5064</v>
      </c>
    </row>
    <row r="637" spans="1:3" x14ac:dyDescent="0.3">
      <c r="A637" s="2" t="s">
        <v>1088</v>
      </c>
      <c r="B637" s="2" t="s">
        <v>269</v>
      </c>
      <c r="C637" s="2" t="s">
        <v>5064</v>
      </c>
    </row>
    <row r="638" spans="1:3" x14ac:dyDescent="0.3">
      <c r="A638" s="2" t="s">
        <v>1090</v>
      </c>
      <c r="B638" s="2" t="s">
        <v>269</v>
      </c>
      <c r="C638" s="2" t="s">
        <v>5064</v>
      </c>
    </row>
    <row r="639" spans="1:3" x14ac:dyDescent="0.3">
      <c r="A639" s="2" t="s">
        <v>1092</v>
      </c>
      <c r="B639" s="2" t="s">
        <v>269</v>
      </c>
      <c r="C639" s="2" t="s">
        <v>5064</v>
      </c>
    </row>
    <row r="640" spans="1:3" x14ac:dyDescent="0.3">
      <c r="A640" s="2" t="s">
        <v>1094</v>
      </c>
      <c r="B640" s="2" t="s">
        <v>269</v>
      </c>
      <c r="C640" s="2" t="s">
        <v>5064</v>
      </c>
    </row>
    <row r="641" spans="1:3" x14ac:dyDescent="0.3">
      <c r="A641" s="2" t="s">
        <v>1096</v>
      </c>
      <c r="B641" s="2" t="s">
        <v>269</v>
      </c>
      <c r="C641" s="2" t="s">
        <v>5064</v>
      </c>
    </row>
    <row r="642" spans="1:3" x14ac:dyDescent="0.3">
      <c r="A642" s="2" t="s">
        <v>1098</v>
      </c>
      <c r="B642" s="2" t="s">
        <v>269</v>
      </c>
      <c r="C642" s="2" t="s">
        <v>5064</v>
      </c>
    </row>
    <row r="643" spans="1:3" x14ac:dyDescent="0.3">
      <c r="A643" s="2" t="s">
        <v>1100</v>
      </c>
      <c r="B643" s="2" t="s">
        <v>269</v>
      </c>
      <c r="C643" s="2" t="s">
        <v>5064</v>
      </c>
    </row>
    <row r="644" spans="1:3" x14ac:dyDescent="0.3">
      <c r="A644" s="2" t="s">
        <v>1102</v>
      </c>
      <c r="B644" s="2" t="s">
        <v>269</v>
      </c>
      <c r="C644" s="2" t="s">
        <v>5064</v>
      </c>
    </row>
    <row r="645" spans="1:3" x14ac:dyDescent="0.3">
      <c r="A645" s="2" t="s">
        <v>1104</v>
      </c>
      <c r="B645" s="2" t="s">
        <v>269</v>
      </c>
      <c r="C645" s="2" t="s">
        <v>5064</v>
      </c>
    </row>
    <row r="646" spans="1:3" x14ac:dyDescent="0.3">
      <c r="A646" s="2" t="s">
        <v>1106</v>
      </c>
      <c r="B646" s="2" t="s">
        <v>269</v>
      </c>
      <c r="C646" s="2" t="s">
        <v>5064</v>
      </c>
    </row>
    <row r="647" spans="1:3" x14ac:dyDescent="0.3">
      <c r="A647" s="2" t="s">
        <v>1108</v>
      </c>
      <c r="B647" s="2" t="s">
        <v>269</v>
      </c>
      <c r="C647" s="2" t="s">
        <v>5064</v>
      </c>
    </row>
    <row r="648" spans="1:3" x14ac:dyDescent="0.3">
      <c r="A648" s="2" t="s">
        <v>1110</v>
      </c>
      <c r="B648" s="2" t="s">
        <v>269</v>
      </c>
      <c r="C648" s="2" t="s">
        <v>5064</v>
      </c>
    </row>
    <row r="649" spans="1:3" x14ac:dyDescent="0.3">
      <c r="A649" s="2" t="s">
        <v>1111</v>
      </c>
      <c r="B649" s="2" t="s">
        <v>269</v>
      </c>
      <c r="C649" s="2" t="s">
        <v>5064</v>
      </c>
    </row>
    <row r="650" spans="1:3" x14ac:dyDescent="0.3">
      <c r="A650" s="2" t="s">
        <v>1113</v>
      </c>
      <c r="B650" s="2" t="s">
        <v>269</v>
      </c>
      <c r="C650" s="2" t="s">
        <v>5064</v>
      </c>
    </row>
    <row r="651" spans="1:3" x14ac:dyDescent="0.3">
      <c r="A651" s="2" t="s">
        <v>1115</v>
      </c>
      <c r="B651" s="2" t="s">
        <v>269</v>
      </c>
      <c r="C651" s="2" t="s">
        <v>5064</v>
      </c>
    </row>
    <row r="652" spans="1:3" x14ac:dyDescent="0.3">
      <c r="A652" s="2" t="s">
        <v>1117</v>
      </c>
      <c r="B652" s="2" t="s">
        <v>269</v>
      </c>
      <c r="C652" s="2" t="s">
        <v>5064</v>
      </c>
    </row>
    <row r="653" spans="1:3" x14ac:dyDescent="0.3">
      <c r="A653" s="2" t="s">
        <v>1119</v>
      </c>
      <c r="B653" s="2" t="s">
        <v>269</v>
      </c>
      <c r="C653" s="2" t="s">
        <v>5064</v>
      </c>
    </row>
    <row r="654" spans="1:3" x14ac:dyDescent="0.3">
      <c r="A654" s="2" t="s">
        <v>1121</v>
      </c>
      <c r="B654" s="2" t="s">
        <v>269</v>
      </c>
      <c r="C654" s="2" t="s">
        <v>5064</v>
      </c>
    </row>
    <row r="655" spans="1:3" x14ac:dyDescent="0.3">
      <c r="A655" s="2" t="s">
        <v>1123</v>
      </c>
      <c r="B655" s="2" t="s">
        <v>269</v>
      </c>
      <c r="C655" s="2" t="s">
        <v>5064</v>
      </c>
    </row>
    <row r="656" spans="1:3" x14ac:dyDescent="0.3">
      <c r="A656" s="2" t="s">
        <v>1125</v>
      </c>
      <c r="B656" s="2" t="s">
        <v>269</v>
      </c>
      <c r="C656" s="2" t="s">
        <v>5064</v>
      </c>
    </row>
    <row r="657" spans="1:3" x14ac:dyDescent="0.3">
      <c r="A657" s="2" t="s">
        <v>1127</v>
      </c>
      <c r="B657" s="2" t="s">
        <v>269</v>
      </c>
      <c r="C657" s="2" t="s">
        <v>5064</v>
      </c>
    </row>
    <row r="658" spans="1:3" x14ac:dyDescent="0.3">
      <c r="A658" s="2" t="s">
        <v>1129</v>
      </c>
      <c r="B658" s="2" t="s">
        <v>269</v>
      </c>
      <c r="C658" s="2" t="s">
        <v>5064</v>
      </c>
    </row>
    <row r="659" spans="1:3" x14ac:dyDescent="0.3">
      <c r="A659" s="2" t="s">
        <v>1131</v>
      </c>
      <c r="B659" s="2" t="s">
        <v>269</v>
      </c>
      <c r="C659" s="2" t="s">
        <v>5064</v>
      </c>
    </row>
    <row r="660" spans="1:3" x14ac:dyDescent="0.3">
      <c r="A660" s="2" t="s">
        <v>1133</v>
      </c>
      <c r="B660" s="2" t="s">
        <v>269</v>
      </c>
      <c r="C660" s="2" t="s">
        <v>5064</v>
      </c>
    </row>
    <row r="661" spans="1:3" x14ac:dyDescent="0.3">
      <c r="A661" s="2" t="s">
        <v>1135</v>
      </c>
      <c r="B661" s="2" t="s">
        <v>269</v>
      </c>
      <c r="C661" s="2" t="s">
        <v>5064</v>
      </c>
    </row>
    <row r="662" spans="1:3" x14ac:dyDescent="0.3">
      <c r="A662" s="2" t="s">
        <v>1137</v>
      </c>
      <c r="B662" s="2" t="s">
        <v>269</v>
      </c>
      <c r="C662" s="2" t="s">
        <v>5064</v>
      </c>
    </row>
    <row r="663" spans="1:3" x14ac:dyDescent="0.3">
      <c r="A663" s="2" t="s">
        <v>1138</v>
      </c>
      <c r="B663" s="2" t="s">
        <v>269</v>
      </c>
      <c r="C663" s="2" t="s">
        <v>5064</v>
      </c>
    </row>
    <row r="664" spans="1:3" x14ac:dyDescent="0.3">
      <c r="A664" s="2" t="s">
        <v>1139</v>
      </c>
      <c r="B664" s="2" t="s">
        <v>269</v>
      </c>
      <c r="C664" s="2" t="s">
        <v>5064</v>
      </c>
    </row>
    <row r="665" spans="1:3" x14ac:dyDescent="0.3">
      <c r="A665" s="2" t="s">
        <v>1141</v>
      </c>
      <c r="B665" s="2" t="s">
        <v>269</v>
      </c>
      <c r="C665" s="2" t="s">
        <v>5064</v>
      </c>
    </row>
    <row r="666" spans="1:3" x14ac:dyDescent="0.3">
      <c r="A666" s="2" t="s">
        <v>1143</v>
      </c>
      <c r="B666" s="2" t="s">
        <v>269</v>
      </c>
      <c r="C666" s="2" t="s">
        <v>5064</v>
      </c>
    </row>
    <row r="667" spans="1:3" x14ac:dyDescent="0.3">
      <c r="A667" s="2" t="s">
        <v>1145</v>
      </c>
      <c r="B667" s="2" t="s">
        <v>269</v>
      </c>
      <c r="C667" s="2" t="s">
        <v>5064</v>
      </c>
    </row>
    <row r="668" spans="1:3" x14ac:dyDescent="0.3">
      <c r="A668" s="2" t="s">
        <v>1146</v>
      </c>
      <c r="B668" s="2" t="s">
        <v>269</v>
      </c>
      <c r="C668" s="2" t="s">
        <v>5064</v>
      </c>
    </row>
    <row r="669" spans="1:3" x14ac:dyDescent="0.3">
      <c r="A669" s="2" t="s">
        <v>1148</v>
      </c>
      <c r="B669" s="2" t="s">
        <v>269</v>
      </c>
      <c r="C669" s="2" t="s">
        <v>5064</v>
      </c>
    </row>
    <row r="670" spans="1:3" x14ac:dyDescent="0.3">
      <c r="A670" s="2" t="s">
        <v>1150</v>
      </c>
      <c r="B670" s="2" t="s">
        <v>269</v>
      </c>
      <c r="C670" s="2" t="s">
        <v>5064</v>
      </c>
    </row>
    <row r="671" spans="1:3" x14ac:dyDescent="0.3">
      <c r="A671" s="2" t="s">
        <v>1152</v>
      </c>
      <c r="B671" s="2" t="s">
        <v>269</v>
      </c>
      <c r="C671" s="2" t="s">
        <v>5064</v>
      </c>
    </row>
    <row r="672" spans="1:3" x14ac:dyDescent="0.3">
      <c r="A672" s="2" t="s">
        <v>1154</v>
      </c>
      <c r="B672" s="2" t="s">
        <v>269</v>
      </c>
      <c r="C672" s="2" t="s">
        <v>5064</v>
      </c>
    </row>
    <row r="673" spans="1:3" x14ac:dyDescent="0.3">
      <c r="A673" s="2" t="s">
        <v>1156</v>
      </c>
      <c r="B673" s="2" t="s">
        <v>269</v>
      </c>
      <c r="C673" s="2" t="s">
        <v>5064</v>
      </c>
    </row>
    <row r="674" spans="1:3" x14ac:dyDescent="0.3">
      <c r="A674" s="2" t="s">
        <v>1158</v>
      </c>
      <c r="B674" s="2" t="s">
        <v>269</v>
      </c>
      <c r="C674" s="2" t="s">
        <v>5064</v>
      </c>
    </row>
    <row r="675" spans="1:3" x14ac:dyDescent="0.3">
      <c r="A675" s="2" t="s">
        <v>1160</v>
      </c>
      <c r="B675" s="2" t="s">
        <v>269</v>
      </c>
      <c r="C675" s="2" t="s">
        <v>5064</v>
      </c>
    </row>
    <row r="676" spans="1:3" x14ac:dyDescent="0.3">
      <c r="A676" s="2" t="s">
        <v>1162</v>
      </c>
      <c r="B676" s="2" t="s">
        <v>269</v>
      </c>
      <c r="C676" s="2" t="s">
        <v>5064</v>
      </c>
    </row>
    <row r="677" spans="1:3" x14ac:dyDescent="0.3">
      <c r="A677" s="2" t="s">
        <v>1164</v>
      </c>
      <c r="B677" s="2" t="s">
        <v>269</v>
      </c>
      <c r="C677" s="2" t="s">
        <v>5064</v>
      </c>
    </row>
    <row r="678" spans="1:3" x14ac:dyDescent="0.3">
      <c r="A678" s="2" t="s">
        <v>1166</v>
      </c>
      <c r="B678" s="2" t="s">
        <v>269</v>
      </c>
      <c r="C678" s="2" t="s">
        <v>5064</v>
      </c>
    </row>
    <row r="679" spans="1:3" x14ac:dyDescent="0.3">
      <c r="A679" s="2" t="s">
        <v>1168</v>
      </c>
      <c r="B679" s="2" t="s">
        <v>269</v>
      </c>
      <c r="C679" s="2" t="s">
        <v>5064</v>
      </c>
    </row>
    <row r="680" spans="1:3" x14ac:dyDescent="0.3">
      <c r="A680" s="2" t="s">
        <v>1170</v>
      </c>
      <c r="B680" s="2" t="s">
        <v>269</v>
      </c>
      <c r="C680" s="2" t="s">
        <v>5064</v>
      </c>
    </row>
    <row r="681" spans="1:3" x14ac:dyDescent="0.3">
      <c r="A681" s="2" t="s">
        <v>1172</v>
      </c>
      <c r="B681" s="2" t="s">
        <v>269</v>
      </c>
      <c r="C681" s="2" t="s">
        <v>5064</v>
      </c>
    </row>
    <row r="682" spans="1:3" x14ac:dyDescent="0.3">
      <c r="A682" s="2" t="s">
        <v>1173</v>
      </c>
      <c r="B682" s="2" t="s">
        <v>269</v>
      </c>
      <c r="C682" s="2" t="s">
        <v>5064</v>
      </c>
    </row>
    <row r="683" spans="1:3" x14ac:dyDescent="0.3">
      <c r="A683" s="2" t="s">
        <v>1175</v>
      </c>
      <c r="B683" s="2" t="s">
        <v>269</v>
      </c>
      <c r="C683" s="2" t="s">
        <v>5064</v>
      </c>
    </row>
    <row r="684" spans="1:3" x14ac:dyDescent="0.3">
      <c r="A684" s="2" t="s">
        <v>1176</v>
      </c>
      <c r="B684" s="2" t="s">
        <v>269</v>
      </c>
      <c r="C684" s="2" t="s">
        <v>5064</v>
      </c>
    </row>
    <row r="685" spans="1:3" x14ac:dyDescent="0.3">
      <c r="A685" s="2" t="s">
        <v>1178</v>
      </c>
      <c r="B685" s="2" t="s">
        <v>269</v>
      </c>
      <c r="C685" s="2" t="s">
        <v>5064</v>
      </c>
    </row>
    <row r="686" spans="1:3" x14ac:dyDescent="0.3">
      <c r="A686" s="2" t="s">
        <v>1180</v>
      </c>
      <c r="B686" s="2" t="s">
        <v>269</v>
      </c>
      <c r="C686" s="2" t="s">
        <v>5064</v>
      </c>
    </row>
    <row r="687" spans="1:3" x14ac:dyDescent="0.3">
      <c r="A687" s="2" t="s">
        <v>1181</v>
      </c>
      <c r="B687" s="2" t="s">
        <v>269</v>
      </c>
      <c r="C687" s="2" t="s">
        <v>5064</v>
      </c>
    </row>
    <row r="688" spans="1:3" x14ac:dyDescent="0.3">
      <c r="A688" s="2" t="s">
        <v>1183</v>
      </c>
      <c r="B688" s="2" t="s">
        <v>269</v>
      </c>
      <c r="C688" s="2" t="s">
        <v>5064</v>
      </c>
    </row>
    <row r="689" spans="1:3" x14ac:dyDescent="0.3">
      <c r="A689" s="2" t="s">
        <v>1185</v>
      </c>
      <c r="B689" s="2" t="s">
        <v>269</v>
      </c>
      <c r="C689" s="2" t="s">
        <v>5064</v>
      </c>
    </row>
    <row r="690" spans="1:3" x14ac:dyDescent="0.3">
      <c r="A690" s="2" t="s">
        <v>1187</v>
      </c>
      <c r="B690" s="2" t="s">
        <v>269</v>
      </c>
      <c r="C690" s="2" t="s">
        <v>5064</v>
      </c>
    </row>
    <row r="691" spans="1:3" x14ac:dyDescent="0.3">
      <c r="A691" s="2" t="s">
        <v>1189</v>
      </c>
      <c r="B691" s="2" t="s">
        <v>269</v>
      </c>
      <c r="C691" s="2" t="s">
        <v>5064</v>
      </c>
    </row>
    <row r="692" spans="1:3" x14ac:dyDescent="0.3">
      <c r="A692" s="2" t="s">
        <v>1191</v>
      </c>
      <c r="B692" s="2" t="s">
        <v>269</v>
      </c>
      <c r="C692" s="2" t="s">
        <v>5064</v>
      </c>
    </row>
    <row r="693" spans="1:3" x14ac:dyDescent="0.3">
      <c r="A693" s="2" t="s">
        <v>1193</v>
      </c>
      <c r="B693" s="2" t="s">
        <v>269</v>
      </c>
      <c r="C693" s="2" t="s">
        <v>5064</v>
      </c>
    </row>
    <row r="694" spans="1:3" x14ac:dyDescent="0.3">
      <c r="A694" s="2" t="s">
        <v>1195</v>
      </c>
      <c r="B694" s="2" t="s">
        <v>269</v>
      </c>
      <c r="C694" s="2" t="s">
        <v>5064</v>
      </c>
    </row>
    <row r="695" spans="1:3" x14ac:dyDescent="0.3">
      <c r="A695" s="2" t="s">
        <v>1197</v>
      </c>
      <c r="B695" s="2" t="s">
        <v>269</v>
      </c>
      <c r="C695" s="2" t="s">
        <v>5064</v>
      </c>
    </row>
    <row r="696" spans="1:3" x14ac:dyDescent="0.3">
      <c r="A696" s="2" t="s">
        <v>1199</v>
      </c>
      <c r="B696" s="2" t="s">
        <v>269</v>
      </c>
      <c r="C696" s="2" t="s">
        <v>5064</v>
      </c>
    </row>
    <row r="697" spans="1:3" x14ac:dyDescent="0.3">
      <c r="A697" s="2" t="s">
        <v>1201</v>
      </c>
      <c r="B697" s="2" t="s">
        <v>269</v>
      </c>
      <c r="C697" s="2" t="s">
        <v>5064</v>
      </c>
    </row>
    <row r="698" spans="1:3" x14ac:dyDescent="0.3">
      <c r="A698" s="2" t="s">
        <v>1203</v>
      </c>
      <c r="B698" s="2" t="s">
        <v>269</v>
      </c>
      <c r="C698" s="2" t="s">
        <v>5064</v>
      </c>
    </row>
    <row r="699" spans="1:3" x14ac:dyDescent="0.3">
      <c r="A699" s="2" t="s">
        <v>1205</v>
      </c>
      <c r="B699" s="2" t="s">
        <v>269</v>
      </c>
      <c r="C699" s="2" t="s">
        <v>5064</v>
      </c>
    </row>
    <row r="700" spans="1:3" x14ac:dyDescent="0.3">
      <c r="A700" s="2" t="s">
        <v>1207</v>
      </c>
      <c r="B700" s="2" t="s">
        <v>269</v>
      </c>
      <c r="C700" s="2" t="s">
        <v>5064</v>
      </c>
    </row>
    <row r="701" spans="1:3" x14ac:dyDescent="0.3">
      <c r="A701" s="2" t="s">
        <v>1209</v>
      </c>
      <c r="B701" s="2" t="s">
        <v>269</v>
      </c>
      <c r="C701" s="2" t="s">
        <v>5064</v>
      </c>
    </row>
    <row r="702" spans="1:3" x14ac:dyDescent="0.3">
      <c r="A702" s="2" t="s">
        <v>1211</v>
      </c>
      <c r="B702" s="2" t="s">
        <v>269</v>
      </c>
      <c r="C702" s="2" t="s">
        <v>5064</v>
      </c>
    </row>
    <row r="703" spans="1:3" x14ac:dyDescent="0.3">
      <c r="A703" s="2" t="s">
        <v>1213</v>
      </c>
      <c r="B703" s="2" t="s">
        <v>269</v>
      </c>
      <c r="C703" s="2" t="s">
        <v>5064</v>
      </c>
    </row>
    <row r="704" spans="1:3" x14ac:dyDescent="0.3">
      <c r="A704" s="2" t="s">
        <v>1215</v>
      </c>
      <c r="B704" s="2" t="s">
        <v>269</v>
      </c>
      <c r="C704" s="2" t="s">
        <v>5064</v>
      </c>
    </row>
    <row r="705" spans="1:3" x14ac:dyDescent="0.3">
      <c r="A705" s="2" t="s">
        <v>1217</v>
      </c>
      <c r="B705" s="2" t="s">
        <v>269</v>
      </c>
      <c r="C705" s="2" t="s">
        <v>5064</v>
      </c>
    </row>
    <row r="706" spans="1:3" x14ac:dyDescent="0.3">
      <c r="A706" s="2" t="s">
        <v>1219</v>
      </c>
      <c r="B706" s="2" t="s">
        <v>269</v>
      </c>
      <c r="C706" s="2" t="s">
        <v>5064</v>
      </c>
    </row>
    <row r="707" spans="1:3" x14ac:dyDescent="0.3">
      <c r="A707" s="2" t="s">
        <v>1221</v>
      </c>
      <c r="B707" s="2" t="s">
        <v>269</v>
      </c>
      <c r="C707" s="2" t="s">
        <v>5064</v>
      </c>
    </row>
    <row r="708" spans="1:3" x14ac:dyDescent="0.3">
      <c r="A708" s="2" t="s">
        <v>1223</v>
      </c>
      <c r="B708" s="2" t="s">
        <v>269</v>
      </c>
      <c r="C708" s="2" t="s">
        <v>5064</v>
      </c>
    </row>
    <row r="709" spans="1:3" x14ac:dyDescent="0.3">
      <c r="A709" s="2" t="s">
        <v>1225</v>
      </c>
      <c r="B709" s="2" t="s">
        <v>269</v>
      </c>
      <c r="C709" s="2" t="s">
        <v>5064</v>
      </c>
    </row>
    <row r="710" spans="1:3" x14ac:dyDescent="0.3">
      <c r="A710" s="2" t="s">
        <v>1227</v>
      </c>
      <c r="B710" s="2" t="s">
        <v>269</v>
      </c>
      <c r="C710" s="2" t="s">
        <v>5064</v>
      </c>
    </row>
    <row r="711" spans="1:3" x14ac:dyDescent="0.3">
      <c r="A711" s="2" t="s">
        <v>1229</v>
      </c>
      <c r="B711" s="2" t="s">
        <v>269</v>
      </c>
      <c r="C711" s="2" t="s">
        <v>5064</v>
      </c>
    </row>
    <row r="712" spans="1:3" x14ac:dyDescent="0.3">
      <c r="A712" s="2" t="s">
        <v>1230</v>
      </c>
      <c r="B712" s="2" t="s">
        <v>269</v>
      </c>
      <c r="C712" s="2" t="s">
        <v>5064</v>
      </c>
    </row>
    <row r="713" spans="1:3" x14ac:dyDescent="0.3">
      <c r="A713" s="2" t="s">
        <v>1232</v>
      </c>
      <c r="B713" s="2" t="s">
        <v>269</v>
      </c>
      <c r="C713" s="2" t="s">
        <v>5064</v>
      </c>
    </row>
    <row r="714" spans="1:3" x14ac:dyDescent="0.3">
      <c r="A714" s="2" t="s">
        <v>1234</v>
      </c>
      <c r="B714" s="2" t="s">
        <v>269</v>
      </c>
      <c r="C714" s="2" t="s">
        <v>5064</v>
      </c>
    </row>
    <row r="715" spans="1:3" x14ac:dyDescent="0.3">
      <c r="A715" s="2" t="s">
        <v>1236</v>
      </c>
      <c r="B715" s="2" t="s">
        <v>269</v>
      </c>
      <c r="C715" s="2" t="s">
        <v>5064</v>
      </c>
    </row>
    <row r="716" spans="1:3" x14ac:dyDescent="0.3">
      <c r="A716" s="2" t="s">
        <v>1238</v>
      </c>
      <c r="B716" s="2" t="s">
        <v>269</v>
      </c>
      <c r="C716" s="2" t="s">
        <v>5064</v>
      </c>
    </row>
    <row r="717" spans="1:3" x14ac:dyDescent="0.3">
      <c r="A717" s="2" t="s">
        <v>1240</v>
      </c>
      <c r="B717" s="2" t="s">
        <v>269</v>
      </c>
      <c r="C717" s="2" t="s">
        <v>5064</v>
      </c>
    </row>
    <row r="718" spans="1:3" x14ac:dyDescent="0.3">
      <c r="A718" s="2" t="s">
        <v>1242</v>
      </c>
      <c r="B718" s="2" t="s">
        <v>269</v>
      </c>
      <c r="C718" s="2" t="s">
        <v>5064</v>
      </c>
    </row>
    <row r="719" spans="1:3" x14ac:dyDescent="0.3">
      <c r="A719" s="2" t="s">
        <v>1244</v>
      </c>
      <c r="B719" s="2" t="s">
        <v>269</v>
      </c>
      <c r="C719" s="2" t="s">
        <v>5064</v>
      </c>
    </row>
    <row r="720" spans="1:3" x14ac:dyDescent="0.3">
      <c r="A720" s="2" t="s">
        <v>1246</v>
      </c>
      <c r="B720" s="2" t="s">
        <v>269</v>
      </c>
      <c r="C720" s="2" t="s">
        <v>5064</v>
      </c>
    </row>
    <row r="721" spans="1:3" x14ac:dyDescent="0.3">
      <c r="A721" s="2" t="s">
        <v>1247</v>
      </c>
      <c r="B721" s="2" t="s">
        <v>269</v>
      </c>
      <c r="C721" s="2" t="s">
        <v>5064</v>
      </c>
    </row>
    <row r="722" spans="1:3" x14ac:dyDescent="0.3">
      <c r="A722" s="2" t="s">
        <v>1248</v>
      </c>
      <c r="B722" s="2" t="s">
        <v>269</v>
      </c>
      <c r="C722" s="2" t="s">
        <v>5064</v>
      </c>
    </row>
    <row r="723" spans="1:3" x14ac:dyDescent="0.3">
      <c r="A723" s="2" t="s">
        <v>1250</v>
      </c>
      <c r="B723" s="2" t="s">
        <v>269</v>
      </c>
      <c r="C723" s="2" t="s">
        <v>5064</v>
      </c>
    </row>
    <row r="724" spans="1:3" x14ac:dyDescent="0.3">
      <c r="A724" s="2" t="s">
        <v>1251</v>
      </c>
      <c r="B724" s="2" t="s">
        <v>269</v>
      </c>
      <c r="C724" s="2" t="s">
        <v>5064</v>
      </c>
    </row>
    <row r="725" spans="1:3" x14ac:dyDescent="0.3">
      <c r="A725" s="2" t="s">
        <v>1253</v>
      </c>
      <c r="B725" s="2" t="s">
        <v>269</v>
      </c>
      <c r="C725" s="2" t="s">
        <v>5064</v>
      </c>
    </row>
    <row r="726" spans="1:3" x14ac:dyDescent="0.3">
      <c r="A726" s="2" t="s">
        <v>1255</v>
      </c>
      <c r="B726" s="2" t="s">
        <v>269</v>
      </c>
      <c r="C726" s="2" t="s">
        <v>5064</v>
      </c>
    </row>
    <row r="727" spans="1:3" x14ac:dyDescent="0.3">
      <c r="A727" s="2" t="s">
        <v>1257</v>
      </c>
      <c r="B727" s="2" t="s">
        <v>269</v>
      </c>
      <c r="C727" s="2" t="s">
        <v>5064</v>
      </c>
    </row>
    <row r="728" spans="1:3" x14ac:dyDescent="0.3">
      <c r="A728" s="2" t="s">
        <v>1259</v>
      </c>
      <c r="B728" s="2" t="s">
        <v>269</v>
      </c>
      <c r="C728" s="2" t="s">
        <v>5064</v>
      </c>
    </row>
    <row r="729" spans="1:3" x14ac:dyDescent="0.3">
      <c r="A729" s="2" t="s">
        <v>1261</v>
      </c>
      <c r="B729" s="2" t="s">
        <v>269</v>
      </c>
      <c r="C729" s="2" t="s">
        <v>5064</v>
      </c>
    </row>
    <row r="730" spans="1:3" x14ac:dyDescent="0.3">
      <c r="A730" s="2" t="s">
        <v>1262</v>
      </c>
      <c r="B730" s="2" t="s">
        <v>269</v>
      </c>
      <c r="C730" s="2" t="s">
        <v>5064</v>
      </c>
    </row>
    <row r="731" spans="1:3" x14ac:dyDescent="0.3">
      <c r="A731" s="2" t="s">
        <v>1264</v>
      </c>
      <c r="B731" s="2" t="s">
        <v>269</v>
      </c>
      <c r="C731" s="2" t="s">
        <v>5064</v>
      </c>
    </row>
    <row r="732" spans="1:3" x14ac:dyDescent="0.3">
      <c r="A732" s="2" t="s">
        <v>1265</v>
      </c>
      <c r="B732" s="2" t="s">
        <v>269</v>
      </c>
      <c r="C732" s="2" t="s">
        <v>5064</v>
      </c>
    </row>
    <row r="733" spans="1:3" x14ac:dyDescent="0.3">
      <c r="A733" s="2" t="s">
        <v>1266</v>
      </c>
      <c r="B733" s="2" t="s">
        <v>269</v>
      </c>
      <c r="C733" s="2" t="s">
        <v>5064</v>
      </c>
    </row>
    <row r="734" spans="1:3" x14ac:dyDescent="0.3">
      <c r="A734" s="2" t="s">
        <v>1267</v>
      </c>
      <c r="B734" s="2" t="s">
        <v>269</v>
      </c>
      <c r="C734" s="2" t="s">
        <v>5064</v>
      </c>
    </row>
    <row r="735" spans="1:3" x14ac:dyDescent="0.3">
      <c r="A735" s="2" t="s">
        <v>1268</v>
      </c>
      <c r="B735" s="2" t="s">
        <v>269</v>
      </c>
      <c r="C735" s="2" t="s">
        <v>5064</v>
      </c>
    </row>
    <row r="736" spans="1:3" x14ac:dyDescent="0.3">
      <c r="A736" s="2" t="s">
        <v>1269</v>
      </c>
      <c r="B736" s="2" t="s">
        <v>269</v>
      </c>
      <c r="C736" s="2" t="s">
        <v>5064</v>
      </c>
    </row>
    <row r="737" spans="1:3" x14ac:dyDescent="0.3">
      <c r="A737" s="2" t="s">
        <v>1271</v>
      </c>
      <c r="B737" s="2" t="s">
        <v>269</v>
      </c>
      <c r="C737" s="2" t="s">
        <v>5064</v>
      </c>
    </row>
    <row r="738" spans="1:3" x14ac:dyDescent="0.3">
      <c r="A738" s="2" t="s">
        <v>1273</v>
      </c>
      <c r="B738" s="2" t="s">
        <v>269</v>
      </c>
      <c r="C738" s="2" t="s">
        <v>5064</v>
      </c>
    </row>
    <row r="739" spans="1:3" x14ac:dyDescent="0.3">
      <c r="A739" s="2" t="s">
        <v>1275</v>
      </c>
      <c r="B739" s="2" t="s">
        <v>269</v>
      </c>
      <c r="C739" s="2" t="s">
        <v>5064</v>
      </c>
    </row>
    <row r="740" spans="1:3" x14ac:dyDescent="0.3">
      <c r="A740" s="2" t="s">
        <v>1277</v>
      </c>
      <c r="B740" s="2" t="s">
        <v>269</v>
      </c>
      <c r="C740" s="2" t="s">
        <v>5064</v>
      </c>
    </row>
    <row r="741" spans="1:3" x14ac:dyDescent="0.3">
      <c r="A741" s="2" t="s">
        <v>1279</v>
      </c>
      <c r="B741" s="2" t="s">
        <v>269</v>
      </c>
      <c r="C741" s="2" t="s">
        <v>5064</v>
      </c>
    </row>
    <row r="742" spans="1:3" x14ac:dyDescent="0.3">
      <c r="A742" s="2" t="s">
        <v>1281</v>
      </c>
      <c r="B742" s="2" t="s">
        <v>269</v>
      </c>
      <c r="C742" s="2" t="s">
        <v>5064</v>
      </c>
    </row>
    <row r="743" spans="1:3" x14ac:dyDescent="0.3">
      <c r="A743" s="2" t="s">
        <v>1283</v>
      </c>
      <c r="B743" s="2" t="s">
        <v>269</v>
      </c>
      <c r="C743" s="2" t="s">
        <v>5064</v>
      </c>
    </row>
    <row r="744" spans="1:3" x14ac:dyDescent="0.3">
      <c r="A744" s="2" t="s">
        <v>1285</v>
      </c>
      <c r="B744" s="2" t="s">
        <v>269</v>
      </c>
      <c r="C744" s="2" t="s">
        <v>5064</v>
      </c>
    </row>
    <row r="745" spans="1:3" x14ac:dyDescent="0.3">
      <c r="A745" s="2" t="s">
        <v>1287</v>
      </c>
      <c r="B745" s="2" t="s">
        <v>269</v>
      </c>
      <c r="C745" s="2" t="s">
        <v>5064</v>
      </c>
    </row>
    <row r="746" spans="1:3" x14ac:dyDescent="0.3">
      <c r="A746" s="2" t="s">
        <v>1289</v>
      </c>
      <c r="B746" s="2" t="s">
        <v>269</v>
      </c>
      <c r="C746" s="2" t="s">
        <v>5064</v>
      </c>
    </row>
    <row r="747" spans="1:3" x14ac:dyDescent="0.3">
      <c r="A747" s="2" t="s">
        <v>1291</v>
      </c>
      <c r="B747" s="2" t="s">
        <v>269</v>
      </c>
      <c r="C747" s="2" t="s">
        <v>5064</v>
      </c>
    </row>
    <row r="748" spans="1:3" x14ac:dyDescent="0.3">
      <c r="A748" s="2" t="s">
        <v>1292</v>
      </c>
      <c r="B748" s="2" t="s">
        <v>269</v>
      </c>
      <c r="C748" s="2" t="s">
        <v>5064</v>
      </c>
    </row>
    <row r="749" spans="1:3" x14ac:dyDescent="0.3">
      <c r="A749" s="2" t="s">
        <v>1294</v>
      </c>
      <c r="B749" s="2" t="s">
        <v>269</v>
      </c>
      <c r="C749" s="2" t="s">
        <v>5064</v>
      </c>
    </row>
    <row r="750" spans="1:3" x14ac:dyDescent="0.3">
      <c r="A750" s="2" t="s">
        <v>1296</v>
      </c>
      <c r="B750" s="2" t="s">
        <v>269</v>
      </c>
      <c r="C750" s="2" t="s">
        <v>5064</v>
      </c>
    </row>
    <row r="751" spans="1:3" x14ac:dyDescent="0.3">
      <c r="A751" s="2" t="s">
        <v>1298</v>
      </c>
      <c r="B751" s="2" t="s">
        <v>269</v>
      </c>
      <c r="C751" s="2" t="s">
        <v>5064</v>
      </c>
    </row>
    <row r="752" spans="1:3" x14ac:dyDescent="0.3">
      <c r="A752" s="2" t="s">
        <v>1300</v>
      </c>
      <c r="B752" s="2" t="s">
        <v>269</v>
      </c>
      <c r="C752" s="2" t="s">
        <v>5064</v>
      </c>
    </row>
    <row r="753" spans="1:3" x14ac:dyDescent="0.3">
      <c r="A753" s="2" t="s">
        <v>1302</v>
      </c>
      <c r="B753" s="2" t="s">
        <v>269</v>
      </c>
      <c r="C753" s="2" t="s">
        <v>5064</v>
      </c>
    </row>
    <row r="754" spans="1:3" x14ac:dyDescent="0.3">
      <c r="A754" s="2" t="s">
        <v>1303</v>
      </c>
      <c r="B754" s="2" t="s">
        <v>269</v>
      </c>
      <c r="C754" s="2" t="s">
        <v>5064</v>
      </c>
    </row>
    <row r="755" spans="1:3" x14ac:dyDescent="0.3">
      <c r="A755" s="2" t="s">
        <v>1305</v>
      </c>
      <c r="B755" s="2" t="s">
        <v>269</v>
      </c>
      <c r="C755" s="2" t="s">
        <v>5064</v>
      </c>
    </row>
    <row r="756" spans="1:3" x14ac:dyDescent="0.3">
      <c r="A756" s="2" t="s">
        <v>1307</v>
      </c>
      <c r="B756" s="2" t="s">
        <v>269</v>
      </c>
      <c r="C756" s="2" t="s">
        <v>5064</v>
      </c>
    </row>
    <row r="757" spans="1:3" x14ac:dyDescent="0.3">
      <c r="A757" s="2" t="s">
        <v>1309</v>
      </c>
      <c r="B757" s="2" t="s">
        <v>269</v>
      </c>
      <c r="C757" s="2" t="s">
        <v>5064</v>
      </c>
    </row>
    <row r="758" spans="1:3" x14ac:dyDescent="0.3">
      <c r="A758" s="2" t="s">
        <v>1311</v>
      </c>
      <c r="B758" s="2" t="s">
        <v>269</v>
      </c>
      <c r="C758" s="2" t="s">
        <v>5064</v>
      </c>
    </row>
    <row r="759" spans="1:3" x14ac:dyDescent="0.3">
      <c r="A759" s="2" t="s">
        <v>1313</v>
      </c>
      <c r="B759" s="2" t="s">
        <v>269</v>
      </c>
      <c r="C759" s="2" t="s">
        <v>5064</v>
      </c>
    </row>
    <row r="760" spans="1:3" x14ac:dyDescent="0.3">
      <c r="A760" s="2" t="s">
        <v>1315</v>
      </c>
      <c r="B760" s="2" t="s">
        <v>269</v>
      </c>
      <c r="C760" s="2" t="s">
        <v>5064</v>
      </c>
    </row>
    <row r="761" spans="1:3" x14ac:dyDescent="0.3">
      <c r="A761" s="2" t="s">
        <v>1317</v>
      </c>
      <c r="B761" s="2" t="s">
        <v>269</v>
      </c>
      <c r="C761" s="2" t="s">
        <v>5064</v>
      </c>
    </row>
    <row r="762" spans="1:3" x14ac:dyDescent="0.3">
      <c r="A762" s="2" t="s">
        <v>1319</v>
      </c>
      <c r="B762" s="2" t="s">
        <v>269</v>
      </c>
      <c r="C762" s="2" t="s">
        <v>5064</v>
      </c>
    </row>
    <row r="763" spans="1:3" x14ac:dyDescent="0.3">
      <c r="A763" s="2" t="s">
        <v>1321</v>
      </c>
      <c r="B763" s="2" t="s">
        <v>269</v>
      </c>
      <c r="C763" s="2" t="s">
        <v>5064</v>
      </c>
    </row>
    <row r="764" spans="1:3" x14ac:dyDescent="0.3">
      <c r="A764" s="2" t="s">
        <v>1323</v>
      </c>
      <c r="B764" s="2" t="s">
        <v>269</v>
      </c>
      <c r="C764" s="2" t="s">
        <v>5064</v>
      </c>
    </row>
    <row r="765" spans="1:3" x14ac:dyDescent="0.3">
      <c r="A765" s="2" t="s">
        <v>1325</v>
      </c>
      <c r="B765" s="2" t="s">
        <v>269</v>
      </c>
      <c r="C765" s="2" t="s">
        <v>5064</v>
      </c>
    </row>
    <row r="766" spans="1:3" x14ac:dyDescent="0.3">
      <c r="A766" s="2" t="s">
        <v>1327</v>
      </c>
      <c r="B766" s="2" t="s">
        <v>269</v>
      </c>
      <c r="C766" s="2" t="s">
        <v>5064</v>
      </c>
    </row>
    <row r="767" spans="1:3" x14ac:dyDescent="0.3">
      <c r="A767" s="2" t="s">
        <v>1328</v>
      </c>
      <c r="B767" s="2" t="s">
        <v>269</v>
      </c>
      <c r="C767" s="2" t="s">
        <v>5064</v>
      </c>
    </row>
    <row r="768" spans="1:3" x14ac:dyDescent="0.3">
      <c r="A768" s="2" t="s">
        <v>1330</v>
      </c>
      <c r="B768" s="2" t="s">
        <v>269</v>
      </c>
      <c r="C768" s="2" t="s">
        <v>5064</v>
      </c>
    </row>
    <row r="769" spans="1:3" x14ac:dyDescent="0.3">
      <c r="A769" s="2" t="s">
        <v>1331</v>
      </c>
      <c r="B769" s="2" t="s">
        <v>269</v>
      </c>
      <c r="C769" s="2" t="s">
        <v>5064</v>
      </c>
    </row>
    <row r="770" spans="1:3" x14ac:dyDescent="0.3">
      <c r="A770" s="2" t="s">
        <v>1333</v>
      </c>
      <c r="B770" s="2" t="s">
        <v>269</v>
      </c>
      <c r="C770" s="2" t="s">
        <v>5064</v>
      </c>
    </row>
    <row r="771" spans="1:3" x14ac:dyDescent="0.3">
      <c r="A771" s="2" t="s">
        <v>1334</v>
      </c>
      <c r="B771" s="2" t="s">
        <v>269</v>
      </c>
      <c r="C771" s="2" t="s">
        <v>5064</v>
      </c>
    </row>
    <row r="772" spans="1:3" x14ac:dyDescent="0.3">
      <c r="A772" s="2" t="s">
        <v>1335</v>
      </c>
      <c r="B772" s="2" t="s">
        <v>269</v>
      </c>
      <c r="C772" s="2" t="s">
        <v>5064</v>
      </c>
    </row>
    <row r="773" spans="1:3" x14ac:dyDescent="0.3">
      <c r="A773" s="2" t="s">
        <v>1336</v>
      </c>
      <c r="B773" s="2" t="s">
        <v>269</v>
      </c>
      <c r="C773" s="2" t="s">
        <v>5064</v>
      </c>
    </row>
    <row r="774" spans="1:3" x14ac:dyDescent="0.3">
      <c r="A774" s="2" t="s">
        <v>1338</v>
      </c>
      <c r="B774" s="2" t="s">
        <v>269</v>
      </c>
      <c r="C774" s="2" t="s">
        <v>5064</v>
      </c>
    </row>
    <row r="775" spans="1:3" x14ac:dyDescent="0.3">
      <c r="A775" s="2" t="s">
        <v>1339</v>
      </c>
      <c r="B775" s="2" t="s">
        <v>269</v>
      </c>
      <c r="C775" s="2" t="s">
        <v>5064</v>
      </c>
    </row>
    <row r="776" spans="1:3" x14ac:dyDescent="0.3">
      <c r="A776" s="2" t="s">
        <v>1341</v>
      </c>
      <c r="B776" s="2" t="s">
        <v>269</v>
      </c>
      <c r="C776" s="2" t="s">
        <v>5064</v>
      </c>
    </row>
    <row r="777" spans="1:3" x14ac:dyDescent="0.3">
      <c r="A777" s="2" t="s">
        <v>1342</v>
      </c>
      <c r="B777" s="2" t="s">
        <v>269</v>
      </c>
      <c r="C777" s="2" t="s">
        <v>5064</v>
      </c>
    </row>
    <row r="778" spans="1:3" x14ac:dyDescent="0.3">
      <c r="A778" s="2" t="s">
        <v>1344</v>
      </c>
      <c r="B778" s="2" t="s">
        <v>269</v>
      </c>
      <c r="C778" s="2" t="s">
        <v>5064</v>
      </c>
    </row>
    <row r="779" spans="1:3" x14ac:dyDescent="0.3">
      <c r="A779" s="2" t="s">
        <v>1345</v>
      </c>
      <c r="B779" s="2" t="s">
        <v>269</v>
      </c>
      <c r="C779" s="2" t="s">
        <v>5064</v>
      </c>
    </row>
    <row r="780" spans="1:3" x14ac:dyDescent="0.3">
      <c r="A780" s="2" t="s">
        <v>1346</v>
      </c>
      <c r="B780" s="2" t="s">
        <v>269</v>
      </c>
      <c r="C780" s="2" t="s">
        <v>5064</v>
      </c>
    </row>
    <row r="781" spans="1:3" x14ac:dyDescent="0.3">
      <c r="A781" s="2" t="s">
        <v>1348</v>
      </c>
      <c r="B781" s="2" t="s">
        <v>269</v>
      </c>
      <c r="C781" s="2" t="s">
        <v>5064</v>
      </c>
    </row>
    <row r="782" spans="1:3" x14ac:dyDescent="0.3">
      <c r="A782" s="2" t="s">
        <v>1350</v>
      </c>
      <c r="B782" s="2" t="s">
        <v>269</v>
      </c>
      <c r="C782" s="2" t="s">
        <v>5064</v>
      </c>
    </row>
    <row r="783" spans="1:3" x14ac:dyDescent="0.3">
      <c r="A783" s="2" t="s">
        <v>1352</v>
      </c>
      <c r="B783" s="2" t="s">
        <v>269</v>
      </c>
      <c r="C783" s="2" t="s">
        <v>5064</v>
      </c>
    </row>
    <row r="784" spans="1:3" x14ac:dyDescent="0.3">
      <c r="A784" s="2" t="s">
        <v>1354</v>
      </c>
      <c r="B784" s="2" t="s">
        <v>269</v>
      </c>
      <c r="C784" s="2" t="s">
        <v>5064</v>
      </c>
    </row>
    <row r="785" spans="1:3" x14ac:dyDescent="0.3">
      <c r="A785" s="2" t="s">
        <v>1356</v>
      </c>
      <c r="B785" s="2" t="s">
        <v>269</v>
      </c>
      <c r="C785" s="2" t="s">
        <v>5064</v>
      </c>
    </row>
    <row r="786" spans="1:3" x14ac:dyDescent="0.3">
      <c r="A786" s="2" t="s">
        <v>1358</v>
      </c>
      <c r="B786" s="2" t="s">
        <v>269</v>
      </c>
      <c r="C786" s="2" t="s">
        <v>5064</v>
      </c>
    </row>
    <row r="787" spans="1:3" x14ac:dyDescent="0.3">
      <c r="A787" s="2" t="s">
        <v>1360</v>
      </c>
      <c r="B787" s="2" t="s">
        <v>269</v>
      </c>
      <c r="C787" s="2" t="s">
        <v>5064</v>
      </c>
    </row>
    <row r="788" spans="1:3" x14ac:dyDescent="0.3">
      <c r="A788" s="2" t="s">
        <v>1362</v>
      </c>
      <c r="B788" s="2" t="s">
        <v>269</v>
      </c>
      <c r="C788" s="2" t="s">
        <v>5064</v>
      </c>
    </row>
    <row r="789" spans="1:3" x14ac:dyDescent="0.3">
      <c r="A789" s="2" t="s">
        <v>1363</v>
      </c>
      <c r="B789" s="2" t="s">
        <v>269</v>
      </c>
      <c r="C789" s="2" t="s">
        <v>5064</v>
      </c>
    </row>
    <row r="790" spans="1:3" x14ac:dyDescent="0.3">
      <c r="A790" s="2" t="s">
        <v>1364</v>
      </c>
      <c r="B790" s="2" t="s">
        <v>269</v>
      </c>
      <c r="C790" s="2" t="s">
        <v>5064</v>
      </c>
    </row>
    <row r="791" spans="1:3" x14ac:dyDescent="0.3">
      <c r="A791" s="2" t="s">
        <v>1366</v>
      </c>
      <c r="B791" s="2" t="s">
        <v>269</v>
      </c>
      <c r="C791" s="2" t="s">
        <v>5064</v>
      </c>
    </row>
    <row r="792" spans="1:3" x14ac:dyDescent="0.3">
      <c r="A792" s="2" t="s">
        <v>1367</v>
      </c>
      <c r="B792" s="2" t="s">
        <v>269</v>
      </c>
      <c r="C792" s="2" t="s">
        <v>5064</v>
      </c>
    </row>
    <row r="793" spans="1:3" x14ac:dyDescent="0.3">
      <c r="A793" s="2" t="s">
        <v>5123</v>
      </c>
      <c r="B793" s="2" t="s">
        <v>5067</v>
      </c>
      <c r="C793" s="2" t="s">
        <v>5067</v>
      </c>
    </row>
    <row r="794" spans="1:3" x14ac:dyDescent="0.3">
      <c r="A794" s="2" t="s">
        <v>5124</v>
      </c>
      <c r="B794" s="2" t="s">
        <v>5067</v>
      </c>
      <c r="C794" s="2" t="s">
        <v>5067</v>
      </c>
    </row>
    <row r="795" spans="1:3" x14ac:dyDescent="0.3">
      <c r="A795" s="2" t="s">
        <v>5125</v>
      </c>
      <c r="B795" s="2" t="s">
        <v>5067</v>
      </c>
      <c r="C795" s="2" t="s">
        <v>5067</v>
      </c>
    </row>
    <row r="796" spans="1:3" x14ac:dyDescent="0.3">
      <c r="A796" s="2" t="s">
        <v>5126</v>
      </c>
      <c r="B796" s="2" t="s">
        <v>5067</v>
      </c>
      <c r="C796" s="2" t="s">
        <v>5067</v>
      </c>
    </row>
    <row r="797" spans="1:3" x14ac:dyDescent="0.3">
      <c r="A797" s="2" t="s">
        <v>5127</v>
      </c>
      <c r="B797" s="2" t="s">
        <v>5067</v>
      </c>
      <c r="C797" s="2" t="s">
        <v>5067</v>
      </c>
    </row>
    <row r="798" spans="1:3" x14ac:dyDescent="0.3">
      <c r="A798" s="2" t="s">
        <v>5128</v>
      </c>
      <c r="B798" s="2" t="s">
        <v>5067</v>
      </c>
      <c r="C798" s="2" t="s">
        <v>5067</v>
      </c>
    </row>
    <row r="799" spans="1:3" x14ac:dyDescent="0.3">
      <c r="A799" s="2" t="s">
        <v>5129</v>
      </c>
      <c r="B799" s="2" t="s">
        <v>5067</v>
      </c>
      <c r="C799" s="2" t="s">
        <v>5067</v>
      </c>
    </row>
    <row r="800" spans="1:3" x14ac:dyDescent="0.3">
      <c r="A800" s="2" t="s">
        <v>5130</v>
      </c>
      <c r="B800" s="2" t="s">
        <v>5067</v>
      </c>
      <c r="C800" s="2" t="s">
        <v>5067</v>
      </c>
    </row>
    <row r="801" spans="1:3" x14ac:dyDescent="0.3">
      <c r="A801" s="2" t="s">
        <v>5131</v>
      </c>
      <c r="B801" s="2" t="s">
        <v>5067</v>
      </c>
      <c r="C801" s="2" t="s">
        <v>5067</v>
      </c>
    </row>
    <row r="802" spans="1:3" x14ac:dyDescent="0.3">
      <c r="A802" s="2" t="s">
        <v>5132</v>
      </c>
      <c r="B802" s="2" t="s">
        <v>5067</v>
      </c>
      <c r="C802" s="2" t="s">
        <v>5067</v>
      </c>
    </row>
    <row r="803" spans="1:3" x14ac:dyDescent="0.3">
      <c r="A803" s="2" t="s">
        <v>5133</v>
      </c>
      <c r="B803" s="2" t="s">
        <v>5067</v>
      </c>
      <c r="C803" s="2" t="s">
        <v>5067</v>
      </c>
    </row>
    <row r="804" spans="1:3" x14ac:dyDescent="0.3">
      <c r="A804" s="2" t="s">
        <v>5134</v>
      </c>
      <c r="B804" s="2" t="s">
        <v>5069</v>
      </c>
      <c r="C804" s="2" t="s">
        <v>5069</v>
      </c>
    </row>
    <row r="805" spans="1:3" x14ac:dyDescent="0.3">
      <c r="A805" s="2" t="s">
        <v>5135</v>
      </c>
      <c r="B805" s="2" t="s">
        <v>5069</v>
      </c>
      <c r="C805" s="2" t="s">
        <v>5069</v>
      </c>
    </row>
    <row r="806" spans="1:3" x14ac:dyDescent="0.3">
      <c r="A806" s="2" t="s">
        <v>5136</v>
      </c>
      <c r="B806" s="2" t="s">
        <v>5069</v>
      </c>
      <c r="C806" s="2" t="s">
        <v>5069</v>
      </c>
    </row>
    <row r="807" spans="1:3" x14ac:dyDescent="0.3">
      <c r="A807" s="2" t="s">
        <v>5137</v>
      </c>
      <c r="B807" s="2" t="s">
        <v>5069</v>
      </c>
      <c r="C807" s="2" t="s">
        <v>5069</v>
      </c>
    </row>
    <row r="808" spans="1:3" x14ac:dyDescent="0.3">
      <c r="A808" s="2" t="s">
        <v>5138</v>
      </c>
      <c r="B808" s="2" t="s">
        <v>5069</v>
      </c>
      <c r="C808" s="2" t="s">
        <v>5069</v>
      </c>
    </row>
    <row r="809" spans="1:3" x14ac:dyDescent="0.3">
      <c r="A809" s="2" t="s">
        <v>5139</v>
      </c>
      <c r="B809" s="2" t="s">
        <v>5069</v>
      </c>
      <c r="C809" s="2" t="s">
        <v>5069</v>
      </c>
    </row>
    <row r="810" spans="1:3" x14ac:dyDescent="0.3">
      <c r="A810" s="2" t="s">
        <v>5140</v>
      </c>
      <c r="B810" s="2" t="s">
        <v>5069</v>
      </c>
      <c r="C810" s="2" t="s">
        <v>5069</v>
      </c>
    </row>
    <row r="811" spans="1:3" x14ac:dyDescent="0.3">
      <c r="A811" s="2" t="s">
        <v>5141</v>
      </c>
      <c r="B811" s="2" t="s">
        <v>5069</v>
      </c>
      <c r="C811" s="2" t="s">
        <v>5069</v>
      </c>
    </row>
    <row r="812" spans="1:3" x14ac:dyDescent="0.3">
      <c r="A812" s="2" t="s">
        <v>5142</v>
      </c>
      <c r="B812" s="2" t="s">
        <v>5069</v>
      </c>
      <c r="C812" s="2" t="s">
        <v>5069</v>
      </c>
    </row>
    <row r="813" spans="1:3" x14ac:dyDescent="0.3">
      <c r="A813" s="2" t="s">
        <v>5143</v>
      </c>
      <c r="B813" s="2" t="s">
        <v>5069</v>
      </c>
      <c r="C813" s="2" t="s">
        <v>5069</v>
      </c>
    </row>
    <row r="814" spans="1:3" x14ac:dyDescent="0.3">
      <c r="A814" s="2" t="s">
        <v>5144</v>
      </c>
      <c r="B814" s="2" t="s">
        <v>5069</v>
      </c>
      <c r="C814" s="2" t="s">
        <v>5069</v>
      </c>
    </row>
    <row r="815" spans="1:3" x14ac:dyDescent="0.3">
      <c r="A815" s="2" t="s">
        <v>5145</v>
      </c>
      <c r="B815" s="2" t="s">
        <v>5069</v>
      </c>
      <c r="C815" s="2" t="s">
        <v>5069</v>
      </c>
    </row>
    <row r="816" spans="1:3" x14ac:dyDescent="0.3">
      <c r="A816" s="2" t="s">
        <v>5146</v>
      </c>
      <c r="B816" s="2" t="s">
        <v>5069</v>
      </c>
      <c r="C816" s="2" t="s">
        <v>5069</v>
      </c>
    </row>
    <row r="817" spans="1:3" x14ac:dyDescent="0.3">
      <c r="A817" s="2" t="s">
        <v>5147</v>
      </c>
      <c r="B817" s="2" t="s">
        <v>5068</v>
      </c>
      <c r="C817" s="2" t="s">
        <v>5148</v>
      </c>
    </row>
    <row r="818" spans="1:3" x14ac:dyDescent="0.3">
      <c r="A818" s="2" t="s">
        <v>5149</v>
      </c>
      <c r="B818" s="2" t="s">
        <v>5068</v>
      </c>
      <c r="C818" s="2" t="s">
        <v>5148</v>
      </c>
    </row>
    <row r="819" spans="1:3" x14ac:dyDescent="0.3">
      <c r="A819" s="2" t="s">
        <v>5150</v>
      </c>
      <c r="B819" s="2" t="s">
        <v>5068</v>
      </c>
      <c r="C819" s="2" t="s">
        <v>5148</v>
      </c>
    </row>
    <row r="820" spans="1:3" x14ac:dyDescent="0.3">
      <c r="A820" s="2" t="s">
        <v>5151</v>
      </c>
      <c r="B820" s="2" t="s">
        <v>5068</v>
      </c>
      <c r="C820" s="2" t="s">
        <v>5148</v>
      </c>
    </row>
    <row r="821" spans="1:3" x14ac:dyDescent="0.3">
      <c r="A821" s="2" t="s">
        <v>5152</v>
      </c>
      <c r="B821" s="2" t="s">
        <v>5068</v>
      </c>
      <c r="C821" s="2" t="s">
        <v>5148</v>
      </c>
    </row>
    <row r="822" spans="1:3" x14ac:dyDescent="0.3">
      <c r="A822" s="2" t="s">
        <v>5153</v>
      </c>
      <c r="B822" s="2" t="s">
        <v>5068</v>
      </c>
      <c r="C822" s="2" t="s">
        <v>5148</v>
      </c>
    </row>
    <row r="823" spans="1:3" x14ac:dyDescent="0.3">
      <c r="A823" s="2" t="s">
        <v>5154</v>
      </c>
      <c r="B823" s="2" t="s">
        <v>5068</v>
      </c>
      <c r="C823" s="2" t="s">
        <v>5148</v>
      </c>
    </row>
    <row r="824" spans="1:3" x14ac:dyDescent="0.3">
      <c r="A824" s="2" t="s">
        <v>5155</v>
      </c>
      <c r="B824" s="2" t="s">
        <v>5068</v>
      </c>
      <c r="C824" s="2" t="s">
        <v>5148</v>
      </c>
    </row>
    <row r="825" spans="1:3" x14ac:dyDescent="0.3">
      <c r="A825" s="2" t="s">
        <v>5156</v>
      </c>
      <c r="B825" s="2" t="s">
        <v>5068</v>
      </c>
      <c r="C825" s="2" t="s">
        <v>5148</v>
      </c>
    </row>
    <row r="826" spans="1:3" x14ac:dyDescent="0.3">
      <c r="A826" s="2" t="s">
        <v>5157</v>
      </c>
      <c r="B826" s="2" t="s">
        <v>5068</v>
      </c>
      <c r="C826" s="2" t="s">
        <v>5148</v>
      </c>
    </row>
    <row r="827" spans="1:3" x14ac:dyDescent="0.3">
      <c r="A827" s="2" t="s">
        <v>5158</v>
      </c>
      <c r="B827" s="2" t="s">
        <v>5068</v>
      </c>
      <c r="C827" s="2" t="s">
        <v>5148</v>
      </c>
    </row>
    <row r="828" spans="1:3" x14ac:dyDescent="0.3">
      <c r="A828" s="2" t="s">
        <v>5159</v>
      </c>
      <c r="B828" s="2" t="s">
        <v>5068</v>
      </c>
      <c r="C828" s="2" t="s">
        <v>5148</v>
      </c>
    </row>
    <row r="829" spans="1:3" x14ac:dyDescent="0.3">
      <c r="A829" s="2" t="s">
        <v>5160</v>
      </c>
      <c r="B829" s="2" t="s">
        <v>5070</v>
      </c>
      <c r="C829" s="2" t="s">
        <v>5070</v>
      </c>
    </row>
    <row r="830" spans="1:3" x14ac:dyDescent="0.3">
      <c r="A830" s="2" t="s">
        <v>5161</v>
      </c>
      <c r="B830" s="2" t="s">
        <v>5070</v>
      </c>
      <c r="C830" s="2" t="s">
        <v>5070</v>
      </c>
    </row>
    <row r="831" spans="1:3" x14ac:dyDescent="0.3">
      <c r="A831" s="2" t="s">
        <v>5162</v>
      </c>
      <c r="B831" s="2" t="s">
        <v>5070</v>
      </c>
      <c r="C831" s="2" t="s">
        <v>5070</v>
      </c>
    </row>
    <row r="832" spans="1:3" x14ac:dyDescent="0.3">
      <c r="A832" s="2" t="s">
        <v>5163</v>
      </c>
      <c r="B832" s="2" t="s">
        <v>5070</v>
      </c>
      <c r="C832" s="2" t="s">
        <v>5070</v>
      </c>
    </row>
    <row r="833" spans="1:3" x14ac:dyDescent="0.3">
      <c r="A833" s="2" t="s">
        <v>5164</v>
      </c>
      <c r="B833" s="2" t="s">
        <v>5071</v>
      </c>
      <c r="C833" s="2" t="s">
        <v>5071</v>
      </c>
    </row>
    <row r="834" spans="1:3" x14ac:dyDescent="0.3">
      <c r="A834" s="2" t="s">
        <v>5165</v>
      </c>
      <c r="B834" s="2" t="s">
        <v>5071</v>
      </c>
      <c r="C834" s="2" t="s">
        <v>5071</v>
      </c>
    </row>
    <row r="835" spans="1:3" x14ac:dyDescent="0.3">
      <c r="A835" s="2" t="s">
        <v>5166</v>
      </c>
      <c r="B835" s="2" t="s">
        <v>5071</v>
      </c>
      <c r="C835" s="2" t="s">
        <v>5071</v>
      </c>
    </row>
    <row r="836" spans="1:3" x14ac:dyDescent="0.3">
      <c r="A836" s="2" t="s">
        <v>5167</v>
      </c>
      <c r="B836" s="2" t="s">
        <v>5071</v>
      </c>
      <c r="C836" s="2" t="s">
        <v>5071</v>
      </c>
    </row>
    <row r="837" spans="1:3" x14ac:dyDescent="0.3">
      <c r="A837" s="2" t="s">
        <v>5168</v>
      </c>
      <c r="B837" s="2" t="s">
        <v>5071</v>
      </c>
      <c r="C837" s="2" t="s">
        <v>5071</v>
      </c>
    </row>
    <row r="838" spans="1:3" x14ac:dyDescent="0.3">
      <c r="A838" s="2" t="s">
        <v>5169</v>
      </c>
      <c r="B838" s="2" t="s">
        <v>5071</v>
      </c>
      <c r="C838" s="2" t="s">
        <v>5071</v>
      </c>
    </row>
    <row r="839" spans="1:3" x14ac:dyDescent="0.3">
      <c r="A839" s="2" t="s">
        <v>5170</v>
      </c>
      <c r="B839" s="2" t="s">
        <v>5071</v>
      </c>
      <c r="C839" s="2" t="s">
        <v>5071</v>
      </c>
    </row>
    <row r="840" spans="1:3" x14ac:dyDescent="0.3">
      <c r="A840" s="2" t="s">
        <v>5171</v>
      </c>
      <c r="B840" s="2" t="s">
        <v>5071</v>
      </c>
      <c r="C840" s="2" t="s">
        <v>5071</v>
      </c>
    </row>
    <row r="841" spans="1:3" x14ac:dyDescent="0.3">
      <c r="A841" s="2" t="s">
        <v>5172</v>
      </c>
      <c r="B841" s="2" t="s">
        <v>5071</v>
      </c>
      <c r="C841" s="2" t="s">
        <v>5071</v>
      </c>
    </row>
    <row r="842" spans="1:3" x14ac:dyDescent="0.3">
      <c r="A842" s="2" t="s">
        <v>5173</v>
      </c>
      <c r="B842" s="2" t="s">
        <v>5071</v>
      </c>
      <c r="C842" s="2" t="s">
        <v>5071</v>
      </c>
    </row>
    <row r="843" spans="1:3" x14ac:dyDescent="0.3">
      <c r="A843" s="2" t="s">
        <v>5174</v>
      </c>
      <c r="B843" s="2" t="s">
        <v>5071</v>
      </c>
      <c r="C843" s="2" t="s">
        <v>5071</v>
      </c>
    </row>
    <row r="844" spans="1:3" x14ac:dyDescent="0.3">
      <c r="A844" s="2" t="s">
        <v>5175</v>
      </c>
      <c r="B844" s="2" t="s">
        <v>5071</v>
      </c>
      <c r="C844" s="2" t="s">
        <v>5071</v>
      </c>
    </row>
    <row r="845" spans="1:3" x14ac:dyDescent="0.3">
      <c r="A845" s="2" t="s">
        <v>5176</v>
      </c>
      <c r="B845" s="2" t="s">
        <v>5071</v>
      </c>
      <c r="C845" s="2" t="s">
        <v>5071</v>
      </c>
    </row>
    <row r="846" spans="1:3" x14ac:dyDescent="0.3">
      <c r="A846" s="2" t="s">
        <v>5177</v>
      </c>
      <c r="B846" s="2" t="s">
        <v>5071</v>
      </c>
      <c r="C846" s="2" t="s">
        <v>5071</v>
      </c>
    </row>
    <row r="847" spans="1:3" x14ac:dyDescent="0.3">
      <c r="A847" s="2" t="s">
        <v>5178</v>
      </c>
      <c r="B847" s="2" t="s">
        <v>5071</v>
      </c>
      <c r="C847" s="2" t="s">
        <v>5071</v>
      </c>
    </row>
    <row r="848" spans="1:3" x14ac:dyDescent="0.3">
      <c r="A848" s="2" t="s">
        <v>5179</v>
      </c>
      <c r="B848" s="2" t="s">
        <v>5071</v>
      </c>
      <c r="C848" s="2" t="s">
        <v>5071</v>
      </c>
    </row>
    <row r="849" spans="1:3" x14ac:dyDescent="0.3">
      <c r="A849" s="2" t="s">
        <v>5180</v>
      </c>
      <c r="B849" s="2" t="s">
        <v>5071</v>
      </c>
      <c r="C849" s="2" t="s">
        <v>5071</v>
      </c>
    </row>
    <row r="850" spans="1:3" x14ac:dyDescent="0.3">
      <c r="A850" s="2" t="s">
        <v>5181</v>
      </c>
      <c r="B850" s="2" t="s">
        <v>5071</v>
      </c>
      <c r="C850" s="2" t="s">
        <v>5071</v>
      </c>
    </row>
    <row r="851" spans="1:3" x14ac:dyDescent="0.3">
      <c r="A851" s="2" t="s">
        <v>5182</v>
      </c>
      <c r="B851" s="2" t="s">
        <v>5071</v>
      </c>
      <c r="C851" s="2" t="s">
        <v>5071</v>
      </c>
    </row>
    <row r="852" spans="1:3" x14ac:dyDescent="0.3">
      <c r="A852" s="2" t="s">
        <v>5183</v>
      </c>
      <c r="B852" s="2" t="s">
        <v>5071</v>
      </c>
      <c r="C852" s="2" t="s">
        <v>5071</v>
      </c>
    </row>
    <row r="853" spans="1:3" x14ac:dyDescent="0.3">
      <c r="A853" s="2" t="s">
        <v>5184</v>
      </c>
      <c r="B853" s="2" t="s">
        <v>5071</v>
      </c>
      <c r="C853" s="2" t="s">
        <v>5071</v>
      </c>
    </row>
    <row r="854" spans="1:3" x14ac:dyDescent="0.3">
      <c r="A854" s="2" t="s">
        <v>5185</v>
      </c>
      <c r="B854" s="2" t="s">
        <v>5071</v>
      </c>
      <c r="C854" s="2" t="s">
        <v>5071</v>
      </c>
    </row>
    <row r="855" spans="1:3" x14ac:dyDescent="0.3">
      <c r="A855" s="2" t="s">
        <v>5186</v>
      </c>
      <c r="B855" s="2" t="s">
        <v>5071</v>
      </c>
      <c r="C855" s="2" t="s">
        <v>5071</v>
      </c>
    </row>
    <row r="856" spans="1:3" x14ac:dyDescent="0.3">
      <c r="A856" s="2" t="s">
        <v>5187</v>
      </c>
      <c r="B856" s="2" t="s">
        <v>5071</v>
      </c>
      <c r="C856" s="2" t="s">
        <v>5071</v>
      </c>
    </row>
    <row r="857" spans="1:3" x14ac:dyDescent="0.3">
      <c r="A857" s="2" t="s">
        <v>5188</v>
      </c>
      <c r="B857" s="2" t="s">
        <v>5071</v>
      </c>
      <c r="C857" s="2" t="s">
        <v>5071</v>
      </c>
    </row>
    <row r="858" spans="1:3" x14ac:dyDescent="0.3">
      <c r="A858" s="2" t="s">
        <v>5189</v>
      </c>
      <c r="B858" s="2" t="s">
        <v>5071</v>
      </c>
      <c r="C858" s="2" t="s">
        <v>5071</v>
      </c>
    </row>
    <row r="859" spans="1:3" x14ac:dyDescent="0.3">
      <c r="A859" s="2" t="s">
        <v>5190</v>
      </c>
      <c r="B859" s="2" t="s">
        <v>5071</v>
      </c>
      <c r="C859" s="2" t="s">
        <v>5071</v>
      </c>
    </row>
    <row r="860" spans="1:3" x14ac:dyDescent="0.3">
      <c r="A860" s="2" t="s">
        <v>5191</v>
      </c>
      <c r="B860" s="2" t="s">
        <v>5071</v>
      </c>
      <c r="C860" s="2" t="s">
        <v>5071</v>
      </c>
    </row>
    <row r="861" spans="1:3" x14ac:dyDescent="0.3">
      <c r="A861" s="2" t="s">
        <v>5192</v>
      </c>
      <c r="B861" s="2" t="s">
        <v>5071</v>
      </c>
      <c r="C861" s="2" t="s">
        <v>5071</v>
      </c>
    </row>
    <row r="862" spans="1:3" x14ac:dyDescent="0.3">
      <c r="A862" s="2" t="s">
        <v>5193</v>
      </c>
      <c r="B862" s="2" t="s">
        <v>5071</v>
      </c>
      <c r="C862" s="2" t="s">
        <v>5071</v>
      </c>
    </row>
    <row r="863" spans="1:3" x14ac:dyDescent="0.3">
      <c r="A863" s="2" t="s">
        <v>5194</v>
      </c>
      <c r="B863" s="2" t="s">
        <v>5071</v>
      </c>
      <c r="C863" s="2" t="s">
        <v>5071</v>
      </c>
    </row>
    <row r="864" spans="1:3" x14ac:dyDescent="0.3">
      <c r="A864" s="2" t="s">
        <v>5195</v>
      </c>
      <c r="B864" s="2" t="s">
        <v>5071</v>
      </c>
      <c r="C864" s="2" t="s">
        <v>5071</v>
      </c>
    </row>
    <row r="865" spans="1:3" x14ac:dyDescent="0.3">
      <c r="A865" s="2" t="s">
        <v>5196</v>
      </c>
      <c r="B865" s="2" t="s">
        <v>5071</v>
      </c>
      <c r="C865" s="2" t="s">
        <v>5071</v>
      </c>
    </row>
    <row r="866" spans="1:3" x14ac:dyDescent="0.3">
      <c r="A866" s="2" t="s">
        <v>5197</v>
      </c>
      <c r="B866" s="2" t="s">
        <v>5071</v>
      </c>
      <c r="C866" s="2" t="s">
        <v>5071</v>
      </c>
    </row>
    <row r="867" spans="1:3" x14ac:dyDescent="0.3">
      <c r="A867" s="2" t="s">
        <v>5198</v>
      </c>
      <c r="B867" s="2" t="s">
        <v>5071</v>
      </c>
      <c r="C867" s="2" t="s">
        <v>5071</v>
      </c>
    </row>
    <row r="868" spans="1:3" x14ac:dyDescent="0.3">
      <c r="A868" s="2" t="s">
        <v>5199</v>
      </c>
      <c r="B868" s="2" t="s">
        <v>5071</v>
      </c>
      <c r="C868" s="2" t="s">
        <v>5071</v>
      </c>
    </row>
    <row r="869" spans="1:3" x14ac:dyDescent="0.3">
      <c r="A869" s="2" t="s">
        <v>5200</v>
      </c>
      <c r="B869" s="2" t="s">
        <v>5071</v>
      </c>
      <c r="C869" s="2" t="s">
        <v>5071</v>
      </c>
    </row>
    <row r="870" spans="1:3" x14ac:dyDescent="0.3">
      <c r="A870" s="2" t="s">
        <v>5201</v>
      </c>
      <c r="B870" s="2" t="s">
        <v>5071</v>
      </c>
      <c r="C870" s="2" t="s">
        <v>5071</v>
      </c>
    </row>
    <row r="871" spans="1:3" x14ac:dyDescent="0.3">
      <c r="A871" s="2" t="s">
        <v>5202</v>
      </c>
      <c r="B871" s="2" t="s">
        <v>5071</v>
      </c>
      <c r="C871" s="2" t="s">
        <v>5071</v>
      </c>
    </row>
    <row r="872" spans="1:3" x14ac:dyDescent="0.3">
      <c r="A872" s="2" t="s">
        <v>5203</v>
      </c>
      <c r="B872" s="2" t="s">
        <v>5071</v>
      </c>
      <c r="C872" s="2" t="s">
        <v>5071</v>
      </c>
    </row>
    <row r="873" spans="1:3" x14ac:dyDescent="0.3">
      <c r="A873" s="2" t="s">
        <v>5204</v>
      </c>
      <c r="B873" s="2" t="s">
        <v>5071</v>
      </c>
      <c r="C873" s="2" t="s">
        <v>5071</v>
      </c>
    </row>
    <row r="874" spans="1:3" x14ac:dyDescent="0.3">
      <c r="A874" s="2" t="s">
        <v>5205</v>
      </c>
      <c r="B874" s="2" t="s">
        <v>5071</v>
      </c>
      <c r="C874" s="2" t="s">
        <v>5071</v>
      </c>
    </row>
    <row r="875" spans="1:3" x14ac:dyDescent="0.3">
      <c r="A875" s="2" t="s">
        <v>5206</v>
      </c>
      <c r="B875" s="2" t="s">
        <v>5071</v>
      </c>
      <c r="C875" s="2" t="s">
        <v>5071</v>
      </c>
    </row>
    <row r="876" spans="1:3" x14ac:dyDescent="0.3">
      <c r="A876" s="2" t="s">
        <v>5207</v>
      </c>
      <c r="B876" s="2" t="s">
        <v>5071</v>
      </c>
      <c r="C876" s="2" t="s">
        <v>5071</v>
      </c>
    </row>
    <row r="877" spans="1:3" x14ac:dyDescent="0.3">
      <c r="A877" s="2" t="s">
        <v>5208</v>
      </c>
      <c r="B877" s="2" t="s">
        <v>5071</v>
      </c>
      <c r="C877" s="2" t="s">
        <v>5071</v>
      </c>
    </row>
    <row r="878" spans="1:3" x14ac:dyDescent="0.3">
      <c r="A878" s="2" t="s">
        <v>5209</v>
      </c>
      <c r="B878" s="2" t="s">
        <v>5071</v>
      </c>
      <c r="C878" s="2" t="s">
        <v>5071</v>
      </c>
    </row>
    <row r="879" spans="1:3" x14ac:dyDescent="0.3">
      <c r="A879" s="2" t="s">
        <v>5210</v>
      </c>
      <c r="B879" s="2" t="s">
        <v>5071</v>
      </c>
      <c r="C879" s="2" t="s">
        <v>5071</v>
      </c>
    </row>
    <row r="880" spans="1:3" x14ac:dyDescent="0.3">
      <c r="A880" s="2" t="s">
        <v>5211</v>
      </c>
      <c r="B880" s="2" t="s">
        <v>5071</v>
      </c>
      <c r="C880" s="2" t="s">
        <v>5071</v>
      </c>
    </row>
    <row r="881" spans="1:3" x14ac:dyDescent="0.3">
      <c r="A881" s="2" t="s">
        <v>5212</v>
      </c>
      <c r="B881" s="2" t="s">
        <v>5071</v>
      </c>
      <c r="C881" s="2" t="s">
        <v>5071</v>
      </c>
    </row>
    <row r="882" spans="1:3" x14ac:dyDescent="0.3">
      <c r="A882" s="2" t="s">
        <v>5213</v>
      </c>
      <c r="B882" s="2" t="s">
        <v>5071</v>
      </c>
      <c r="C882" s="2" t="s">
        <v>5071</v>
      </c>
    </row>
    <row r="883" spans="1:3" x14ac:dyDescent="0.3">
      <c r="A883" s="2" t="s">
        <v>5214</v>
      </c>
      <c r="B883" s="2" t="s">
        <v>5071</v>
      </c>
      <c r="C883" s="2" t="s">
        <v>5071</v>
      </c>
    </row>
    <row r="884" spans="1:3" x14ac:dyDescent="0.3">
      <c r="A884" s="2" t="s">
        <v>5215</v>
      </c>
      <c r="B884" s="2" t="s">
        <v>5071</v>
      </c>
      <c r="C884" s="2" t="s">
        <v>5071</v>
      </c>
    </row>
    <row r="885" spans="1:3" x14ac:dyDescent="0.3">
      <c r="A885" s="2" t="s">
        <v>5216</v>
      </c>
      <c r="B885" s="2" t="s">
        <v>5071</v>
      </c>
      <c r="C885" s="2" t="s">
        <v>5071</v>
      </c>
    </row>
    <row r="886" spans="1:3" x14ac:dyDescent="0.3">
      <c r="A886" s="2" t="s">
        <v>5217</v>
      </c>
      <c r="B886" s="2" t="s">
        <v>5071</v>
      </c>
      <c r="C886" s="2" t="s">
        <v>5071</v>
      </c>
    </row>
    <row r="887" spans="1:3" x14ac:dyDescent="0.3">
      <c r="A887" s="2" t="s">
        <v>5218</v>
      </c>
      <c r="B887" s="2" t="s">
        <v>5071</v>
      </c>
      <c r="C887" s="2" t="s">
        <v>5071</v>
      </c>
    </row>
    <row r="888" spans="1:3" x14ac:dyDescent="0.3">
      <c r="A888" s="2" t="s">
        <v>5219</v>
      </c>
      <c r="B888" s="2" t="s">
        <v>5071</v>
      </c>
      <c r="C888" s="2" t="s">
        <v>5071</v>
      </c>
    </row>
    <row r="889" spans="1:3" x14ac:dyDescent="0.3">
      <c r="A889" s="2" t="s">
        <v>5220</v>
      </c>
      <c r="B889" s="2" t="s">
        <v>5071</v>
      </c>
      <c r="C889" s="2" t="s">
        <v>5071</v>
      </c>
    </row>
    <row r="890" spans="1:3" x14ac:dyDescent="0.3">
      <c r="A890" s="2" t="s">
        <v>5221</v>
      </c>
      <c r="B890" s="2" t="s">
        <v>5071</v>
      </c>
      <c r="C890" s="2" t="s">
        <v>5071</v>
      </c>
    </row>
    <row r="891" spans="1:3" x14ac:dyDescent="0.3">
      <c r="A891" s="2" t="s">
        <v>5222</v>
      </c>
      <c r="B891" s="2" t="s">
        <v>5071</v>
      </c>
      <c r="C891" s="2" t="s">
        <v>5071</v>
      </c>
    </row>
    <row r="892" spans="1:3" x14ac:dyDescent="0.3">
      <c r="A892" s="2" t="s">
        <v>5223</v>
      </c>
      <c r="B892" s="2" t="s">
        <v>5071</v>
      </c>
      <c r="C892" s="2" t="s">
        <v>5071</v>
      </c>
    </row>
    <row r="893" spans="1:3" x14ac:dyDescent="0.3">
      <c r="A893" s="2" t="s">
        <v>5224</v>
      </c>
      <c r="B893" s="2" t="s">
        <v>5063</v>
      </c>
      <c r="C893" s="2" t="s">
        <v>5225</v>
      </c>
    </row>
    <row r="894" spans="1:3" x14ac:dyDescent="0.3">
      <c r="A894" s="2" t="s">
        <v>5226</v>
      </c>
      <c r="B894" s="2" t="s">
        <v>5063</v>
      </c>
      <c r="C894" s="2" t="s">
        <v>5225</v>
      </c>
    </row>
    <row r="895" spans="1:3" x14ac:dyDescent="0.3">
      <c r="A895" s="2" t="s">
        <v>5227</v>
      </c>
      <c r="B895" s="2" t="s">
        <v>5063</v>
      </c>
      <c r="C895" s="2" t="s">
        <v>5225</v>
      </c>
    </row>
    <row r="896" spans="1:3" x14ac:dyDescent="0.3">
      <c r="A896" s="2" t="s">
        <v>5228</v>
      </c>
      <c r="B896" s="2" t="s">
        <v>5063</v>
      </c>
      <c r="C896" s="2" t="s">
        <v>5225</v>
      </c>
    </row>
    <row r="897" spans="1:3" x14ac:dyDescent="0.3">
      <c r="A897" s="2" t="s">
        <v>5229</v>
      </c>
      <c r="B897" s="2" t="s">
        <v>5072</v>
      </c>
      <c r="C897" s="2" t="s">
        <v>5230</v>
      </c>
    </row>
    <row r="898" spans="1:3" x14ac:dyDescent="0.3">
      <c r="A898" s="2" t="s">
        <v>5231</v>
      </c>
      <c r="B898" s="2" t="s">
        <v>5072</v>
      </c>
      <c r="C898" s="2" t="s">
        <v>5230</v>
      </c>
    </row>
    <row r="899" spans="1:3" x14ac:dyDescent="0.3">
      <c r="A899" s="2" t="s">
        <v>5232</v>
      </c>
      <c r="B899" s="2" t="s">
        <v>5072</v>
      </c>
      <c r="C899" s="2" t="s">
        <v>5230</v>
      </c>
    </row>
    <row r="900" spans="1:3" x14ac:dyDescent="0.3">
      <c r="A900" s="2" t="s">
        <v>5233</v>
      </c>
      <c r="B900" s="2" t="s">
        <v>5072</v>
      </c>
      <c r="C900" s="2" t="s">
        <v>5230</v>
      </c>
    </row>
    <row r="901" spans="1:3" x14ac:dyDescent="0.3">
      <c r="A901" s="2" t="s">
        <v>5234</v>
      </c>
      <c r="B901" s="2" t="s">
        <v>5072</v>
      </c>
      <c r="C901" s="2" t="s">
        <v>5230</v>
      </c>
    </row>
    <row r="902" spans="1:3" x14ac:dyDescent="0.3">
      <c r="A902" s="2" t="s">
        <v>5235</v>
      </c>
      <c r="B902" s="2" t="s">
        <v>5072</v>
      </c>
      <c r="C902" s="2" t="s">
        <v>5230</v>
      </c>
    </row>
    <row r="903" spans="1:3" x14ac:dyDescent="0.3">
      <c r="A903" s="2" t="s">
        <v>5236</v>
      </c>
      <c r="B903" s="2" t="s">
        <v>5072</v>
      </c>
      <c r="C903" s="2" t="s">
        <v>5230</v>
      </c>
    </row>
    <row r="904" spans="1:3" x14ac:dyDescent="0.3">
      <c r="A904" s="2" t="s">
        <v>5237</v>
      </c>
      <c r="B904" s="2" t="s">
        <v>5072</v>
      </c>
      <c r="C904" s="2" t="s">
        <v>5230</v>
      </c>
    </row>
    <row r="905" spans="1:3" x14ac:dyDescent="0.3">
      <c r="A905" s="2" t="s">
        <v>5238</v>
      </c>
      <c r="B905" s="2" t="s">
        <v>5072</v>
      </c>
      <c r="C905" s="2" t="s">
        <v>5230</v>
      </c>
    </row>
    <row r="906" spans="1:3" x14ac:dyDescent="0.3">
      <c r="A906" s="2" t="s">
        <v>5239</v>
      </c>
      <c r="B906" s="2" t="s">
        <v>5072</v>
      </c>
      <c r="C906" s="2" t="s">
        <v>5230</v>
      </c>
    </row>
    <row r="907" spans="1:3" x14ac:dyDescent="0.3">
      <c r="A907" s="2" t="s">
        <v>5240</v>
      </c>
      <c r="B907" s="2" t="s">
        <v>5072</v>
      </c>
      <c r="C907" s="2" t="s">
        <v>5230</v>
      </c>
    </row>
    <row r="908" spans="1:3" x14ac:dyDescent="0.3">
      <c r="A908" s="2" t="s">
        <v>5241</v>
      </c>
      <c r="B908" s="2" t="s">
        <v>5072</v>
      </c>
      <c r="C908" s="2" t="s">
        <v>5230</v>
      </c>
    </row>
    <row r="909" spans="1:3" x14ac:dyDescent="0.3">
      <c r="A909" s="2" t="s">
        <v>5242</v>
      </c>
      <c r="B909" s="2" t="s">
        <v>5072</v>
      </c>
      <c r="C909" s="2" t="s">
        <v>5230</v>
      </c>
    </row>
    <row r="910" spans="1:3" x14ac:dyDescent="0.3">
      <c r="A910" s="2" t="s">
        <v>5243</v>
      </c>
      <c r="B910" s="2" t="s">
        <v>5072</v>
      </c>
      <c r="C910" s="2" t="s">
        <v>5230</v>
      </c>
    </row>
    <row r="911" spans="1:3" x14ac:dyDescent="0.3">
      <c r="A911" s="2" t="s">
        <v>5244</v>
      </c>
      <c r="B911" s="2" t="s">
        <v>5072</v>
      </c>
      <c r="C911" s="2" t="s">
        <v>5230</v>
      </c>
    </row>
    <row r="912" spans="1:3" x14ac:dyDescent="0.3">
      <c r="A912" s="2" t="s">
        <v>5245</v>
      </c>
      <c r="B912" s="2" t="s">
        <v>5072</v>
      </c>
      <c r="C912" s="2" t="s">
        <v>5230</v>
      </c>
    </row>
    <row r="913" spans="1:3" x14ac:dyDescent="0.3">
      <c r="A913" s="2" t="s">
        <v>5246</v>
      </c>
      <c r="B913" s="2" t="s">
        <v>5073</v>
      </c>
      <c r="C913" s="2" t="s">
        <v>5073</v>
      </c>
    </row>
    <row r="914" spans="1:3" x14ac:dyDescent="0.3">
      <c r="A914" s="2" t="s">
        <v>5247</v>
      </c>
      <c r="B914" s="2" t="s">
        <v>5073</v>
      </c>
      <c r="C914" s="2" t="s">
        <v>5073</v>
      </c>
    </row>
  </sheetData>
  <mergeCells count="26">
    <mergeCell ref="A1:D1"/>
    <mergeCell ref="G30:G31"/>
    <mergeCell ref="F38:F39"/>
    <mergeCell ref="I42:I43"/>
    <mergeCell ref="F28:F29"/>
    <mergeCell ref="I38:I39"/>
    <mergeCell ref="I34:I35"/>
    <mergeCell ref="G32:G33"/>
    <mergeCell ref="F34:F35"/>
    <mergeCell ref="G40:G41"/>
    <mergeCell ref="G36:G37"/>
    <mergeCell ref="I40:I41"/>
    <mergeCell ref="F6:G6"/>
    <mergeCell ref="G38:G39"/>
    <mergeCell ref="G34:G35"/>
    <mergeCell ref="F30:F31"/>
    <mergeCell ref="G42:G43"/>
    <mergeCell ref="I36:I37"/>
    <mergeCell ref="F42:F43"/>
    <mergeCell ref="I28:I29"/>
    <mergeCell ref="F32:F33"/>
    <mergeCell ref="G28:G29"/>
    <mergeCell ref="F40:F41"/>
    <mergeCell ref="I32:I33"/>
    <mergeCell ref="I30:I31"/>
    <mergeCell ref="F36:F37"/>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53"/>
  <sheetViews>
    <sheetView topLeftCell="A477" workbookViewId="0">
      <selection activeCell="A483" sqref="A483:B553"/>
    </sheetView>
  </sheetViews>
  <sheetFormatPr defaultColWidth="8.6640625" defaultRowHeight="14.4" x14ac:dyDescent="0.3"/>
  <cols>
    <col min="1" max="1" width="39.5546875" bestFit="1" customWidth="1"/>
    <col min="2" max="2" width="54.5546875" customWidth="1"/>
    <col min="3" max="3" width="60" customWidth="1"/>
    <col min="4" max="4" width="67" customWidth="1"/>
    <col min="8" max="8" width="27.109375" customWidth="1"/>
    <col min="9" max="10" width="29" customWidth="1"/>
    <col min="11" max="11" width="63.33203125" bestFit="1" customWidth="1"/>
  </cols>
  <sheetData>
    <row r="1" spans="1:9" ht="19.2" customHeight="1" x14ac:dyDescent="0.3">
      <c r="A1" s="29" t="s">
        <v>5058</v>
      </c>
      <c r="B1" s="30"/>
      <c r="C1" s="30"/>
      <c r="D1" s="30"/>
    </row>
    <row r="2" spans="1:9" ht="30" customHeight="1" x14ac:dyDescent="0.3">
      <c r="A2" s="1" t="s">
        <v>1</v>
      </c>
      <c r="B2" s="1" t="s">
        <v>2</v>
      </c>
      <c r="C2" s="1" t="s">
        <v>5059</v>
      </c>
      <c r="D2" s="1" t="s">
        <v>5060</v>
      </c>
    </row>
    <row r="3" spans="1:9" ht="18" customHeight="1" x14ac:dyDescent="0.3">
      <c r="A3" s="2" t="s">
        <v>1388</v>
      </c>
      <c r="B3" s="2" t="s">
        <v>7</v>
      </c>
      <c r="C3" s="2" t="s">
        <v>5061</v>
      </c>
      <c r="D3" s="2"/>
    </row>
    <row r="4" spans="1:9" ht="18" customHeight="1" x14ac:dyDescent="0.3">
      <c r="A4" s="2" t="s">
        <v>1390</v>
      </c>
      <c r="B4" s="2" t="s">
        <v>7</v>
      </c>
      <c r="C4" s="2" t="s">
        <v>5061</v>
      </c>
      <c r="D4" s="2"/>
    </row>
    <row r="5" spans="1:9" ht="18" customHeight="1" x14ac:dyDescent="0.3">
      <c r="A5" s="2" t="s">
        <v>1392</v>
      </c>
      <c r="B5" s="2" t="s">
        <v>7</v>
      </c>
      <c r="C5" s="2" t="s">
        <v>5061</v>
      </c>
      <c r="D5" s="2"/>
    </row>
    <row r="6" spans="1:9" ht="18" customHeight="1" x14ac:dyDescent="0.3">
      <c r="A6" s="2" t="s">
        <v>1394</v>
      </c>
      <c r="B6" s="2" t="s">
        <v>7</v>
      </c>
      <c r="C6" s="2" t="s">
        <v>5061</v>
      </c>
      <c r="D6" s="2"/>
      <c r="H6" s="34" t="s">
        <v>5062</v>
      </c>
      <c r="I6" s="35"/>
    </row>
    <row r="7" spans="1:9" ht="18" customHeight="1" x14ac:dyDescent="0.3">
      <c r="A7" s="2" t="s">
        <v>1396</v>
      </c>
      <c r="B7" s="2" t="s">
        <v>7</v>
      </c>
      <c r="C7" s="2" t="s">
        <v>5061</v>
      </c>
      <c r="D7" s="2"/>
      <c r="H7" s="3" t="s">
        <v>7</v>
      </c>
      <c r="I7" s="4">
        <f>COUNTIF(B:B,"AHU")</f>
        <v>15</v>
      </c>
    </row>
    <row r="8" spans="1:9" ht="18" customHeight="1" x14ac:dyDescent="0.3">
      <c r="A8" s="2" t="s">
        <v>1397</v>
      </c>
      <c r="B8" s="2" t="s">
        <v>7</v>
      </c>
      <c r="C8" s="2" t="s">
        <v>5061</v>
      </c>
      <c r="D8" s="2"/>
      <c r="H8" s="3" t="s">
        <v>48</v>
      </c>
      <c r="I8" s="4">
        <f>COUNTIF(B:B,"FCU")</f>
        <v>137</v>
      </c>
    </row>
    <row r="9" spans="1:9" ht="18" customHeight="1" x14ac:dyDescent="0.3">
      <c r="A9" s="2" t="s">
        <v>1398</v>
      </c>
      <c r="B9" s="2" t="s">
        <v>7</v>
      </c>
      <c r="C9" s="2" t="s">
        <v>5061</v>
      </c>
      <c r="D9" s="2"/>
      <c r="H9" s="3" t="s">
        <v>5063</v>
      </c>
      <c r="I9" s="4">
        <f>COUNTIF(B:B,"CHW Pump")</f>
        <v>6</v>
      </c>
    </row>
    <row r="10" spans="1:9" ht="18" customHeight="1" x14ac:dyDescent="0.3">
      <c r="A10" s="2" t="s">
        <v>1399</v>
      </c>
      <c r="B10" s="2" t="s">
        <v>7</v>
      </c>
      <c r="C10" s="2" t="s">
        <v>5061</v>
      </c>
      <c r="D10" s="2"/>
      <c r="H10" s="3" t="s">
        <v>5064</v>
      </c>
      <c r="I10" s="4">
        <f>COUNTIF(B:B,"VAV")</f>
        <v>248</v>
      </c>
    </row>
    <row r="11" spans="1:9" ht="18" customHeight="1" x14ac:dyDescent="0.3">
      <c r="A11" s="2" t="s">
        <v>1400</v>
      </c>
      <c r="B11" s="2" t="s">
        <v>7</v>
      </c>
      <c r="C11" s="2" t="s">
        <v>5061</v>
      </c>
      <c r="D11" s="2"/>
      <c r="H11" s="3" t="s">
        <v>5248</v>
      </c>
      <c r="I11" s="4">
        <f>COUNTIF(B:B,"CAV")</f>
        <v>51</v>
      </c>
    </row>
    <row r="12" spans="1:9" ht="18" customHeight="1" x14ac:dyDescent="0.3">
      <c r="A12" s="2" t="s">
        <v>1401</v>
      </c>
      <c r="B12" s="2" t="s">
        <v>7</v>
      </c>
      <c r="C12" s="2" t="s">
        <v>5061</v>
      </c>
      <c r="D12" s="2"/>
      <c r="H12" s="3" t="s">
        <v>5065</v>
      </c>
      <c r="I12" s="4">
        <f>COUNTIF(B:B,"DX Unit")</f>
        <v>24</v>
      </c>
    </row>
    <row r="13" spans="1:9" ht="18" customHeight="1" x14ac:dyDescent="0.3">
      <c r="A13" s="2" t="s">
        <v>1402</v>
      </c>
      <c r="B13" s="2" t="s">
        <v>7</v>
      </c>
      <c r="C13" s="2" t="s">
        <v>5061</v>
      </c>
      <c r="D13" s="2"/>
      <c r="H13" s="3" t="s">
        <v>5066</v>
      </c>
      <c r="I13" s="4">
        <f>COUNTIF(B:B,"HEX")</f>
        <v>5</v>
      </c>
    </row>
    <row r="14" spans="1:9" ht="18" customHeight="1" x14ac:dyDescent="0.3">
      <c r="A14" s="2" t="s">
        <v>1403</v>
      </c>
      <c r="B14" s="2" t="s">
        <v>7</v>
      </c>
      <c r="C14" s="2" t="s">
        <v>5061</v>
      </c>
      <c r="D14" s="2"/>
      <c r="H14" s="3" t="s">
        <v>5067</v>
      </c>
      <c r="I14" s="4">
        <f>COUNTIF(B:B,"CCU")</f>
        <v>22</v>
      </c>
    </row>
    <row r="15" spans="1:9" ht="18" customHeight="1" x14ac:dyDescent="0.3">
      <c r="A15" s="2" t="s">
        <v>1404</v>
      </c>
      <c r="B15" s="2" t="s">
        <v>7</v>
      </c>
      <c r="C15" s="2" t="s">
        <v>5061</v>
      </c>
      <c r="D15" s="2"/>
      <c r="H15" s="3" t="s">
        <v>5068</v>
      </c>
      <c r="I15" s="4">
        <f>COUNTIF(B:B,"EF")</f>
        <v>18</v>
      </c>
    </row>
    <row r="16" spans="1:9" ht="18" customHeight="1" x14ac:dyDescent="0.3">
      <c r="A16" s="2" t="s">
        <v>1405</v>
      </c>
      <c r="B16" s="2" t="s">
        <v>7</v>
      </c>
      <c r="C16" s="2" t="s">
        <v>5061</v>
      </c>
      <c r="D16" s="2"/>
      <c r="H16" s="3" t="s">
        <v>5249</v>
      </c>
      <c r="I16" s="4">
        <f>COUNTIF(B:B,"SEF")</f>
        <v>12</v>
      </c>
    </row>
    <row r="17" spans="1:11" ht="18" customHeight="1" x14ac:dyDescent="0.3">
      <c r="A17" s="2" t="s">
        <v>1406</v>
      </c>
      <c r="B17" s="2" t="s">
        <v>7</v>
      </c>
      <c r="C17" s="2" t="s">
        <v>5061</v>
      </c>
      <c r="D17" s="2"/>
      <c r="H17" s="3" t="s">
        <v>5070</v>
      </c>
      <c r="I17" s="4">
        <f>COUNTIF(B:B,"TEF")</f>
        <v>8</v>
      </c>
    </row>
    <row r="18" spans="1:11" ht="18" customHeight="1" x14ac:dyDescent="0.3">
      <c r="A18" s="2" t="s">
        <v>5250</v>
      </c>
      <c r="B18" s="2" t="s">
        <v>5065</v>
      </c>
      <c r="C18" s="2" t="s">
        <v>5065</v>
      </c>
      <c r="D18" s="2"/>
      <c r="H18" s="3" t="s">
        <v>5251</v>
      </c>
      <c r="I18" s="4">
        <f>COUNTIF(B:B,"KEF")</f>
        <v>4</v>
      </c>
    </row>
    <row r="19" spans="1:11" ht="18" customHeight="1" x14ac:dyDescent="0.3">
      <c r="A19" s="2" t="s">
        <v>5252</v>
      </c>
      <c r="B19" s="2" t="s">
        <v>5065</v>
      </c>
      <c r="C19" s="2" t="s">
        <v>5065</v>
      </c>
      <c r="D19" s="2"/>
      <c r="H19" s="3" t="s">
        <v>5073</v>
      </c>
      <c r="I19" s="4">
        <f>COUNTIF(B:B,"Generator")</f>
        <v>1</v>
      </c>
    </row>
    <row r="20" spans="1:11" ht="18" customHeight="1" x14ac:dyDescent="0.3">
      <c r="A20" s="2" t="s">
        <v>5253</v>
      </c>
      <c r="B20" s="2" t="s">
        <v>5065</v>
      </c>
      <c r="C20" s="2" t="s">
        <v>5065</v>
      </c>
      <c r="D20" s="2"/>
      <c r="H20" s="5" t="s">
        <v>5074</v>
      </c>
      <c r="I20" s="5">
        <f>SUM(I7:I18)</f>
        <v>550</v>
      </c>
    </row>
    <row r="21" spans="1:11" ht="18" customHeight="1" x14ac:dyDescent="0.3">
      <c r="A21" s="2" t="s">
        <v>5254</v>
      </c>
      <c r="B21" s="2" t="s">
        <v>5065</v>
      </c>
      <c r="C21" s="2" t="s">
        <v>5065</v>
      </c>
      <c r="D21" s="2"/>
    </row>
    <row r="22" spans="1:11" ht="18" customHeight="1" x14ac:dyDescent="0.3">
      <c r="A22" s="2" t="s">
        <v>5255</v>
      </c>
      <c r="B22" s="2" t="s">
        <v>5065</v>
      </c>
      <c r="C22" s="2" t="s">
        <v>5065</v>
      </c>
      <c r="D22" s="2"/>
    </row>
    <row r="23" spans="1:11" ht="18" customHeight="1" x14ac:dyDescent="0.3">
      <c r="A23" s="2" t="s">
        <v>5256</v>
      </c>
      <c r="B23" s="2" t="s">
        <v>5065</v>
      </c>
      <c r="C23" s="2" t="s">
        <v>5065</v>
      </c>
      <c r="D23" s="2"/>
    </row>
    <row r="24" spans="1:11" ht="18" customHeight="1" x14ac:dyDescent="0.3">
      <c r="A24" s="2" t="s">
        <v>5257</v>
      </c>
      <c r="B24" s="2" t="s">
        <v>5065</v>
      </c>
      <c r="C24" s="2" t="s">
        <v>5065</v>
      </c>
      <c r="D24" s="2"/>
      <c r="H24" s="6" t="s">
        <v>5075</v>
      </c>
      <c r="I24" s="6" t="s">
        <v>5076</v>
      </c>
      <c r="J24" s="6" t="s">
        <v>5077</v>
      </c>
      <c r="K24" s="6" t="s">
        <v>5078</v>
      </c>
    </row>
    <row r="25" spans="1:11" ht="18" customHeight="1" x14ac:dyDescent="0.3">
      <c r="A25" s="2" t="s">
        <v>5258</v>
      </c>
      <c r="B25" s="2" t="s">
        <v>5065</v>
      </c>
      <c r="C25" s="2" t="s">
        <v>5065</v>
      </c>
      <c r="D25" s="2"/>
      <c r="H25" s="2">
        <v>1</v>
      </c>
      <c r="I25" s="2" t="s">
        <v>5068</v>
      </c>
      <c r="J25" s="2" t="s">
        <v>5259</v>
      </c>
      <c r="K25" s="2" t="s">
        <v>5260</v>
      </c>
    </row>
    <row r="26" spans="1:11" ht="18" customHeight="1" x14ac:dyDescent="0.3">
      <c r="A26" s="2" t="s">
        <v>5261</v>
      </c>
      <c r="B26" s="2" t="s">
        <v>5065</v>
      </c>
      <c r="C26" s="2" t="s">
        <v>5065</v>
      </c>
      <c r="D26" s="2"/>
      <c r="H26" s="2">
        <v>2</v>
      </c>
      <c r="I26" s="2" t="s">
        <v>5068</v>
      </c>
      <c r="J26" s="2" t="s">
        <v>5262</v>
      </c>
      <c r="K26" s="2" t="s">
        <v>5263</v>
      </c>
    </row>
    <row r="27" spans="1:11" ht="18" customHeight="1" x14ac:dyDescent="0.3">
      <c r="A27" s="2" t="s">
        <v>5264</v>
      </c>
      <c r="B27" s="2" t="s">
        <v>5065</v>
      </c>
      <c r="C27" s="2" t="s">
        <v>5065</v>
      </c>
      <c r="D27" s="2"/>
      <c r="H27" s="2">
        <v>3</v>
      </c>
      <c r="I27" s="2" t="s">
        <v>5068</v>
      </c>
      <c r="J27" s="2" t="s">
        <v>5265</v>
      </c>
      <c r="K27" s="2" t="s">
        <v>5266</v>
      </c>
    </row>
    <row r="28" spans="1:11" ht="18" customHeight="1" x14ac:dyDescent="0.3">
      <c r="A28" s="2" t="s">
        <v>5267</v>
      </c>
      <c r="B28" s="2" t="s">
        <v>5065</v>
      </c>
      <c r="C28" s="2" t="s">
        <v>5065</v>
      </c>
      <c r="D28" s="2"/>
      <c r="H28" s="2">
        <v>4</v>
      </c>
      <c r="I28" s="2" t="s">
        <v>5068</v>
      </c>
      <c r="J28" s="2" t="s">
        <v>5268</v>
      </c>
      <c r="K28" s="2" t="s">
        <v>5269</v>
      </c>
    </row>
    <row r="29" spans="1:11" ht="18" customHeight="1" x14ac:dyDescent="0.3">
      <c r="A29" s="2" t="s">
        <v>5270</v>
      </c>
      <c r="B29" s="2" t="s">
        <v>5065</v>
      </c>
      <c r="C29" s="2" t="s">
        <v>5065</v>
      </c>
      <c r="D29" s="2"/>
      <c r="H29" s="2">
        <v>5</v>
      </c>
      <c r="I29" s="2" t="s">
        <v>5068</v>
      </c>
      <c r="J29" s="2" t="s">
        <v>5271</v>
      </c>
      <c r="K29" s="2" t="s">
        <v>5272</v>
      </c>
    </row>
    <row r="30" spans="1:11" ht="18" customHeight="1" x14ac:dyDescent="0.3">
      <c r="A30" s="2" t="s">
        <v>5273</v>
      </c>
      <c r="B30" s="2" t="s">
        <v>5065</v>
      </c>
      <c r="C30" s="2" t="s">
        <v>5065</v>
      </c>
      <c r="D30" s="2"/>
      <c r="H30" s="2">
        <v>6</v>
      </c>
      <c r="I30" s="2" t="s">
        <v>5065</v>
      </c>
      <c r="J30" s="2" t="s">
        <v>5095</v>
      </c>
      <c r="K30" s="2" t="s">
        <v>5274</v>
      </c>
    </row>
    <row r="31" spans="1:11" ht="18" customHeight="1" x14ac:dyDescent="0.3">
      <c r="A31" s="2" t="s">
        <v>5275</v>
      </c>
      <c r="B31" s="2" t="s">
        <v>5065</v>
      </c>
      <c r="C31" s="2" t="s">
        <v>5065</v>
      </c>
      <c r="D31" s="2"/>
      <c r="H31" s="2">
        <v>7</v>
      </c>
      <c r="I31" s="2" t="s">
        <v>5065</v>
      </c>
      <c r="J31" s="2" t="s">
        <v>5097</v>
      </c>
      <c r="K31" s="2" t="s">
        <v>5276</v>
      </c>
    </row>
    <row r="32" spans="1:11" ht="18" customHeight="1" x14ac:dyDescent="0.3">
      <c r="A32" s="2" t="s">
        <v>5277</v>
      </c>
      <c r="B32" s="2" t="s">
        <v>5065</v>
      </c>
      <c r="C32" s="2" t="s">
        <v>5065</v>
      </c>
      <c r="D32" s="2"/>
      <c r="H32" s="2">
        <v>8</v>
      </c>
      <c r="I32" s="2" t="s">
        <v>5065</v>
      </c>
      <c r="J32" s="2" t="s">
        <v>5098</v>
      </c>
      <c r="K32" s="2" t="s">
        <v>5278</v>
      </c>
    </row>
    <row r="33" spans="1:11" ht="18" customHeight="1" x14ac:dyDescent="0.3">
      <c r="A33" s="2" t="s">
        <v>5279</v>
      </c>
      <c r="B33" s="2" t="s">
        <v>5065</v>
      </c>
      <c r="C33" s="2" t="s">
        <v>5065</v>
      </c>
      <c r="D33" s="2"/>
      <c r="H33" s="2">
        <v>9</v>
      </c>
      <c r="I33" s="2" t="s">
        <v>5065</v>
      </c>
      <c r="J33" s="2" t="s">
        <v>5280</v>
      </c>
      <c r="K33" s="2" t="s">
        <v>5281</v>
      </c>
    </row>
    <row r="34" spans="1:11" ht="18" customHeight="1" x14ac:dyDescent="0.3">
      <c r="A34" s="2" t="s">
        <v>5282</v>
      </c>
      <c r="B34" s="2" t="s">
        <v>5065</v>
      </c>
      <c r="C34" s="2" t="s">
        <v>5065</v>
      </c>
      <c r="D34" s="2"/>
      <c r="H34" s="2">
        <v>10</v>
      </c>
      <c r="I34" s="2" t="s">
        <v>5065</v>
      </c>
      <c r="J34" s="2" t="s">
        <v>5283</v>
      </c>
      <c r="K34" s="2" t="s">
        <v>5284</v>
      </c>
    </row>
    <row r="35" spans="1:11" ht="18" customHeight="1" x14ac:dyDescent="0.3">
      <c r="A35" s="2" t="s">
        <v>5285</v>
      </c>
      <c r="B35" s="2" t="s">
        <v>5065</v>
      </c>
      <c r="C35" s="2" t="s">
        <v>5065</v>
      </c>
      <c r="D35" s="2"/>
      <c r="H35" s="2">
        <v>11</v>
      </c>
      <c r="I35" s="2" t="s">
        <v>5065</v>
      </c>
      <c r="J35" s="2" t="s">
        <v>5286</v>
      </c>
      <c r="K35" s="2" t="s">
        <v>5287</v>
      </c>
    </row>
    <row r="36" spans="1:11" ht="18" customHeight="1" x14ac:dyDescent="0.3">
      <c r="A36" s="2" t="s">
        <v>5288</v>
      </c>
      <c r="B36" s="2" t="s">
        <v>5065</v>
      </c>
      <c r="C36" s="2" t="s">
        <v>5065</v>
      </c>
      <c r="D36" s="2"/>
      <c r="H36" s="2">
        <v>12</v>
      </c>
      <c r="I36" s="2" t="s">
        <v>5065</v>
      </c>
      <c r="J36" s="2" t="s">
        <v>5289</v>
      </c>
      <c r="K36" s="2" t="s">
        <v>5106</v>
      </c>
    </row>
    <row r="37" spans="1:11" ht="18" customHeight="1" x14ac:dyDescent="0.3">
      <c r="A37" s="2" t="s">
        <v>5290</v>
      </c>
      <c r="B37" s="2" t="s">
        <v>5065</v>
      </c>
      <c r="C37" s="2" t="s">
        <v>5065</v>
      </c>
      <c r="D37" s="2"/>
      <c r="H37" s="2">
        <v>13</v>
      </c>
      <c r="I37" s="2" t="s">
        <v>5065</v>
      </c>
      <c r="J37" s="2" t="s">
        <v>5291</v>
      </c>
      <c r="K37" s="2" t="s">
        <v>5106</v>
      </c>
    </row>
    <row r="38" spans="1:11" ht="18" customHeight="1" x14ac:dyDescent="0.3">
      <c r="A38" s="2" t="s">
        <v>5292</v>
      </c>
      <c r="B38" s="2" t="s">
        <v>5065</v>
      </c>
      <c r="C38" s="2" t="s">
        <v>5065</v>
      </c>
      <c r="D38" s="2"/>
      <c r="H38" s="2">
        <v>14</v>
      </c>
      <c r="I38" s="2" t="s">
        <v>5065</v>
      </c>
      <c r="J38" s="2" t="s">
        <v>5293</v>
      </c>
      <c r="K38" s="2" t="s">
        <v>5106</v>
      </c>
    </row>
    <row r="39" spans="1:11" ht="18" customHeight="1" x14ac:dyDescent="0.3">
      <c r="A39" s="2" t="s">
        <v>5289</v>
      </c>
      <c r="B39" s="2" t="s">
        <v>5065</v>
      </c>
      <c r="C39" s="2" t="s">
        <v>5065</v>
      </c>
      <c r="D39" s="7" t="s">
        <v>5294</v>
      </c>
      <c r="H39" s="2">
        <v>15</v>
      </c>
      <c r="I39" s="2" t="s">
        <v>5118</v>
      </c>
      <c r="J39" s="2" t="s">
        <v>5122</v>
      </c>
      <c r="K39" s="2" t="s">
        <v>5295</v>
      </c>
    </row>
    <row r="40" spans="1:11" ht="18" customHeight="1" x14ac:dyDescent="0.3">
      <c r="A40" s="2" t="s">
        <v>5291</v>
      </c>
      <c r="B40" s="2" t="s">
        <v>5065</v>
      </c>
      <c r="C40" s="2" t="s">
        <v>5065</v>
      </c>
      <c r="D40" s="7" t="s">
        <v>5294</v>
      </c>
      <c r="H40" s="2">
        <v>16</v>
      </c>
      <c r="I40" s="2" t="s">
        <v>5067</v>
      </c>
      <c r="J40" s="2" t="s">
        <v>5296</v>
      </c>
      <c r="K40" s="2" t="s">
        <v>5297</v>
      </c>
    </row>
    <row r="41" spans="1:11" ht="18" customHeight="1" x14ac:dyDescent="0.3">
      <c r="A41" s="2" t="s">
        <v>5293</v>
      </c>
      <c r="B41" s="2" t="s">
        <v>5065</v>
      </c>
      <c r="C41" s="2" t="s">
        <v>5065</v>
      </c>
      <c r="D41" s="7" t="s">
        <v>5294</v>
      </c>
    </row>
    <row r="42" spans="1:11" ht="18" customHeight="1" x14ac:dyDescent="0.3">
      <c r="A42" s="2" t="s">
        <v>1407</v>
      </c>
      <c r="B42" s="2" t="s">
        <v>48</v>
      </c>
      <c r="C42" s="2" t="s">
        <v>5115</v>
      </c>
      <c r="D42" s="2"/>
    </row>
    <row r="43" spans="1:11" ht="18" customHeight="1" x14ac:dyDescent="0.3">
      <c r="A43" s="2" t="s">
        <v>1408</v>
      </c>
      <c r="B43" s="2" t="s">
        <v>48</v>
      </c>
      <c r="C43" s="2" t="s">
        <v>5115</v>
      </c>
      <c r="D43" s="2"/>
    </row>
    <row r="44" spans="1:11" ht="18" customHeight="1" x14ac:dyDescent="0.3">
      <c r="A44" s="2" t="s">
        <v>1410</v>
      </c>
      <c r="B44" s="2" t="s">
        <v>48</v>
      </c>
      <c r="C44" s="2" t="s">
        <v>5115</v>
      </c>
      <c r="D44" s="2"/>
    </row>
    <row r="45" spans="1:11" ht="18" customHeight="1" x14ac:dyDescent="0.3">
      <c r="A45" s="2" t="s">
        <v>1412</v>
      </c>
      <c r="B45" s="2" t="s">
        <v>48</v>
      </c>
      <c r="C45" s="2" t="s">
        <v>5115</v>
      </c>
      <c r="D45" s="2"/>
    </row>
    <row r="46" spans="1:11" ht="18" customHeight="1" x14ac:dyDescent="0.3">
      <c r="A46" s="2" t="s">
        <v>1413</v>
      </c>
      <c r="B46" s="2" t="s">
        <v>48</v>
      </c>
      <c r="C46" s="2" t="s">
        <v>5115</v>
      </c>
      <c r="D46" s="2"/>
    </row>
    <row r="47" spans="1:11" ht="18" customHeight="1" x14ac:dyDescent="0.3">
      <c r="A47" s="2" t="s">
        <v>1414</v>
      </c>
      <c r="B47" s="2" t="s">
        <v>48</v>
      </c>
      <c r="C47" s="2" t="s">
        <v>5115</v>
      </c>
      <c r="D47" s="2"/>
    </row>
    <row r="48" spans="1:11" ht="18" customHeight="1" x14ac:dyDescent="0.3">
      <c r="A48" s="2" t="s">
        <v>1415</v>
      </c>
      <c r="B48" s="2" t="s">
        <v>48</v>
      </c>
      <c r="C48" s="2" t="s">
        <v>5115</v>
      </c>
      <c r="D48" s="2"/>
    </row>
    <row r="49" spans="1:4" ht="18" customHeight="1" x14ac:dyDescent="0.3">
      <c r="A49" s="2" t="s">
        <v>1416</v>
      </c>
      <c r="B49" s="2" t="s">
        <v>48</v>
      </c>
      <c r="C49" s="2" t="s">
        <v>5115</v>
      </c>
      <c r="D49" s="2"/>
    </row>
    <row r="50" spans="1:4" ht="18" customHeight="1" x14ac:dyDescent="0.3">
      <c r="A50" s="2" t="s">
        <v>1417</v>
      </c>
      <c r="B50" s="2" t="s">
        <v>48</v>
      </c>
      <c r="C50" s="2" t="s">
        <v>5115</v>
      </c>
      <c r="D50" s="2"/>
    </row>
    <row r="51" spans="1:4" ht="18" customHeight="1" x14ac:dyDescent="0.3">
      <c r="A51" s="2" t="s">
        <v>1418</v>
      </c>
      <c r="B51" s="2" t="s">
        <v>48</v>
      </c>
      <c r="C51" s="2" t="s">
        <v>5115</v>
      </c>
      <c r="D51" s="2"/>
    </row>
    <row r="52" spans="1:4" ht="18" customHeight="1" x14ac:dyDescent="0.3">
      <c r="A52" s="2" t="s">
        <v>1419</v>
      </c>
      <c r="B52" s="2" t="s">
        <v>48</v>
      </c>
      <c r="C52" s="2" t="s">
        <v>5115</v>
      </c>
      <c r="D52" s="2"/>
    </row>
    <row r="53" spans="1:4" ht="18" customHeight="1" x14ac:dyDescent="0.3">
      <c r="A53" s="2" t="s">
        <v>1420</v>
      </c>
      <c r="B53" s="2" t="s">
        <v>48</v>
      </c>
      <c r="C53" s="2" t="s">
        <v>5115</v>
      </c>
      <c r="D53" s="2"/>
    </row>
    <row r="54" spans="1:4" ht="18" customHeight="1" x14ac:dyDescent="0.3">
      <c r="A54" s="2" t="s">
        <v>1421</v>
      </c>
      <c r="B54" s="2" t="s">
        <v>48</v>
      </c>
      <c r="C54" s="2" t="s">
        <v>5115</v>
      </c>
      <c r="D54" s="2"/>
    </row>
    <row r="55" spans="1:4" ht="18" customHeight="1" x14ac:dyDescent="0.3">
      <c r="A55" s="2" t="s">
        <v>1422</v>
      </c>
      <c r="B55" s="2" t="s">
        <v>48</v>
      </c>
      <c r="C55" s="2" t="s">
        <v>5115</v>
      </c>
      <c r="D55" s="2"/>
    </row>
    <row r="56" spans="1:4" ht="18" customHeight="1" x14ac:dyDescent="0.3">
      <c r="A56" s="2" t="s">
        <v>1423</v>
      </c>
      <c r="B56" s="2" t="s">
        <v>48</v>
      </c>
      <c r="C56" s="2" t="s">
        <v>5115</v>
      </c>
      <c r="D56" s="2"/>
    </row>
    <row r="57" spans="1:4" ht="18" customHeight="1" x14ac:dyDescent="0.3">
      <c r="A57" s="2" t="s">
        <v>1424</v>
      </c>
      <c r="B57" s="2" t="s">
        <v>48</v>
      </c>
      <c r="C57" s="2" t="s">
        <v>5115</v>
      </c>
      <c r="D57" s="2"/>
    </row>
    <row r="58" spans="1:4" ht="18" customHeight="1" x14ac:dyDescent="0.3">
      <c r="A58" s="2" t="s">
        <v>1425</v>
      </c>
      <c r="B58" s="2" t="s">
        <v>48</v>
      </c>
      <c r="C58" s="2" t="s">
        <v>5115</v>
      </c>
      <c r="D58" s="2"/>
    </row>
    <row r="59" spans="1:4" ht="18" customHeight="1" x14ac:dyDescent="0.3">
      <c r="A59" s="2" t="s">
        <v>1426</v>
      </c>
      <c r="B59" s="2" t="s">
        <v>48</v>
      </c>
      <c r="C59" s="2" t="s">
        <v>5115</v>
      </c>
      <c r="D59" s="2"/>
    </row>
    <row r="60" spans="1:4" ht="18" customHeight="1" x14ac:dyDescent="0.3">
      <c r="A60" s="2" t="s">
        <v>1427</v>
      </c>
      <c r="B60" s="2" t="s">
        <v>48</v>
      </c>
      <c r="C60" s="2" t="s">
        <v>5115</v>
      </c>
      <c r="D60" s="2"/>
    </row>
    <row r="61" spans="1:4" ht="18" customHeight="1" x14ac:dyDescent="0.3">
      <c r="A61" s="2" t="s">
        <v>1428</v>
      </c>
      <c r="B61" s="2" t="s">
        <v>48</v>
      </c>
      <c r="C61" s="2" t="s">
        <v>5115</v>
      </c>
      <c r="D61" s="2"/>
    </row>
    <row r="62" spans="1:4" ht="18" customHeight="1" x14ac:dyDescent="0.3">
      <c r="A62" s="2" t="s">
        <v>1429</v>
      </c>
      <c r="B62" s="2" t="s">
        <v>48</v>
      </c>
      <c r="C62" s="2" t="s">
        <v>5115</v>
      </c>
      <c r="D62" s="2"/>
    </row>
    <row r="63" spans="1:4" ht="18" customHeight="1" x14ac:dyDescent="0.3">
      <c r="A63" s="2" t="s">
        <v>1430</v>
      </c>
      <c r="B63" s="2" t="s">
        <v>48</v>
      </c>
      <c r="C63" s="2" t="s">
        <v>5115</v>
      </c>
      <c r="D63" s="2"/>
    </row>
    <row r="64" spans="1:4" ht="18" customHeight="1" x14ac:dyDescent="0.3">
      <c r="A64" s="2" t="s">
        <v>1431</v>
      </c>
      <c r="B64" s="2" t="s">
        <v>48</v>
      </c>
      <c r="C64" s="2" t="s">
        <v>5115</v>
      </c>
      <c r="D64" s="2"/>
    </row>
    <row r="65" spans="1:4" ht="18" customHeight="1" x14ac:dyDescent="0.3">
      <c r="A65" s="2" t="s">
        <v>1432</v>
      </c>
      <c r="B65" s="2" t="s">
        <v>48</v>
      </c>
      <c r="C65" s="2" t="s">
        <v>5115</v>
      </c>
      <c r="D65" s="2"/>
    </row>
    <row r="66" spans="1:4" ht="18" customHeight="1" x14ac:dyDescent="0.3">
      <c r="A66" s="2" t="s">
        <v>1433</v>
      </c>
      <c r="B66" s="2" t="s">
        <v>48</v>
      </c>
      <c r="C66" s="2" t="s">
        <v>5115</v>
      </c>
      <c r="D66" s="2"/>
    </row>
    <row r="67" spans="1:4" ht="18" customHeight="1" x14ac:dyDescent="0.3">
      <c r="A67" s="2" t="s">
        <v>1434</v>
      </c>
      <c r="B67" s="2" t="s">
        <v>48</v>
      </c>
      <c r="C67" s="2" t="s">
        <v>5115</v>
      </c>
      <c r="D67" s="2"/>
    </row>
    <row r="68" spans="1:4" ht="18" customHeight="1" x14ac:dyDescent="0.3">
      <c r="A68" s="2" t="s">
        <v>1435</v>
      </c>
      <c r="B68" s="2" t="s">
        <v>48</v>
      </c>
      <c r="C68" s="2" t="s">
        <v>5115</v>
      </c>
      <c r="D68" s="2"/>
    </row>
    <row r="69" spans="1:4" ht="18" customHeight="1" x14ac:dyDescent="0.3">
      <c r="A69" s="2" t="s">
        <v>1436</v>
      </c>
      <c r="B69" s="2" t="s">
        <v>48</v>
      </c>
      <c r="C69" s="2" t="s">
        <v>5115</v>
      </c>
      <c r="D69" s="2"/>
    </row>
    <row r="70" spans="1:4" ht="18" customHeight="1" x14ac:dyDescent="0.3">
      <c r="A70" s="2" t="s">
        <v>1437</v>
      </c>
      <c r="B70" s="2" t="s">
        <v>48</v>
      </c>
      <c r="C70" s="2" t="s">
        <v>5115</v>
      </c>
      <c r="D70" s="2"/>
    </row>
    <row r="71" spans="1:4" ht="18" customHeight="1" x14ac:dyDescent="0.3">
      <c r="A71" s="2" t="s">
        <v>1438</v>
      </c>
      <c r="B71" s="2" t="s">
        <v>48</v>
      </c>
      <c r="C71" s="2" t="s">
        <v>5115</v>
      </c>
      <c r="D71" s="2"/>
    </row>
    <row r="72" spans="1:4" ht="18" customHeight="1" x14ac:dyDescent="0.3">
      <c r="A72" s="2" t="s">
        <v>1439</v>
      </c>
      <c r="B72" s="2" t="s">
        <v>48</v>
      </c>
      <c r="C72" s="2" t="s">
        <v>5115</v>
      </c>
      <c r="D72" s="2"/>
    </row>
    <row r="73" spans="1:4" ht="18" customHeight="1" x14ac:dyDescent="0.3">
      <c r="A73" s="2" t="s">
        <v>1440</v>
      </c>
      <c r="B73" s="2" t="s">
        <v>48</v>
      </c>
      <c r="C73" s="2" t="s">
        <v>5115</v>
      </c>
      <c r="D73" s="2"/>
    </row>
    <row r="74" spans="1:4" ht="18" customHeight="1" x14ac:dyDescent="0.3">
      <c r="A74" s="2" t="s">
        <v>1441</v>
      </c>
      <c r="B74" s="2" t="s">
        <v>48</v>
      </c>
      <c r="C74" s="2" t="s">
        <v>5115</v>
      </c>
      <c r="D74" s="2"/>
    </row>
    <row r="75" spans="1:4" ht="18" customHeight="1" x14ac:dyDescent="0.3">
      <c r="A75" s="2" t="s">
        <v>1442</v>
      </c>
      <c r="B75" s="2" t="s">
        <v>48</v>
      </c>
      <c r="C75" s="2" t="s">
        <v>5115</v>
      </c>
      <c r="D75" s="2"/>
    </row>
    <row r="76" spans="1:4" ht="18" customHeight="1" x14ac:dyDescent="0.3">
      <c r="A76" s="2" t="s">
        <v>1443</v>
      </c>
      <c r="B76" s="2" t="s">
        <v>48</v>
      </c>
      <c r="C76" s="2" t="s">
        <v>5115</v>
      </c>
      <c r="D76" s="2"/>
    </row>
    <row r="77" spans="1:4" ht="18" customHeight="1" x14ac:dyDescent="0.3">
      <c r="A77" s="2" t="s">
        <v>1444</v>
      </c>
      <c r="B77" s="2" t="s">
        <v>48</v>
      </c>
      <c r="C77" s="2" t="s">
        <v>5115</v>
      </c>
      <c r="D77" s="2"/>
    </row>
    <row r="78" spans="1:4" ht="18" customHeight="1" x14ac:dyDescent="0.3">
      <c r="A78" s="2" t="s">
        <v>1445</v>
      </c>
      <c r="B78" s="2" t="s">
        <v>48</v>
      </c>
      <c r="C78" s="2" t="s">
        <v>5115</v>
      </c>
      <c r="D78" s="2"/>
    </row>
    <row r="79" spans="1:4" ht="18" customHeight="1" x14ac:dyDescent="0.3">
      <c r="A79" s="2" t="s">
        <v>1446</v>
      </c>
      <c r="B79" s="2" t="s">
        <v>48</v>
      </c>
      <c r="C79" s="2" t="s">
        <v>5115</v>
      </c>
      <c r="D79" s="2"/>
    </row>
    <row r="80" spans="1:4" ht="18" customHeight="1" x14ac:dyDescent="0.3">
      <c r="A80" s="2" t="s">
        <v>1447</v>
      </c>
      <c r="B80" s="2" t="s">
        <v>48</v>
      </c>
      <c r="C80" s="2" t="s">
        <v>5115</v>
      </c>
      <c r="D80" s="2"/>
    </row>
    <row r="81" spans="1:4" ht="18" customHeight="1" x14ac:dyDescent="0.3">
      <c r="A81" s="2" t="s">
        <v>1448</v>
      </c>
      <c r="B81" s="2" t="s">
        <v>48</v>
      </c>
      <c r="C81" s="2" t="s">
        <v>5115</v>
      </c>
      <c r="D81" s="2"/>
    </row>
    <row r="82" spans="1:4" ht="18" customHeight="1" x14ac:dyDescent="0.3">
      <c r="A82" s="2" t="s">
        <v>1449</v>
      </c>
      <c r="B82" s="2" t="s">
        <v>48</v>
      </c>
      <c r="C82" s="2" t="s">
        <v>5115</v>
      </c>
      <c r="D82" s="2"/>
    </row>
    <row r="83" spans="1:4" ht="18" customHeight="1" x14ac:dyDescent="0.3">
      <c r="A83" s="2" t="s">
        <v>1450</v>
      </c>
      <c r="B83" s="2" t="s">
        <v>48</v>
      </c>
      <c r="C83" s="2" t="s">
        <v>5115</v>
      </c>
      <c r="D83" s="2"/>
    </row>
    <row r="84" spans="1:4" ht="18" customHeight="1" x14ac:dyDescent="0.3">
      <c r="A84" s="2" t="s">
        <v>1451</v>
      </c>
      <c r="B84" s="2" t="s">
        <v>48</v>
      </c>
      <c r="C84" s="2" t="s">
        <v>5115</v>
      </c>
      <c r="D84" s="2"/>
    </row>
    <row r="85" spans="1:4" ht="18" customHeight="1" x14ac:dyDescent="0.3">
      <c r="A85" s="2" t="s">
        <v>1452</v>
      </c>
      <c r="B85" s="2" t="s">
        <v>48</v>
      </c>
      <c r="C85" s="2" t="s">
        <v>5115</v>
      </c>
      <c r="D85" s="2"/>
    </row>
    <row r="86" spans="1:4" ht="18" customHeight="1" x14ac:dyDescent="0.3">
      <c r="A86" s="2" t="s">
        <v>1453</v>
      </c>
      <c r="B86" s="2" t="s">
        <v>48</v>
      </c>
      <c r="C86" s="2" t="s">
        <v>5115</v>
      </c>
      <c r="D86" s="2"/>
    </row>
    <row r="87" spans="1:4" ht="18" customHeight="1" x14ac:dyDescent="0.3">
      <c r="A87" s="2" t="s">
        <v>1454</v>
      </c>
      <c r="B87" s="2" t="s">
        <v>48</v>
      </c>
      <c r="C87" s="2" t="s">
        <v>5115</v>
      </c>
      <c r="D87" s="2"/>
    </row>
    <row r="88" spans="1:4" ht="18" customHeight="1" x14ac:dyDescent="0.3">
      <c r="A88" s="2" t="s">
        <v>1455</v>
      </c>
      <c r="B88" s="2" t="s">
        <v>48</v>
      </c>
      <c r="C88" s="2" t="s">
        <v>5115</v>
      </c>
      <c r="D88" s="2"/>
    </row>
    <row r="89" spans="1:4" ht="18" customHeight="1" x14ac:dyDescent="0.3">
      <c r="A89" s="2" t="s">
        <v>1456</v>
      </c>
      <c r="B89" s="2" t="s">
        <v>48</v>
      </c>
      <c r="C89" s="2" t="s">
        <v>5115</v>
      </c>
      <c r="D89" s="2"/>
    </row>
    <row r="90" spans="1:4" ht="18" customHeight="1" x14ac:dyDescent="0.3">
      <c r="A90" s="2" t="s">
        <v>1457</v>
      </c>
      <c r="B90" s="2" t="s">
        <v>48</v>
      </c>
      <c r="C90" s="2" t="s">
        <v>5115</v>
      </c>
      <c r="D90" s="2"/>
    </row>
    <row r="91" spans="1:4" ht="18" customHeight="1" x14ac:dyDescent="0.3">
      <c r="A91" s="2" t="s">
        <v>1458</v>
      </c>
      <c r="B91" s="2" t="s">
        <v>48</v>
      </c>
      <c r="C91" s="2" t="s">
        <v>5115</v>
      </c>
      <c r="D91" s="2"/>
    </row>
    <row r="92" spans="1:4" ht="18" customHeight="1" x14ac:dyDescent="0.3">
      <c r="A92" s="2" t="s">
        <v>1459</v>
      </c>
      <c r="B92" s="2" t="s">
        <v>48</v>
      </c>
      <c r="C92" s="2" t="s">
        <v>5115</v>
      </c>
      <c r="D92" s="2"/>
    </row>
    <row r="93" spans="1:4" ht="18" customHeight="1" x14ac:dyDescent="0.3">
      <c r="A93" s="2" t="s">
        <v>1460</v>
      </c>
      <c r="B93" s="2" t="s">
        <v>48</v>
      </c>
      <c r="C93" s="2" t="s">
        <v>5115</v>
      </c>
      <c r="D93" s="2"/>
    </row>
    <row r="94" spans="1:4" ht="18" customHeight="1" x14ac:dyDescent="0.3">
      <c r="A94" s="2" t="s">
        <v>1461</v>
      </c>
      <c r="B94" s="2" t="s">
        <v>48</v>
      </c>
      <c r="C94" s="2" t="s">
        <v>5115</v>
      </c>
      <c r="D94" s="2"/>
    </row>
    <row r="95" spans="1:4" ht="18" customHeight="1" x14ac:dyDescent="0.3">
      <c r="A95" s="2" t="s">
        <v>1462</v>
      </c>
      <c r="B95" s="2" t="s">
        <v>48</v>
      </c>
      <c r="C95" s="2" t="s">
        <v>5115</v>
      </c>
      <c r="D95" s="2"/>
    </row>
    <row r="96" spans="1:4" ht="18" customHeight="1" x14ac:dyDescent="0.3">
      <c r="A96" s="2" t="s">
        <v>1463</v>
      </c>
      <c r="B96" s="2" t="s">
        <v>48</v>
      </c>
      <c r="C96" s="2" t="s">
        <v>5115</v>
      </c>
      <c r="D96" s="2"/>
    </row>
    <row r="97" spans="1:4" ht="18" customHeight="1" x14ac:dyDescent="0.3">
      <c r="A97" s="2" t="s">
        <v>1465</v>
      </c>
      <c r="B97" s="2" t="s">
        <v>48</v>
      </c>
      <c r="C97" s="2" t="s">
        <v>5115</v>
      </c>
      <c r="D97" s="2"/>
    </row>
    <row r="98" spans="1:4" ht="18" customHeight="1" x14ac:dyDescent="0.3">
      <c r="A98" s="2" t="s">
        <v>1467</v>
      </c>
      <c r="B98" s="2" t="s">
        <v>48</v>
      </c>
      <c r="C98" s="2" t="s">
        <v>5115</v>
      </c>
      <c r="D98" s="2"/>
    </row>
    <row r="99" spans="1:4" ht="18" customHeight="1" x14ac:dyDescent="0.3">
      <c r="A99" s="2" t="s">
        <v>1468</v>
      </c>
      <c r="B99" s="2" t="s">
        <v>48</v>
      </c>
      <c r="C99" s="2" t="s">
        <v>5115</v>
      </c>
      <c r="D99" s="2"/>
    </row>
    <row r="100" spans="1:4" ht="18" customHeight="1" x14ac:dyDescent="0.3">
      <c r="A100" s="2" t="s">
        <v>1469</v>
      </c>
      <c r="B100" s="2" t="s">
        <v>48</v>
      </c>
      <c r="C100" s="2" t="s">
        <v>5115</v>
      </c>
      <c r="D100" s="2"/>
    </row>
    <row r="101" spans="1:4" ht="18" customHeight="1" x14ac:dyDescent="0.3">
      <c r="A101" s="2" t="s">
        <v>1471</v>
      </c>
      <c r="B101" s="2" t="s">
        <v>48</v>
      </c>
      <c r="C101" s="2" t="s">
        <v>5115</v>
      </c>
      <c r="D101" s="2"/>
    </row>
    <row r="102" spans="1:4" ht="18" customHeight="1" x14ac:dyDescent="0.3">
      <c r="A102" s="2" t="s">
        <v>1472</v>
      </c>
      <c r="B102" s="2" t="s">
        <v>48</v>
      </c>
      <c r="C102" s="2" t="s">
        <v>5115</v>
      </c>
      <c r="D102" s="2"/>
    </row>
    <row r="103" spans="1:4" ht="18" customHeight="1" x14ac:dyDescent="0.3">
      <c r="A103" s="2" t="s">
        <v>1473</v>
      </c>
      <c r="B103" s="2" t="s">
        <v>48</v>
      </c>
      <c r="C103" s="2" t="s">
        <v>5115</v>
      </c>
      <c r="D103" s="2"/>
    </row>
    <row r="104" spans="1:4" ht="18" customHeight="1" x14ac:dyDescent="0.3">
      <c r="A104" s="2" t="s">
        <v>1474</v>
      </c>
      <c r="B104" s="2" t="s">
        <v>48</v>
      </c>
      <c r="C104" s="2" t="s">
        <v>5115</v>
      </c>
      <c r="D104" s="2"/>
    </row>
    <row r="105" spans="1:4" ht="18" customHeight="1" x14ac:dyDescent="0.3">
      <c r="A105" s="2" t="s">
        <v>1475</v>
      </c>
      <c r="B105" s="2" t="s">
        <v>48</v>
      </c>
      <c r="C105" s="2" t="s">
        <v>5115</v>
      </c>
      <c r="D105" s="2"/>
    </row>
    <row r="106" spans="1:4" ht="18" customHeight="1" x14ac:dyDescent="0.3">
      <c r="A106" s="2" t="s">
        <v>1476</v>
      </c>
      <c r="B106" s="2" t="s">
        <v>48</v>
      </c>
      <c r="C106" s="2" t="s">
        <v>5115</v>
      </c>
      <c r="D106" s="2"/>
    </row>
    <row r="107" spans="1:4" ht="18" customHeight="1" x14ac:dyDescent="0.3">
      <c r="A107" s="2" t="s">
        <v>1477</v>
      </c>
      <c r="B107" s="2" t="s">
        <v>48</v>
      </c>
      <c r="C107" s="2" t="s">
        <v>5115</v>
      </c>
      <c r="D107" s="2"/>
    </row>
    <row r="108" spans="1:4" ht="18" customHeight="1" x14ac:dyDescent="0.3">
      <c r="A108" s="2" t="s">
        <v>1478</v>
      </c>
      <c r="B108" s="2" t="s">
        <v>48</v>
      </c>
      <c r="C108" s="2" t="s">
        <v>5115</v>
      </c>
      <c r="D108" s="2"/>
    </row>
    <row r="109" spans="1:4" ht="18" customHeight="1" x14ac:dyDescent="0.3">
      <c r="A109" s="2" t="s">
        <v>1479</v>
      </c>
      <c r="B109" s="2" t="s">
        <v>48</v>
      </c>
      <c r="C109" s="2" t="s">
        <v>5115</v>
      </c>
      <c r="D109" s="2"/>
    </row>
    <row r="110" spans="1:4" ht="18" customHeight="1" x14ac:dyDescent="0.3">
      <c r="A110" s="2" t="s">
        <v>1480</v>
      </c>
      <c r="B110" s="2" t="s">
        <v>48</v>
      </c>
      <c r="C110" s="2" t="s">
        <v>5115</v>
      </c>
      <c r="D110" s="2"/>
    </row>
    <row r="111" spans="1:4" ht="18" customHeight="1" x14ac:dyDescent="0.3">
      <c r="A111" s="2" t="s">
        <v>1481</v>
      </c>
      <c r="B111" s="2" t="s">
        <v>48</v>
      </c>
      <c r="C111" s="2" t="s">
        <v>5115</v>
      </c>
      <c r="D111" s="2"/>
    </row>
    <row r="112" spans="1:4" ht="18" customHeight="1" x14ac:dyDescent="0.3">
      <c r="A112" s="2" t="s">
        <v>1483</v>
      </c>
      <c r="B112" s="2" t="s">
        <v>48</v>
      </c>
      <c r="C112" s="2" t="s">
        <v>5115</v>
      </c>
      <c r="D112" s="2"/>
    </row>
    <row r="113" spans="1:4" ht="18" customHeight="1" x14ac:dyDescent="0.3">
      <c r="A113" s="2" t="s">
        <v>1485</v>
      </c>
      <c r="B113" s="2" t="s">
        <v>48</v>
      </c>
      <c r="C113" s="2" t="s">
        <v>5115</v>
      </c>
      <c r="D113" s="2"/>
    </row>
    <row r="114" spans="1:4" ht="18" customHeight="1" x14ac:dyDescent="0.3">
      <c r="A114" s="2" t="s">
        <v>1486</v>
      </c>
      <c r="B114" s="2" t="s">
        <v>48</v>
      </c>
      <c r="C114" s="2" t="s">
        <v>5115</v>
      </c>
      <c r="D114" s="2"/>
    </row>
    <row r="115" spans="1:4" ht="18" customHeight="1" x14ac:dyDescent="0.3">
      <c r="A115" s="2" t="s">
        <v>1487</v>
      </c>
      <c r="B115" s="2" t="s">
        <v>48</v>
      </c>
      <c r="C115" s="2" t="s">
        <v>5115</v>
      </c>
      <c r="D115" s="2"/>
    </row>
    <row r="116" spans="1:4" ht="18" customHeight="1" x14ac:dyDescent="0.3">
      <c r="A116" s="2" t="s">
        <v>1488</v>
      </c>
      <c r="B116" s="2" t="s">
        <v>48</v>
      </c>
      <c r="C116" s="2" t="s">
        <v>5115</v>
      </c>
      <c r="D116" s="2"/>
    </row>
    <row r="117" spans="1:4" ht="18" customHeight="1" x14ac:dyDescent="0.3">
      <c r="A117" s="2" t="s">
        <v>1490</v>
      </c>
      <c r="B117" s="2" t="s">
        <v>48</v>
      </c>
      <c r="C117" s="2" t="s">
        <v>5115</v>
      </c>
      <c r="D117" s="2"/>
    </row>
    <row r="118" spans="1:4" ht="18" customHeight="1" x14ac:dyDescent="0.3">
      <c r="A118" s="2" t="s">
        <v>1491</v>
      </c>
      <c r="B118" s="2" t="s">
        <v>48</v>
      </c>
      <c r="C118" s="2" t="s">
        <v>5115</v>
      </c>
      <c r="D118" s="2"/>
    </row>
    <row r="119" spans="1:4" ht="18" customHeight="1" x14ac:dyDescent="0.3">
      <c r="A119" s="2" t="s">
        <v>1492</v>
      </c>
      <c r="B119" s="2" t="s">
        <v>48</v>
      </c>
      <c r="C119" s="2" t="s">
        <v>5115</v>
      </c>
      <c r="D119" s="2"/>
    </row>
    <row r="120" spans="1:4" ht="18" customHeight="1" x14ac:dyDescent="0.3">
      <c r="A120" s="2" t="s">
        <v>1494</v>
      </c>
      <c r="B120" s="2" t="s">
        <v>48</v>
      </c>
      <c r="C120" s="2" t="s">
        <v>5115</v>
      </c>
      <c r="D120" s="2"/>
    </row>
    <row r="121" spans="1:4" ht="18" customHeight="1" x14ac:dyDescent="0.3">
      <c r="A121" s="2" t="s">
        <v>1496</v>
      </c>
      <c r="B121" s="2" t="s">
        <v>48</v>
      </c>
      <c r="C121" s="2" t="s">
        <v>5115</v>
      </c>
      <c r="D121" s="2"/>
    </row>
    <row r="122" spans="1:4" ht="18" customHeight="1" x14ac:dyDescent="0.3">
      <c r="A122" s="2" t="s">
        <v>1498</v>
      </c>
      <c r="B122" s="2" t="s">
        <v>48</v>
      </c>
      <c r="C122" s="2" t="s">
        <v>5115</v>
      </c>
      <c r="D122" s="2"/>
    </row>
    <row r="123" spans="1:4" ht="18" customHeight="1" x14ac:dyDescent="0.3">
      <c r="A123" s="2" t="s">
        <v>1499</v>
      </c>
      <c r="B123" s="2" t="s">
        <v>48</v>
      </c>
      <c r="C123" s="2" t="s">
        <v>5115</v>
      </c>
      <c r="D123" s="2"/>
    </row>
    <row r="124" spans="1:4" ht="18" customHeight="1" x14ac:dyDescent="0.3">
      <c r="A124" s="2" t="s">
        <v>1501</v>
      </c>
      <c r="B124" s="2" t="s">
        <v>48</v>
      </c>
      <c r="C124" s="2" t="s">
        <v>5115</v>
      </c>
      <c r="D124" s="2"/>
    </row>
    <row r="125" spans="1:4" ht="18" customHeight="1" x14ac:dyDescent="0.3">
      <c r="A125" s="2" t="s">
        <v>1503</v>
      </c>
      <c r="B125" s="2" t="s">
        <v>48</v>
      </c>
      <c r="C125" s="2" t="s">
        <v>5115</v>
      </c>
      <c r="D125" s="2"/>
    </row>
    <row r="126" spans="1:4" ht="18" customHeight="1" x14ac:dyDescent="0.3">
      <c r="A126" s="2" t="s">
        <v>1504</v>
      </c>
      <c r="B126" s="2" t="s">
        <v>48</v>
      </c>
      <c r="C126" s="2" t="s">
        <v>5115</v>
      </c>
      <c r="D126" s="2"/>
    </row>
    <row r="127" spans="1:4" ht="18" customHeight="1" x14ac:dyDescent="0.3">
      <c r="A127" s="2" t="s">
        <v>1506</v>
      </c>
      <c r="B127" s="2" t="s">
        <v>48</v>
      </c>
      <c r="C127" s="2" t="s">
        <v>5115</v>
      </c>
      <c r="D127" s="2"/>
    </row>
    <row r="128" spans="1:4" ht="18" customHeight="1" x14ac:dyDescent="0.3">
      <c r="A128" s="2" t="s">
        <v>1507</v>
      </c>
      <c r="B128" s="2" t="s">
        <v>48</v>
      </c>
      <c r="C128" s="2" t="s">
        <v>5115</v>
      </c>
      <c r="D128" s="2"/>
    </row>
    <row r="129" spans="1:4" ht="18" customHeight="1" x14ac:dyDescent="0.3">
      <c r="A129" s="2" t="s">
        <v>1508</v>
      </c>
      <c r="B129" s="2" t="s">
        <v>48</v>
      </c>
      <c r="C129" s="2" t="s">
        <v>5115</v>
      </c>
      <c r="D129" s="2"/>
    </row>
    <row r="130" spans="1:4" ht="18" customHeight="1" x14ac:dyDescent="0.3">
      <c r="A130" s="2" t="s">
        <v>1510</v>
      </c>
      <c r="B130" s="2" t="s">
        <v>48</v>
      </c>
      <c r="C130" s="2" t="s">
        <v>5115</v>
      </c>
      <c r="D130" s="2"/>
    </row>
    <row r="131" spans="1:4" ht="18" customHeight="1" x14ac:dyDescent="0.3">
      <c r="A131" s="2" t="s">
        <v>1511</v>
      </c>
      <c r="B131" s="2" t="s">
        <v>48</v>
      </c>
      <c r="C131" s="2" t="s">
        <v>5115</v>
      </c>
      <c r="D131" s="2"/>
    </row>
    <row r="132" spans="1:4" ht="18" customHeight="1" x14ac:dyDescent="0.3">
      <c r="A132" s="2" t="s">
        <v>1512</v>
      </c>
      <c r="B132" s="2" t="s">
        <v>48</v>
      </c>
      <c r="C132" s="2" t="s">
        <v>5115</v>
      </c>
      <c r="D132" s="2"/>
    </row>
    <row r="133" spans="1:4" ht="18" customHeight="1" x14ac:dyDescent="0.3">
      <c r="A133" s="2" t="s">
        <v>1513</v>
      </c>
      <c r="B133" s="2" t="s">
        <v>48</v>
      </c>
      <c r="C133" s="2" t="s">
        <v>5115</v>
      </c>
      <c r="D133" s="2"/>
    </row>
    <row r="134" spans="1:4" ht="18" customHeight="1" x14ac:dyDescent="0.3">
      <c r="A134" s="2" t="s">
        <v>1514</v>
      </c>
      <c r="B134" s="2" t="s">
        <v>48</v>
      </c>
      <c r="C134" s="2" t="s">
        <v>5115</v>
      </c>
      <c r="D134" s="2"/>
    </row>
    <row r="135" spans="1:4" ht="18" customHeight="1" x14ac:dyDescent="0.3">
      <c r="A135" s="2" t="s">
        <v>1515</v>
      </c>
      <c r="B135" s="2" t="s">
        <v>48</v>
      </c>
      <c r="C135" s="2" t="s">
        <v>5115</v>
      </c>
      <c r="D135" s="2"/>
    </row>
    <row r="136" spans="1:4" ht="18" customHeight="1" x14ac:dyDescent="0.3">
      <c r="A136" s="2" t="s">
        <v>1517</v>
      </c>
      <c r="B136" s="2" t="s">
        <v>48</v>
      </c>
      <c r="C136" s="2" t="s">
        <v>5115</v>
      </c>
      <c r="D136" s="2"/>
    </row>
    <row r="137" spans="1:4" ht="18" customHeight="1" x14ac:dyDescent="0.3">
      <c r="A137" s="2" t="s">
        <v>1518</v>
      </c>
      <c r="B137" s="2" t="s">
        <v>48</v>
      </c>
      <c r="C137" s="2" t="s">
        <v>5115</v>
      </c>
      <c r="D137" s="2"/>
    </row>
    <row r="138" spans="1:4" ht="18" customHeight="1" x14ac:dyDescent="0.3">
      <c r="A138" s="2" t="s">
        <v>1519</v>
      </c>
      <c r="B138" s="2" t="s">
        <v>48</v>
      </c>
      <c r="C138" s="2" t="s">
        <v>5115</v>
      </c>
      <c r="D138" s="2"/>
    </row>
    <row r="139" spans="1:4" ht="18" customHeight="1" x14ac:dyDescent="0.3">
      <c r="A139" s="2" t="s">
        <v>1521</v>
      </c>
      <c r="B139" s="2" t="s">
        <v>48</v>
      </c>
      <c r="C139" s="2" t="s">
        <v>5115</v>
      </c>
      <c r="D139" s="2"/>
    </row>
    <row r="140" spans="1:4" ht="18" customHeight="1" x14ac:dyDescent="0.3">
      <c r="A140" s="2" t="s">
        <v>1522</v>
      </c>
      <c r="B140" s="2" t="s">
        <v>48</v>
      </c>
      <c r="C140" s="2" t="s">
        <v>5115</v>
      </c>
      <c r="D140" s="2"/>
    </row>
    <row r="141" spans="1:4" ht="18" customHeight="1" x14ac:dyDescent="0.3">
      <c r="A141" s="2" t="s">
        <v>1523</v>
      </c>
      <c r="B141" s="2" t="s">
        <v>48</v>
      </c>
      <c r="C141" s="2" t="s">
        <v>5115</v>
      </c>
      <c r="D141" s="2"/>
    </row>
    <row r="142" spans="1:4" ht="18" customHeight="1" x14ac:dyDescent="0.3">
      <c r="A142" s="2" t="s">
        <v>1525</v>
      </c>
      <c r="B142" s="2" t="s">
        <v>48</v>
      </c>
      <c r="C142" s="2" t="s">
        <v>5115</v>
      </c>
      <c r="D142" s="2"/>
    </row>
    <row r="143" spans="1:4" ht="18" customHeight="1" x14ac:dyDescent="0.3">
      <c r="A143" s="2" t="s">
        <v>1527</v>
      </c>
      <c r="B143" s="2" t="s">
        <v>48</v>
      </c>
      <c r="C143" s="2" t="s">
        <v>5115</v>
      </c>
      <c r="D143" s="2"/>
    </row>
    <row r="144" spans="1:4" ht="18" customHeight="1" x14ac:dyDescent="0.3">
      <c r="A144" s="2" t="s">
        <v>1529</v>
      </c>
      <c r="B144" s="2" t="s">
        <v>48</v>
      </c>
      <c r="C144" s="2" t="s">
        <v>5115</v>
      </c>
      <c r="D144" s="2"/>
    </row>
    <row r="145" spans="1:4" ht="18" customHeight="1" x14ac:dyDescent="0.3">
      <c r="A145" s="2" t="s">
        <v>1531</v>
      </c>
      <c r="B145" s="2" t="s">
        <v>48</v>
      </c>
      <c r="C145" s="2" t="s">
        <v>5115</v>
      </c>
      <c r="D145" s="2"/>
    </row>
    <row r="146" spans="1:4" ht="18" customHeight="1" x14ac:dyDescent="0.3">
      <c r="A146" s="2" t="s">
        <v>1533</v>
      </c>
      <c r="B146" s="2" t="s">
        <v>48</v>
      </c>
      <c r="C146" s="2" t="s">
        <v>5115</v>
      </c>
      <c r="D146" s="2"/>
    </row>
    <row r="147" spans="1:4" ht="18" customHeight="1" x14ac:dyDescent="0.3">
      <c r="A147" s="2" t="s">
        <v>1535</v>
      </c>
      <c r="B147" s="2" t="s">
        <v>48</v>
      </c>
      <c r="C147" s="2" t="s">
        <v>5115</v>
      </c>
      <c r="D147" s="2"/>
    </row>
    <row r="148" spans="1:4" ht="18" customHeight="1" x14ac:dyDescent="0.3">
      <c r="A148" s="2" t="s">
        <v>1537</v>
      </c>
      <c r="B148" s="2" t="s">
        <v>48</v>
      </c>
      <c r="C148" s="2" t="s">
        <v>5115</v>
      </c>
      <c r="D148" s="2"/>
    </row>
    <row r="149" spans="1:4" ht="18" customHeight="1" x14ac:dyDescent="0.3">
      <c r="A149" s="2" t="s">
        <v>1539</v>
      </c>
      <c r="B149" s="2" t="s">
        <v>48</v>
      </c>
      <c r="C149" s="2" t="s">
        <v>5115</v>
      </c>
      <c r="D149" s="2"/>
    </row>
    <row r="150" spans="1:4" ht="18" customHeight="1" x14ac:dyDescent="0.3">
      <c r="A150" s="2" t="s">
        <v>1541</v>
      </c>
      <c r="B150" s="2" t="s">
        <v>48</v>
      </c>
      <c r="C150" s="2" t="s">
        <v>5115</v>
      </c>
      <c r="D150" s="2"/>
    </row>
    <row r="151" spans="1:4" ht="18" customHeight="1" x14ac:dyDescent="0.3">
      <c r="A151" s="2" t="s">
        <v>1543</v>
      </c>
      <c r="B151" s="2" t="s">
        <v>48</v>
      </c>
      <c r="C151" s="2" t="s">
        <v>5115</v>
      </c>
      <c r="D151" s="2"/>
    </row>
    <row r="152" spans="1:4" ht="18" customHeight="1" x14ac:dyDescent="0.3">
      <c r="A152" s="2" t="s">
        <v>1545</v>
      </c>
      <c r="B152" s="2" t="s">
        <v>48</v>
      </c>
      <c r="C152" s="2" t="s">
        <v>5115</v>
      </c>
      <c r="D152" s="2"/>
    </row>
    <row r="153" spans="1:4" ht="18" customHeight="1" x14ac:dyDescent="0.3">
      <c r="A153" s="2" t="s">
        <v>1546</v>
      </c>
      <c r="B153" s="2" t="s">
        <v>48</v>
      </c>
      <c r="C153" s="2" t="s">
        <v>5115</v>
      </c>
      <c r="D153" s="2"/>
    </row>
    <row r="154" spans="1:4" ht="18" customHeight="1" x14ac:dyDescent="0.3">
      <c r="A154" s="2" t="s">
        <v>1548</v>
      </c>
      <c r="B154" s="2" t="s">
        <v>48</v>
      </c>
      <c r="C154" s="2" t="s">
        <v>5115</v>
      </c>
      <c r="D154" s="2"/>
    </row>
    <row r="155" spans="1:4" ht="18" customHeight="1" x14ac:dyDescent="0.3">
      <c r="A155" s="2" t="s">
        <v>1549</v>
      </c>
      <c r="B155" s="2" t="s">
        <v>48</v>
      </c>
      <c r="C155" s="2" t="s">
        <v>5115</v>
      </c>
      <c r="D155" s="2"/>
    </row>
    <row r="156" spans="1:4" ht="18" customHeight="1" x14ac:dyDescent="0.3">
      <c r="A156" s="2" t="s">
        <v>1551</v>
      </c>
      <c r="B156" s="2" t="s">
        <v>48</v>
      </c>
      <c r="C156" s="2" t="s">
        <v>5115</v>
      </c>
      <c r="D156" s="2"/>
    </row>
    <row r="157" spans="1:4" ht="18" customHeight="1" x14ac:dyDescent="0.3">
      <c r="A157" s="2" t="s">
        <v>1552</v>
      </c>
      <c r="B157" s="2" t="s">
        <v>48</v>
      </c>
      <c r="C157" s="2" t="s">
        <v>5115</v>
      </c>
      <c r="D157" s="2"/>
    </row>
    <row r="158" spans="1:4" ht="18" customHeight="1" x14ac:dyDescent="0.3">
      <c r="A158" s="2" t="s">
        <v>1553</v>
      </c>
      <c r="B158" s="2" t="s">
        <v>48</v>
      </c>
      <c r="C158" s="2" t="s">
        <v>5115</v>
      </c>
      <c r="D158" s="2"/>
    </row>
    <row r="159" spans="1:4" ht="18" customHeight="1" x14ac:dyDescent="0.3">
      <c r="A159" s="2" t="s">
        <v>1555</v>
      </c>
      <c r="B159" s="2" t="s">
        <v>48</v>
      </c>
      <c r="C159" s="2" t="s">
        <v>5115</v>
      </c>
      <c r="D159" s="2"/>
    </row>
    <row r="160" spans="1:4" ht="18" customHeight="1" x14ac:dyDescent="0.3">
      <c r="A160" s="2" t="s">
        <v>1556</v>
      </c>
      <c r="B160" s="2" t="s">
        <v>48</v>
      </c>
      <c r="C160" s="2" t="s">
        <v>5115</v>
      </c>
      <c r="D160" s="2"/>
    </row>
    <row r="161" spans="1:4" ht="18" customHeight="1" x14ac:dyDescent="0.3">
      <c r="A161" s="2" t="s">
        <v>1557</v>
      </c>
      <c r="B161" s="2" t="s">
        <v>48</v>
      </c>
      <c r="C161" s="2" t="s">
        <v>5115</v>
      </c>
      <c r="D161" s="2"/>
    </row>
    <row r="162" spans="1:4" ht="18" customHeight="1" x14ac:dyDescent="0.3">
      <c r="A162" s="2" t="s">
        <v>1558</v>
      </c>
      <c r="B162" s="2" t="s">
        <v>48</v>
      </c>
      <c r="C162" s="2" t="s">
        <v>5115</v>
      </c>
      <c r="D162" s="2"/>
    </row>
    <row r="163" spans="1:4" ht="18" customHeight="1" x14ac:dyDescent="0.3">
      <c r="A163" s="2" t="s">
        <v>1560</v>
      </c>
      <c r="B163" s="2" t="s">
        <v>48</v>
      </c>
      <c r="C163" s="2" t="s">
        <v>5115</v>
      </c>
      <c r="D163" s="2"/>
    </row>
    <row r="164" spans="1:4" ht="18" customHeight="1" x14ac:dyDescent="0.3">
      <c r="A164" s="2" t="s">
        <v>1561</v>
      </c>
      <c r="B164" s="2" t="s">
        <v>48</v>
      </c>
      <c r="C164" s="2" t="s">
        <v>5115</v>
      </c>
      <c r="D164" s="2"/>
    </row>
    <row r="165" spans="1:4" ht="18" customHeight="1" x14ac:dyDescent="0.3">
      <c r="A165" s="2" t="s">
        <v>1563</v>
      </c>
      <c r="B165" s="2" t="s">
        <v>48</v>
      </c>
      <c r="C165" s="2" t="s">
        <v>5115</v>
      </c>
      <c r="D165" s="2"/>
    </row>
    <row r="166" spans="1:4" ht="18" customHeight="1" x14ac:dyDescent="0.3">
      <c r="A166" s="2" t="s">
        <v>1565</v>
      </c>
      <c r="B166" s="2" t="s">
        <v>48</v>
      </c>
      <c r="C166" s="2" t="s">
        <v>5115</v>
      </c>
      <c r="D166" s="2"/>
    </row>
    <row r="167" spans="1:4" ht="18" customHeight="1" x14ac:dyDescent="0.3">
      <c r="A167" s="2" t="s">
        <v>1566</v>
      </c>
      <c r="B167" s="2" t="s">
        <v>48</v>
      </c>
      <c r="C167" s="2" t="s">
        <v>5115</v>
      </c>
      <c r="D167" s="2"/>
    </row>
    <row r="168" spans="1:4" ht="18" customHeight="1" x14ac:dyDescent="0.3">
      <c r="A168" s="2" t="s">
        <v>1568</v>
      </c>
      <c r="B168" s="2" t="s">
        <v>48</v>
      </c>
      <c r="C168" s="2" t="s">
        <v>5115</v>
      </c>
      <c r="D168" s="2"/>
    </row>
    <row r="169" spans="1:4" ht="18" customHeight="1" x14ac:dyDescent="0.3">
      <c r="A169" s="2" t="s">
        <v>1569</v>
      </c>
      <c r="B169" s="2" t="s">
        <v>48</v>
      </c>
      <c r="C169" s="2" t="s">
        <v>5115</v>
      </c>
      <c r="D169" s="2"/>
    </row>
    <row r="170" spans="1:4" ht="18" customHeight="1" x14ac:dyDescent="0.3">
      <c r="A170" s="2" t="s">
        <v>1571</v>
      </c>
      <c r="B170" s="2" t="s">
        <v>48</v>
      </c>
      <c r="C170" s="2" t="s">
        <v>5115</v>
      </c>
      <c r="D170" s="2"/>
    </row>
    <row r="171" spans="1:4" ht="18" customHeight="1" x14ac:dyDescent="0.3">
      <c r="A171" s="2" t="s">
        <v>1573</v>
      </c>
      <c r="B171" s="2" t="s">
        <v>48</v>
      </c>
      <c r="C171" s="2" t="s">
        <v>5115</v>
      </c>
      <c r="D171" s="2"/>
    </row>
    <row r="172" spans="1:4" ht="18" customHeight="1" x14ac:dyDescent="0.3">
      <c r="A172" s="2" t="s">
        <v>1575</v>
      </c>
      <c r="B172" s="2" t="s">
        <v>48</v>
      </c>
      <c r="C172" s="2" t="s">
        <v>5115</v>
      </c>
      <c r="D172" s="2"/>
    </row>
    <row r="173" spans="1:4" ht="18" customHeight="1" x14ac:dyDescent="0.3">
      <c r="A173" s="2" t="s">
        <v>1577</v>
      </c>
      <c r="B173" s="2" t="s">
        <v>48</v>
      </c>
      <c r="C173" s="2" t="s">
        <v>5115</v>
      </c>
      <c r="D173" s="2"/>
    </row>
    <row r="174" spans="1:4" ht="18" customHeight="1" x14ac:dyDescent="0.3">
      <c r="A174" s="2" t="s">
        <v>1578</v>
      </c>
      <c r="B174" s="2" t="s">
        <v>48</v>
      </c>
      <c r="C174" s="2" t="s">
        <v>5115</v>
      </c>
      <c r="D174" s="2"/>
    </row>
    <row r="175" spans="1:4" ht="18" customHeight="1" x14ac:dyDescent="0.3">
      <c r="A175" s="2" t="s">
        <v>1579</v>
      </c>
      <c r="B175" s="2" t="s">
        <v>48</v>
      </c>
      <c r="C175" s="2" t="s">
        <v>5115</v>
      </c>
      <c r="D175" s="2"/>
    </row>
    <row r="176" spans="1:4" ht="18" customHeight="1" x14ac:dyDescent="0.3">
      <c r="A176" s="2" t="s">
        <v>1580</v>
      </c>
      <c r="B176" s="2" t="s">
        <v>48</v>
      </c>
      <c r="C176" s="2" t="s">
        <v>5115</v>
      </c>
      <c r="D176" s="2"/>
    </row>
    <row r="177" spans="1:4" ht="18" customHeight="1" x14ac:dyDescent="0.3">
      <c r="A177" s="2" t="s">
        <v>1582</v>
      </c>
      <c r="B177" s="2" t="s">
        <v>48</v>
      </c>
      <c r="C177" s="2" t="s">
        <v>5115</v>
      </c>
      <c r="D177" s="2"/>
    </row>
    <row r="178" spans="1:4" ht="18" customHeight="1" x14ac:dyDescent="0.3">
      <c r="A178" s="2" t="s">
        <v>1584</v>
      </c>
      <c r="B178" s="2" t="s">
        <v>48</v>
      </c>
      <c r="C178" s="2" t="s">
        <v>5115</v>
      </c>
      <c r="D178" s="2"/>
    </row>
    <row r="179" spans="1:4" ht="18" customHeight="1" x14ac:dyDescent="0.3">
      <c r="A179" s="2" t="s">
        <v>5117</v>
      </c>
      <c r="B179" s="2" t="s">
        <v>5118</v>
      </c>
      <c r="C179" s="2" t="s">
        <v>5066</v>
      </c>
      <c r="D179" s="2"/>
    </row>
    <row r="180" spans="1:4" ht="18" customHeight="1" x14ac:dyDescent="0.3">
      <c r="A180" s="2" t="s">
        <v>5119</v>
      </c>
      <c r="B180" s="2" t="s">
        <v>5118</v>
      </c>
      <c r="C180" s="2" t="s">
        <v>5066</v>
      </c>
      <c r="D180" s="2"/>
    </row>
    <row r="181" spans="1:4" ht="18" customHeight="1" x14ac:dyDescent="0.3">
      <c r="A181" s="2" t="s">
        <v>5120</v>
      </c>
      <c r="B181" s="2" t="s">
        <v>5118</v>
      </c>
      <c r="C181" s="2" t="s">
        <v>5066</v>
      </c>
      <c r="D181" s="2"/>
    </row>
    <row r="182" spans="1:4" ht="18" customHeight="1" x14ac:dyDescent="0.3">
      <c r="A182" s="2" t="s">
        <v>5121</v>
      </c>
      <c r="B182" s="2" t="s">
        <v>5118</v>
      </c>
      <c r="C182" s="2" t="s">
        <v>5066</v>
      </c>
      <c r="D182" s="2"/>
    </row>
    <row r="183" spans="1:4" ht="18" customHeight="1" x14ac:dyDescent="0.3">
      <c r="A183" s="2" t="s">
        <v>5122</v>
      </c>
      <c r="B183" s="2" t="s">
        <v>5118</v>
      </c>
      <c r="C183" s="2" t="s">
        <v>5066</v>
      </c>
      <c r="D183" s="7" t="s">
        <v>5294</v>
      </c>
    </row>
    <row r="184" spans="1:4" ht="18" customHeight="1" x14ac:dyDescent="0.3">
      <c r="A184" s="2" t="s">
        <v>268</v>
      </c>
      <c r="B184" s="2" t="s">
        <v>269</v>
      </c>
      <c r="C184" s="2" t="s">
        <v>5064</v>
      </c>
      <c r="D184" s="2"/>
    </row>
    <row r="185" spans="1:4" ht="18" customHeight="1" x14ac:dyDescent="0.3">
      <c r="A185" s="2" t="s">
        <v>1586</v>
      </c>
      <c r="B185" s="2" t="s">
        <v>269</v>
      </c>
      <c r="C185" s="2" t="s">
        <v>5064</v>
      </c>
      <c r="D185" s="2"/>
    </row>
    <row r="186" spans="1:4" ht="18" customHeight="1" x14ac:dyDescent="0.3">
      <c r="A186" s="2" t="s">
        <v>1588</v>
      </c>
      <c r="B186" s="2" t="s">
        <v>269</v>
      </c>
      <c r="C186" s="2" t="s">
        <v>5064</v>
      </c>
      <c r="D186" s="2"/>
    </row>
    <row r="187" spans="1:4" ht="18" customHeight="1" x14ac:dyDescent="0.3">
      <c r="A187" s="2" t="s">
        <v>1590</v>
      </c>
      <c r="B187" s="2" t="s">
        <v>269</v>
      </c>
      <c r="C187" s="2" t="s">
        <v>5064</v>
      </c>
      <c r="D187" s="2"/>
    </row>
    <row r="188" spans="1:4" ht="18" customHeight="1" x14ac:dyDescent="0.3">
      <c r="A188" s="2" t="s">
        <v>1592</v>
      </c>
      <c r="B188" s="2" t="s">
        <v>269</v>
      </c>
      <c r="C188" s="2" t="s">
        <v>5064</v>
      </c>
      <c r="D188" s="2"/>
    </row>
    <row r="189" spans="1:4" ht="18" customHeight="1" x14ac:dyDescent="0.3">
      <c r="A189" s="2" t="s">
        <v>1594</v>
      </c>
      <c r="B189" s="2" t="s">
        <v>269</v>
      </c>
      <c r="C189" s="2" t="s">
        <v>5064</v>
      </c>
      <c r="D189" s="2"/>
    </row>
    <row r="190" spans="1:4" ht="18" customHeight="1" x14ac:dyDescent="0.3">
      <c r="A190" s="2" t="s">
        <v>1595</v>
      </c>
      <c r="B190" s="2" t="s">
        <v>269</v>
      </c>
      <c r="C190" s="2" t="s">
        <v>5064</v>
      </c>
      <c r="D190" s="2"/>
    </row>
    <row r="191" spans="1:4" ht="18" customHeight="1" x14ac:dyDescent="0.3">
      <c r="A191" s="2" t="s">
        <v>1597</v>
      </c>
      <c r="B191" s="2" t="s">
        <v>269</v>
      </c>
      <c r="C191" s="2" t="s">
        <v>5064</v>
      </c>
      <c r="D191" s="2"/>
    </row>
    <row r="192" spans="1:4" ht="18" customHeight="1" x14ac:dyDescent="0.3">
      <c r="A192" s="2" t="s">
        <v>1598</v>
      </c>
      <c r="B192" s="2" t="s">
        <v>269</v>
      </c>
      <c r="C192" s="2" t="s">
        <v>5064</v>
      </c>
      <c r="D192" s="2"/>
    </row>
    <row r="193" spans="1:4" ht="18" customHeight="1" x14ac:dyDescent="0.3">
      <c r="A193" s="2" t="s">
        <v>1599</v>
      </c>
      <c r="B193" s="2" t="s">
        <v>269</v>
      </c>
      <c r="C193" s="2" t="s">
        <v>5064</v>
      </c>
      <c r="D193" s="2"/>
    </row>
    <row r="194" spans="1:4" ht="18" customHeight="1" x14ac:dyDescent="0.3">
      <c r="A194" s="2" t="s">
        <v>1600</v>
      </c>
      <c r="B194" s="2" t="s">
        <v>269</v>
      </c>
      <c r="C194" s="2" t="s">
        <v>5064</v>
      </c>
      <c r="D194" s="2"/>
    </row>
    <row r="195" spans="1:4" ht="18" customHeight="1" x14ac:dyDescent="0.3">
      <c r="A195" s="2" t="s">
        <v>1601</v>
      </c>
      <c r="B195" s="2" t="s">
        <v>269</v>
      </c>
      <c r="C195" s="2" t="s">
        <v>5064</v>
      </c>
      <c r="D195" s="2"/>
    </row>
    <row r="196" spans="1:4" ht="18" customHeight="1" x14ac:dyDescent="0.3">
      <c r="A196" s="2" t="s">
        <v>1602</v>
      </c>
      <c r="B196" s="2" t="s">
        <v>269</v>
      </c>
      <c r="C196" s="2" t="s">
        <v>5064</v>
      </c>
      <c r="D196" s="2"/>
    </row>
    <row r="197" spans="1:4" ht="18" customHeight="1" x14ac:dyDescent="0.3">
      <c r="A197" s="2" t="s">
        <v>1603</v>
      </c>
      <c r="B197" s="2" t="s">
        <v>269</v>
      </c>
      <c r="C197" s="2" t="s">
        <v>5064</v>
      </c>
      <c r="D197" s="2"/>
    </row>
    <row r="198" spans="1:4" ht="18" customHeight="1" x14ac:dyDescent="0.3">
      <c r="A198" s="2" t="s">
        <v>1604</v>
      </c>
      <c r="B198" s="2" t="s">
        <v>269</v>
      </c>
      <c r="C198" s="2" t="s">
        <v>5064</v>
      </c>
      <c r="D198" s="2"/>
    </row>
    <row r="199" spans="1:4" ht="18" customHeight="1" x14ac:dyDescent="0.3">
      <c r="A199" s="2" t="s">
        <v>1606</v>
      </c>
      <c r="B199" s="2" t="s">
        <v>269</v>
      </c>
      <c r="C199" s="2" t="s">
        <v>5064</v>
      </c>
      <c r="D199" s="2"/>
    </row>
    <row r="200" spans="1:4" ht="18" customHeight="1" x14ac:dyDescent="0.3">
      <c r="A200" s="2" t="s">
        <v>1607</v>
      </c>
      <c r="B200" s="2" t="s">
        <v>269</v>
      </c>
      <c r="C200" s="2" t="s">
        <v>5064</v>
      </c>
      <c r="D200" s="2"/>
    </row>
    <row r="201" spans="1:4" ht="18" customHeight="1" x14ac:dyDescent="0.3">
      <c r="A201" s="2" t="s">
        <v>1608</v>
      </c>
      <c r="B201" s="2" t="s">
        <v>269</v>
      </c>
      <c r="C201" s="2" t="s">
        <v>5064</v>
      </c>
      <c r="D201" s="2"/>
    </row>
    <row r="202" spans="1:4" ht="18" customHeight="1" x14ac:dyDescent="0.3">
      <c r="A202" s="2" t="s">
        <v>1609</v>
      </c>
      <c r="B202" s="2" t="s">
        <v>269</v>
      </c>
      <c r="C202" s="2" t="s">
        <v>5064</v>
      </c>
      <c r="D202" s="2"/>
    </row>
    <row r="203" spans="1:4" ht="18" customHeight="1" x14ac:dyDescent="0.3">
      <c r="A203" s="2" t="s">
        <v>1610</v>
      </c>
      <c r="B203" s="2" t="s">
        <v>269</v>
      </c>
      <c r="C203" s="2" t="s">
        <v>5064</v>
      </c>
      <c r="D203" s="2"/>
    </row>
    <row r="204" spans="1:4" ht="18" customHeight="1" x14ac:dyDescent="0.3">
      <c r="A204" s="2" t="s">
        <v>1611</v>
      </c>
      <c r="B204" s="2" t="s">
        <v>269</v>
      </c>
      <c r="C204" s="2" t="s">
        <v>5064</v>
      </c>
      <c r="D204" s="2"/>
    </row>
    <row r="205" spans="1:4" ht="18" customHeight="1" x14ac:dyDescent="0.3">
      <c r="A205" s="2" t="s">
        <v>1612</v>
      </c>
      <c r="B205" s="2" t="s">
        <v>269</v>
      </c>
      <c r="C205" s="2" t="s">
        <v>5064</v>
      </c>
      <c r="D205" s="2"/>
    </row>
    <row r="206" spans="1:4" ht="18" customHeight="1" x14ac:dyDescent="0.3">
      <c r="A206" s="2" t="s">
        <v>1613</v>
      </c>
      <c r="B206" s="2" t="s">
        <v>269</v>
      </c>
      <c r="C206" s="2" t="s">
        <v>5064</v>
      </c>
      <c r="D206" s="2"/>
    </row>
    <row r="207" spans="1:4" ht="18" customHeight="1" x14ac:dyDescent="0.3">
      <c r="A207" s="2" t="s">
        <v>1615</v>
      </c>
      <c r="B207" s="2" t="s">
        <v>269</v>
      </c>
      <c r="C207" s="2" t="s">
        <v>5064</v>
      </c>
      <c r="D207" s="2"/>
    </row>
    <row r="208" spans="1:4" ht="18" customHeight="1" x14ac:dyDescent="0.3">
      <c r="A208" s="2" t="s">
        <v>1617</v>
      </c>
      <c r="B208" s="2" t="s">
        <v>269</v>
      </c>
      <c r="C208" s="2" t="s">
        <v>5064</v>
      </c>
      <c r="D208" s="2"/>
    </row>
    <row r="209" spans="1:4" ht="18" customHeight="1" x14ac:dyDescent="0.3">
      <c r="A209" s="2" t="s">
        <v>1618</v>
      </c>
      <c r="B209" s="2" t="s">
        <v>269</v>
      </c>
      <c r="C209" s="2" t="s">
        <v>5064</v>
      </c>
      <c r="D209" s="2"/>
    </row>
    <row r="210" spans="1:4" ht="18" customHeight="1" x14ac:dyDescent="0.3">
      <c r="A210" s="2" t="s">
        <v>1619</v>
      </c>
      <c r="B210" s="2" t="s">
        <v>269</v>
      </c>
      <c r="C210" s="2" t="s">
        <v>5064</v>
      </c>
      <c r="D210" s="2"/>
    </row>
    <row r="211" spans="1:4" ht="18" customHeight="1" x14ac:dyDescent="0.3">
      <c r="A211" s="2" t="s">
        <v>1620</v>
      </c>
      <c r="B211" s="2" t="s">
        <v>269</v>
      </c>
      <c r="C211" s="2" t="s">
        <v>5064</v>
      </c>
      <c r="D211" s="2"/>
    </row>
    <row r="212" spans="1:4" ht="18" customHeight="1" x14ac:dyDescent="0.3">
      <c r="A212" s="2" t="s">
        <v>1622</v>
      </c>
      <c r="B212" s="2" t="s">
        <v>269</v>
      </c>
      <c r="C212" s="2" t="s">
        <v>5064</v>
      </c>
      <c r="D212" s="2"/>
    </row>
    <row r="213" spans="1:4" ht="18" customHeight="1" x14ac:dyDescent="0.3">
      <c r="A213" s="2" t="s">
        <v>1623</v>
      </c>
      <c r="B213" s="2" t="s">
        <v>269</v>
      </c>
      <c r="C213" s="2" t="s">
        <v>5064</v>
      </c>
      <c r="D213" s="2"/>
    </row>
    <row r="214" spans="1:4" ht="18" customHeight="1" x14ac:dyDescent="0.3">
      <c r="A214" s="2" t="s">
        <v>1625</v>
      </c>
      <c r="B214" s="2" t="s">
        <v>269</v>
      </c>
      <c r="C214" s="2" t="s">
        <v>5064</v>
      </c>
      <c r="D214" s="2"/>
    </row>
    <row r="215" spans="1:4" ht="18" customHeight="1" x14ac:dyDescent="0.3">
      <c r="A215" s="2" t="s">
        <v>1626</v>
      </c>
      <c r="B215" s="2" t="s">
        <v>269</v>
      </c>
      <c r="C215" s="2" t="s">
        <v>5064</v>
      </c>
      <c r="D215" s="2"/>
    </row>
    <row r="216" spans="1:4" ht="18" customHeight="1" x14ac:dyDescent="0.3">
      <c r="A216" s="2" t="s">
        <v>1628</v>
      </c>
      <c r="B216" s="2" t="s">
        <v>269</v>
      </c>
      <c r="C216" s="2" t="s">
        <v>5064</v>
      </c>
      <c r="D216" s="2"/>
    </row>
    <row r="217" spans="1:4" ht="18" customHeight="1" x14ac:dyDescent="0.3">
      <c r="A217" s="2" t="s">
        <v>1630</v>
      </c>
      <c r="B217" s="2" t="s">
        <v>269</v>
      </c>
      <c r="C217" s="2" t="s">
        <v>5064</v>
      </c>
      <c r="D217" s="2"/>
    </row>
    <row r="218" spans="1:4" ht="18" customHeight="1" x14ac:dyDescent="0.3">
      <c r="A218" s="2" t="s">
        <v>1631</v>
      </c>
      <c r="B218" s="2" t="s">
        <v>269</v>
      </c>
      <c r="C218" s="2" t="s">
        <v>5064</v>
      </c>
      <c r="D218" s="2"/>
    </row>
    <row r="219" spans="1:4" ht="18" customHeight="1" x14ac:dyDescent="0.3">
      <c r="A219" s="2" t="s">
        <v>1632</v>
      </c>
      <c r="B219" s="2" t="s">
        <v>269</v>
      </c>
      <c r="C219" s="2" t="s">
        <v>5064</v>
      </c>
      <c r="D219" s="2"/>
    </row>
    <row r="220" spans="1:4" ht="18" customHeight="1" x14ac:dyDescent="0.3">
      <c r="A220" s="2" t="s">
        <v>1634</v>
      </c>
      <c r="B220" s="2" t="s">
        <v>269</v>
      </c>
      <c r="C220" s="2" t="s">
        <v>5064</v>
      </c>
      <c r="D220" s="2"/>
    </row>
    <row r="221" spans="1:4" ht="18" customHeight="1" x14ac:dyDescent="0.3">
      <c r="A221" s="2" t="s">
        <v>1635</v>
      </c>
      <c r="B221" s="2" t="s">
        <v>269</v>
      </c>
      <c r="C221" s="2" t="s">
        <v>5064</v>
      </c>
      <c r="D221" s="2"/>
    </row>
    <row r="222" spans="1:4" ht="18" customHeight="1" x14ac:dyDescent="0.3">
      <c r="A222" s="2" t="s">
        <v>1636</v>
      </c>
      <c r="B222" s="2" t="s">
        <v>269</v>
      </c>
      <c r="C222" s="2" t="s">
        <v>5064</v>
      </c>
      <c r="D222" s="2"/>
    </row>
    <row r="223" spans="1:4" ht="18" customHeight="1" x14ac:dyDescent="0.3">
      <c r="A223" s="2" t="s">
        <v>1638</v>
      </c>
      <c r="B223" s="2" t="s">
        <v>269</v>
      </c>
      <c r="C223" s="2" t="s">
        <v>5064</v>
      </c>
      <c r="D223" s="2"/>
    </row>
    <row r="224" spans="1:4" ht="18" customHeight="1" x14ac:dyDescent="0.3">
      <c r="A224" s="2" t="s">
        <v>1640</v>
      </c>
      <c r="B224" s="2" t="s">
        <v>269</v>
      </c>
      <c r="C224" s="2" t="s">
        <v>5064</v>
      </c>
      <c r="D224" s="2"/>
    </row>
    <row r="225" spans="1:4" ht="18" customHeight="1" x14ac:dyDescent="0.3">
      <c r="A225" s="2" t="s">
        <v>1641</v>
      </c>
      <c r="B225" s="2" t="s">
        <v>269</v>
      </c>
      <c r="C225" s="2" t="s">
        <v>5064</v>
      </c>
      <c r="D225" s="2"/>
    </row>
    <row r="226" spans="1:4" ht="18" customHeight="1" x14ac:dyDescent="0.3">
      <c r="A226" s="2" t="s">
        <v>1643</v>
      </c>
      <c r="B226" s="2" t="s">
        <v>269</v>
      </c>
      <c r="C226" s="2" t="s">
        <v>5064</v>
      </c>
      <c r="D226" s="2"/>
    </row>
    <row r="227" spans="1:4" ht="18" customHeight="1" x14ac:dyDescent="0.3">
      <c r="A227" s="2" t="s">
        <v>1644</v>
      </c>
      <c r="B227" s="2" t="s">
        <v>269</v>
      </c>
      <c r="C227" s="2" t="s">
        <v>5064</v>
      </c>
      <c r="D227" s="2"/>
    </row>
    <row r="228" spans="1:4" ht="18" customHeight="1" x14ac:dyDescent="0.3">
      <c r="A228" s="2" t="s">
        <v>1646</v>
      </c>
      <c r="B228" s="2" t="s">
        <v>269</v>
      </c>
      <c r="C228" s="2" t="s">
        <v>5064</v>
      </c>
      <c r="D228" s="2"/>
    </row>
    <row r="229" spans="1:4" ht="18" customHeight="1" x14ac:dyDescent="0.3">
      <c r="A229" s="2" t="s">
        <v>1648</v>
      </c>
      <c r="B229" s="2" t="s">
        <v>269</v>
      </c>
      <c r="C229" s="2" t="s">
        <v>5064</v>
      </c>
      <c r="D229" s="2"/>
    </row>
    <row r="230" spans="1:4" ht="18" customHeight="1" x14ac:dyDescent="0.3">
      <c r="A230" s="2" t="s">
        <v>1650</v>
      </c>
      <c r="B230" s="2" t="s">
        <v>269</v>
      </c>
      <c r="C230" s="2" t="s">
        <v>5064</v>
      </c>
      <c r="D230" s="2"/>
    </row>
    <row r="231" spans="1:4" ht="18" customHeight="1" x14ac:dyDescent="0.3">
      <c r="A231" s="2" t="s">
        <v>1651</v>
      </c>
      <c r="B231" s="2" t="s">
        <v>269</v>
      </c>
      <c r="C231" s="2" t="s">
        <v>5064</v>
      </c>
      <c r="D231" s="2"/>
    </row>
    <row r="232" spans="1:4" ht="18" customHeight="1" x14ac:dyDescent="0.3">
      <c r="A232" s="2" t="s">
        <v>1652</v>
      </c>
      <c r="B232" s="2" t="s">
        <v>269</v>
      </c>
      <c r="C232" s="2" t="s">
        <v>5064</v>
      </c>
      <c r="D232" s="2"/>
    </row>
    <row r="233" spans="1:4" ht="18" customHeight="1" x14ac:dyDescent="0.3">
      <c r="A233" s="2" t="s">
        <v>1654</v>
      </c>
      <c r="B233" s="2" t="s">
        <v>269</v>
      </c>
      <c r="C233" s="2" t="s">
        <v>5064</v>
      </c>
      <c r="D233" s="2"/>
    </row>
    <row r="234" spans="1:4" ht="18" customHeight="1" x14ac:dyDescent="0.3">
      <c r="A234" s="2" t="s">
        <v>1655</v>
      </c>
      <c r="B234" s="2" t="s">
        <v>269</v>
      </c>
      <c r="C234" s="2" t="s">
        <v>5064</v>
      </c>
      <c r="D234" s="2"/>
    </row>
    <row r="235" spans="1:4" ht="18" customHeight="1" x14ac:dyDescent="0.3">
      <c r="A235" s="2" t="s">
        <v>1656</v>
      </c>
      <c r="B235" s="2" t="s">
        <v>269</v>
      </c>
      <c r="C235" s="2" t="s">
        <v>5064</v>
      </c>
      <c r="D235" s="2"/>
    </row>
    <row r="236" spans="1:4" ht="18" customHeight="1" x14ac:dyDescent="0.3">
      <c r="A236" s="2" t="s">
        <v>1657</v>
      </c>
      <c r="B236" s="2" t="s">
        <v>269</v>
      </c>
      <c r="C236" s="2" t="s">
        <v>5064</v>
      </c>
      <c r="D236" s="2"/>
    </row>
    <row r="237" spans="1:4" ht="18" customHeight="1" x14ac:dyDescent="0.3">
      <c r="A237" s="2" t="s">
        <v>1658</v>
      </c>
      <c r="B237" s="2" t="s">
        <v>269</v>
      </c>
      <c r="C237" s="2" t="s">
        <v>5064</v>
      </c>
      <c r="D237" s="2"/>
    </row>
    <row r="238" spans="1:4" ht="18" customHeight="1" x14ac:dyDescent="0.3">
      <c r="A238" s="2" t="s">
        <v>1659</v>
      </c>
      <c r="B238" s="2" t="s">
        <v>269</v>
      </c>
      <c r="C238" s="2" t="s">
        <v>5064</v>
      </c>
      <c r="D238" s="2"/>
    </row>
    <row r="239" spans="1:4" ht="18" customHeight="1" x14ac:dyDescent="0.3">
      <c r="A239" s="2" t="s">
        <v>1660</v>
      </c>
      <c r="B239" s="2" t="s">
        <v>269</v>
      </c>
      <c r="C239" s="2" t="s">
        <v>5064</v>
      </c>
      <c r="D239" s="2"/>
    </row>
    <row r="240" spans="1:4" ht="18" customHeight="1" x14ac:dyDescent="0.3">
      <c r="A240" s="2" t="s">
        <v>1661</v>
      </c>
      <c r="B240" s="2" t="s">
        <v>269</v>
      </c>
      <c r="C240" s="2" t="s">
        <v>5064</v>
      </c>
      <c r="D240" s="2"/>
    </row>
    <row r="241" spans="1:4" ht="18" customHeight="1" x14ac:dyDescent="0.3">
      <c r="A241" s="2" t="s">
        <v>1662</v>
      </c>
      <c r="B241" s="2" t="s">
        <v>269</v>
      </c>
      <c r="C241" s="2" t="s">
        <v>5064</v>
      </c>
      <c r="D241" s="2"/>
    </row>
    <row r="242" spans="1:4" ht="18" customHeight="1" x14ac:dyDescent="0.3">
      <c r="A242" s="2" t="s">
        <v>1664</v>
      </c>
      <c r="B242" s="2" t="s">
        <v>269</v>
      </c>
      <c r="C242" s="2" t="s">
        <v>5064</v>
      </c>
      <c r="D242" s="2"/>
    </row>
    <row r="243" spans="1:4" ht="18" customHeight="1" x14ac:dyDescent="0.3">
      <c r="A243" s="2" t="s">
        <v>1665</v>
      </c>
      <c r="B243" s="2" t="s">
        <v>269</v>
      </c>
      <c r="C243" s="2" t="s">
        <v>5064</v>
      </c>
      <c r="D243" s="2"/>
    </row>
    <row r="244" spans="1:4" ht="18" customHeight="1" x14ac:dyDescent="0.3">
      <c r="A244" s="2" t="s">
        <v>1666</v>
      </c>
      <c r="B244" s="2" t="s">
        <v>269</v>
      </c>
      <c r="C244" s="2" t="s">
        <v>5064</v>
      </c>
      <c r="D244" s="2"/>
    </row>
    <row r="245" spans="1:4" ht="18" customHeight="1" x14ac:dyDescent="0.3">
      <c r="A245" s="2" t="s">
        <v>1667</v>
      </c>
      <c r="B245" s="2" t="s">
        <v>269</v>
      </c>
      <c r="C245" s="2" t="s">
        <v>5064</v>
      </c>
      <c r="D245" s="2"/>
    </row>
    <row r="246" spans="1:4" ht="18" customHeight="1" x14ac:dyDescent="0.3">
      <c r="A246" s="2" t="s">
        <v>1668</v>
      </c>
      <c r="B246" s="2" t="s">
        <v>269</v>
      </c>
      <c r="C246" s="2" t="s">
        <v>5064</v>
      </c>
      <c r="D246" s="2"/>
    </row>
    <row r="247" spans="1:4" ht="18" customHeight="1" x14ac:dyDescent="0.3">
      <c r="A247" s="2" t="s">
        <v>1669</v>
      </c>
      <c r="B247" s="2" t="s">
        <v>269</v>
      </c>
      <c r="C247" s="2" t="s">
        <v>5064</v>
      </c>
      <c r="D247" s="2"/>
    </row>
    <row r="248" spans="1:4" ht="18" customHeight="1" x14ac:dyDescent="0.3">
      <c r="A248" s="2" t="s">
        <v>1670</v>
      </c>
      <c r="B248" s="2" t="s">
        <v>269</v>
      </c>
      <c r="C248" s="2" t="s">
        <v>5064</v>
      </c>
      <c r="D248" s="2"/>
    </row>
    <row r="249" spans="1:4" ht="18" customHeight="1" x14ac:dyDescent="0.3">
      <c r="A249" s="2" t="s">
        <v>1671</v>
      </c>
      <c r="B249" s="2" t="s">
        <v>269</v>
      </c>
      <c r="C249" s="2" t="s">
        <v>5064</v>
      </c>
      <c r="D249" s="2"/>
    </row>
    <row r="250" spans="1:4" ht="18" customHeight="1" x14ac:dyDescent="0.3">
      <c r="A250" s="2" t="s">
        <v>1672</v>
      </c>
      <c r="B250" s="2" t="s">
        <v>269</v>
      </c>
      <c r="C250" s="2" t="s">
        <v>5064</v>
      </c>
      <c r="D250" s="2"/>
    </row>
    <row r="251" spans="1:4" ht="18" customHeight="1" x14ac:dyDescent="0.3">
      <c r="A251" s="2" t="s">
        <v>1674</v>
      </c>
      <c r="B251" s="2" t="s">
        <v>269</v>
      </c>
      <c r="C251" s="2" t="s">
        <v>5064</v>
      </c>
      <c r="D251" s="2"/>
    </row>
    <row r="252" spans="1:4" ht="18" customHeight="1" x14ac:dyDescent="0.3">
      <c r="A252" s="2" t="s">
        <v>1675</v>
      </c>
      <c r="B252" s="2" t="s">
        <v>269</v>
      </c>
      <c r="C252" s="2" t="s">
        <v>5064</v>
      </c>
      <c r="D252" s="2"/>
    </row>
    <row r="253" spans="1:4" ht="18" customHeight="1" x14ac:dyDescent="0.3">
      <c r="A253" s="2" t="s">
        <v>1677</v>
      </c>
      <c r="B253" s="2" t="s">
        <v>269</v>
      </c>
      <c r="C253" s="2" t="s">
        <v>5064</v>
      </c>
      <c r="D253" s="2"/>
    </row>
    <row r="254" spans="1:4" ht="18" customHeight="1" x14ac:dyDescent="0.3">
      <c r="A254" s="2" t="s">
        <v>1679</v>
      </c>
      <c r="B254" s="2" t="s">
        <v>269</v>
      </c>
      <c r="C254" s="2" t="s">
        <v>5064</v>
      </c>
      <c r="D254" s="2"/>
    </row>
    <row r="255" spans="1:4" ht="18" customHeight="1" x14ac:dyDescent="0.3">
      <c r="A255" s="2" t="s">
        <v>1681</v>
      </c>
      <c r="B255" s="2" t="s">
        <v>269</v>
      </c>
      <c r="C255" s="2" t="s">
        <v>5064</v>
      </c>
      <c r="D255" s="2"/>
    </row>
    <row r="256" spans="1:4" ht="18" customHeight="1" x14ac:dyDescent="0.3">
      <c r="A256" s="2" t="s">
        <v>1683</v>
      </c>
      <c r="B256" s="2" t="s">
        <v>269</v>
      </c>
      <c r="C256" s="2" t="s">
        <v>5064</v>
      </c>
      <c r="D256" s="2"/>
    </row>
    <row r="257" spans="1:4" ht="18" customHeight="1" x14ac:dyDescent="0.3">
      <c r="A257" s="2" t="s">
        <v>1685</v>
      </c>
      <c r="B257" s="2" t="s">
        <v>269</v>
      </c>
      <c r="C257" s="2" t="s">
        <v>5064</v>
      </c>
      <c r="D257" s="2"/>
    </row>
    <row r="258" spans="1:4" ht="18" customHeight="1" x14ac:dyDescent="0.3">
      <c r="A258" s="2" t="s">
        <v>1686</v>
      </c>
      <c r="B258" s="2" t="s">
        <v>269</v>
      </c>
      <c r="C258" s="2" t="s">
        <v>5064</v>
      </c>
      <c r="D258" s="2"/>
    </row>
    <row r="259" spans="1:4" ht="18" customHeight="1" x14ac:dyDescent="0.3">
      <c r="A259" s="2" t="s">
        <v>1687</v>
      </c>
      <c r="B259" s="2" t="s">
        <v>269</v>
      </c>
      <c r="C259" s="2" t="s">
        <v>5064</v>
      </c>
      <c r="D259" s="2"/>
    </row>
    <row r="260" spans="1:4" ht="18" customHeight="1" x14ac:dyDescent="0.3">
      <c r="A260" s="2" t="s">
        <v>1688</v>
      </c>
      <c r="B260" s="2" t="s">
        <v>269</v>
      </c>
      <c r="C260" s="2" t="s">
        <v>5064</v>
      </c>
      <c r="D260" s="2"/>
    </row>
    <row r="261" spans="1:4" ht="18" customHeight="1" x14ac:dyDescent="0.3">
      <c r="A261" s="2" t="s">
        <v>1689</v>
      </c>
      <c r="B261" s="2" t="s">
        <v>269</v>
      </c>
      <c r="C261" s="2" t="s">
        <v>5064</v>
      </c>
      <c r="D261" s="2"/>
    </row>
    <row r="262" spans="1:4" ht="18" customHeight="1" x14ac:dyDescent="0.3">
      <c r="A262" s="2" t="s">
        <v>1691</v>
      </c>
      <c r="B262" s="2" t="s">
        <v>269</v>
      </c>
      <c r="C262" s="2" t="s">
        <v>5064</v>
      </c>
      <c r="D262" s="2"/>
    </row>
    <row r="263" spans="1:4" ht="18" customHeight="1" x14ac:dyDescent="0.3">
      <c r="A263" s="2" t="s">
        <v>1693</v>
      </c>
      <c r="B263" s="2" t="s">
        <v>269</v>
      </c>
      <c r="C263" s="2" t="s">
        <v>5064</v>
      </c>
      <c r="D263" s="2"/>
    </row>
    <row r="264" spans="1:4" ht="18" customHeight="1" x14ac:dyDescent="0.3">
      <c r="A264" s="2" t="s">
        <v>1695</v>
      </c>
      <c r="B264" s="2" t="s">
        <v>269</v>
      </c>
      <c r="C264" s="2" t="s">
        <v>5064</v>
      </c>
      <c r="D264" s="2"/>
    </row>
    <row r="265" spans="1:4" ht="18" customHeight="1" x14ac:dyDescent="0.3">
      <c r="A265" s="2" t="s">
        <v>1697</v>
      </c>
      <c r="B265" s="2" t="s">
        <v>269</v>
      </c>
      <c r="C265" s="2" t="s">
        <v>5064</v>
      </c>
      <c r="D265" s="2"/>
    </row>
    <row r="266" spans="1:4" ht="18" customHeight="1" x14ac:dyDescent="0.3">
      <c r="A266" s="2" t="s">
        <v>1699</v>
      </c>
      <c r="B266" s="2" t="s">
        <v>269</v>
      </c>
      <c r="C266" s="2" t="s">
        <v>5064</v>
      </c>
      <c r="D266" s="2"/>
    </row>
    <row r="267" spans="1:4" ht="18" customHeight="1" x14ac:dyDescent="0.3">
      <c r="A267" s="2" t="s">
        <v>1701</v>
      </c>
      <c r="B267" s="2" t="s">
        <v>269</v>
      </c>
      <c r="C267" s="2" t="s">
        <v>5064</v>
      </c>
      <c r="D267" s="2"/>
    </row>
    <row r="268" spans="1:4" ht="18" customHeight="1" x14ac:dyDescent="0.3">
      <c r="A268" s="2" t="s">
        <v>1703</v>
      </c>
      <c r="B268" s="2" t="s">
        <v>269</v>
      </c>
      <c r="C268" s="2" t="s">
        <v>5064</v>
      </c>
      <c r="D268" s="2"/>
    </row>
    <row r="269" spans="1:4" ht="18" customHeight="1" x14ac:dyDescent="0.3">
      <c r="A269" s="2" t="s">
        <v>1705</v>
      </c>
      <c r="B269" s="2" t="s">
        <v>269</v>
      </c>
      <c r="C269" s="2" t="s">
        <v>5064</v>
      </c>
      <c r="D269" s="2"/>
    </row>
    <row r="270" spans="1:4" ht="18" customHeight="1" x14ac:dyDescent="0.3">
      <c r="A270" s="2" t="s">
        <v>1707</v>
      </c>
      <c r="B270" s="2" t="s">
        <v>269</v>
      </c>
      <c r="C270" s="2" t="s">
        <v>5064</v>
      </c>
      <c r="D270" s="2"/>
    </row>
    <row r="271" spans="1:4" ht="18" customHeight="1" x14ac:dyDescent="0.3">
      <c r="A271" s="2" t="s">
        <v>1709</v>
      </c>
      <c r="B271" s="2" t="s">
        <v>269</v>
      </c>
      <c r="C271" s="2" t="s">
        <v>5064</v>
      </c>
      <c r="D271" s="2"/>
    </row>
    <row r="272" spans="1:4" ht="18" customHeight="1" x14ac:dyDescent="0.3">
      <c r="A272" s="2" t="s">
        <v>1711</v>
      </c>
      <c r="B272" s="2" t="s">
        <v>269</v>
      </c>
      <c r="C272" s="2" t="s">
        <v>5064</v>
      </c>
      <c r="D272" s="2"/>
    </row>
    <row r="273" spans="1:4" ht="18" customHeight="1" x14ac:dyDescent="0.3">
      <c r="A273" s="2" t="s">
        <v>1712</v>
      </c>
      <c r="B273" s="2" t="s">
        <v>269</v>
      </c>
      <c r="C273" s="2" t="s">
        <v>5064</v>
      </c>
      <c r="D273" s="2"/>
    </row>
    <row r="274" spans="1:4" ht="18" customHeight="1" x14ac:dyDescent="0.3">
      <c r="A274" s="2" t="s">
        <v>1714</v>
      </c>
      <c r="B274" s="2" t="s">
        <v>269</v>
      </c>
      <c r="C274" s="2" t="s">
        <v>5064</v>
      </c>
      <c r="D274" s="2"/>
    </row>
    <row r="275" spans="1:4" ht="18" customHeight="1" x14ac:dyDescent="0.3">
      <c r="A275" s="2" t="s">
        <v>1716</v>
      </c>
      <c r="B275" s="2" t="s">
        <v>269</v>
      </c>
      <c r="C275" s="2" t="s">
        <v>5064</v>
      </c>
      <c r="D275" s="2"/>
    </row>
    <row r="276" spans="1:4" ht="18" customHeight="1" x14ac:dyDescent="0.3">
      <c r="A276" s="2" t="s">
        <v>1718</v>
      </c>
      <c r="B276" s="2" t="s">
        <v>269</v>
      </c>
      <c r="C276" s="2" t="s">
        <v>5064</v>
      </c>
      <c r="D276" s="2"/>
    </row>
    <row r="277" spans="1:4" ht="18" customHeight="1" x14ac:dyDescent="0.3">
      <c r="A277" s="2" t="s">
        <v>1720</v>
      </c>
      <c r="B277" s="2" t="s">
        <v>269</v>
      </c>
      <c r="C277" s="2" t="s">
        <v>5064</v>
      </c>
      <c r="D277" s="2"/>
    </row>
    <row r="278" spans="1:4" ht="18" customHeight="1" x14ac:dyDescent="0.3">
      <c r="A278" s="2" t="s">
        <v>1722</v>
      </c>
      <c r="B278" s="2" t="s">
        <v>269</v>
      </c>
      <c r="C278" s="2" t="s">
        <v>5064</v>
      </c>
      <c r="D278" s="2"/>
    </row>
    <row r="279" spans="1:4" ht="18" customHeight="1" x14ac:dyDescent="0.3">
      <c r="A279" s="2" t="s">
        <v>1724</v>
      </c>
      <c r="B279" s="2" t="s">
        <v>269</v>
      </c>
      <c r="C279" s="2" t="s">
        <v>5064</v>
      </c>
      <c r="D279" s="2"/>
    </row>
    <row r="280" spans="1:4" ht="18" customHeight="1" x14ac:dyDescent="0.3">
      <c r="A280" s="2" t="s">
        <v>1725</v>
      </c>
      <c r="B280" s="2" t="s">
        <v>269</v>
      </c>
      <c r="C280" s="2" t="s">
        <v>5064</v>
      </c>
      <c r="D280" s="2"/>
    </row>
    <row r="281" spans="1:4" ht="18" customHeight="1" x14ac:dyDescent="0.3">
      <c r="A281" s="2" t="s">
        <v>1726</v>
      </c>
      <c r="B281" s="2" t="s">
        <v>269</v>
      </c>
      <c r="C281" s="2" t="s">
        <v>5064</v>
      </c>
      <c r="D281" s="2"/>
    </row>
    <row r="282" spans="1:4" ht="18" customHeight="1" x14ac:dyDescent="0.3">
      <c r="A282" s="2" t="s">
        <v>1727</v>
      </c>
      <c r="B282" s="2" t="s">
        <v>269</v>
      </c>
      <c r="C282" s="2" t="s">
        <v>5064</v>
      </c>
      <c r="D282" s="2"/>
    </row>
    <row r="283" spans="1:4" ht="18" customHeight="1" x14ac:dyDescent="0.3">
      <c r="A283" s="2" t="s">
        <v>1728</v>
      </c>
      <c r="B283" s="2" t="s">
        <v>269</v>
      </c>
      <c r="C283" s="2" t="s">
        <v>5064</v>
      </c>
      <c r="D283" s="2"/>
    </row>
    <row r="284" spans="1:4" ht="18" customHeight="1" x14ac:dyDescent="0.3">
      <c r="A284" s="2" t="s">
        <v>1729</v>
      </c>
      <c r="B284" s="2" t="s">
        <v>269</v>
      </c>
      <c r="C284" s="2" t="s">
        <v>5064</v>
      </c>
      <c r="D284" s="2"/>
    </row>
    <row r="285" spans="1:4" ht="18" customHeight="1" x14ac:dyDescent="0.3">
      <c r="A285" s="2" t="s">
        <v>1730</v>
      </c>
      <c r="B285" s="2" t="s">
        <v>269</v>
      </c>
      <c r="C285" s="2" t="s">
        <v>5064</v>
      </c>
      <c r="D285" s="2"/>
    </row>
    <row r="286" spans="1:4" ht="18" customHeight="1" x14ac:dyDescent="0.3">
      <c r="A286" s="2" t="s">
        <v>1731</v>
      </c>
      <c r="B286" s="2" t="s">
        <v>269</v>
      </c>
      <c r="C286" s="2" t="s">
        <v>5064</v>
      </c>
      <c r="D286" s="2"/>
    </row>
    <row r="287" spans="1:4" ht="18" customHeight="1" x14ac:dyDescent="0.3">
      <c r="A287" s="2" t="s">
        <v>1733</v>
      </c>
      <c r="B287" s="2" t="s">
        <v>269</v>
      </c>
      <c r="C287" s="2" t="s">
        <v>5064</v>
      </c>
      <c r="D287" s="2"/>
    </row>
    <row r="288" spans="1:4" ht="18" customHeight="1" x14ac:dyDescent="0.3">
      <c r="A288" s="2" t="s">
        <v>1735</v>
      </c>
      <c r="B288" s="2" t="s">
        <v>269</v>
      </c>
      <c r="C288" s="2" t="s">
        <v>5064</v>
      </c>
      <c r="D288" s="2"/>
    </row>
    <row r="289" spans="1:4" ht="18" customHeight="1" x14ac:dyDescent="0.3">
      <c r="A289" s="2" t="s">
        <v>1736</v>
      </c>
      <c r="B289" s="2" t="s">
        <v>269</v>
      </c>
      <c r="C289" s="2" t="s">
        <v>5064</v>
      </c>
      <c r="D289" s="2"/>
    </row>
    <row r="290" spans="1:4" ht="18" customHeight="1" x14ac:dyDescent="0.3">
      <c r="A290" s="2" t="s">
        <v>1737</v>
      </c>
      <c r="B290" s="2" t="s">
        <v>269</v>
      </c>
      <c r="C290" s="2" t="s">
        <v>5064</v>
      </c>
      <c r="D290" s="2"/>
    </row>
    <row r="291" spans="1:4" ht="18" customHeight="1" x14ac:dyDescent="0.3">
      <c r="A291" s="2" t="s">
        <v>1738</v>
      </c>
      <c r="B291" s="2" t="s">
        <v>269</v>
      </c>
      <c r="C291" s="2" t="s">
        <v>5064</v>
      </c>
      <c r="D291" s="2"/>
    </row>
    <row r="292" spans="1:4" ht="18" customHeight="1" x14ac:dyDescent="0.3">
      <c r="A292" s="2" t="s">
        <v>1739</v>
      </c>
      <c r="B292" s="2" t="s">
        <v>269</v>
      </c>
      <c r="C292" s="2" t="s">
        <v>5064</v>
      </c>
      <c r="D292" s="2"/>
    </row>
    <row r="293" spans="1:4" ht="18" customHeight="1" x14ac:dyDescent="0.3">
      <c r="A293" s="2" t="s">
        <v>1740</v>
      </c>
      <c r="B293" s="2" t="s">
        <v>269</v>
      </c>
      <c r="C293" s="2" t="s">
        <v>5064</v>
      </c>
      <c r="D293" s="2"/>
    </row>
    <row r="294" spans="1:4" ht="18" customHeight="1" x14ac:dyDescent="0.3">
      <c r="A294" s="2" t="s">
        <v>1742</v>
      </c>
      <c r="B294" s="2" t="s">
        <v>269</v>
      </c>
      <c r="C294" s="2" t="s">
        <v>5064</v>
      </c>
      <c r="D294" s="2"/>
    </row>
    <row r="295" spans="1:4" ht="18" customHeight="1" x14ac:dyDescent="0.3">
      <c r="A295" s="2" t="s">
        <v>1744</v>
      </c>
      <c r="B295" s="2" t="s">
        <v>269</v>
      </c>
      <c r="C295" s="2" t="s">
        <v>5064</v>
      </c>
      <c r="D295" s="2"/>
    </row>
    <row r="296" spans="1:4" ht="18" customHeight="1" x14ac:dyDescent="0.3">
      <c r="A296" s="2" t="s">
        <v>1746</v>
      </c>
      <c r="B296" s="2" t="s">
        <v>269</v>
      </c>
      <c r="C296" s="2" t="s">
        <v>5064</v>
      </c>
      <c r="D296" s="2"/>
    </row>
    <row r="297" spans="1:4" ht="18" customHeight="1" x14ac:dyDescent="0.3">
      <c r="A297" s="2" t="s">
        <v>1748</v>
      </c>
      <c r="B297" s="2" t="s">
        <v>269</v>
      </c>
      <c r="C297" s="2" t="s">
        <v>5064</v>
      </c>
      <c r="D297" s="2"/>
    </row>
    <row r="298" spans="1:4" ht="18" customHeight="1" x14ac:dyDescent="0.3">
      <c r="A298" s="2" t="s">
        <v>1750</v>
      </c>
      <c r="B298" s="2" t="s">
        <v>269</v>
      </c>
      <c r="C298" s="2" t="s">
        <v>5064</v>
      </c>
      <c r="D298" s="2"/>
    </row>
    <row r="299" spans="1:4" ht="18" customHeight="1" x14ac:dyDescent="0.3">
      <c r="A299" s="2" t="s">
        <v>1752</v>
      </c>
      <c r="B299" s="2" t="s">
        <v>269</v>
      </c>
      <c r="C299" s="2" t="s">
        <v>5064</v>
      </c>
      <c r="D299" s="2"/>
    </row>
    <row r="300" spans="1:4" ht="18" customHeight="1" x14ac:dyDescent="0.3">
      <c r="A300" s="2" t="s">
        <v>1754</v>
      </c>
      <c r="B300" s="2" t="s">
        <v>269</v>
      </c>
      <c r="C300" s="2" t="s">
        <v>5064</v>
      </c>
      <c r="D300" s="2"/>
    </row>
    <row r="301" spans="1:4" x14ac:dyDescent="0.3">
      <c r="A301" s="2" t="s">
        <v>1756</v>
      </c>
      <c r="B301" s="2" t="s">
        <v>269</v>
      </c>
      <c r="C301" s="2" t="s">
        <v>5064</v>
      </c>
      <c r="D301" s="2"/>
    </row>
    <row r="302" spans="1:4" x14ac:dyDescent="0.3">
      <c r="A302" s="2" t="s">
        <v>1758</v>
      </c>
      <c r="B302" s="2" t="s">
        <v>269</v>
      </c>
      <c r="C302" s="2" t="s">
        <v>5064</v>
      </c>
      <c r="D302" s="2"/>
    </row>
    <row r="303" spans="1:4" x14ac:dyDescent="0.3">
      <c r="A303" s="2" t="s">
        <v>1760</v>
      </c>
      <c r="B303" s="2" t="s">
        <v>269</v>
      </c>
      <c r="C303" s="2" t="s">
        <v>5064</v>
      </c>
      <c r="D303" s="2"/>
    </row>
    <row r="304" spans="1:4" x14ac:dyDescent="0.3">
      <c r="A304" s="2" t="s">
        <v>1762</v>
      </c>
      <c r="B304" s="2" t="s">
        <v>269</v>
      </c>
      <c r="C304" s="2" t="s">
        <v>5064</v>
      </c>
      <c r="D304" s="2"/>
    </row>
    <row r="305" spans="1:4" x14ac:dyDescent="0.3">
      <c r="A305" s="2" t="s">
        <v>1764</v>
      </c>
      <c r="B305" s="2" t="s">
        <v>269</v>
      </c>
      <c r="C305" s="2" t="s">
        <v>5064</v>
      </c>
      <c r="D305" s="2"/>
    </row>
    <row r="306" spans="1:4" x14ac:dyDescent="0.3">
      <c r="A306" s="2" t="s">
        <v>1766</v>
      </c>
      <c r="B306" s="2" t="s">
        <v>269</v>
      </c>
      <c r="C306" s="2" t="s">
        <v>5064</v>
      </c>
      <c r="D306" s="2"/>
    </row>
    <row r="307" spans="1:4" x14ac:dyDescent="0.3">
      <c r="A307" s="2" t="s">
        <v>1768</v>
      </c>
      <c r="B307" s="2" t="s">
        <v>269</v>
      </c>
      <c r="C307" s="2" t="s">
        <v>5064</v>
      </c>
      <c r="D307" s="2"/>
    </row>
    <row r="308" spans="1:4" x14ac:dyDescent="0.3">
      <c r="A308" s="2" t="s">
        <v>1770</v>
      </c>
      <c r="B308" s="2" t="s">
        <v>269</v>
      </c>
      <c r="C308" s="2" t="s">
        <v>5064</v>
      </c>
      <c r="D308" s="2"/>
    </row>
    <row r="309" spans="1:4" x14ac:dyDescent="0.3">
      <c r="A309" s="2" t="s">
        <v>1772</v>
      </c>
      <c r="B309" s="2" t="s">
        <v>269</v>
      </c>
      <c r="C309" s="2" t="s">
        <v>5064</v>
      </c>
      <c r="D309" s="2"/>
    </row>
    <row r="310" spans="1:4" x14ac:dyDescent="0.3">
      <c r="A310" s="2" t="s">
        <v>1773</v>
      </c>
      <c r="B310" s="2" t="s">
        <v>269</v>
      </c>
      <c r="C310" s="2" t="s">
        <v>5064</v>
      </c>
      <c r="D310" s="2"/>
    </row>
    <row r="311" spans="1:4" x14ac:dyDescent="0.3">
      <c r="A311" s="2" t="s">
        <v>1774</v>
      </c>
      <c r="B311" s="2" t="s">
        <v>269</v>
      </c>
      <c r="C311" s="2" t="s">
        <v>5064</v>
      </c>
      <c r="D311" s="2"/>
    </row>
    <row r="312" spans="1:4" x14ac:dyDescent="0.3">
      <c r="A312" s="2" t="s">
        <v>1775</v>
      </c>
      <c r="B312" s="2" t="s">
        <v>269</v>
      </c>
      <c r="C312" s="2" t="s">
        <v>5064</v>
      </c>
      <c r="D312" s="2"/>
    </row>
    <row r="313" spans="1:4" x14ac:dyDescent="0.3">
      <c r="A313" s="2" t="s">
        <v>1777</v>
      </c>
      <c r="B313" s="2" t="s">
        <v>269</v>
      </c>
      <c r="C313" s="2" t="s">
        <v>5064</v>
      </c>
      <c r="D313" s="2"/>
    </row>
    <row r="314" spans="1:4" x14ac:dyDescent="0.3">
      <c r="A314" s="2" t="s">
        <v>1779</v>
      </c>
      <c r="B314" s="2" t="s">
        <v>269</v>
      </c>
      <c r="C314" s="2" t="s">
        <v>5064</v>
      </c>
      <c r="D314" s="2"/>
    </row>
    <row r="315" spans="1:4" x14ac:dyDescent="0.3">
      <c r="A315" s="2" t="s">
        <v>1780</v>
      </c>
      <c r="B315" s="2" t="s">
        <v>269</v>
      </c>
      <c r="C315" s="2" t="s">
        <v>5064</v>
      </c>
      <c r="D315" s="2"/>
    </row>
    <row r="316" spans="1:4" x14ac:dyDescent="0.3">
      <c r="A316" s="2" t="s">
        <v>1781</v>
      </c>
      <c r="B316" s="2" t="s">
        <v>269</v>
      </c>
      <c r="C316" s="2" t="s">
        <v>5064</v>
      </c>
      <c r="D316" s="2"/>
    </row>
    <row r="317" spans="1:4" x14ac:dyDescent="0.3">
      <c r="A317" s="2" t="s">
        <v>1782</v>
      </c>
      <c r="B317" s="2" t="s">
        <v>269</v>
      </c>
      <c r="C317" s="2" t="s">
        <v>5064</v>
      </c>
      <c r="D317" s="2"/>
    </row>
    <row r="318" spans="1:4" x14ac:dyDescent="0.3">
      <c r="A318" s="2" t="s">
        <v>1783</v>
      </c>
      <c r="B318" s="2" t="s">
        <v>269</v>
      </c>
      <c r="C318" s="2" t="s">
        <v>5064</v>
      </c>
      <c r="D318" s="2"/>
    </row>
    <row r="319" spans="1:4" x14ac:dyDescent="0.3">
      <c r="A319" s="2" t="s">
        <v>1784</v>
      </c>
      <c r="B319" s="2" t="s">
        <v>269</v>
      </c>
      <c r="C319" s="2" t="s">
        <v>5064</v>
      </c>
      <c r="D319" s="2"/>
    </row>
    <row r="320" spans="1:4" x14ac:dyDescent="0.3">
      <c r="A320" s="2" t="s">
        <v>1785</v>
      </c>
      <c r="B320" s="2" t="s">
        <v>269</v>
      </c>
      <c r="C320" s="2" t="s">
        <v>5064</v>
      </c>
      <c r="D320" s="2"/>
    </row>
    <row r="321" spans="1:4" x14ac:dyDescent="0.3">
      <c r="A321" s="2" t="s">
        <v>1786</v>
      </c>
      <c r="B321" s="2" t="s">
        <v>269</v>
      </c>
      <c r="C321" s="2" t="s">
        <v>5064</v>
      </c>
      <c r="D321" s="2"/>
    </row>
    <row r="322" spans="1:4" x14ac:dyDescent="0.3">
      <c r="A322" s="2" t="s">
        <v>1787</v>
      </c>
      <c r="B322" s="2" t="s">
        <v>269</v>
      </c>
      <c r="C322" s="2" t="s">
        <v>5064</v>
      </c>
      <c r="D322" s="2"/>
    </row>
    <row r="323" spans="1:4" x14ac:dyDescent="0.3">
      <c r="A323" s="2" t="s">
        <v>1789</v>
      </c>
      <c r="B323" s="2" t="s">
        <v>269</v>
      </c>
      <c r="C323" s="2" t="s">
        <v>5064</v>
      </c>
      <c r="D323" s="2"/>
    </row>
    <row r="324" spans="1:4" x14ac:dyDescent="0.3">
      <c r="A324" s="2" t="s">
        <v>1790</v>
      </c>
      <c r="B324" s="2" t="s">
        <v>269</v>
      </c>
      <c r="C324" s="2" t="s">
        <v>5064</v>
      </c>
      <c r="D324" s="2"/>
    </row>
    <row r="325" spans="1:4" x14ac:dyDescent="0.3">
      <c r="A325" s="2" t="s">
        <v>1792</v>
      </c>
      <c r="B325" s="2" t="s">
        <v>269</v>
      </c>
      <c r="C325" s="2" t="s">
        <v>5064</v>
      </c>
      <c r="D325" s="2"/>
    </row>
    <row r="326" spans="1:4" x14ac:dyDescent="0.3">
      <c r="A326" s="2" t="s">
        <v>1793</v>
      </c>
      <c r="B326" s="2" t="s">
        <v>269</v>
      </c>
      <c r="C326" s="2" t="s">
        <v>5064</v>
      </c>
      <c r="D326" s="2"/>
    </row>
    <row r="327" spans="1:4" x14ac:dyDescent="0.3">
      <c r="A327" s="2" t="s">
        <v>1794</v>
      </c>
      <c r="B327" s="2" t="s">
        <v>269</v>
      </c>
      <c r="C327" s="2" t="s">
        <v>5064</v>
      </c>
      <c r="D327" s="2"/>
    </row>
    <row r="328" spans="1:4" x14ac:dyDescent="0.3">
      <c r="A328" s="2" t="s">
        <v>1796</v>
      </c>
      <c r="B328" s="2" t="s">
        <v>269</v>
      </c>
      <c r="C328" s="2" t="s">
        <v>5064</v>
      </c>
      <c r="D328" s="2"/>
    </row>
    <row r="329" spans="1:4" x14ac:dyDescent="0.3">
      <c r="A329" s="2" t="s">
        <v>1798</v>
      </c>
      <c r="B329" s="2" t="s">
        <v>269</v>
      </c>
      <c r="C329" s="2" t="s">
        <v>5064</v>
      </c>
      <c r="D329" s="2"/>
    </row>
    <row r="330" spans="1:4" x14ac:dyDescent="0.3">
      <c r="A330" s="2" t="s">
        <v>1799</v>
      </c>
      <c r="B330" s="2" t="s">
        <v>269</v>
      </c>
      <c r="C330" s="2" t="s">
        <v>5064</v>
      </c>
      <c r="D330" s="2"/>
    </row>
    <row r="331" spans="1:4" x14ac:dyDescent="0.3">
      <c r="A331" s="2" t="s">
        <v>1800</v>
      </c>
      <c r="B331" s="2" t="s">
        <v>269</v>
      </c>
      <c r="C331" s="2" t="s">
        <v>5064</v>
      </c>
      <c r="D331" s="2"/>
    </row>
    <row r="332" spans="1:4" x14ac:dyDescent="0.3">
      <c r="A332" s="2" t="s">
        <v>1802</v>
      </c>
      <c r="B332" s="2" t="s">
        <v>269</v>
      </c>
      <c r="C332" s="2" t="s">
        <v>5064</v>
      </c>
      <c r="D332" s="2"/>
    </row>
    <row r="333" spans="1:4" x14ac:dyDescent="0.3">
      <c r="A333" s="2" t="s">
        <v>1804</v>
      </c>
      <c r="B333" s="2" t="s">
        <v>269</v>
      </c>
      <c r="C333" s="2" t="s">
        <v>5064</v>
      </c>
      <c r="D333" s="2"/>
    </row>
    <row r="334" spans="1:4" x14ac:dyDescent="0.3">
      <c r="A334" s="2" t="s">
        <v>1805</v>
      </c>
      <c r="B334" s="2" t="s">
        <v>269</v>
      </c>
      <c r="C334" s="2" t="s">
        <v>5064</v>
      </c>
      <c r="D334" s="2"/>
    </row>
    <row r="335" spans="1:4" x14ac:dyDescent="0.3">
      <c r="A335" s="2" t="s">
        <v>1806</v>
      </c>
      <c r="B335" s="2" t="s">
        <v>269</v>
      </c>
      <c r="C335" s="2" t="s">
        <v>5064</v>
      </c>
      <c r="D335" s="2"/>
    </row>
    <row r="336" spans="1:4" x14ac:dyDescent="0.3">
      <c r="A336" s="2" t="s">
        <v>1807</v>
      </c>
      <c r="B336" s="2" t="s">
        <v>269</v>
      </c>
      <c r="C336" s="2" t="s">
        <v>5064</v>
      </c>
      <c r="D336" s="2"/>
    </row>
    <row r="337" spans="1:4" x14ac:dyDescent="0.3">
      <c r="A337" s="2" t="s">
        <v>1808</v>
      </c>
      <c r="B337" s="2" t="s">
        <v>269</v>
      </c>
      <c r="C337" s="2" t="s">
        <v>5064</v>
      </c>
      <c r="D337" s="2"/>
    </row>
    <row r="338" spans="1:4" x14ac:dyDescent="0.3">
      <c r="A338" s="2" t="s">
        <v>1810</v>
      </c>
      <c r="B338" s="2" t="s">
        <v>269</v>
      </c>
      <c r="C338" s="2" t="s">
        <v>5064</v>
      </c>
      <c r="D338" s="2"/>
    </row>
    <row r="339" spans="1:4" x14ac:dyDescent="0.3">
      <c r="A339" s="2" t="s">
        <v>1811</v>
      </c>
      <c r="B339" s="2" t="s">
        <v>269</v>
      </c>
      <c r="C339" s="2" t="s">
        <v>5064</v>
      </c>
      <c r="D339" s="2"/>
    </row>
    <row r="340" spans="1:4" x14ac:dyDescent="0.3">
      <c r="A340" s="2" t="s">
        <v>1813</v>
      </c>
      <c r="B340" s="2" t="s">
        <v>269</v>
      </c>
      <c r="C340" s="2" t="s">
        <v>5064</v>
      </c>
      <c r="D340" s="2"/>
    </row>
    <row r="341" spans="1:4" x14ac:dyDescent="0.3">
      <c r="A341" s="2" t="s">
        <v>1814</v>
      </c>
      <c r="B341" s="2" t="s">
        <v>269</v>
      </c>
      <c r="C341" s="2" t="s">
        <v>5064</v>
      </c>
      <c r="D341" s="2"/>
    </row>
    <row r="342" spans="1:4" x14ac:dyDescent="0.3">
      <c r="A342" s="2" t="s">
        <v>1815</v>
      </c>
      <c r="B342" s="2" t="s">
        <v>269</v>
      </c>
      <c r="C342" s="2" t="s">
        <v>5064</v>
      </c>
      <c r="D342" s="2"/>
    </row>
    <row r="343" spans="1:4" x14ac:dyDescent="0.3">
      <c r="A343" s="2" t="s">
        <v>1816</v>
      </c>
      <c r="B343" s="2" t="s">
        <v>269</v>
      </c>
      <c r="C343" s="2" t="s">
        <v>5064</v>
      </c>
      <c r="D343" s="2"/>
    </row>
    <row r="344" spans="1:4" x14ac:dyDescent="0.3">
      <c r="A344" s="2" t="s">
        <v>1817</v>
      </c>
      <c r="B344" s="2" t="s">
        <v>269</v>
      </c>
      <c r="C344" s="2" t="s">
        <v>5064</v>
      </c>
      <c r="D344" s="2"/>
    </row>
    <row r="345" spans="1:4" x14ac:dyDescent="0.3">
      <c r="A345" s="2" t="s">
        <v>1818</v>
      </c>
      <c r="B345" s="2" t="s">
        <v>269</v>
      </c>
      <c r="C345" s="2" t="s">
        <v>5064</v>
      </c>
      <c r="D345" s="2"/>
    </row>
    <row r="346" spans="1:4" x14ac:dyDescent="0.3">
      <c r="A346" s="2" t="s">
        <v>1819</v>
      </c>
      <c r="B346" s="2" t="s">
        <v>269</v>
      </c>
      <c r="C346" s="2" t="s">
        <v>5064</v>
      </c>
      <c r="D346" s="2"/>
    </row>
    <row r="347" spans="1:4" x14ac:dyDescent="0.3">
      <c r="A347" s="2" t="s">
        <v>1820</v>
      </c>
      <c r="B347" s="2" t="s">
        <v>269</v>
      </c>
      <c r="C347" s="2" t="s">
        <v>5064</v>
      </c>
      <c r="D347" s="2"/>
    </row>
    <row r="348" spans="1:4" x14ac:dyDescent="0.3">
      <c r="A348" s="2" t="s">
        <v>1821</v>
      </c>
      <c r="B348" s="2" t="s">
        <v>269</v>
      </c>
      <c r="C348" s="2" t="s">
        <v>5064</v>
      </c>
      <c r="D348" s="2"/>
    </row>
    <row r="349" spans="1:4" x14ac:dyDescent="0.3">
      <c r="A349" s="2" t="s">
        <v>1822</v>
      </c>
      <c r="B349" s="2" t="s">
        <v>269</v>
      </c>
      <c r="C349" s="2" t="s">
        <v>5064</v>
      </c>
      <c r="D349" s="2"/>
    </row>
    <row r="350" spans="1:4" x14ac:dyDescent="0.3">
      <c r="A350" s="2" t="s">
        <v>1823</v>
      </c>
      <c r="B350" s="2" t="s">
        <v>269</v>
      </c>
      <c r="C350" s="2" t="s">
        <v>5064</v>
      </c>
      <c r="D350" s="2"/>
    </row>
    <row r="351" spans="1:4" x14ac:dyDescent="0.3">
      <c r="A351" s="2" t="s">
        <v>1824</v>
      </c>
      <c r="B351" s="2" t="s">
        <v>269</v>
      </c>
      <c r="C351" s="2" t="s">
        <v>5064</v>
      </c>
      <c r="D351" s="2"/>
    </row>
    <row r="352" spans="1:4" x14ac:dyDescent="0.3">
      <c r="A352" s="2" t="s">
        <v>1825</v>
      </c>
      <c r="B352" s="2" t="s">
        <v>269</v>
      </c>
      <c r="C352" s="2" t="s">
        <v>5064</v>
      </c>
      <c r="D352" s="2"/>
    </row>
    <row r="353" spans="1:4" x14ac:dyDescent="0.3">
      <c r="A353" s="2" t="s">
        <v>1826</v>
      </c>
      <c r="B353" s="2" t="s">
        <v>269</v>
      </c>
      <c r="C353" s="2" t="s">
        <v>5064</v>
      </c>
      <c r="D353" s="2"/>
    </row>
    <row r="354" spans="1:4" x14ac:dyDescent="0.3">
      <c r="A354" s="2" t="s">
        <v>1827</v>
      </c>
      <c r="B354" s="2" t="s">
        <v>269</v>
      </c>
      <c r="C354" s="2" t="s">
        <v>5064</v>
      </c>
      <c r="D354" s="2"/>
    </row>
    <row r="355" spans="1:4" x14ac:dyDescent="0.3">
      <c r="A355" s="2" t="s">
        <v>1828</v>
      </c>
      <c r="B355" s="2" t="s">
        <v>269</v>
      </c>
      <c r="C355" s="2" t="s">
        <v>5064</v>
      </c>
      <c r="D355" s="2"/>
    </row>
    <row r="356" spans="1:4" x14ac:dyDescent="0.3">
      <c r="A356" s="2" t="s">
        <v>1829</v>
      </c>
      <c r="B356" s="2" t="s">
        <v>269</v>
      </c>
      <c r="C356" s="2" t="s">
        <v>5064</v>
      </c>
      <c r="D356" s="2"/>
    </row>
    <row r="357" spans="1:4" x14ac:dyDescent="0.3">
      <c r="A357" s="2" t="s">
        <v>1830</v>
      </c>
      <c r="B357" s="2" t="s">
        <v>269</v>
      </c>
      <c r="C357" s="2" t="s">
        <v>5064</v>
      </c>
      <c r="D357" s="2"/>
    </row>
    <row r="358" spans="1:4" x14ac:dyDescent="0.3">
      <c r="A358" s="2" t="s">
        <v>1832</v>
      </c>
      <c r="B358" s="2" t="s">
        <v>269</v>
      </c>
      <c r="C358" s="2" t="s">
        <v>5064</v>
      </c>
      <c r="D358" s="2"/>
    </row>
    <row r="359" spans="1:4" x14ac:dyDescent="0.3">
      <c r="A359" s="2" t="s">
        <v>1834</v>
      </c>
      <c r="B359" s="2" t="s">
        <v>269</v>
      </c>
      <c r="C359" s="2" t="s">
        <v>5064</v>
      </c>
      <c r="D359" s="2"/>
    </row>
    <row r="360" spans="1:4" x14ac:dyDescent="0.3">
      <c r="A360" s="2" t="s">
        <v>1835</v>
      </c>
      <c r="B360" s="2" t="s">
        <v>269</v>
      </c>
      <c r="C360" s="2" t="s">
        <v>5064</v>
      </c>
      <c r="D360" s="2"/>
    </row>
    <row r="361" spans="1:4" x14ac:dyDescent="0.3">
      <c r="A361" s="2" t="s">
        <v>1837</v>
      </c>
      <c r="B361" s="2" t="s">
        <v>269</v>
      </c>
      <c r="C361" s="2" t="s">
        <v>5064</v>
      </c>
      <c r="D361" s="2"/>
    </row>
    <row r="362" spans="1:4" x14ac:dyDescent="0.3">
      <c r="A362" s="2" t="s">
        <v>1839</v>
      </c>
      <c r="B362" s="2" t="s">
        <v>269</v>
      </c>
      <c r="C362" s="2" t="s">
        <v>5064</v>
      </c>
      <c r="D362" s="2"/>
    </row>
    <row r="363" spans="1:4" x14ac:dyDescent="0.3">
      <c r="A363" s="2" t="s">
        <v>1841</v>
      </c>
      <c r="B363" s="2" t="s">
        <v>269</v>
      </c>
      <c r="C363" s="2" t="s">
        <v>5064</v>
      </c>
      <c r="D363" s="2"/>
    </row>
    <row r="364" spans="1:4" x14ac:dyDescent="0.3">
      <c r="A364" s="2" t="s">
        <v>1842</v>
      </c>
      <c r="B364" s="2" t="s">
        <v>269</v>
      </c>
      <c r="C364" s="2" t="s">
        <v>5064</v>
      </c>
      <c r="D364" s="2"/>
    </row>
    <row r="365" spans="1:4" x14ac:dyDescent="0.3">
      <c r="A365" s="2" t="s">
        <v>1844</v>
      </c>
      <c r="B365" s="2" t="s">
        <v>269</v>
      </c>
      <c r="C365" s="2" t="s">
        <v>5064</v>
      </c>
      <c r="D365" s="2"/>
    </row>
    <row r="366" spans="1:4" x14ac:dyDescent="0.3">
      <c r="A366" s="2" t="s">
        <v>1846</v>
      </c>
      <c r="B366" s="2" t="s">
        <v>269</v>
      </c>
      <c r="C366" s="2" t="s">
        <v>5064</v>
      </c>
      <c r="D366" s="2"/>
    </row>
    <row r="367" spans="1:4" x14ac:dyDescent="0.3">
      <c r="A367" s="2" t="s">
        <v>1848</v>
      </c>
      <c r="B367" s="2" t="s">
        <v>269</v>
      </c>
      <c r="C367" s="2" t="s">
        <v>5064</v>
      </c>
      <c r="D367" s="2"/>
    </row>
    <row r="368" spans="1:4" x14ac:dyDescent="0.3">
      <c r="A368" s="2" t="s">
        <v>1850</v>
      </c>
      <c r="B368" s="2" t="s">
        <v>269</v>
      </c>
      <c r="C368" s="2" t="s">
        <v>5064</v>
      </c>
      <c r="D368" s="2"/>
    </row>
    <row r="369" spans="1:4" x14ac:dyDescent="0.3">
      <c r="A369" s="2" t="s">
        <v>1852</v>
      </c>
      <c r="B369" s="2" t="s">
        <v>269</v>
      </c>
      <c r="C369" s="2" t="s">
        <v>5064</v>
      </c>
      <c r="D369" s="2"/>
    </row>
    <row r="370" spans="1:4" x14ac:dyDescent="0.3">
      <c r="A370" s="2" t="s">
        <v>1853</v>
      </c>
      <c r="B370" s="2" t="s">
        <v>269</v>
      </c>
      <c r="C370" s="2" t="s">
        <v>5064</v>
      </c>
      <c r="D370" s="2"/>
    </row>
    <row r="371" spans="1:4" x14ac:dyDescent="0.3">
      <c r="A371" s="2" t="s">
        <v>1855</v>
      </c>
      <c r="B371" s="2" t="s">
        <v>269</v>
      </c>
      <c r="C371" s="2" t="s">
        <v>5064</v>
      </c>
      <c r="D371" s="2"/>
    </row>
    <row r="372" spans="1:4" x14ac:dyDescent="0.3">
      <c r="A372" s="2" t="s">
        <v>1857</v>
      </c>
      <c r="B372" s="2" t="s">
        <v>269</v>
      </c>
      <c r="C372" s="2" t="s">
        <v>5064</v>
      </c>
      <c r="D372" s="2"/>
    </row>
    <row r="373" spans="1:4" x14ac:dyDescent="0.3">
      <c r="A373" s="2" t="s">
        <v>1859</v>
      </c>
      <c r="B373" s="2" t="s">
        <v>269</v>
      </c>
      <c r="C373" s="2" t="s">
        <v>5064</v>
      </c>
      <c r="D373" s="2"/>
    </row>
    <row r="374" spans="1:4" x14ac:dyDescent="0.3">
      <c r="A374" s="2" t="s">
        <v>1861</v>
      </c>
      <c r="B374" s="2" t="s">
        <v>269</v>
      </c>
      <c r="C374" s="2" t="s">
        <v>5064</v>
      </c>
      <c r="D374" s="2"/>
    </row>
    <row r="375" spans="1:4" x14ac:dyDescent="0.3">
      <c r="A375" s="2" t="s">
        <v>1863</v>
      </c>
      <c r="B375" s="2" t="s">
        <v>269</v>
      </c>
      <c r="C375" s="2" t="s">
        <v>5064</v>
      </c>
      <c r="D375" s="2"/>
    </row>
    <row r="376" spans="1:4" x14ac:dyDescent="0.3">
      <c r="A376" s="2" t="s">
        <v>1865</v>
      </c>
      <c r="B376" s="2" t="s">
        <v>269</v>
      </c>
      <c r="C376" s="2" t="s">
        <v>5064</v>
      </c>
      <c r="D376" s="2"/>
    </row>
    <row r="377" spans="1:4" x14ac:dyDescent="0.3">
      <c r="A377" s="2" t="s">
        <v>1867</v>
      </c>
      <c r="B377" s="2" t="s">
        <v>269</v>
      </c>
      <c r="C377" s="2" t="s">
        <v>5064</v>
      </c>
      <c r="D377" s="2"/>
    </row>
    <row r="378" spans="1:4" x14ac:dyDescent="0.3">
      <c r="A378" s="2" t="s">
        <v>1869</v>
      </c>
      <c r="B378" s="2" t="s">
        <v>269</v>
      </c>
      <c r="C378" s="2" t="s">
        <v>5064</v>
      </c>
      <c r="D378" s="2"/>
    </row>
    <row r="379" spans="1:4" x14ac:dyDescent="0.3">
      <c r="A379" s="2" t="s">
        <v>1871</v>
      </c>
      <c r="B379" s="2" t="s">
        <v>269</v>
      </c>
      <c r="C379" s="2" t="s">
        <v>5064</v>
      </c>
      <c r="D379" s="2"/>
    </row>
    <row r="380" spans="1:4" x14ac:dyDescent="0.3">
      <c r="A380" s="2" t="s">
        <v>1873</v>
      </c>
      <c r="B380" s="2" t="s">
        <v>269</v>
      </c>
      <c r="C380" s="2" t="s">
        <v>5064</v>
      </c>
      <c r="D380" s="2"/>
    </row>
    <row r="381" spans="1:4" x14ac:dyDescent="0.3">
      <c r="A381" s="2" t="s">
        <v>1874</v>
      </c>
      <c r="B381" s="2" t="s">
        <v>269</v>
      </c>
      <c r="C381" s="2" t="s">
        <v>5064</v>
      </c>
      <c r="D381" s="2"/>
    </row>
    <row r="382" spans="1:4" x14ac:dyDescent="0.3">
      <c r="A382" s="2" t="s">
        <v>1875</v>
      </c>
      <c r="B382" s="2" t="s">
        <v>269</v>
      </c>
      <c r="C382" s="2" t="s">
        <v>5064</v>
      </c>
      <c r="D382" s="2"/>
    </row>
    <row r="383" spans="1:4" x14ac:dyDescent="0.3">
      <c r="A383" s="2" t="s">
        <v>1876</v>
      </c>
      <c r="B383" s="2" t="s">
        <v>269</v>
      </c>
      <c r="C383" s="2" t="s">
        <v>5064</v>
      </c>
      <c r="D383" s="2"/>
    </row>
    <row r="384" spans="1:4" x14ac:dyDescent="0.3">
      <c r="A384" s="2" t="s">
        <v>1878</v>
      </c>
      <c r="B384" s="2" t="s">
        <v>269</v>
      </c>
      <c r="C384" s="2" t="s">
        <v>5064</v>
      </c>
      <c r="D384" s="2"/>
    </row>
    <row r="385" spans="1:4" x14ac:dyDescent="0.3">
      <c r="A385" s="2" t="s">
        <v>1879</v>
      </c>
      <c r="B385" s="2" t="s">
        <v>269</v>
      </c>
      <c r="C385" s="2" t="s">
        <v>5064</v>
      </c>
      <c r="D385" s="2"/>
    </row>
    <row r="386" spans="1:4" x14ac:dyDescent="0.3">
      <c r="A386" s="2" t="s">
        <v>1881</v>
      </c>
      <c r="B386" s="2" t="s">
        <v>269</v>
      </c>
      <c r="C386" s="2" t="s">
        <v>5064</v>
      </c>
      <c r="D386" s="2"/>
    </row>
    <row r="387" spans="1:4" x14ac:dyDescent="0.3">
      <c r="A387" s="2" t="s">
        <v>1882</v>
      </c>
      <c r="B387" s="2" t="s">
        <v>269</v>
      </c>
      <c r="C387" s="2" t="s">
        <v>5064</v>
      </c>
      <c r="D387" s="2"/>
    </row>
    <row r="388" spans="1:4" x14ac:dyDescent="0.3">
      <c r="A388" s="2" t="s">
        <v>1883</v>
      </c>
      <c r="B388" s="2" t="s">
        <v>269</v>
      </c>
      <c r="C388" s="2" t="s">
        <v>5064</v>
      </c>
      <c r="D388" s="2"/>
    </row>
    <row r="389" spans="1:4" x14ac:dyDescent="0.3">
      <c r="A389" s="2" t="s">
        <v>1885</v>
      </c>
      <c r="B389" s="2" t="s">
        <v>269</v>
      </c>
      <c r="C389" s="2" t="s">
        <v>5064</v>
      </c>
      <c r="D389" s="2"/>
    </row>
    <row r="390" spans="1:4" x14ac:dyDescent="0.3">
      <c r="A390" s="2" t="s">
        <v>1887</v>
      </c>
      <c r="B390" s="2" t="s">
        <v>269</v>
      </c>
      <c r="C390" s="2" t="s">
        <v>5064</v>
      </c>
      <c r="D390" s="2"/>
    </row>
    <row r="391" spans="1:4" x14ac:dyDescent="0.3">
      <c r="A391" s="2" t="s">
        <v>1889</v>
      </c>
      <c r="B391" s="2" t="s">
        <v>269</v>
      </c>
      <c r="C391" s="2" t="s">
        <v>5064</v>
      </c>
      <c r="D391" s="2"/>
    </row>
    <row r="392" spans="1:4" x14ac:dyDescent="0.3">
      <c r="A392" s="2" t="s">
        <v>1891</v>
      </c>
      <c r="B392" s="2" t="s">
        <v>269</v>
      </c>
      <c r="C392" s="2" t="s">
        <v>5064</v>
      </c>
      <c r="D392" s="2"/>
    </row>
    <row r="393" spans="1:4" x14ac:dyDescent="0.3">
      <c r="A393" s="2" t="s">
        <v>1893</v>
      </c>
      <c r="B393" s="2" t="s">
        <v>269</v>
      </c>
      <c r="C393" s="2" t="s">
        <v>5064</v>
      </c>
      <c r="D393" s="2"/>
    </row>
    <row r="394" spans="1:4" x14ac:dyDescent="0.3">
      <c r="A394" s="2" t="s">
        <v>1895</v>
      </c>
      <c r="B394" s="2" t="s">
        <v>269</v>
      </c>
      <c r="C394" s="2" t="s">
        <v>5064</v>
      </c>
      <c r="D394" s="2"/>
    </row>
    <row r="395" spans="1:4" x14ac:dyDescent="0.3">
      <c r="A395" s="2" t="s">
        <v>1897</v>
      </c>
      <c r="B395" s="2" t="s">
        <v>269</v>
      </c>
      <c r="C395" s="2" t="s">
        <v>5064</v>
      </c>
      <c r="D395" s="2"/>
    </row>
    <row r="396" spans="1:4" x14ac:dyDescent="0.3">
      <c r="A396" s="2" t="s">
        <v>1898</v>
      </c>
      <c r="B396" s="2" t="s">
        <v>269</v>
      </c>
      <c r="C396" s="2" t="s">
        <v>5064</v>
      </c>
      <c r="D396" s="2"/>
    </row>
    <row r="397" spans="1:4" x14ac:dyDescent="0.3">
      <c r="A397" s="2" t="s">
        <v>1899</v>
      </c>
      <c r="B397" s="2" t="s">
        <v>269</v>
      </c>
      <c r="C397" s="2" t="s">
        <v>5064</v>
      </c>
      <c r="D397" s="2"/>
    </row>
    <row r="398" spans="1:4" x14ac:dyDescent="0.3">
      <c r="A398" s="2" t="s">
        <v>1901</v>
      </c>
      <c r="B398" s="2" t="s">
        <v>269</v>
      </c>
      <c r="C398" s="2" t="s">
        <v>5064</v>
      </c>
      <c r="D398" s="2"/>
    </row>
    <row r="399" spans="1:4" x14ac:dyDescent="0.3">
      <c r="A399" s="2" t="s">
        <v>1903</v>
      </c>
      <c r="B399" s="2" t="s">
        <v>269</v>
      </c>
      <c r="C399" s="2" t="s">
        <v>5064</v>
      </c>
      <c r="D399" s="2"/>
    </row>
    <row r="400" spans="1:4" x14ac:dyDescent="0.3">
      <c r="A400" s="2" t="s">
        <v>1904</v>
      </c>
      <c r="B400" s="2" t="s">
        <v>269</v>
      </c>
      <c r="C400" s="2" t="s">
        <v>5064</v>
      </c>
      <c r="D400" s="2"/>
    </row>
    <row r="401" spans="1:4" x14ac:dyDescent="0.3">
      <c r="A401" s="2" t="s">
        <v>1905</v>
      </c>
      <c r="B401" s="2" t="s">
        <v>269</v>
      </c>
      <c r="C401" s="2" t="s">
        <v>5064</v>
      </c>
      <c r="D401" s="2"/>
    </row>
    <row r="402" spans="1:4" x14ac:dyDescent="0.3">
      <c r="A402" s="2" t="s">
        <v>1906</v>
      </c>
      <c r="B402" s="2" t="s">
        <v>269</v>
      </c>
      <c r="C402" s="2" t="s">
        <v>5064</v>
      </c>
      <c r="D402" s="2"/>
    </row>
    <row r="403" spans="1:4" x14ac:dyDescent="0.3">
      <c r="A403" s="2" t="s">
        <v>1907</v>
      </c>
      <c r="B403" s="2" t="s">
        <v>269</v>
      </c>
      <c r="C403" s="2" t="s">
        <v>5064</v>
      </c>
      <c r="D403" s="2"/>
    </row>
    <row r="404" spans="1:4" x14ac:dyDescent="0.3">
      <c r="A404" s="2" t="s">
        <v>1908</v>
      </c>
      <c r="B404" s="2" t="s">
        <v>269</v>
      </c>
      <c r="C404" s="2" t="s">
        <v>5064</v>
      </c>
      <c r="D404" s="2"/>
    </row>
    <row r="405" spans="1:4" x14ac:dyDescent="0.3">
      <c r="A405" s="2" t="s">
        <v>1909</v>
      </c>
      <c r="B405" s="2" t="s">
        <v>269</v>
      </c>
      <c r="C405" s="2" t="s">
        <v>5064</v>
      </c>
      <c r="D405" s="2"/>
    </row>
    <row r="406" spans="1:4" x14ac:dyDescent="0.3">
      <c r="A406" s="2" t="s">
        <v>1910</v>
      </c>
      <c r="B406" s="2" t="s">
        <v>269</v>
      </c>
      <c r="C406" s="2" t="s">
        <v>5064</v>
      </c>
      <c r="D406" s="2"/>
    </row>
    <row r="407" spans="1:4" x14ac:dyDescent="0.3">
      <c r="A407" s="2" t="s">
        <v>1911</v>
      </c>
      <c r="B407" s="2" t="s">
        <v>269</v>
      </c>
      <c r="C407" s="2" t="s">
        <v>5064</v>
      </c>
      <c r="D407" s="2"/>
    </row>
    <row r="408" spans="1:4" x14ac:dyDescent="0.3">
      <c r="A408" s="2" t="s">
        <v>1913</v>
      </c>
      <c r="B408" s="2" t="s">
        <v>269</v>
      </c>
      <c r="C408" s="2" t="s">
        <v>5064</v>
      </c>
      <c r="D408" s="2"/>
    </row>
    <row r="409" spans="1:4" x14ac:dyDescent="0.3">
      <c r="A409" s="2" t="s">
        <v>1915</v>
      </c>
      <c r="B409" s="2" t="s">
        <v>269</v>
      </c>
      <c r="C409" s="2" t="s">
        <v>5064</v>
      </c>
      <c r="D409" s="2"/>
    </row>
    <row r="410" spans="1:4" x14ac:dyDescent="0.3">
      <c r="A410" s="2" t="s">
        <v>1917</v>
      </c>
      <c r="B410" s="2" t="s">
        <v>269</v>
      </c>
      <c r="C410" s="2" t="s">
        <v>5064</v>
      </c>
      <c r="D410" s="2"/>
    </row>
    <row r="411" spans="1:4" x14ac:dyDescent="0.3">
      <c r="A411" s="2" t="s">
        <v>1918</v>
      </c>
      <c r="B411" s="2" t="s">
        <v>269</v>
      </c>
      <c r="C411" s="2" t="s">
        <v>5064</v>
      </c>
      <c r="D411" s="2"/>
    </row>
    <row r="412" spans="1:4" x14ac:dyDescent="0.3">
      <c r="A412" s="2" t="s">
        <v>1919</v>
      </c>
      <c r="B412" s="2" t="s">
        <v>269</v>
      </c>
      <c r="C412" s="2" t="s">
        <v>5064</v>
      </c>
      <c r="D412" s="2"/>
    </row>
    <row r="413" spans="1:4" x14ac:dyDescent="0.3">
      <c r="A413" s="2" t="s">
        <v>1920</v>
      </c>
      <c r="B413" s="2" t="s">
        <v>269</v>
      </c>
      <c r="C413" s="2" t="s">
        <v>5064</v>
      </c>
      <c r="D413" s="2"/>
    </row>
    <row r="414" spans="1:4" x14ac:dyDescent="0.3">
      <c r="A414" s="2" t="s">
        <v>1921</v>
      </c>
      <c r="B414" s="2" t="s">
        <v>269</v>
      </c>
      <c r="C414" s="2" t="s">
        <v>5064</v>
      </c>
      <c r="D414" s="2"/>
    </row>
    <row r="415" spans="1:4" x14ac:dyDescent="0.3">
      <c r="A415" s="2" t="s">
        <v>1923</v>
      </c>
      <c r="B415" s="2" t="s">
        <v>269</v>
      </c>
      <c r="C415" s="2" t="s">
        <v>5064</v>
      </c>
      <c r="D415" s="2"/>
    </row>
    <row r="416" spans="1:4" x14ac:dyDescent="0.3">
      <c r="A416" s="2" t="s">
        <v>1924</v>
      </c>
      <c r="B416" s="2" t="s">
        <v>269</v>
      </c>
      <c r="C416" s="2" t="s">
        <v>5064</v>
      </c>
      <c r="D416" s="2"/>
    </row>
    <row r="417" spans="1:4" x14ac:dyDescent="0.3">
      <c r="A417" s="2" t="s">
        <v>1925</v>
      </c>
      <c r="B417" s="2" t="s">
        <v>269</v>
      </c>
      <c r="C417" s="2" t="s">
        <v>5064</v>
      </c>
      <c r="D417" s="2"/>
    </row>
    <row r="418" spans="1:4" x14ac:dyDescent="0.3">
      <c r="A418" s="2" t="s">
        <v>1926</v>
      </c>
      <c r="B418" s="2" t="s">
        <v>269</v>
      </c>
      <c r="C418" s="2" t="s">
        <v>5064</v>
      </c>
      <c r="D418" s="2"/>
    </row>
    <row r="419" spans="1:4" x14ac:dyDescent="0.3">
      <c r="A419" s="2" t="s">
        <v>1927</v>
      </c>
      <c r="B419" s="2" t="s">
        <v>269</v>
      </c>
      <c r="C419" s="2" t="s">
        <v>5064</v>
      </c>
      <c r="D419" s="2"/>
    </row>
    <row r="420" spans="1:4" x14ac:dyDescent="0.3">
      <c r="A420" s="2" t="s">
        <v>1929</v>
      </c>
      <c r="B420" s="2" t="s">
        <v>269</v>
      </c>
      <c r="C420" s="2" t="s">
        <v>5064</v>
      </c>
      <c r="D420" s="2"/>
    </row>
    <row r="421" spans="1:4" x14ac:dyDescent="0.3">
      <c r="A421" s="2" t="s">
        <v>1931</v>
      </c>
      <c r="B421" s="2" t="s">
        <v>269</v>
      </c>
      <c r="C421" s="2" t="s">
        <v>5064</v>
      </c>
      <c r="D421" s="2"/>
    </row>
    <row r="422" spans="1:4" x14ac:dyDescent="0.3">
      <c r="A422" s="2" t="s">
        <v>1932</v>
      </c>
      <c r="B422" s="2" t="s">
        <v>269</v>
      </c>
      <c r="C422" s="2" t="s">
        <v>5064</v>
      </c>
      <c r="D422" s="2"/>
    </row>
    <row r="423" spans="1:4" x14ac:dyDescent="0.3">
      <c r="A423" s="2" t="s">
        <v>1933</v>
      </c>
      <c r="B423" s="2" t="s">
        <v>269</v>
      </c>
      <c r="C423" s="2" t="s">
        <v>5064</v>
      </c>
      <c r="D423" s="2"/>
    </row>
    <row r="424" spans="1:4" x14ac:dyDescent="0.3">
      <c r="A424" s="2" t="s">
        <v>1934</v>
      </c>
      <c r="B424" s="2" t="s">
        <v>269</v>
      </c>
      <c r="C424" s="2" t="s">
        <v>5064</v>
      </c>
      <c r="D424" s="2"/>
    </row>
    <row r="425" spans="1:4" x14ac:dyDescent="0.3">
      <c r="A425" s="2" t="s">
        <v>1935</v>
      </c>
      <c r="B425" s="2" t="s">
        <v>269</v>
      </c>
      <c r="C425" s="2" t="s">
        <v>5064</v>
      </c>
      <c r="D425" s="2"/>
    </row>
    <row r="426" spans="1:4" x14ac:dyDescent="0.3">
      <c r="A426" s="2" t="s">
        <v>1937</v>
      </c>
      <c r="B426" s="2" t="s">
        <v>269</v>
      </c>
      <c r="C426" s="2" t="s">
        <v>5064</v>
      </c>
      <c r="D426" s="2"/>
    </row>
    <row r="427" spans="1:4" x14ac:dyDescent="0.3">
      <c r="A427" s="2" t="s">
        <v>1939</v>
      </c>
      <c r="B427" s="2" t="s">
        <v>269</v>
      </c>
      <c r="C427" s="2" t="s">
        <v>5064</v>
      </c>
      <c r="D427" s="2"/>
    </row>
    <row r="428" spans="1:4" x14ac:dyDescent="0.3">
      <c r="A428" s="2" t="s">
        <v>1941</v>
      </c>
      <c r="B428" s="2" t="s">
        <v>269</v>
      </c>
      <c r="C428" s="2" t="s">
        <v>5064</v>
      </c>
      <c r="D428" s="2"/>
    </row>
    <row r="429" spans="1:4" x14ac:dyDescent="0.3">
      <c r="A429" s="2" t="s">
        <v>1942</v>
      </c>
      <c r="B429" s="2" t="s">
        <v>269</v>
      </c>
      <c r="C429" s="2" t="s">
        <v>5064</v>
      </c>
      <c r="D429" s="2"/>
    </row>
    <row r="430" spans="1:4" x14ac:dyDescent="0.3">
      <c r="A430" s="2" t="s">
        <v>1944</v>
      </c>
      <c r="B430" s="2" t="s">
        <v>269</v>
      </c>
      <c r="C430" s="2" t="s">
        <v>5064</v>
      </c>
      <c r="D430" s="2"/>
    </row>
    <row r="431" spans="1:4" x14ac:dyDescent="0.3">
      <c r="A431" s="2" t="s">
        <v>1945</v>
      </c>
      <c r="B431" s="2" t="s">
        <v>269</v>
      </c>
      <c r="C431" s="2" t="s">
        <v>5064</v>
      </c>
      <c r="D431" s="2"/>
    </row>
    <row r="432" spans="1:4" x14ac:dyDescent="0.3">
      <c r="A432" s="2" t="s">
        <v>1946</v>
      </c>
      <c r="B432" s="2" t="s">
        <v>1947</v>
      </c>
      <c r="C432" s="2" t="s">
        <v>5248</v>
      </c>
      <c r="D432" s="2"/>
    </row>
    <row r="433" spans="1:4" x14ac:dyDescent="0.3">
      <c r="A433" s="2" t="s">
        <v>1949</v>
      </c>
      <c r="B433" s="2" t="s">
        <v>1947</v>
      </c>
      <c r="C433" s="2" t="s">
        <v>5248</v>
      </c>
      <c r="D433" s="2"/>
    </row>
    <row r="434" spans="1:4" x14ac:dyDescent="0.3">
      <c r="A434" s="2" t="s">
        <v>1950</v>
      </c>
      <c r="B434" s="2" t="s">
        <v>1947</v>
      </c>
      <c r="C434" s="2" t="s">
        <v>5248</v>
      </c>
      <c r="D434" s="2"/>
    </row>
    <row r="435" spans="1:4" x14ac:dyDescent="0.3">
      <c r="A435" s="2" t="s">
        <v>1952</v>
      </c>
      <c r="B435" s="2" t="s">
        <v>1947</v>
      </c>
      <c r="C435" s="2" t="s">
        <v>5248</v>
      </c>
      <c r="D435" s="2"/>
    </row>
    <row r="436" spans="1:4" x14ac:dyDescent="0.3">
      <c r="A436" s="2" t="s">
        <v>1953</v>
      </c>
      <c r="B436" s="2" t="s">
        <v>1947</v>
      </c>
      <c r="C436" s="2" t="s">
        <v>5248</v>
      </c>
      <c r="D436" s="2"/>
    </row>
    <row r="437" spans="1:4" x14ac:dyDescent="0.3">
      <c r="A437" s="2" t="s">
        <v>1954</v>
      </c>
      <c r="B437" s="2" t="s">
        <v>1947</v>
      </c>
      <c r="C437" s="2" t="s">
        <v>5248</v>
      </c>
      <c r="D437" s="2"/>
    </row>
    <row r="438" spans="1:4" x14ac:dyDescent="0.3">
      <c r="A438" s="2" t="s">
        <v>5298</v>
      </c>
      <c r="B438" s="2" t="s">
        <v>1947</v>
      </c>
      <c r="C438" s="2" t="s">
        <v>5248</v>
      </c>
      <c r="D438" s="2"/>
    </row>
    <row r="439" spans="1:4" x14ac:dyDescent="0.3">
      <c r="A439" s="2" t="s">
        <v>1955</v>
      </c>
      <c r="B439" s="2" t="s">
        <v>1947</v>
      </c>
      <c r="C439" s="2" t="s">
        <v>5248</v>
      </c>
      <c r="D439" s="2"/>
    </row>
    <row r="440" spans="1:4" x14ac:dyDescent="0.3">
      <c r="A440" s="2" t="s">
        <v>1956</v>
      </c>
      <c r="B440" s="2" t="s">
        <v>1947</v>
      </c>
      <c r="C440" s="2" t="s">
        <v>5248</v>
      </c>
      <c r="D440" s="2"/>
    </row>
    <row r="441" spans="1:4" x14ac:dyDescent="0.3">
      <c r="A441" s="2" t="s">
        <v>1958</v>
      </c>
      <c r="B441" s="2" t="s">
        <v>1947</v>
      </c>
      <c r="C441" s="2" t="s">
        <v>5248</v>
      </c>
      <c r="D441" s="2"/>
    </row>
    <row r="442" spans="1:4" x14ac:dyDescent="0.3">
      <c r="A442" s="2" t="s">
        <v>1959</v>
      </c>
      <c r="B442" s="2" t="s">
        <v>1947</v>
      </c>
      <c r="C442" s="2" t="s">
        <v>5248</v>
      </c>
      <c r="D442" s="2"/>
    </row>
    <row r="443" spans="1:4" x14ac:dyDescent="0.3">
      <c r="A443" s="2" t="s">
        <v>1960</v>
      </c>
      <c r="B443" s="2" t="s">
        <v>1947</v>
      </c>
      <c r="C443" s="2" t="s">
        <v>5248</v>
      </c>
      <c r="D443" s="2"/>
    </row>
    <row r="444" spans="1:4" x14ac:dyDescent="0.3">
      <c r="A444" s="2" t="s">
        <v>1961</v>
      </c>
      <c r="B444" s="2" t="s">
        <v>1947</v>
      </c>
      <c r="C444" s="2" t="s">
        <v>5248</v>
      </c>
      <c r="D444" s="2"/>
    </row>
    <row r="445" spans="1:4" x14ac:dyDescent="0.3">
      <c r="A445" s="2" t="s">
        <v>1962</v>
      </c>
      <c r="B445" s="2" t="s">
        <v>1947</v>
      </c>
      <c r="C445" s="2" t="s">
        <v>5248</v>
      </c>
      <c r="D445" s="2"/>
    </row>
    <row r="446" spans="1:4" x14ac:dyDescent="0.3">
      <c r="A446" s="2" t="s">
        <v>1963</v>
      </c>
      <c r="B446" s="2" t="s">
        <v>1947</v>
      </c>
      <c r="C446" s="2" t="s">
        <v>5248</v>
      </c>
      <c r="D446" s="2"/>
    </row>
    <row r="447" spans="1:4" x14ac:dyDescent="0.3">
      <c r="A447" s="2" t="s">
        <v>1964</v>
      </c>
      <c r="B447" s="2" t="s">
        <v>1947</v>
      </c>
      <c r="C447" s="2" t="s">
        <v>5248</v>
      </c>
      <c r="D447" s="2"/>
    </row>
    <row r="448" spans="1:4" x14ac:dyDescent="0.3">
      <c r="A448" s="2" t="s">
        <v>1965</v>
      </c>
      <c r="B448" s="2" t="s">
        <v>1947</v>
      </c>
      <c r="C448" s="2" t="s">
        <v>5248</v>
      </c>
      <c r="D448" s="2"/>
    </row>
    <row r="449" spans="1:4" x14ac:dyDescent="0.3">
      <c r="A449" s="2" t="s">
        <v>1966</v>
      </c>
      <c r="B449" s="2" t="s">
        <v>1947</v>
      </c>
      <c r="C449" s="2" t="s">
        <v>5248</v>
      </c>
      <c r="D449" s="2"/>
    </row>
    <row r="450" spans="1:4" x14ac:dyDescent="0.3">
      <c r="A450" s="2" t="s">
        <v>1967</v>
      </c>
      <c r="B450" s="2" t="s">
        <v>1947</v>
      </c>
      <c r="C450" s="2" t="s">
        <v>5248</v>
      </c>
      <c r="D450" s="2"/>
    </row>
    <row r="451" spans="1:4" x14ac:dyDescent="0.3">
      <c r="A451" s="2" t="s">
        <v>1968</v>
      </c>
      <c r="B451" s="2" t="s">
        <v>1947</v>
      </c>
      <c r="C451" s="2" t="s">
        <v>5248</v>
      </c>
      <c r="D451" s="2"/>
    </row>
    <row r="452" spans="1:4" x14ac:dyDescent="0.3">
      <c r="A452" s="2" t="s">
        <v>1970</v>
      </c>
      <c r="B452" s="2" t="s">
        <v>1947</v>
      </c>
      <c r="C452" s="2" t="s">
        <v>5248</v>
      </c>
      <c r="D452" s="2"/>
    </row>
    <row r="453" spans="1:4" x14ac:dyDescent="0.3">
      <c r="A453" s="2" t="s">
        <v>1972</v>
      </c>
      <c r="B453" s="2" t="s">
        <v>1947</v>
      </c>
      <c r="C453" s="2" t="s">
        <v>5248</v>
      </c>
      <c r="D453" s="2"/>
    </row>
    <row r="454" spans="1:4" x14ac:dyDescent="0.3">
      <c r="A454" s="2" t="s">
        <v>1974</v>
      </c>
      <c r="B454" s="2" t="s">
        <v>1947</v>
      </c>
      <c r="C454" s="2" t="s">
        <v>5248</v>
      </c>
      <c r="D454" s="2"/>
    </row>
    <row r="455" spans="1:4" x14ac:dyDescent="0.3">
      <c r="A455" s="2" t="s">
        <v>1975</v>
      </c>
      <c r="B455" s="2" t="s">
        <v>1947</v>
      </c>
      <c r="C455" s="2" t="s">
        <v>5248</v>
      </c>
      <c r="D455" s="2"/>
    </row>
    <row r="456" spans="1:4" x14ac:dyDescent="0.3">
      <c r="A456" s="2" t="s">
        <v>1976</v>
      </c>
      <c r="B456" s="2" t="s">
        <v>1947</v>
      </c>
      <c r="C456" s="2" t="s">
        <v>5248</v>
      </c>
      <c r="D456" s="2"/>
    </row>
    <row r="457" spans="1:4" x14ac:dyDescent="0.3">
      <c r="A457" s="2" t="s">
        <v>1978</v>
      </c>
      <c r="B457" s="2" t="s">
        <v>1947</v>
      </c>
      <c r="C457" s="2" t="s">
        <v>5248</v>
      </c>
      <c r="D457" s="2"/>
    </row>
    <row r="458" spans="1:4" x14ac:dyDescent="0.3">
      <c r="A458" s="2" t="s">
        <v>1979</v>
      </c>
      <c r="B458" s="2" t="s">
        <v>1947</v>
      </c>
      <c r="C458" s="2" t="s">
        <v>5248</v>
      </c>
      <c r="D458" s="2"/>
    </row>
    <row r="459" spans="1:4" x14ac:dyDescent="0.3">
      <c r="A459" s="2" t="s">
        <v>1980</v>
      </c>
      <c r="B459" s="2" t="s">
        <v>1947</v>
      </c>
      <c r="C459" s="2" t="s">
        <v>5248</v>
      </c>
      <c r="D459" s="2"/>
    </row>
    <row r="460" spans="1:4" x14ac:dyDescent="0.3">
      <c r="A460" s="2" t="s">
        <v>1981</v>
      </c>
      <c r="B460" s="2" t="s">
        <v>1947</v>
      </c>
      <c r="C460" s="2" t="s">
        <v>5248</v>
      </c>
      <c r="D460" s="2"/>
    </row>
    <row r="461" spans="1:4" x14ac:dyDescent="0.3">
      <c r="A461" s="2" t="s">
        <v>1982</v>
      </c>
      <c r="B461" s="2" t="s">
        <v>1947</v>
      </c>
      <c r="C461" s="2" t="s">
        <v>5248</v>
      </c>
      <c r="D461" s="2"/>
    </row>
    <row r="462" spans="1:4" x14ac:dyDescent="0.3">
      <c r="A462" s="2" t="s">
        <v>1984</v>
      </c>
      <c r="B462" s="2" t="s">
        <v>1947</v>
      </c>
      <c r="C462" s="2" t="s">
        <v>5248</v>
      </c>
      <c r="D462" s="2"/>
    </row>
    <row r="463" spans="1:4" x14ac:dyDescent="0.3">
      <c r="A463" s="2" t="s">
        <v>1985</v>
      </c>
      <c r="B463" s="2" t="s">
        <v>1947</v>
      </c>
      <c r="C463" s="2" t="s">
        <v>5248</v>
      </c>
      <c r="D463" s="2"/>
    </row>
    <row r="464" spans="1:4" x14ac:dyDescent="0.3">
      <c r="A464" s="2" t="s">
        <v>1986</v>
      </c>
      <c r="B464" s="2" t="s">
        <v>1947</v>
      </c>
      <c r="C464" s="2" t="s">
        <v>5248</v>
      </c>
      <c r="D464" s="2"/>
    </row>
    <row r="465" spans="1:4" x14ac:dyDescent="0.3">
      <c r="A465" s="2" t="s">
        <v>1988</v>
      </c>
      <c r="B465" s="2" t="s">
        <v>1947</v>
      </c>
      <c r="C465" s="2" t="s">
        <v>5248</v>
      </c>
      <c r="D465" s="2"/>
    </row>
    <row r="466" spans="1:4" x14ac:dyDescent="0.3">
      <c r="A466" s="2" t="s">
        <v>1989</v>
      </c>
      <c r="B466" s="2" t="s">
        <v>1947</v>
      </c>
      <c r="C466" s="2" t="s">
        <v>5248</v>
      </c>
      <c r="D466" s="2"/>
    </row>
    <row r="467" spans="1:4" x14ac:dyDescent="0.3">
      <c r="A467" s="2" t="s">
        <v>1990</v>
      </c>
      <c r="B467" s="2" t="s">
        <v>1947</v>
      </c>
      <c r="C467" s="2" t="s">
        <v>5248</v>
      </c>
      <c r="D467" s="2"/>
    </row>
    <row r="468" spans="1:4" x14ac:dyDescent="0.3">
      <c r="A468" s="2" t="s">
        <v>1992</v>
      </c>
      <c r="B468" s="2" t="s">
        <v>1947</v>
      </c>
      <c r="C468" s="2" t="s">
        <v>5248</v>
      </c>
      <c r="D468" s="2"/>
    </row>
    <row r="469" spans="1:4" x14ac:dyDescent="0.3">
      <c r="A469" s="2" t="s">
        <v>1994</v>
      </c>
      <c r="B469" s="2" t="s">
        <v>1947</v>
      </c>
      <c r="C469" s="2" t="s">
        <v>5248</v>
      </c>
      <c r="D469" s="2"/>
    </row>
    <row r="470" spans="1:4" x14ac:dyDescent="0.3">
      <c r="A470" s="2" t="s">
        <v>1996</v>
      </c>
      <c r="B470" s="2" t="s">
        <v>1947</v>
      </c>
      <c r="C470" s="2" t="s">
        <v>5248</v>
      </c>
      <c r="D470" s="2"/>
    </row>
    <row r="471" spans="1:4" x14ac:dyDescent="0.3">
      <c r="A471" s="2" t="s">
        <v>1998</v>
      </c>
      <c r="B471" s="2" t="s">
        <v>1947</v>
      </c>
      <c r="C471" s="2" t="s">
        <v>5248</v>
      </c>
      <c r="D471" s="2"/>
    </row>
    <row r="472" spans="1:4" x14ac:dyDescent="0.3">
      <c r="A472" s="2" t="s">
        <v>2000</v>
      </c>
      <c r="B472" s="2" t="s">
        <v>1947</v>
      </c>
      <c r="C472" s="2" t="s">
        <v>5248</v>
      </c>
      <c r="D472" s="2"/>
    </row>
    <row r="473" spans="1:4" x14ac:dyDescent="0.3">
      <c r="A473" s="2" t="s">
        <v>2004</v>
      </c>
      <c r="B473" s="2" t="s">
        <v>1947</v>
      </c>
      <c r="C473" s="2" t="s">
        <v>5248</v>
      </c>
      <c r="D473" s="2"/>
    </row>
    <row r="474" spans="1:4" x14ac:dyDescent="0.3">
      <c r="A474" s="2" t="s">
        <v>2006</v>
      </c>
      <c r="B474" s="2" t="s">
        <v>1947</v>
      </c>
      <c r="C474" s="2" t="s">
        <v>5248</v>
      </c>
      <c r="D474" s="2"/>
    </row>
    <row r="475" spans="1:4" x14ac:dyDescent="0.3">
      <c r="A475" s="2" t="s">
        <v>2008</v>
      </c>
      <c r="B475" s="2" t="s">
        <v>1947</v>
      </c>
      <c r="C475" s="2" t="s">
        <v>5248</v>
      </c>
      <c r="D475" s="2"/>
    </row>
    <row r="476" spans="1:4" x14ac:dyDescent="0.3">
      <c r="A476" s="2" t="s">
        <v>2010</v>
      </c>
      <c r="B476" s="2" t="s">
        <v>1947</v>
      </c>
      <c r="C476" s="2" t="s">
        <v>5248</v>
      </c>
      <c r="D476" s="2"/>
    </row>
    <row r="477" spans="1:4" x14ac:dyDescent="0.3">
      <c r="A477" s="2" t="s">
        <v>2011</v>
      </c>
      <c r="B477" s="2" t="s">
        <v>1947</v>
      </c>
      <c r="C477" s="2" t="s">
        <v>5248</v>
      </c>
      <c r="D477" s="2"/>
    </row>
    <row r="478" spans="1:4" x14ac:dyDescent="0.3">
      <c r="A478" s="2" t="s">
        <v>2012</v>
      </c>
      <c r="B478" s="2" t="s">
        <v>1947</v>
      </c>
      <c r="C478" s="2" t="s">
        <v>5248</v>
      </c>
      <c r="D478" s="2"/>
    </row>
    <row r="479" spans="1:4" x14ac:dyDescent="0.3">
      <c r="A479" s="2" t="s">
        <v>2014</v>
      </c>
      <c r="B479" s="2" t="s">
        <v>1947</v>
      </c>
      <c r="C479" s="2" t="s">
        <v>5248</v>
      </c>
      <c r="D479" s="2"/>
    </row>
    <row r="480" spans="1:4" x14ac:dyDescent="0.3">
      <c r="A480" s="2" t="s">
        <v>2016</v>
      </c>
      <c r="B480" s="2" t="s">
        <v>1947</v>
      </c>
      <c r="C480" s="2" t="s">
        <v>5248</v>
      </c>
      <c r="D480" s="2"/>
    </row>
    <row r="481" spans="1:4" x14ac:dyDescent="0.3">
      <c r="A481" s="2" t="s">
        <v>2018</v>
      </c>
      <c r="B481" s="2" t="s">
        <v>1947</v>
      </c>
      <c r="C481" s="2" t="s">
        <v>5248</v>
      </c>
      <c r="D481" s="2"/>
    </row>
    <row r="482" spans="1:4" x14ac:dyDescent="0.3">
      <c r="A482" s="2" t="s">
        <v>2019</v>
      </c>
      <c r="B482" s="2" t="s">
        <v>1947</v>
      </c>
      <c r="C482" s="2" t="s">
        <v>5248</v>
      </c>
      <c r="D482" s="2"/>
    </row>
    <row r="483" spans="1:4" x14ac:dyDescent="0.3">
      <c r="A483" s="2" t="s">
        <v>5299</v>
      </c>
      <c r="B483" s="2" t="s">
        <v>5068</v>
      </c>
      <c r="C483" s="2" t="s">
        <v>5068</v>
      </c>
      <c r="D483" s="2"/>
    </row>
    <row r="484" spans="1:4" x14ac:dyDescent="0.3">
      <c r="A484" s="2" t="s">
        <v>5300</v>
      </c>
      <c r="B484" s="2" t="s">
        <v>5068</v>
      </c>
      <c r="C484" s="2" t="s">
        <v>5068</v>
      </c>
      <c r="D484" s="2"/>
    </row>
    <row r="485" spans="1:4" x14ac:dyDescent="0.3">
      <c r="A485" s="2" t="s">
        <v>5301</v>
      </c>
      <c r="B485" s="2" t="s">
        <v>5068</v>
      </c>
      <c r="C485" s="2" t="s">
        <v>5068</v>
      </c>
      <c r="D485" s="2"/>
    </row>
    <row r="486" spans="1:4" x14ac:dyDescent="0.3">
      <c r="A486" s="2" t="s">
        <v>5302</v>
      </c>
      <c r="B486" s="2" t="s">
        <v>5068</v>
      </c>
      <c r="C486" s="2" t="s">
        <v>5068</v>
      </c>
      <c r="D486" s="2"/>
    </row>
    <row r="487" spans="1:4" x14ac:dyDescent="0.3">
      <c r="A487" s="2" t="s">
        <v>5303</v>
      </c>
      <c r="B487" s="2" t="s">
        <v>5068</v>
      </c>
      <c r="C487" s="2" t="s">
        <v>5068</v>
      </c>
      <c r="D487" s="2"/>
    </row>
    <row r="488" spans="1:4" x14ac:dyDescent="0.3">
      <c r="A488" s="2" t="s">
        <v>5304</v>
      </c>
      <c r="B488" s="2" t="s">
        <v>5068</v>
      </c>
      <c r="C488" s="2" t="s">
        <v>5068</v>
      </c>
      <c r="D488" s="2"/>
    </row>
    <row r="489" spans="1:4" x14ac:dyDescent="0.3">
      <c r="A489" s="2" t="s">
        <v>5305</v>
      </c>
      <c r="B489" s="2" t="s">
        <v>5068</v>
      </c>
      <c r="C489" s="2" t="s">
        <v>5068</v>
      </c>
      <c r="D489" s="2"/>
    </row>
    <row r="490" spans="1:4" x14ac:dyDescent="0.3">
      <c r="A490" s="2" t="s">
        <v>5306</v>
      </c>
      <c r="B490" s="2" t="s">
        <v>5068</v>
      </c>
      <c r="C490" s="2" t="s">
        <v>5068</v>
      </c>
      <c r="D490" s="2"/>
    </row>
    <row r="491" spans="1:4" x14ac:dyDescent="0.3">
      <c r="A491" s="2" t="s">
        <v>5307</v>
      </c>
      <c r="B491" s="2" t="s">
        <v>5068</v>
      </c>
      <c r="C491" s="2" t="s">
        <v>5068</v>
      </c>
      <c r="D491" s="2"/>
    </row>
    <row r="492" spans="1:4" x14ac:dyDescent="0.3">
      <c r="A492" s="2" t="s">
        <v>5308</v>
      </c>
      <c r="B492" s="2" t="s">
        <v>5068</v>
      </c>
      <c r="C492" s="2" t="s">
        <v>5068</v>
      </c>
      <c r="D492" s="2"/>
    </row>
    <row r="493" spans="1:4" x14ac:dyDescent="0.3">
      <c r="A493" s="2" t="s">
        <v>5309</v>
      </c>
      <c r="B493" s="2" t="s">
        <v>5068</v>
      </c>
      <c r="C493" s="2" t="s">
        <v>5068</v>
      </c>
      <c r="D493" s="2"/>
    </row>
    <row r="494" spans="1:4" x14ac:dyDescent="0.3">
      <c r="A494" s="2" t="s">
        <v>5310</v>
      </c>
      <c r="B494" s="2" t="s">
        <v>5068</v>
      </c>
      <c r="C494" s="2" t="s">
        <v>5068</v>
      </c>
      <c r="D494" s="2"/>
    </row>
    <row r="495" spans="1:4" x14ac:dyDescent="0.3">
      <c r="A495" s="2" t="s">
        <v>5311</v>
      </c>
      <c r="B495" s="2" t="s">
        <v>5068</v>
      </c>
      <c r="C495" s="2" t="s">
        <v>5068</v>
      </c>
      <c r="D495" s="2"/>
    </row>
    <row r="496" spans="1:4" x14ac:dyDescent="0.3">
      <c r="A496" s="2" t="s">
        <v>5312</v>
      </c>
      <c r="B496" s="2" t="s">
        <v>5068</v>
      </c>
      <c r="C496" s="2" t="s">
        <v>5068</v>
      </c>
      <c r="D496" s="2"/>
    </row>
    <row r="497" spans="1:4" x14ac:dyDescent="0.3">
      <c r="A497" s="2" t="s">
        <v>5313</v>
      </c>
      <c r="B497" s="2" t="s">
        <v>5068</v>
      </c>
      <c r="C497" s="2" t="s">
        <v>5068</v>
      </c>
      <c r="D497" s="2"/>
    </row>
    <row r="498" spans="1:4" x14ac:dyDescent="0.3">
      <c r="A498" s="2" t="s">
        <v>5314</v>
      </c>
      <c r="B498" s="2" t="s">
        <v>5068</v>
      </c>
      <c r="C498" s="2" t="s">
        <v>5068</v>
      </c>
      <c r="D498" s="2"/>
    </row>
    <row r="499" spans="1:4" x14ac:dyDescent="0.3">
      <c r="A499" s="2" t="s">
        <v>5315</v>
      </c>
      <c r="B499" s="2" t="s">
        <v>5068</v>
      </c>
      <c r="C499" s="2" t="s">
        <v>5068</v>
      </c>
      <c r="D499" s="2"/>
    </row>
    <row r="500" spans="1:4" x14ac:dyDescent="0.3">
      <c r="A500" s="2" t="s">
        <v>5316</v>
      </c>
      <c r="B500" s="2" t="s">
        <v>5068</v>
      </c>
      <c r="C500" s="2" t="s">
        <v>5068</v>
      </c>
      <c r="D500" s="2"/>
    </row>
    <row r="501" spans="1:4" x14ac:dyDescent="0.3">
      <c r="A501" s="2" t="s">
        <v>5317</v>
      </c>
      <c r="B501" s="2" t="s">
        <v>5251</v>
      </c>
      <c r="C501" s="2" t="s">
        <v>5251</v>
      </c>
      <c r="D501" s="2"/>
    </row>
    <row r="502" spans="1:4" x14ac:dyDescent="0.3">
      <c r="A502" s="2" t="s">
        <v>5318</v>
      </c>
      <c r="B502" s="2" t="s">
        <v>5251</v>
      </c>
      <c r="C502" s="2" t="s">
        <v>5251</v>
      </c>
      <c r="D502" s="2"/>
    </row>
    <row r="503" spans="1:4" x14ac:dyDescent="0.3">
      <c r="A503" s="2" t="s">
        <v>5319</v>
      </c>
      <c r="B503" s="2" t="s">
        <v>5251</v>
      </c>
      <c r="C503" s="2" t="s">
        <v>5251</v>
      </c>
      <c r="D503" s="2"/>
    </row>
    <row r="504" spans="1:4" x14ac:dyDescent="0.3">
      <c r="A504" s="2" t="s">
        <v>5320</v>
      </c>
      <c r="B504" s="2" t="s">
        <v>5251</v>
      </c>
      <c r="C504" s="2" t="s">
        <v>5251</v>
      </c>
      <c r="D504" s="2"/>
    </row>
    <row r="505" spans="1:4" x14ac:dyDescent="0.3">
      <c r="A505" s="2" t="s">
        <v>5321</v>
      </c>
      <c r="B505" s="2" t="s">
        <v>5249</v>
      </c>
      <c r="C505" s="2" t="s">
        <v>5249</v>
      </c>
      <c r="D505" s="2"/>
    </row>
    <row r="506" spans="1:4" x14ac:dyDescent="0.3">
      <c r="A506" s="2" t="s">
        <v>5322</v>
      </c>
      <c r="B506" s="2" t="s">
        <v>5249</v>
      </c>
      <c r="C506" s="2" t="s">
        <v>5249</v>
      </c>
      <c r="D506" s="2"/>
    </row>
    <row r="507" spans="1:4" x14ac:dyDescent="0.3">
      <c r="A507" s="2" t="s">
        <v>5323</v>
      </c>
      <c r="B507" s="2" t="s">
        <v>5249</v>
      </c>
      <c r="C507" s="2" t="s">
        <v>5249</v>
      </c>
      <c r="D507" s="2"/>
    </row>
    <row r="508" spans="1:4" x14ac:dyDescent="0.3">
      <c r="A508" s="2" t="s">
        <v>5324</v>
      </c>
      <c r="B508" s="2" t="s">
        <v>5249</v>
      </c>
      <c r="C508" s="2" t="s">
        <v>5249</v>
      </c>
      <c r="D508" s="2"/>
    </row>
    <row r="509" spans="1:4" x14ac:dyDescent="0.3">
      <c r="A509" s="2" t="s">
        <v>5325</v>
      </c>
      <c r="B509" s="2" t="s">
        <v>5249</v>
      </c>
      <c r="C509" s="2" t="s">
        <v>5249</v>
      </c>
      <c r="D509" s="2"/>
    </row>
    <row r="510" spans="1:4" x14ac:dyDescent="0.3">
      <c r="A510" s="2" t="s">
        <v>5326</v>
      </c>
      <c r="B510" s="2" t="s">
        <v>5249</v>
      </c>
      <c r="C510" s="2" t="s">
        <v>5249</v>
      </c>
      <c r="D510" s="2"/>
    </row>
    <row r="511" spans="1:4" x14ac:dyDescent="0.3">
      <c r="A511" s="2" t="s">
        <v>5327</v>
      </c>
      <c r="B511" s="2" t="s">
        <v>5249</v>
      </c>
      <c r="C511" s="2" t="s">
        <v>5249</v>
      </c>
      <c r="D511" s="2"/>
    </row>
    <row r="512" spans="1:4" x14ac:dyDescent="0.3">
      <c r="A512" s="2" t="s">
        <v>5328</v>
      </c>
      <c r="B512" s="2" t="s">
        <v>5249</v>
      </c>
      <c r="C512" s="2" t="s">
        <v>5249</v>
      </c>
      <c r="D512" s="2"/>
    </row>
    <row r="513" spans="1:4" x14ac:dyDescent="0.3">
      <c r="A513" s="2" t="s">
        <v>5329</v>
      </c>
      <c r="B513" s="2" t="s">
        <v>5249</v>
      </c>
      <c r="C513" s="2" t="s">
        <v>5249</v>
      </c>
      <c r="D513" s="2"/>
    </row>
    <row r="514" spans="1:4" x14ac:dyDescent="0.3">
      <c r="A514" s="2" t="s">
        <v>5330</v>
      </c>
      <c r="B514" s="2" t="s">
        <v>5249</v>
      </c>
      <c r="C514" s="2" t="s">
        <v>5249</v>
      </c>
      <c r="D514" s="2"/>
    </row>
    <row r="515" spans="1:4" x14ac:dyDescent="0.3">
      <c r="A515" s="2" t="s">
        <v>5331</v>
      </c>
      <c r="B515" s="2" t="s">
        <v>5249</v>
      </c>
      <c r="C515" s="2" t="s">
        <v>5249</v>
      </c>
      <c r="D515" s="2"/>
    </row>
    <row r="516" spans="1:4" x14ac:dyDescent="0.3">
      <c r="A516" s="2" t="s">
        <v>5332</v>
      </c>
      <c r="B516" s="2" t="s">
        <v>5249</v>
      </c>
      <c r="C516" s="2" t="s">
        <v>5249</v>
      </c>
      <c r="D516" s="2"/>
    </row>
    <row r="517" spans="1:4" x14ac:dyDescent="0.3">
      <c r="A517" s="2" t="s">
        <v>5333</v>
      </c>
      <c r="B517" s="2" t="s">
        <v>5070</v>
      </c>
      <c r="C517" s="2" t="s">
        <v>5070</v>
      </c>
      <c r="D517" s="2"/>
    </row>
    <row r="518" spans="1:4" x14ac:dyDescent="0.3">
      <c r="A518" s="2" t="s">
        <v>5334</v>
      </c>
      <c r="B518" s="2" t="s">
        <v>5070</v>
      </c>
      <c r="C518" s="2" t="s">
        <v>5070</v>
      </c>
      <c r="D518" s="2"/>
    </row>
    <row r="519" spans="1:4" x14ac:dyDescent="0.3">
      <c r="A519" s="2" t="s">
        <v>5335</v>
      </c>
      <c r="B519" s="2" t="s">
        <v>5070</v>
      </c>
      <c r="C519" s="2" t="s">
        <v>5070</v>
      </c>
      <c r="D519" s="2"/>
    </row>
    <row r="520" spans="1:4" x14ac:dyDescent="0.3">
      <c r="A520" s="2" t="s">
        <v>5336</v>
      </c>
      <c r="B520" s="2" t="s">
        <v>5070</v>
      </c>
      <c r="C520" s="2" t="s">
        <v>5070</v>
      </c>
      <c r="D520" s="2"/>
    </row>
    <row r="521" spans="1:4" x14ac:dyDescent="0.3">
      <c r="A521" s="2" t="s">
        <v>5337</v>
      </c>
      <c r="B521" s="2" t="s">
        <v>5070</v>
      </c>
      <c r="C521" s="2" t="s">
        <v>5070</v>
      </c>
      <c r="D521" s="2"/>
    </row>
    <row r="522" spans="1:4" x14ac:dyDescent="0.3">
      <c r="A522" s="2" t="s">
        <v>5338</v>
      </c>
      <c r="B522" s="2" t="s">
        <v>5070</v>
      </c>
      <c r="C522" s="2" t="s">
        <v>5070</v>
      </c>
      <c r="D522" s="2"/>
    </row>
    <row r="523" spans="1:4" x14ac:dyDescent="0.3">
      <c r="A523" s="2" t="s">
        <v>5339</v>
      </c>
      <c r="B523" s="2" t="s">
        <v>5070</v>
      </c>
      <c r="C523" s="2" t="s">
        <v>5070</v>
      </c>
      <c r="D523" s="2"/>
    </row>
    <row r="524" spans="1:4" x14ac:dyDescent="0.3">
      <c r="A524" s="2" t="s">
        <v>5340</v>
      </c>
      <c r="B524" s="2" t="s">
        <v>5070</v>
      </c>
      <c r="C524" s="2" t="s">
        <v>5070</v>
      </c>
      <c r="D524" s="2"/>
    </row>
    <row r="525" spans="1:4" x14ac:dyDescent="0.3">
      <c r="A525" s="2" t="s">
        <v>5341</v>
      </c>
      <c r="B525" s="2" t="s">
        <v>5067</v>
      </c>
      <c r="C525" s="2" t="s">
        <v>5067</v>
      </c>
      <c r="D525" s="2"/>
    </row>
    <row r="526" spans="1:4" x14ac:dyDescent="0.3">
      <c r="A526" s="2" t="s">
        <v>5342</v>
      </c>
      <c r="B526" s="2" t="s">
        <v>5067</v>
      </c>
      <c r="C526" s="2" t="s">
        <v>5067</v>
      </c>
      <c r="D526" s="2"/>
    </row>
    <row r="527" spans="1:4" x14ac:dyDescent="0.3">
      <c r="A527" s="2" t="s">
        <v>5343</v>
      </c>
      <c r="B527" s="2" t="s">
        <v>5067</v>
      </c>
      <c r="C527" s="2" t="s">
        <v>5067</v>
      </c>
      <c r="D527" s="2"/>
    </row>
    <row r="528" spans="1:4" x14ac:dyDescent="0.3">
      <c r="A528" s="2" t="s">
        <v>5344</v>
      </c>
      <c r="B528" s="2" t="s">
        <v>5067</v>
      </c>
      <c r="C528" s="2" t="s">
        <v>5067</v>
      </c>
      <c r="D528" s="2"/>
    </row>
    <row r="529" spans="1:4" x14ac:dyDescent="0.3">
      <c r="A529" s="2" t="s">
        <v>5345</v>
      </c>
      <c r="B529" s="2" t="s">
        <v>5067</v>
      </c>
      <c r="C529" s="2" t="s">
        <v>5067</v>
      </c>
      <c r="D529" s="2"/>
    </row>
    <row r="530" spans="1:4" x14ac:dyDescent="0.3">
      <c r="A530" s="2" t="s">
        <v>5346</v>
      </c>
      <c r="B530" s="2" t="s">
        <v>5067</v>
      </c>
      <c r="C530" s="2" t="s">
        <v>5067</v>
      </c>
      <c r="D530" s="2"/>
    </row>
    <row r="531" spans="1:4" x14ac:dyDescent="0.3">
      <c r="A531" s="2" t="s">
        <v>5347</v>
      </c>
      <c r="B531" s="2" t="s">
        <v>5067</v>
      </c>
      <c r="C531" s="2" t="s">
        <v>5067</v>
      </c>
      <c r="D531" s="2"/>
    </row>
    <row r="532" spans="1:4" x14ac:dyDescent="0.3">
      <c r="A532" s="2" t="s">
        <v>5348</v>
      </c>
      <c r="B532" s="2" t="s">
        <v>5067</v>
      </c>
      <c r="C532" s="2" t="s">
        <v>5067</v>
      </c>
      <c r="D532" s="2"/>
    </row>
    <row r="533" spans="1:4" x14ac:dyDescent="0.3">
      <c r="A533" s="2" t="s">
        <v>5349</v>
      </c>
      <c r="B533" s="2" t="s">
        <v>5067</v>
      </c>
      <c r="C533" s="2" t="s">
        <v>5067</v>
      </c>
      <c r="D533" s="2"/>
    </row>
    <row r="534" spans="1:4" x14ac:dyDescent="0.3">
      <c r="A534" s="2" t="s">
        <v>5350</v>
      </c>
      <c r="B534" s="2" t="s">
        <v>5067</v>
      </c>
      <c r="C534" s="2" t="s">
        <v>5067</v>
      </c>
      <c r="D534" s="2"/>
    </row>
    <row r="535" spans="1:4" x14ac:dyDescent="0.3">
      <c r="A535" s="2" t="s">
        <v>5351</v>
      </c>
      <c r="B535" s="2" t="s">
        <v>5067</v>
      </c>
      <c r="C535" s="2" t="s">
        <v>5067</v>
      </c>
      <c r="D535" s="2"/>
    </row>
    <row r="536" spans="1:4" x14ac:dyDescent="0.3">
      <c r="A536" s="2" t="s">
        <v>5352</v>
      </c>
      <c r="B536" s="2" t="s">
        <v>5067</v>
      </c>
      <c r="C536" s="2" t="s">
        <v>5067</v>
      </c>
      <c r="D536" s="2"/>
    </row>
    <row r="537" spans="1:4" x14ac:dyDescent="0.3">
      <c r="A537" s="2" t="s">
        <v>5353</v>
      </c>
      <c r="B537" s="2" t="s">
        <v>5067</v>
      </c>
      <c r="C537" s="2" t="s">
        <v>5067</v>
      </c>
      <c r="D537" s="2"/>
    </row>
    <row r="538" spans="1:4" x14ac:dyDescent="0.3">
      <c r="A538" s="2" t="s">
        <v>5354</v>
      </c>
      <c r="B538" s="2" t="s">
        <v>5067</v>
      </c>
      <c r="C538" s="2" t="s">
        <v>5067</v>
      </c>
      <c r="D538" s="2"/>
    </row>
    <row r="539" spans="1:4" x14ac:dyDescent="0.3">
      <c r="A539" s="2" t="s">
        <v>5355</v>
      </c>
      <c r="B539" s="2" t="s">
        <v>5067</v>
      </c>
      <c r="C539" s="2" t="s">
        <v>5067</v>
      </c>
      <c r="D539" s="2"/>
    </row>
    <row r="540" spans="1:4" x14ac:dyDescent="0.3">
      <c r="A540" s="2" t="s">
        <v>5356</v>
      </c>
      <c r="B540" s="2" t="s">
        <v>5067</v>
      </c>
      <c r="C540" s="2" t="s">
        <v>5067</v>
      </c>
      <c r="D540" s="2"/>
    </row>
    <row r="541" spans="1:4" x14ac:dyDescent="0.3">
      <c r="A541" s="2" t="s">
        <v>5357</v>
      </c>
      <c r="B541" s="2" t="s">
        <v>5067</v>
      </c>
      <c r="C541" s="2" t="s">
        <v>5067</v>
      </c>
      <c r="D541" s="2"/>
    </row>
    <row r="542" spans="1:4" x14ac:dyDescent="0.3">
      <c r="A542" s="2" t="s">
        <v>5358</v>
      </c>
      <c r="B542" s="2" t="s">
        <v>5067</v>
      </c>
      <c r="C542" s="2" t="s">
        <v>5067</v>
      </c>
      <c r="D542" s="2"/>
    </row>
    <row r="543" spans="1:4" x14ac:dyDescent="0.3">
      <c r="A543" s="2" t="s">
        <v>5359</v>
      </c>
      <c r="B543" s="2" t="s">
        <v>5067</v>
      </c>
      <c r="C543" s="2" t="s">
        <v>5067</v>
      </c>
      <c r="D543" s="2"/>
    </row>
    <row r="544" spans="1:4" x14ac:dyDescent="0.3">
      <c r="A544" s="2" t="s">
        <v>5360</v>
      </c>
      <c r="B544" s="2" t="s">
        <v>5067</v>
      </c>
      <c r="C544" s="2" t="s">
        <v>5067</v>
      </c>
      <c r="D544" s="2"/>
    </row>
    <row r="545" spans="1:4" x14ac:dyDescent="0.3">
      <c r="A545" s="2" t="s">
        <v>5296</v>
      </c>
      <c r="B545" s="2" t="s">
        <v>5067</v>
      </c>
      <c r="C545" s="2" t="s">
        <v>5067</v>
      </c>
      <c r="D545" s="2" t="s">
        <v>5361</v>
      </c>
    </row>
    <row r="546" spans="1:4" x14ac:dyDescent="0.3">
      <c r="A546" s="2" t="s">
        <v>5362</v>
      </c>
      <c r="B546" s="2" t="s">
        <v>5067</v>
      </c>
      <c r="C546" s="2" t="s">
        <v>5067</v>
      </c>
      <c r="D546" s="2"/>
    </row>
    <row r="547" spans="1:4" x14ac:dyDescent="0.3">
      <c r="A547" s="2" t="s">
        <v>5363</v>
      </c>
      <c r="B547" s="2" t="s">
        <v>5063</v>
      </c>
      <c r="C547" s="2" t="s">
        <v>5364</v>
      </c>
      <c r="D547" s="2"/>
    </row>
    <row r="548" spans="1:4" x14ac:dyDescent="0.3">
      <c r="A548" s="2" t="s">
        <v>5365</v>
      </c>
      <c r="B548" s="2" t="s">
        <v>5063</v>
      </c>
      <c r="C548" s="2" t="s">
        <v>5364</v>
      </c>
      <c r="D548" s="2"/>
    </row>
    <row r="549" spans="1:4" x14ac:dyDescent="0.3">
      <c r="A549" s="2" t="s">
        <v>5366</v>
      </c>
      <c r="B549" s="2" t="s">
        <v>5063</v>
      </c>
      <c r="C549" s="2" t="s">
        <v>5364</v>
      </c>
      <c r="D549" s="2"/>
    </row>
    <row r="550" spans="1:4" x14ac:dyDescent="0.3">
      <c r="A550" s="2" t="s">
        <v>5367</v>
      </c>
      <c r="B550" s="2" t="s">
        <v>5063</v>
      </c>
      <c r="C550" s="2" t="s">
        <v>5364</v>
      </c>
      <c r="D550" s="2"/>
    </row>
    <row r="551" spans="1:4" x14ac:dyDescent="0.3">
      <c r="A551" s="2" t="s">
        <v>5368</v>
      </c>
      <c r="B551" s="2" t="s">
        <v>5063</v>
      </c>
      <c r="C551" s="2" t="s">
        <v>5369</v>
      </c>
      <c r="D551" s="2"/>
    </row>
    <row r="552" spans="1:4" x14ac:dyDescent="0.3">
      <c r="A552" s="2" t="s">
        <v>5370</v>
      </c>
      <c r="B552" s="2" t="s">
        <v>5063</v>
      </c>
      <c r="C552" s="2" t="s">
        <v>5369</v>
      </c>
      <c r="D552" s="2"/>
    </row>
    <row r="553" spans="1:4" x14ac:dyDescent="0.3">
      <c r="A553" s="2" t="s">
        <v>5371</v>
      </c>
      <c r="B553" s="2" t="s">
        <v>5073</v>
      </c>
      <c r="C553" s="2" t="s">
        <v>5073</v>
      </c>
      <c r="D553" s="2"/>
    </row>
  </sheetData>
  <mergeCells count="2">
    <mergeCell ref="A1:D1"/>
    <mergeCell ref="H6:I6"/>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72"/>
  <sheetViews>
    <sheetView workbookViewId="0">
      <selection sqref="A1:D1"/>
    </sheetView>
  </sheetViews>
  <sheetFormatPr defaultColWidth="8.6640625" defaultRowHeight="14.4" x14ac:dyDescent="0.3"/>
  <cols>
    <col min="1" max="1" width="23.5546875" customWidth="1"/>
    <col min="2" max="2" width="54.5546875" customWidth="1"/>
    <col min="3" max="3" width="24.6640625" bestFit="1" customWidth="1"/>
    <col min="4" max="4" width="78" bestFit="1" customWidth="1"/>
    <col min="6" max="6" width="20.109375" bestFit="1" customWidth="1"/>
    <col min="7" max="7" width="15.6640625" bestFit="1" customWidth="1"/>
    <col min="8" max="8" width="25.33203125" bestFit="1" customWidth="1"/>
    <col min="9" max="9" width="67.6640625" bestFit="1" customWidth="1"/>
  </cols>
  <sheetData>
    <row r="1" spans="1:7" ht="19.2" customHeight="1" x14ac:dyDescent="0.3">
      <c r="A1" s="29" t="s">
        <v>5058</v>
      </c>
      <c r="B1" s="30"/>
      <c r="C1" s="30"/>
      <c r="D1" s="30"/>
    </row>
    <row r="2" spans="1:7" ht="30" customHeight="1" x14ac:dyDescent="0.3">
      <c r="A2" s="1" t="s">
        <v>1</v>
      </c>
      <c r="B2" s="1" t="s">
        <v>2</v>
      </c>
      <c r="C2" s="1" t="s">
        <v>5059</v>
      </c>
      <c r="D2" s="1" t="s">
        <v>5060</v>
      </c>
    </row>
    <row r="3" spans="1:7" ht="18" customHeight="1" x14ac:dyDescent="0.3">
      <c r="A3" s="2" t="s">
        <v>31</v>
      </c>
      <c r="B3" s="2" t="s">
        <v>7</v>
      </c>
      <c r="C3" s="2" t="s">
        <v>5061</v>
      </c>
      <c r="D3" s="2"/>
    </row>
    <row r="4" spans="1:7" ht="18" customHeight="1" x14ac:dyDescent="0.3">
      <c r="A4" s="2" t="s">
        <v>33</v>
      </c>
      <c r="B4" s="2" t="s">
        <v>7</v>
      </c>
      <c r="C4" s="2" t="s">
        <v>5061</v>
      </c>
      <c r="D4" s="2"/>
    </row>
    <row r="5" spans="1:7" ht="18" customHeight="1" x14ac:dyDescent="0.3">
      <c r="A5" s="2" t="s">
        <v>34</v>
      </c>
      <c r="B5" s="2" t="s">
        <v>7</v>
      </c>
      <c r="C5" s="2" t="s">
        <v>5061</v>
      </c>
      <c r="D5" s="2"/>
    </row>
    <row r="6" spans="1:7" ht="18" customHeight="1" x14ac:dyDescent="0.3">
      <c r="A6" s="2" t="s">
        <v>36</v>
      </c>
      <c r="B6" s="2" t="s">
        <v>7</v>
      </c>
      <c r="C6" s="2" t="s">
        <v>5061</v>
      </c>
      <c r="D6" s="2"/>
      <c r="F6" s="34" t="s">
        <v>5062</v>
      </c>
      <c r="G6" s="35"/>
    </row>
    <row r="7" spans="1:7" ht="18" customHeight="1" x14ac:dyDescent="0.3">
      <c r="A7" s="2" t="s">
        <v>37</v>
      </c>
      <c r="B7" s="2" t="s">
        <v>7</v>
      </c>
      <c r="C7" s="2" t="s">
        <v>5061</v>
      </c>
      <c r="D7" s="2"/>
      <c r="F7" s="3" t="s">
        <v>7</v>
      </c>
      <c r="G7" s="4">
        <f>COUNTIF(B:B,"AHU")</f>
        <v>5</v>
      </c>
    </row>
    <row r="8" spans="1:7" ht="18" customHeight="1" x14ac:dyDescent="0.3">
      <c r="A8" s="2" t="s">
        <v>47</v>
      </c>
      <c r="B8" s="2" t="s">
        <v>48</v>
      </c>
      <c r="C8" s="2" t="s">
        <v>5115</v>
      </c>
      <c r="D8" s="2"/>
      <c r="F8" s="3" t="s">
        <v>48</v>
      </c>
      <c r="G8" s="4">
        <f>COUNTIF(B:B,"FCU")</f>
        <v>11</v>
      </c>
    </row>
    <row r="9" spans="1:7" ht="18" customHeight="1" x14ac:dyDescent="0.3">
      <c r="A9" s="2" t="s">
        <v>50</v>
      </c>
      <c r="B9" s="2" t="s">
        <v>48</v>
      </c>
      <c r="C9" s="2" t="s">
        <v>5115</v>
      </c>
      <c r="D9" s="2"/>
      <c r="F9" s="3" t="s">
        <v>5063</v>
      </c>
      <c r="G9" s="4">
        <f>COUNTIF(B:B,"CHW Pump")</f>
        <v>8</v>
      </c>
    </row>
    <row r="10" spans="1:7" ht="18" customHeight="1" x14ac:dyDescent="0.3">
      <c r="A10" s="2" t="s">
        <v>52</v>
      </c>
      <c r="B10" s="2" t="s">
        <v>48</v>
      </c>
      <c r="C10" s="2" t="s">
        <v>5115</v>
      </c>
      <c r="D10" s="2"/>
      <c r="F10" s="3" t="s">
        <v>5064</v>
      </c>
      <c r="G10" s="4">
        <f>COUNTIF(B:B,"VAV")</f>
        <v>108</v>
      </c>
    </row>
    <row r="11" spans="1:7" ht="18" customHeight="1" x14ac:dyDescent="0.3">
      <c r="A11" s="2" t="s">
        <v>54</v>
      </c>
      <c r="B11" s="2" t="s">
        <v>48</v>
      </c>
      <c r="C11" s="2" t="s">
        <v>5115</v>
      </c>
      <c r="D11" s="2"/>
      <c r="F11" s="3" t="s">
        <v>5065</v>
      </c>
      <c r="G11" s="4">
        <f>COUNTIF(B:B,"DX Unit")</f>
        <v>10</v>
      </c>
    </row>
    <row r="12" spans="1:7" ht="18" customHeight="1" x14ac:dyDescent="0.3">
      <c r="A12" s="2" t="s">
        <v>56</v>
      </c>
      <c r="B12" s="2" t="s">
        <v>48</v>
      </c>
      <c r="C12" s="2" t="s">
        <v>5115</v>
      </c>
      <c r="D12" s="2"/>
      <c r="F12" s="3" t="s">
        <v>5066</v>
      </c>
      <c r="G12" s="4">
        <f>COUNTIF(B:B,"HEX")</f>
        <v>5</v>
      </c>
    </row>
    <row r="13" spans="1:7" ht="18" customHeight="1" x14ac:dyDescent="0.3">
      <c r="A13" s="2" t="s">
        <v>58</v>
      </c>
      <c r="B13" s="2" t="s">
        <v>48</v>
      </c>
      <c r="C13" s="2" t="s">
        <v>5115</v>
      </c>
      <c r="D13" s="2"/>
      <c r="F13" s="3" t="s">
        <v>5067</v>
      </c>
      <c r="G13" s="4">
        <f>COUNTIF(B:B,"CCU")</f>
        <v>14</v>
      </c>
    </row>
    <row r="14" spans="1:7" ht="18" customHeight="1" x14ac:dyDescent="0.3">
      <c r="A14" s="2" t="s">
        <v>60</v>
      </c>
      <c r="B14" s="2" t="s">
        <v>48</v>
      </c>
      <c r="C14" s="2" t="s">
        <v>5115</v>
      </c>
      <c r="D14" s="2"/>
      <c r="F14" s="3" t="s">
        <v>5068</v>
      </c>
      <c r="G14" s="4">
        <f>COUNTIF(B:B,"EF")</f>
        <v>1</v>
      </c>
    </row>
    <row r="15" spans="1:7" ht="18" customHeight="1" x14ac:dyDescent="0.3">
      <c r="A15" s="2" t="s">
        <v>62</v>
      </c>
      <c r="B15" s="2" t="s">
        <v>48</v>
      </c>
      <c r="C15" s="2" t="s">
        <v>5115</v>
      </c>
      <c r="D15" s="2"/>
      <c r="F15" s="3" t="s">
        <v>5251</v>
      </c>
      <c r="G15" s="4">
        <f>COUNTIF(B:B,"KEF")</f>
        <v>2</v>
      </c>
    </row>
    <row r="16" spans="1:7" ht="18" customHeight="1" x14ac:dyDescent="0.3">
      <c r="A16" s="2" t="s">
        <v>64</v>
      </c>
      <c r="B16" s="2" t="s">
        <v>48</v>
      </c>
      <c r="C16" s="2" t="s">
        <v>5115</v>
      </c>
      <c r="D16" s="2"/>
      <c r="F16" s="3" t="s">
        <v>5070</v>
      </c>
      <c r="G16" s="4">
        <f>COUNTIF(B:B,"TEF")</f>
        <v>4</v>
      </c>
    </row>
    <row r="17" spans="1:9" ht="18" customHeight="1" x14ac:dyDescent="0.3">
      <c r="A17" s="2" t="s">
        <v>65</v>
      </c>
      <c r="B17" s="2" t="s">
        <v>48</v>
      </c>
      <c r="C17" s="2" t="s">
        <v>5115</v>
      </c>
      <c r="D17" s="2"/>
      <c r="F17" s="3" t="s">
        <v>5069</v>
      </c>
      <c r="G17" s="4">
        <f>COUNTIF(B:B,"GEF")</f>
        <v>1</v>
      </c>
    </row>
    <row r="18" spans="1:9" ht="18" customHeight="1" x14ac:dyDescent="0.3">
      <c r="A18" s="2" t="s">
        <v>67</v>
      </c>
      <c r="B18" s="2" t="s">
        <v>48</v>
      </c>
      <c r="C18" s="2" t="s">
        <v>5115</v>
      </c>
      <c r="D18" s="2"/>
      <c r="F18" s="3" t="s">
        <v>5073</v>
      </c>
      <c r="G18" s="4">
        <f>COUNTIF(B:B,"Generator")</f>
        <v>1</v>
      </c>
    </row>
    <row r="19" spans="1:9" ht="18" customHeight="1" x14ac:dyDescent="0.3">
      <c r="A19" s="2" t="s">
        <v>268</v>
      </c>
      <c r="B19" s="2" t="s">
        <v>269</v>
      </c>
      <c r="C19" s="2" t="s">
        <v>5064</v>
      </c>
      <c r="D19" s="2"/>
      <c r="F19" s="5" t="s">
        <v>5074</v>
      </c>
      <c r="G19" s="5">
        <f>SUM(G7:G18)</f>
        <v>170</v>
      </c>
    </row>
    <row r="20" spans="1:9" ht="18" customHeight="1" x14ac:dyDescent="0.3">
      <c r="A20" s="2" t="s">
        <v>271</v>
      </c>
      <c r="B20" s="2" t="s">
        <v>269</v>
      </c>
      <c r="C20" s="2" t="s">
        <v>5064</v>
      </c>
      <c r="D20" s="2"/>
    </row>
    <row r="21" spans="1:9" ht="18" customHeight="1" x14ac:dyDescent="0.3">
      <c r="A21" s="2" t="s">
        <v>273</v>
      </c>
      <c r="B21" s="2" t="s">
        <v>269</v>
      </c>
      <c r="C21" s="2" t="s">
        <v>5064</v>
      </c>
      <c r="D21" s="2"/>
    </row>
    <row r="22" spans="1:9" ht="18" customHeight="1" x14ac:dyDescent="0.3">
      <c r="A22" s="2" t="s">
        <v>274</v>
      </c>
      <c r="B22" s="2" t="s">
        <v>269</v>
      </c>
      <c r="C22" s="2" t="s">
        <v>5064</v>
      </c>
      <c r="D22" s="2"/>
    </row>
    <row r="23" spans="1:9" ht="18" customHeight="1" x14ac:dyDescent="0.3">
      <c r="A23" s="2" t="s">
        <v>276</v>
      </c>
      <c r="B23" s="2" t="s">
        <v>269</v>
      </c>
      <c r="C23" s="2" t="s">
        <v>5064</v>
      </c>
      <c r="D23" s="2"/>
    </row>
    <row r="24" spans="1:9" ht="18" customHeight="1" x14ac:dyDescent="0.3">
      <c r="A24" s="2" t="s">
        <v>278</v>
      </c>
      <c r="B24" s="2" t="s">
        <v>269</v>
      </c>
      <c r="C24" s="2" t="s">
        <v>5064</v>
      </c>
      <c r="D24" s="2"/>
    </row>
    <row r="25" spans="1:9" ht="18" customHeight="1" x14ac:dyDescent="0.3">
      <c r="A25" s="2" t="s">
        <v>279</v>
      </c>
      <c r="B25" s="2" t="s">
        <v>269</v>
      </c>
      <c r="C25" s="2" t="s">
        <v>5064</v>
      </c>
      <c r="D25" s="2"/>
    </row>
    <row r="26" spans="1:9" ht="18" customHeight="1" x14ac:dyDescent="0.3">
      <c r="A26" s="2" t="s">
        <v>281</v>
      </c>
      <c r="B26" s="2" t="s">
        <v>269</v>
      </c>
      <c r="C26" s="2" t="s">
        <v>5064</v>
      </c>
      <c r="D26" s="2"/>
      <c r="F26" s="6" t="s">
        <v>5075</v>
      </c>
      <c r="G26" s="6" t="s">
        <v>5076</v>
      </c>
      <c r="H26" s="6" t="s">
        <v>5077</v>
      </c>
      <c r="I26" s="6" t="s">
        <v>5078</v>
      </c>
    </row>
    <row r="27" spans="1:9" ht="18" customHeight="1" x14ac:dyDescent="0.3">
      <c r="A27" s="2" t="s">
        <v>283</v>
      </c>
      <c r="B27" s="2" t="s">
        <v>269</v>
      </c>
      <c r="C27" s="2" t="s">
        <v>5064</v>
      </c>
      <c r="D27" s="2"/>
      <c r="F27" s="2">
        <v>1</v>
      </c>
      <c r="G27" s="2" t="s">
        <v>5065</v>
      </c>
      <c r="H27" s="2" t="s">
        <v>5372</v>
      </c>
      <c r="I27" s="2" t="s">
        <v>5373</v>
      </c>
    </row>
    <row r="28" spans="1:9" ht="18" customHeight="1" x14ac:dyDescent="0.3">
      <c r="A28" s="2" t="s">
        <v>2055</v>
      </c>
      <c r="B28" s="2" t="s">
        <v>269</v>
      </c>
      <c r="C28" s="2" t="s">
        <v>5064</v>
      </c>
      <c r="D28" s="2"/>
      <c r="F28" s="2">
        <v>2</v>
      </c>
      <c r="G28" s="2" t="s">
        <v>5065</v>
      </c>
      <c r="H28" s="2" t="s">
        <v>5374</v>
      </c>
      <c r="I28" s="2" t="s">
        <v>5373</v>
      </c>
    </row>
    <row r="29" spans="1:9" ht="18" customHeight="1" x14ac:dyDescent="0.3">
      <c r="A29" s="2" t="s">
        <v>285</v>
      </c>
      <c r="B29" s="2" t="s">
        <v>269</v>
      </c>
      <c r="C29" s="2" t="s">
        <v>5064</v>
      </c>
      <c r="D29" s="2"/>
      <c r="F29" s="2">
        <v>3</v>
      </c>
      <c r="G29" s="2" t="s">
        <v>5065</v>
      </c>
      <c r="H29" s="2" t="s">
        <v>5375</v>
      </c>
      <c r="I29" s="2" t="s">
        <v>5373</v>
      </c>
    </row>
    <row r="30" spans="1:9" ht="18" customHeight="1" x14ac:dyDescent="0.3">
      <c r="A30" s="2" t="s">
        <v>287</v>
      </c>
      <c r="B30" s="2" t="s">
        <v>269</v>
      </c>
      <c r="C30" s="2" t="s">
        <v>5064</v>
      </c>
      <c r="D30" s="2"/>
      <c r="F30" s="2">
        <v>4</v>
      </c>
      <c r="G30" s="2" t="s">
        <v>5065</v>
      </c>
      <c r="H30" s="2" t="s">
        <v>5376</v>
      </c>
      <c r="I30" s="2" t="s">
        <v>5373</v>
      </c>
    </row>
    <row r="31" spans="1:9" ht="18" customHeight="1" x14ac:dyDescent="0.3">
      <c r="A31" s="2" t="s">
        <v>289</v>
      </c>
      <c r="B31" s="2" t="s">
        <v>269</v>
      </c>
      <c r="C31" s="2" t="s">
        <v>5064</v>
      </c>
      <c r="D31" s="2"/>
      <c r="F31" s="2">
        <v>5</v>
      </c>
      <c r="G31" s="2" t="s">
        <v>5065</v>
      </c>
      <c r="H31" s="2" t="s">
        <v>5377</v>
      </c>
      <c r="I31" s="2" t="s">
        <v>5373</v>
      </c>
    </row>
    <row r="32" spans="1:9" ht="18" customHeight="1" x14ac:dyDescent="0.3">
      <c r="A32" s="2" t="s">
        <v>291</v>
      </c>
      <c r="B32" s="2" t="s">
        <v>269</v>
      </c>
      <c r="C32" s="2" t="s">
        <v>5064</v>
      </c>
      <c r="D32" s="2"/>
      <c r="F32" s="2">
        <v>6</v>
      </c>
      <c r="G32" s="2" t="s">
        <v>5065</v>
      </c>
      <c r="H32" s="2" t="s">
        <v>5378</v>
      </c>
      <c r="I32" s="2" t="s">
        <v>5373</v>
      </c>
    </row>
    <row r="33" spans="1:9" ht="18" customHeight="1" x14ac:dyDescent="0.3">
      <c r="A33" s="2" t="s">
        <v>293</v>
      </c>
      <c r="B33" s="2" t="s">
        <v>269</v>
      </c>
      <c r="C33" s="2" t="s">
        <v>5064</v>
      </c>
      <c r="D33" s="2"/>
      <c r="F33" s="2">
        <v>7</v>
      </c>
      <c r="G33" s="2" t="s">
        <v>5065</v>
      </c>
      <c r="H33" s="2" t="s">
        <v>5379</v>
      </c>
      <c r="I33" s="2" t="s">
        <v>5373</v>
      </c>
    </row>
    <row r="34" spans="1:9" ht="18" customHeight="1" x14ac:dyDescent="0.3">
      <c r="A34" s="2" t="s">
        <v>295</v>
      </c>
      <c r="B34" s="2" t="s">
        <v>269</v>
      </c>
      <c r="C34" s="2" t="s">
        <v>5064</v>
      </c>
      <c r="D34" s="2"/>
      <c r="F34" s="2">
        <v>8</v>
      </c>
      <c r="G34" s="2" t="s">
        <v>5065</v>
      </c>
      <c r="H34" s="2" t="s">
        <v>5380</v>
      </c>
      <c r="I34" s="2" t="s">
        <v>5373</v>
      </c>
    </row>
    <row r="35" spans="1:9" ht="18" customHeight="1" x14ac:dyDescent="0.3">
      <c r="A35" s="2" t="s">
        <v>297</v>
      </c>
      <c r="B35" s="2" t="s">
        <v>269</v>
      </c>
      <c r="C35" s="2" t="s">
        <v>5064</v>
      </c>
      <c r="D35" s="2"/>
      <c r="F35" s="2">
        <v>9</v>
      </c>
      <c r="G35" s="2" t="s">
        <v>5065</v>
      </c>
      <c r="H35" s="2" t="s">
        <v>5381</v>
      </c>
      <c r="I35" s="2" t="s">
        <v>5373</v>
      </c>
    </row>
    <row r="36" spans="1:9" ht="18" customHeight="1" x14ac:dyDescent="0.3">
      <c r="A36" s="2" t="s">
        <v>299</v>
      </c>
      <c r="B36" s="2" t="s">
        <v>269</v>
      </c>
      <c r="C36" s="2" t="s">
        <v>5064</v>
      </c>
      <c r="D36" s="2"/>
    </row>
    <row r="37" spans="1:9" ht="18" customHeight="1" x14ac:dyDescent="0.3">
      <c r="A37" s="2" t="s">
        <v>301</v>
      </c>
      <c r="B37" s="2" t="s">
        <v>269</v>
      </c>
      <c r="C37" s="2" t="s">
        <v>5064</v>
      </c>
      <c r="D37" s="2"/>
    </row>
    <row r="38" spans="1:9" ht="18" customHeight="1" x14ac:dyDescent="0.3">
      <c r="A38" s="2" t="s">
        <v>303</v>
      </c>
      <c r="B38" s="2" t="s">
        <v>269</v>
      </c>
      <c r="C38" s="2" t="s">
        <v>5064</v>
      </c>
      <c r="D38" s="2"/>
    </row>
    <row r="39" spans="1:9" ht="18" customHeight="1" x14ac:dyDescent="0.3">
      <c r="A39" s="2" t="s">
        <v>305</v>
      </c>
      <c r="B39" s="2" t="s">
        <v>269</v>
      </c>
      <c r="C39" s="2" t="s">
        <v>5064</v>
      </c>
      <c r="D39" s="2"/>
    </row>
    <row r="40" spans="1:9" ht="18" customHeight="1" x14ac:dyDescent="0.3">
      <c r="A40" s="2" t="s">
        <v>307</v>
      </c>
      <c r="B40" s="2" t="s">
        <v>269</v>
      </c>
      <c r="C40" s="2" t="s">
        <v>5064</v>
      </c>
      <c r="D40" s="2"/>
    </row>
    <row r="41" spans="1:9" ht="18" customHeight="1" x14ac:dyDescent="0.3">
      <c r="A41" s="2" t="s">
        <v>308</v>
      </c>
      <c r="B41" s="2" t="s">
        <v>269</v>
      </c>
      <c r="C41" s="2" t="s">
        <v>5064</v>
      </c>
      <c r="D41" s="2"/>
    </row>
    <row r="42" spans="1:9" ht="18" customHeight="1" x14ac:dyDescent="0.3">
      <c r="A42" s="2" t="s">
        <v>310</v>
      </c>
      <c r="B42" s="2" t="s">
        <v>269</v>
      </c>
      <c r="C42" s="2" t="s">
        <v>5064</v>
      </c>
      <c r="D42" s="2"/>
    </row>
    <row r="43" spans="1:9" ht="18" customHeight="1" x14ac:dyDescent="0.3">
      <c r="A43" s="2" t="s">
        <v>312</v>
      </c>
      <c r="B43" s="2" t="s">
        <v>269</v>
      </c>
      <c r="C43" s="2" t="s">
        <v>5064</v>
      </c>
      <c r="D43" s="2"/>
    </row>
    <row r="44" spans="1:9" ht="18" customHeight="1" x14ac:dyDescent="0.3">
      <c r="A44" s="2" t="s">
        <v>313</v>
      </c>
      <c r="B44" s="2" t="s">
        <v>269</v>
      </c>
      <c r="C44" s="2" t="s">
        <v>5064</v>
      </c>
      <c r="D44" s="2"/>
    </row>
    <row r="45" spans="1:9" ht="18" customHeight="1" x14ac:dyDescent="0.3">
      <c r="A45" s="2" t="s">
        <v>315</v>
      </c>
      <c r="B45" s="2" t="s">
        <v>269</v>
      </c>
      <c r="C45" s="2" t="s">
        <v>5064</v>
      </c>
      <c r="D45" s="2"/>
    </row>
    <row r="46" spans="1:9" ht="18" customHeight="1" x14ac:dyDescent="0.3">
      <c r="A46" s="2" t="s">
        <v>317</v>
      </c>
      <c r="B46" s="2" t="s">
        <v>269</v>
      </c>
      <c r="C46" s="2" t="s">
        <v>5064</v>
      </c>
      <c r="D46" s="2"/>
    </row>
    <row r="47" spans="1:9" ht="18" customHeight="1" x14ac:dyDescent="0.3">
      <c r="A47" s="2" t="s">
        <v>319</v>
      </c>
      <c r="B47" s="2" t="s">
        <v>269</v>
      </c>
      <c r="C47" s="2" t="s">
        <v>5064</v>
      </c>
      <c r="D47" s="2"/>
    </row>
    <row r="48" spans="1:9" ht="18" customHeight="1" x14ac:dyDescent="0.3">
      <c r="A48" s="2" t="s">
        <v>321</v>
      </c>
      <c r="B48" s="2" t="s">
        <v>269</v>
      </c>
      <c r="C48" s="2" t="s">
        <v>5064</v>
      </c>
      <c r="D48" s="2"/>
    </row>
    <row r="49" spans="1:4" ht="18" customHeight="1" x14ac:dyDescent="0.3">
      <c r="A49" s="2" t="s">
        <v>323</v>
      </c>
      <c r="B49" s="2" t="s">
        <v>269</v>
      </c>
      <c r="C49" s="2" t="s">
        <v>5064</v>
      </c>
      <c r="D49" s="2"/>
    </row>
    <row r="50" spans="1:4" ht="18" customHeight="1" x14ac:dyDescent="0.3">
      <c r="A50" s="2" t="s">
        <v>325</v>
      </c>
      <c r="B50" s="2" t="s">
        <v>269</v>
      </c>
      <c r="C50" s="2" t="s">
        <v>5064</v>
      </c>
      <c r="D50" s="2"/>
    </row>
    <row r="51" spans="1:4" ht="18" customHeight="1" x14ac:dyDescent="0.3">
      <c r="A51" s="2" t="s">
        <v>327</v>
      </c>
      <c r="B51" s="2" t="s">
        <v>269</v>
      </c>
      <c r="C51" s="2" t="s">
        <v>5064</v>
      </c>
      <c r="D51" s="2"/>
    </row>
    <row r="52" spans="1:4" ht="18" customHeight="1" x14ac:dyDescent="0.3">
      <c r="A52" s="2" t="s">
        <v>329</v>
      </c>
      <c r="B52" s="2" t="s">
        <v>269</v>
      </c>
      <c r="C52" s="2" t="s">
        <v>5064</v>
      </c>
      <c r="D52" s="2"/>
    </row>
    <row r="53" spans="1:4" ht="18" customHeight="1" x14ac:dyDescent="0.3">
      <c r="A53" s="2" t="s">
        <v>331</v>
      </c>
      <c r="B53" s="2" t="s">
        <v>269</v>
      </c>
      <c r="C53" s="2" t="s">
        <v>5064</v>
      </c>
      <c r="D53" s="2"/>
    </row>
    <row r="54" spans="1:4" ht="18" customHeight="1" x14ac:dyDescent="0.3">
      <c r="A54" s="2" t="s">
        <v>333</v>
      </c>
      <c r="B54" s="2" t="s">
        <v>269</v>
      </c>
      <c r="C54" s="2" t="s">
        <v>5064</v>
      </c>
      <c r="D54" s="2"/>
    </row>
    <row r="55" spans="1:4" ht="18" customHeight="1" x14ac:dyDescent="0.3">
      <c r="A55" s="2" t="s">
        <v>335</v>
      </c>
      <c r="B55" s="2" t="s">
        <v>269</v>
      </c>
      <c r="C55" s="2" t="s">
        <v>5064</v>
      </c>
      <c r="D55" s="2"/>
    </row>
    <row r="56" spans="1:4" ht="18" customHeight="1" x14ac:dyDescent="0.3">
      <c r="A56" s="2" t="s">
        <v>337</v>
      </c>
      <c r="B56" s="2" t="s">
        <v>269</v>
      </c>
      <c r="C56" s="2" t="s">
        <v>5064</v>
      </c>
      <c r="D56" s="2"/>
    </row>
    <row r="57" spans="1:4" ht="18" customHeight="1" x14ac:dyDescent="0.3">
      <c r="A57" s="2" t="s">
        <v>339</v>
      </c>
      <c r="B57" s="2" t="s">
        <v>269</v>
      </c>
      <c r="C57" s="2" t="s">
        <v>5064</v>
      </c>
      <c r="D57" s="2"/>
    </row>
    <row r="58" spans="1:4" ht="18" customHeight="1" x14ac:dyDescent="0.3">
      <c r="A58" s="2" t="s">
        <v>341</v>
      </c>
      <c r="B58" s="2" t="s">
        <v>269</v>
      </c>
      <c r="C58" s="2" t="s">
        <v>5064</v>
      </c>
      <c r="D58" s="2"/>
    </row>
    <row r="59" spans="1:4" ht="18" customHeight="1" x14ac:dyDescent="0.3">
      <c r="A59" s="2" t="s">
        <v>343</v>
      </c>
      <c r="B59" s="2" t="s">
        <v>269</v>
      </c>
      <c r="C59" s="2" t="s">
        <v>5064</v>
      </c>
      <c r="D59" s="2"/>
    </row>
    <row r="60" spans="1:4" ht="18" customHeight="1" x14ac:dyDescent="0.3">
      <c r="A60" s="2" t="s">
        <v>344</v>
      </c>
      <c r="B60" s="2" t="s">
        <v>269</v>
      </c>
      <c r="C60" s="2" t="s">
        <v>5064</v>
      </c>
      <c r="D60" s="2"/>
    </row>
    <row r="61" spans="1:4" ht="18" customHeight="1" x14ac:dyDescent="0.3">
      <c r="A61" s="2" t="s">
        <v>346</v>
      </c>
      <c r="B61" s="2" t="s">
        <v>269</v>
      </c>
      <c r="C61" s="2" t="s">
        <v>5064</v>
      </c>
      <c r="D61" s="2"/>
    </row>
    <row r="62" spans="1:4" ht="18" customHeight="1" x14ac:dyDescent="0.3">
      <c r="A62" s="2" t="s">
        <v>348</v>
      </c>
      <c r="B62" s="2" t="s">
        <v>269</v>
      </c>
      <c r="C62" s="2" t="s">
        <v>5064</v>
      </c>
      <c r="D62" s="2"/>
    </row>
    <row r="63" spans="1:4" ht="18" customHeight="1" x14ac:dyDescent="0.3">
      <c r="A63" s="2" t="s">
        <v>350</v>
      </c>
      <c r="B63" s="2" t="s">
        <v>269</v>
      </c>
      <c r="C63" s="2" t="s">
        <v>5064</v>
      </c>
      <c r="D63" s="2"/>
    </row>
    <row r="64" spans="1:4" ht="18" customHeight="1" x14ac:dyDescent="0.3">
      <c r="A64" s="2" t="s">
        <v>352</v>
      </c>
      <c r="B64" s="2" t="s">
        <v>269</v>
      </c>
      <c r="C64" s="2" t="s">
        <v>5064</v>
      </c>
      <c r="D64" s="2"/>
    </row>
    <row r="65" spans="1:4" ht="18" customHeight="1" x14ac:dyDescent="0.3">
      <c r="A65" s="2" t="s">
        <v>354</v>
      </c>
      <c r="B65" s="2" t="s">
        <v>269</v>
      </c>
      <c r="C65" s="2" t="s">
        <v>5064</v>
      </c>
      <c r="D65" s="2"/>
    </row>
    <row r="66" spans="1:4" ht="18" customHeight="1" x14ac:dyDescent="0.3">
      <c r="A66" s="2" t="s">
        <v>356</v>
      </c>
      <c r="B66" s="2" t="s">
        <v>269</v>
      </c>
      <c r="C66" s="2" t="s">
        <v>5064</v>
      </c>
      <c r="D66" s="2"/>
    </row>
    <row r="67" spans="1:4" ht="18" customHeight="1" x14ac:dyDescent="0.3">
      <c r="A67" s="2" t="s">
        <v>358</v>
      </c>
      <c r="B67" s="2" t="s">
        <v>269</v>
      </c>
      <c r="C67" s="2" t="s">
        <v>5064</v>
      </c>
      <c r="D67" s="2"/>
    </row>
    <row r="68" spans="1:4" ht="18" customHeight="1" x14ac:dyDescent="0.3">
      <c r="A68" s="2" t="s">
        <v>359</v>
      </c>
      <c r="B68" s="2" t="s">
        <v>269</v>
      </c>
      <c r="C68" s="2" t="s">
        <v>5064</v>
      </c>
      <c r="D68" s="2"/>
    </row>
    <row r="69" spans="1:4" ht="18" customHeight="1" x14ac:dyDescent="0.3">
      <c r="A69" s="2" t="s">
        <v>360</v>
      </c>
      <c r="B69" s="2" t="s">
        <v>269</v>
      </c>
      <c r="C69" s="2" t="s">
        <v>5064</v>
      </c>
      <c r="D69" s="2"/>
    </row>
    <row r="70" spans="1:4" ht="18" customHeight="1" x14ac:dyDescent="0.3">
      <c r="A70" s="2" t="s">
        <v>361</v>
      </c>
      <c r="B70" s="2" t="s">
        <v>269</v>
      </c>
      <c r="C70" s="2" t="s">
        <v>5064</v>
      </c>
      <c r="D70" s="2"/>
    </row>
    <row r="71" spans="1:4" ht="18" customHeight="1" x14ac:dyDescent="0.3">
      <c r="A71" s="2" t="s">
        <v>363</v>
      </c>
      <c r="B71" s="2" t="s">
        <v>269</v>
      </c>
      <c r="C71" s="2" t="s">
        <v>5064</v>
      </c>
      <c r="D71" s="2"/>
    </row>
    <row r="72" spans="1:4" ht="18" customHeight="1" x14ac:dyDescent="0.3">
      <c r="A72" s="2" t="s">
        <v>364</v>
      </c>
      <c r="B72" s="2" t="s">
        <v>269</v>
      </c>
      <c r="C72" s="2" t="s">
        <v>5064</v>
      </c>
      <c r="D72" s="2"/>
    </row>
    <row r="73" spans="1:4" ht="18" customHeight="1" x14ac:dyDescent="0.3">
      <c r="A73" s="2" t="s">
        <v>366</v>
      </c>
      <c r="B73" s="2" t="s">
        <v>269</v>
      </c>
      <c r="C73" s="2" t="s">
        <v>5064</v>
      </c>
      <c r="D73" s="2"/>
    </row>
    <row r="74" spans="1:4" ht="18" customHeight="1" x14ac:dyDescent="0.3">
      <c r="A74" s="2" t="s">
        <v>368</v>
      </c>
      <c r="B74" s="2" t="s">
        <v>269</v>
      </c>
      <c r="C74" s="2" t="s">
        <v>5064</v>
      </c>
      <c r="D74" s="2"/>
    </row>
    <row r="75" spans="1:4" ht="18" customHeight="1" x14ac:dyDescent="0.3">
      <c r="A75" s="2" t="s">
        <v>370</v>
      </c>
      <c r="B75" s="2" t="s">
        <v>269</v>
      </c>
      <c r="C75" s="2" t="s">
        <v>5064</v>
      </c>
      <c r="D75" s="2"/>
    </row>
    <row r="76" spans="1:4" ht="18" customHeight="1" x14ac:dyDescent="0.3">
      <c r="A76" s="2" t="s">
        <v>372</v>
      </c>
      <c r="B76" s="2" t="s">
        <v>269</v>
      </c>
      <c r="C76" s="2" t="s">
        <v>5064</v>
      </c>
      <c r="D76" s="2"/>
    </row>
    <row r="77" spans="1:4" ht="18" customHeight="1" x14ac:dyDescent="0.3">
      <c r="A77" s="2" t="s">
        <v>374</v>
      </c>
      <c r="B77" s="2" t="s">
        <v>269</v>
      </c>
      <c r="C77" s="2" t="s">
        <v>5064</v>
      </c>
      <c r="D77" s="2"/>
    </row>
    <row r="78" spans="1:4" ht="18" customHeight="1" x14ac:dyDescent="0.3">
      <c r="A78" s="2" t="s">
        <v>376</v>
      </c>
      <c r="B78" s="2" t="s">
        <v>269</v>
      </c>
      <c r="C78" s="2" t="s">
        <v>5064</v>
      </c>
      <c r="D78" s="2"/>
    </row>
    <row r="79" spans="1:4" ht="18" customHeight="1" x14ac:dyDescent="0.3">
      <c r="A79" s="2" t="s">
        <v>378</v>
      </c>
      <c r="B79" s="2" t="s">
        <v>269</v>
      </c>
      <c r="C79" s="2" t="s">
        <v>5064</v>
      </c>
      <c r="D79" s="2"/>
    </row>
    <row r="80" spans="1:4" ht="18" customHeight="1" x14ac:dyDescent="0.3">
      <c r="A80" s="2" t="s">
        <v>380</v>
      </c>
      <c r="B80" s="2" t="s">
        <v>269</v>
      </c>
      <c r="C80" s="2" t="s">
        <v>5064</v>
      </c>
      <c r="D80" s="2"/>
    </row>
    <row r="81" spans="1:4" ht="18" customHeight="1" x14ac:dyDescent="0.3">
      <c r="A81" s="2" t="s">
        <v>382</v>
      </c>
      <c r="B81" s="2" t="s">
        <v>269</v>
      </c>
      <c r="C81" s="2" t="s">
        <v>5064</v>
      </c>
      <c r="D81" s="2"/>
    </row>
    <row r="82" spans="1:4" ht="18" customHeight="1" x14ac:dyDescent="0.3">
      <c r="A82" s="2" t="s">
        <v>384</v>
      </c>
      <c r="B82" s="2" t="s">
        <v>269</v>
      </c>
      <c r="C82" s="2" t="s">
        <v>5064</v>
      </c>
      <c r="D82" s="2"/>
    </row>
    <row r="83" spans="1:4" ht="18" customHeight="1" x14ac:dyDescent="0.3">
      <c r="A83" s="2" t="s">
        <v>386</v>
      </c>
      <c r="B83" s="2" t="s">
        <v>269</v>
      </c>
      <c r="C83" s="2" t="s">
        <v>5064</v>
      </c>
      <c r="D83" s="2"/>
    </row>
    <row r="84" spans="1:4" ht="18" customHeight="1" x14ac:dyDescent="0.3">
      <c r="A84" s="2" t="s">
        <v>388</v>
      </c>
      <c r="B84" s="2" t="s">
        <v>269</v>
      </c>
      <c r="C84" s="2" t="s">
        <v>5064</v>
      </c>
      <c r="D84" s="2"/>
    </row>
    <row r="85" spans="1:4" ht="18" customHeight="1" x14ac:dyDescent="0.3">
      <c r="A85" s="2" t="s">
        <v>390</v>
      </c>
      <c r="B85" s="2" t="s">
        <v>269</v>
      </c>
      <c r="C85" s="2" t="s">
        <v>5064</v>
      </c>
      <c r="D85" s="2"/>
    </row>
    <row r="86" spans="1:4" ht="18" customHeight="1" x14ac:dyDescent="0.3">
      <c r="A86" s="2" t="s">
        <v>392</v>
      </c>
      <c r="B86" s="2" t="s">
        <v>269</v>
      </c>
      <c r="C86" s="2" t="s">
        <v>5064</v>
      </c>
      <c r="D86" s="2"/>
    </row>
    <row r="87" spans="1:4" ht="18" customHeight="1" x14ac:dyDescent="0.3">
      <c r="A87" s="2" t="s">
        <v>394</v>
      </c>
      <c r="B87" s="2" t="s">
        <v>269</v>
      </c>
      <c r="C87" s="2" t="s">
        <v>5064</v>
      </c>
      <c r="D87" s="2"/>
    </row>
    <row r="88" spans="1:4" ht="18" customHeight="1" x14ac:dyDescent="0.3">
      <c r="A88" s="2" t="s">
        <v>396</v>
      </c>
      <c r="B88" s="2" t="s">
        <v>269</v>
      </c>
      <c r="C88" s="2" t="s">
        <v>5064</v>
      </c>
      <c r="D88" s="2"/>
    </row>
    <row r="89" spans="1:4" ht="18" customHeight="1" x14ac:dyDescent="0.3">
      <c r="A89" s="2" t="s">
        <v>398</v>
      </c>
      <c r="B89" s="2" t="s">
        <v>269</v>
      </c>
      <c r="C89" s="2" t="s">
        <v>5064</v>
      </c>
      <c r="D89" s="2"/>
    </row>
    <row r="90" spans="1:4" ht="18" customHeight="1" x14ac:dyDescent="0.3">
      <c r="A90" s="2" t="s">
        <v>400</v>
      </c>
      <c r="B90" s="2" t="s">
        <v>269</v>
      </c>
      <c r="C90" s="2" t="s">
        <v>5064</v>
      </c>
      <c r="D90" s="2"/>
    </row>
    <row r="91" spans="1:4" ht="18" customHeight="1" x14ac:dyDescent="0.3">
      <c r="A91" s="2" t="s">
        <v>402</v>
      </c>
      <c r="B91" s="2" t="s">
        <v>269</v>
      </c>
      <c r="C91" s="2" t="s">
        <v>5064</v>
      </c>
      <c r="D91" s="2"/>
    </row>
    <row r="92" spans="1:4" ht="18" customHeight="1" x14ac:dyDescent="0.3">
      <c r="A92" s="2" t="s">
        <v>404</v>
      </c>
      <c r="B92" s="2" t="s">
        <v>269</v>
      </c>
      <c r="C92" s="2" t="s">
        <v>5064</v>
      </c>
      <c r="D92" s="2"/>
    </row>
    <row r="93" spans="1:4" ht="18" customHeight="1" x14ac:dyDescent="0.3">
      <c r="A93" s="2" t="s">
        <v>406</v>
      </c>
      <c r="B93" s="2" t="s">
        <v>269</v>
      </c>
      <c r="C93" s="2" t="s">
        <v>5064</v>
      </c>
      <c r="D93" s="2"/>
    </row>
    <row r="94" spans="1:4" ht="18" customHeight="1" x14ac:dyDescent="0.3">
      <c r="A94" s="2" t="s">
        <v>408</v>
      </c>
      <c r="B94" s="2" t="s">
        <v>269</v>
      </c>
      <c r="C94" s="2" t="s">
        <v>5064</v>
      </c>
      <c r="D94" s="2"/>
    </row>
    <row r="95" spans="1:4" ht="18" customHeight="1" x14ac:dyDescent="0.3">
      <c r="A95" s="2" t="s">
        <v>410</v>
      </c>
      <c r="B95" s="2" t="s">
        <v>269</v>
      </c>
      <c r="C95" s="2" t="s">
        <v>5064</v>
      </c>
      <c r="D95" s="2"/>
    </row>
    <row r="96" spans="1:4" ht="18" customHeight="1" x14ac:dyDescent="0.3">
      <c r="A96" s="2" t="s">
        <v>412</v>
      </c>
      <c r="B96" s="2" t="s">
        <v>269</v>
      </c>
      <c r="C96" s="2" t="s">
        <v>5064</v>
      </c>
      <c r="D96" s="2"/>
    </row>
    <row r="97" spans="1:4" ht="18" customHeight="1" x14ac:dyDescent="0.3">
      <c r="A97" s="2" t="s">
        <v>414</v>
      </c>
      <c r="B97" s="2" t="s">
        <v>269</v>
      </c>
      <c r="C97" s="2" t="s">
        <v>5064</v>
      </c>
      <c r="D97" s="2"/>
    </row>
    <row r="98" spans="1:4" ht="18" customHeight="1" x14ac:dyDescent="0.3">
      <c r="A98" s="2" t="s">
        <v>416</v>
      </c>
      <c r="B98" s="2" t="s">
        <v>269</v>
      </c>
      <c r="C98" s="2" t="s">
        <v>5064</v>
      </c>
      <c r="D98" s="2"/>
    </row>
    <row r="99" spans="1:4" ht="18" customHeight="1" x14ac:dyDescent="0.3">
      <c r="A99" s="2" t="s">
        <v>418</v>
      </c>
      <c r="B99" s="2" t="s">
        <v>269</v>
      </c>
      <c r="C99" s="2" t="s">
        <v>5064</v>
      </c>
      <c r="D99" s="2"/>
    </row>
    <row r="100" spans="1:4" ht="18" customHeight="1" x14ac:dyDescent="0.3">
      <c r="A100" s="2" t="s">
        <v>419</v>
      </c>
      <c r="B100" s="2" t="s">
        <v>269</v>
      </c>
      <c r="C100" s="2" t="s">
        <v>5064</v>
      </c>
      <c r="D100" s="2"/>
    </row>
    <row r="101" spans="1:4" ht="18" customHeight="1" x14ac:dyDescent="0.3">
      <c r="A101" s="2" t="s">
        <v>420</v>
      </c>
      <c r="B101" s="2" t="s">
        <v>269</v>
      </c>
      <c r="C101" s="2" t="s">
        <v>5064</v>
      </c>
      <c r="D101" s="2"/>
    </row>
    <row r="102" spans="1:4" ht="18" customHeight="1" x14ac:dyDescent="0.3">
      <c r="A102" s="2" t="s">
        <v>422</v>
      </c>
      <c r="B102" s="2" t="s">
        <v>269</v>
      </c>
      <c r="C102" s="2" t="s">
        <v>5064</v>
      </c>
      <c r="D102" s="2"/>
    </row>
    <row r="103" spans="1:4" ht="18" customHeight="1" x14ac:dyDescent="0.3">
      <c r="A103" s="2" t="s">
        <v>423</v>
      </c>
      <c r="B103" s="2" t="s">
        <v>269</v>
      </c>
      <c r="C103" s="2" t="s">
        <v>5064</v>
      </c>
      <c r="D103" s="2"/>
    </row>
    <row r="104" spans="1:4" ht="18" customHeight="1" x14ac:dyDescent="0.3">
      <c r="A104" s="2" t="s">
        <v>424</v>
      </c>
      <c r="B104" s="2" t="s">
        <v>269</v>
      </c>
      <c r="C104" s="2" t="s">
        <v>5064</v>
      </c>
      <c r="D104" s="2"/>
    </row>
    <row r="105" spans="1:4" ht="18" customHeight="1" x14ac:dyDescent="0.3">
      <c r="A105" s="2" t="s">
        <v>425</v>
      </c>
      <c r="B105" s="2" t="s">
        <v>269</v>
      </c>
      <c r="C105" s="2" t="s">
        <v>5064</v>
      </c>
      <c r="D105" s="2"/>
    </row>
    <row r="106" spans="1:4" ht="18" customHeight="1" x14ac:dyDescent="0.3">
      <c r="A106" s="2" t="s">
        <v>427</v>
      </c>
      <c r="B106" s="2" t="s">
        <v>269</v>
      </c>
      <c r="C106" s="2" t="s">
        <v>5064</v>
      </c>
      <c r="D106" s="2"/>
    </row>
    <row r="107" spans="1:4" ht="18" customHeight="1" x14ac:dyDescent="0.3">
      <c r="A107" s="2" t="s">
        <v>429</v>
      </c>
      <c r="B107" s="2" t="s">
        <v>269</v>
      </c>
      <c r="C107" s="2" t="s">
        <v>5064</v>
      </c>
      <c r="D107" s="2"/>
    </row>
    <row r="108" spans="1:4" ht="18" customHeight="1" x14ac:dyDescent="0.3">
      <c r="A108" s="2" t="s">
        <v>430</v>
      </c>
      <c r="B108" s="2" t="s">
        <v>269</v>
      </c>
      <c r="C108" s="2" t="s">
        <v>5064</v>
      </c>
      <c r="D108" s="2"/>
    </row>
    <row r="109" spans="1:4" ht="18" customHeight="1" x14ac:dyDescent="0.3">
      <c r="A109" s="2" t="s">
        <v>432</v>
      </c>
      <c r="B109" s="2" t="s">
        <v>269</v>
      </c>
      <c r="C109" s="2" t="s">
        <v>5064</v>
      </c>
      <c r="D109" s="2"/>
    </row>
    <row r="110" spans="1:4" ht="18" customHeight="1" x14ac:dyDescent="0.3">
      <c r="A110" s="2" t="s">
        <v>434</v>
      </c>
      <c r="B110" s="2" t="s">
        <v>269</v>
      </c>
      <c r="C110" s="2" t="s">
        <v>5064</v>
      </c>
      <c r="D110" s="2"/>
    </row>
    <row r="111" spans="1:4" ht="18" customHeight="1" x14ac:dyDescent="0.3">
      <c r="A111" s="2" t="s">
        <v>436</v>
      </c>
      <c r="B111" s="2" t="s">
        <v>269</v>
      </c>
      <c r="C111" s="2" t="s">
        <v>5064</v>
      </c>
      <c r="D111" s="2"/>
    </row>
    <row r="112" spans="1:4" ht="18" customHeight="1" x14ac:dyDescent="0.3">
      <c r="A112" s="2" t="s">
        <v>438</v>
      </c>
      <c r="B112" s="2" t="s">
        <v>269</v>
      </c>
      <c r="C112" s="2" t="s">
        <v>5064</v>
      </c>
      <c r="D112" s="2"/>
    </row>
    <row r="113" spans="1:4" ht="18" customHeight="1" x14ac:dyDescent="0.3">
      <c r="A113" s="2" t="s">
        <v>440</v>
      </c>
      <c r="B113" s="2" t="s">
        <v>269</v>
      </c>
      <c r="C113" s="2" t="s">
        <v>5064</v>
      </c>
      <c r="D113" s="2"/>
    </row>
    <row r="114" spans="1:4" ht="18" customHeight="1" x14ac:dyDescent="0.3">
      <c r="A114" s="2" t="s">
        <v>442</v>
      </c>
      <c r="B114" s="2" t="s">
        <v>269</v>
      </c>
      <c r="C114" s="2" t="s">
        <v>5064</v>
      </c>
      <c r="D114" s="2"/>
    </row>
    <row r="115" spans="1:4" ht="18" customHeight="1" x14ac:dyDescent="0.3">
      <c r="A115" s="2" t="s">
        <v>443</v>
      </c>
      <c r="B115" s="2" t="s">
        <v>269</v>
      </c>
      <c r="C115" s="2" t="s">
        <v>5064</v>
      </c>
      <c r="D115" s="2"/>
    </row>
    <row r="116" spans="1:4" ht="18" customHeight="1" x14ac:dyDescent="0.3">
      <c r="A116" s="2" t="s">
        <v>445</v>
      </c>
      <c r="B116" s="2" t="s">
        <v>269</v>
      </c>
      <c r="C116" s="2" t="s">
        <v>5064</v>
      </c>
      <c r="D116" s="2"/>
    </row>
    <row r="117" spans="1:4" ht="18" customHeight="1" x14ac:dyDescent="0.3">
      <c r="A117" s="2" t="s">
        <v>446</v>
      </c>
      <c r="B117" s="2" t="s">
        <v>269</v>
      </c>
      <c r="C117" s="2" t="s">
        <v>5064</v>
      </c>
      <c r="D117" s="2"/>
    </row>
    <row r="118" spans="1:4" ht="18" customHeight="1" x14ac:dyDescent="0.3">
      <c r="A118" s="2" t="s">
        <v>448</v>
      </c>
      <c r="B118" s="2" t="s">
        <v>269</v>
      </c>
      <c r="C118" s="2" t="s">
        <v>5064</v>
      </c>
      <c r="D118" s="2"/>
    </row>
    <row r="119" spans="1:4" ht="18" customHeight="1" x14ac:dyDescent="0.3">
      <c r="A119" s="2" t="s">
        <v>450</v>
      </c>
      <c r="B119" s="2" t="s">
        <v>269</v>
      </c>
      <c r="C119" s="2" t="s">
        <v>5064</v>
      </c>
      <c r="D119" s="2"/>
    </row>
    <row r="120" spans="1:4" ht="18" customHeight="1" x14ac:dyDescent="0.3">
      <c r="A120" s="2" t="s">
        <v>452</v>
      </c>
      <c r="B120" s="2" t="s">
        <v>269</v>
      </c>
      <c r="C120" s="2" t="s">
        <v>5064</v>
      </c>
      <c r="D120" s="2"/>
    </row>
    <row r="121" spans="1:4" ht="18" customHeight="1" x14ac:dyDescent="0.3">
      <c r="A121" s="2" t="s">
        <v>454</v>
      </c>
      <c r="B121" s="2" t="s">
        <v>269</v>
      </c>
      <c r="C121" s="2" t="s">
        <v>5064</v>
      </c>
      <c r="D121" s="2"/>
    </row>
    <row r="122" spans="1:4" ht="18" customHeight="1" x14ac:dyDescent="0.3">
      <c r="A122" s="2" t="s">
        <v>456</v>
      </c>
      <c r="B122" s="2" t="s">
        <v>269</v>
      </c>
      <c r="C122" s="2" t="s">
        <v>5064</v>
      </c>
      <c r="D122" s="2"/>
    </row>
    <row r="123" spans="1:4" ht="18" customHeight="1" x14ac:dyDescent="0.3">
      <c r="A123" s="2" t="s">
        <v>457</v>
      </c>
      <c r="B123" s="2" t="s">
        <v>269</v>
      </c>
      <c r="C123" s="2" t="s">
        <v>5064</v>
      </c>
      <c r="D123" s="2"/>
    </row>
    <row r="124" spans="1:4" ht="18" customHeight="1" x14ac:dyDescent="0.3">
      <c r="A124" s="2" t="s">
        <v>458</v>
      </c>
      <c r="B124" s="2" t="s">
        <v>269</v>
      </c>
      <c r="C124" s="2" t="s">
        <v>5064</v>
      </c>
      <c r="D124" s="2"/>
    </row>
    <row r="125" spans="1:4" ht="18" customHeight="1" x14ac:dyDescent="0.3">
      <c r="A125" s="2" t="s">
        <v>459</v>
      </c>
      <c r="B125" s="2" t="s">
        <v>269</v>
      </c>
      <c r="C125" s="2" t="s">
        <v>5064</v>
      </c>
      <c r="D125" s="2"/>
    </row>
    <row r="126" spans="1:4" ht="18" customHeight="1" x14ac:dyDescent="0.3">
      <c r="A126" s="2" t="s">
        <v>461</v>
      </c>
      <c r="B126" s="2" t="s">
        <v>269</v>
      </c>
      <c r="C126" s="2" t="s">
        <v>5064</v>
      </c>
      <c r="D126" s="2"/>
    </row>
    <row r="127" spans="1:4" ht="18" customHeight="1" x14ac:dyDescent="0.3">
      <c r="A127" s="2" t="s">
        <v>5382</v>
      </c>
      <c r="B127" s="2" t="s">
        <v>5067</v>
      </c>
      <c r="C127" s="2" t="s">
        <v>5067</v>
      </c>
      <c r="D127" s="2"/>
    </row>
    <row r="128" spans="1:4" ht="18" customHeight="1" x14ac:dyDescent="0.3">
      <c r="A128" s="2" t="s">
        <v>5383</v>
      </c>
      <c r="B128" s="2" t="s">
        <v>5067</v>
      </c>
      <c r="C128" s="2" t="s">
        <v>5067</v>
      </c>
      <c r="D128" s="2"/>
    </row>
    <row r="129" spans="1:4" ht="18" customHeight="1" x14ac:dyDescent="0.3">
      <c r="A129" s="2" t="s">
        <v>5384</v>
      </c>
      <c r="B129" s="2" t="s">
        <v>5067</v>
      </c>
      <c r="C129" s="2" t="s">
        <v>5067</v>
      </c>
      <c r="D129" s="2"/>
    </row>
    <row r="130" spans="1:4" ht="18" customHeight="1" x14ac:dyDescent="0.3">
      <c r="A130" s="2" t="s">
        <v>5385</v>
      </c>
      <c r="B130" s="2" t="s">
        <v>5067</v>
      </c>
      <c r="C130" s="2" t="s">
        <v>5067</v>
      </c>
      <c r="D130" s="2"/>
    </row>
    <row r="131" spans="1:4" ht="18" customHeight="1" x14ac:dyDescent="0.3">
      <c r="A131" s="2" t="s">
        <v>5386</v>
      </c>
      <c r="B131" s="2" t="s">
        <v>5067</v>
      </c>
      <c r="C131" s="2" t="s">
        <v>5067</v>
      </c>
      <c r="D131" s="2"/>
    </row>
    <row r="132" spans="1:4" ht="18" customHeight="1" x14ac:dyDescent="0.3">
      <c r="A132" s="2" t="s">
        <v>5387</v>
      </c>
      <c r="B132" s="2" t="s">
        <v>5067</v>
      </c>
      <c r="C132" s="2" t="s">
        <v>5067</v>
      </c>
      <c r="D132" s="2"/>
    </row>
    <row r="133" spans="1:4" ht="18" customHeight="1" x14ac:dyDescent="0.3">
      <c r="A133" s="2" t="s">
        <v>5388</v>
      </c>
      <c r="B133" s="2" t="s">
        <v>5067</v>
      </c>
      <c r="C133" s="2" t="s">
        <v>5067</v>
      </c>
      <c r="D133" s="2"/>
    </row>
    <row r="134" spans="1:4" ht="18" customHeight="1" x14ac:dyDescent="0.3">
      <c r="A134" s="2" t="s">
        <v>5389</v>
      </c>
      <c r="B134" s="2" t="s">
        <v>5067</v>
      </c>
      <c r="C134" s="2" t="s">
        <v>5067</v>
      </c>
      <c r="D134" s="2"/>
    </row>
    <row r="135" spans="1:4" ht="18" customHeight="1" x14ac:dyDescent="0.3">
      <c r="A135" s="2" t="s">
        <v>5390</v>
      </c>
      <c r="B135" s="2" t="s">
        <v>5067</v>
      </c>
      <c r="C135" s="2" t="s">
        <v>5067</v>
      </c>
      <c r="D135" s="2"/>
    </row>
    <row r="136" spans="1:4" ht="18" customHeight="1" x14ac:dyDescent="0.3">
      <c r="A136" s="2" t="s">
        <v>5391</v>
      </c>
      <c r="B136" s="2" t="s">
        <v>5067</v>
      </c>
      <c r="C136" s="2" t="s">
        <v>5067</v>
      </c>
      <c r="D136" s="2"/>
    </row>
    <row r="137" spans="1:4" ht="18" customHeight="1" x14ac:dyDescent="0.3">
      <c r="A137" s="2" t="s">
        <v>5392</v>
      </c>
      <c r="B137" s="2" t="s">
        <v>5067</v>
      </c>
      <c r="C137" s="2" t="s">
        <v>5067</v>
      </c>
      <c r="D137" s="2"/>
    </row>
    <row r="138" spans="1:4" ht="18" customHeight="1" x14ac:dyDescent="0.3">
      <c r="A138" s="2" t="s">
        <v>5393</v>
      </c>
      <c r="B138" s="2" t="s">
        <v>5067</v>
      </c>
      <c r="C138" s="2" t="s">
        <v>5067</v>
      </c>
      <c r="D138" s="2"/>
    </row>
    <row r="139" spans="1:4" ht="18" customHeight="1" x14ac:dyDescent="0.3">
      <c r="A139" s="2" t="s">
        <v>5394</v>
      </c>
      <c r="B139" s="2" t="s">
        <v>5067</v>
      </c>
      <c r="C139" s="2" t="s">
        <v>5067</v>
      </c>
      <c r="D139" s="2"/>
    </row>
    <row r="140" spans="1:4" ht="18" customHeight="1" x14ac:dyDescent="0.3">
      <c r="A140" s="2" t="s">
        <v>5395</v>
      </c>
      <c r="B140" s="2" t="s">
        <v>5067</v>
      </c>
      <c r="C140" s="2" t="s">
        <v>5067</v>
      </c>
      <c r="D140" s="2"/>
    </row>
    <row r="141" spans="1:4" ht="18" customHeight="1" x14ac:dyDescent="0.3">
      <c r="A141" s="2" t="s">
        <v>5396</v>
      </c>
      <c r="B141" s="2" t="s">
        <v>5070</v>
      </c>
      <c r="C141" s="2" t="s">
        <v>5070</v>
      </c>
      <c r="D141" s="2"/>
    </row>
    <row r="142" spans="1:4" ht="18" customHeight="1" x14ac:dyDescent="0.3">
      <c r="A142" s="2" t="s">
        <v>5397</v>
      </c>
      <c r="B142" s="2" t="s">
        <v>5070</v>
      </c>
      <c r="C142" s="2" t="s">
        <v>5070</v>
      </c>
      <c r="D142" s="2"/>
    </row>
    <row r="143" spans="1:4" ht="18" customHeight="1" x14ac:dyDescent="0.3">
      <c r="A143" s="2" t="s">
        <v>5398</v>
      </c>
      <c r="B143" s="2" t="s">
        <v>5070</v>
      </c>
      <c r="C143" s="2" t="s">
        <v>5070</v>
      </c>
      <c r="D143" s="2"/>
    </row>
    <row r="144" spans="1:4" ht="18" customHeight="1" x14ac:dyDescent="0.3">
      <c r="A144" s="2" t="s">
        <v>5399</v>
      </c>
      <c r="B144" s="2" t="s">
        <v>5070</v>
      </c>
      <c r="C144" s="2" t="s">
        <v>5070</v>
      </c>
      <c r="D144" s="2"/>
    </row>
    <row r="145" spans="1:4" ht="18" customHeight="1" x14ac:dyDescent="0.3">
      <c r="A145" s="2" t="s">
        <v>5400</v>
      </c>
      <c r="B145" s="2" t="s">
        <v>5118</v>
      </c>
      <c r="C145" s="2" t="s">
        <v>5066</v>
      </c>
      <c r="D145" s="2"/>
    </row>
    <row r="146" spans="1:4" ht="18" customHeight="1" x14ac:dyDescent="0.3">
      <c r="A146" s="2" t="s">
        <v>5401</v>
      </c>
      <c r="B146" s="2" t="s">
        <v>5118</v>
      </c>
      <c r="C146" s="2" t="s">
        <v>5066</v>
      </c>
      <c r="D146" s="2"/>
    </row>
    <row r="147" spans="1:4" ht="18" customHeight="1" x14ac:dyDescent="0.3">
      <c r="A147" s="2" t="s">
        <v>5402</v>
      </c>
      <c r="B147" s="2" t="s">
        <v>5118</v>
      </c>
      <c r="C147" s="2" t="s">
        <v>5066</v>
      </c>
      <c r="D147" s="2"/>
    </row>
    <row r="148" spans="1:4" ht="18" customHeight="1" x14ac:dyDescent="0.3">
      <c r="A148" s="2" t="s">
        <v>5403</v>
      </c>
      <c r="B148" s="2" t="s">
        <v>5118</v>
      </c>
      <c r="C148" s="2" t="s">
        <v>5066</v>
      </c>
      <c r="D148" s="2"/>
    </row>
    <row r="149" spans="1:4" ht="18" customHeight="1" x14ac:dyDescent="0.3">
      <c r="A149" s="2" t="s">
        <v>5404</v>
      </c>
      <c r="B149" s="2" t="s">
        <v>5118</v>
      </c>
      <c r="C149" s="2" t="s">
        <v>5066</v>
      </c>
      <c r="D149" s="2"/>
    </row>
    <row r="150" spans="1:4" ht="18" customHeight="1" x14ac:dyDescent="0.3">
      <c r="A150" s="2" t="s">
        <v>5405</v>
      </c>
      <c r="B150" s="2" t="s">
        <v>5065</v>
      </c>
      <c r="C150" s="2" t="s">
        <v>5406</v>
      </c>
      <c r="D150" s="2"/>
    </row>
    <row r="151" spans="1:4" ht="18" customHeight="1" x14ac:dyDescent="0.3">
      <c r="A151" s="2" t="s">
        <v>5407</v>
      </c>
      <c r="B151" s="2" t="s">
        <v>5065</v>
      </c>
      <c r="C151" s="2" t="s">
        <v>5406</v>
      </c>
      <c r="D151" s="2"/>
    </row>
    <row r="152" spans="1:4" ht="18" customHeight="1" x14ac:dyDescent="0.3">
      <c r="A152" s="2" t="s">
        <v>5408</v>
      </c>
      <c r="B152" s="2" t="s">
        <v>5065</v>
      </c>
      <c r="C152" s="2" t="s">
        <v>5406</v>
      </c>
      <c r="D152" s="2"/>
    </row>
    <row r="153" spans="1:4" ht="18" customHeight="1" x14ac:dyDescent="0.3">
      <c r="A153" s="2" t="s">
        <v>5409</v>
      </c>
      <c r="B153" s="2" t="s">
        <v>5065</v>
      </c>
      <c r="C153" s="2" t="s">
        <v>5406</v>
      </c>
      <c r="D153" s="2"/>
    </row>
    <row r="154" spans="1:4" ht="18" customHeight="1" x14ac:dyDescent="0.3">
      <c r="A154" s="2" t="s">
        <v>5410</v>
      </c>
      <c r="B154" s="2" t="s">
        <v>5065</v>
      </c>
      <c r="C154" s="2" t="s">
        <v>5406</v>
      </c>
      <c r="D154" s="2"/>
    </row>
    <row r="155" spans="1:4" x14ac:dyDescent="0.3">
      <c r="A155" s="2" t="s">
        <v>5411</v>
      </c>
      <c r="B155" s="2" t="s">
        <v>5065</v>
      </c>
      <c r="C155" s="2" t="s">
        <v>5412</v>
      </c>
      <c r="D155" s="2"/>
    </row>
    <row r="156" spans="1:4" x14ac:dyDescent="0.3">
      <c r="A156" s="2" t="s">
        <v>5413</v>
      </c>
      <c r="B156" s="2" t="s">
        <v>5065</v>
      </c>
      <c r="C156" s="2" t="s">
        <v>5412</v>
      </c>
      <c r="D156" s="2"/>
    </row>
    <row r="157" spans="1:4" x14ac:dyDescent="0.3">
      <c r="A157" s="2" t="s">
        <v>5414</v>
      </c>
      <c r="B157" s="2" t="s">
        <v>5065</v>
      </c>
      <c r="C157" s="2" t="s">
        <v>5412</v>
      </c>
      <c r="D157" s="2"/>
    </row>
    <row r="158" spans="1:4" x14ac:dyDescent="0.3">
      <c r="A158" s="2" t="s">
        <v>5415</v>
      </c>
      <c r="B158" s="2" t="s">
        <v>5065</v>
      </c>
      <c r="C158" s="2" t="s">
        <v>5406</v>
      </c>
      <c r="D158" s="2"/>
    </row>
    <row r="159" spans="1:4" x14ac:dyDescent="0.3">
      <c r="A159" s="2" t="s">
        <v>5416</v>
      </c>
      <c r="B159" s="2" t="s">
        <v>5065</v>
      </c>
      <c r="C159" s="2" t="s">
        <v>5406</v>
      </c>
      <c r="D159" s="2"/>
    </row>
    <row r="160" spans="1:4" x14ac:dyDescent="0.3">
      <c r="A160" s="2" t="s">
        <v>5417</v>
      </c>
      <c r="B160" s="2" t="s">
        <v>5073</v>
      </c>
      <c r="C160" s="2" t="s">
        <v>5073</v>
      </c>
      <c r="D160" s="2"/>
    </row>
    <row r="161" spans="1:4" x14ac:dyDescent="0.3">
      <c r="A161" s="2" t="s">
        <v>5418</v>
      </c>
      <c r="B161" s="2" t="s">
        <v>5251</v>
      </c>
      <c r="C161" s="2" t="s">
        <v>5251</v>
      </c>
      <c r="D161" s="2"/>
    </row>
    <row r="162" spans="1:4" x14ac:dyDescent="0.3">
      <c r="A162" s="2" t="s">
        <v>5419</v>
      </c>
      <c r="B162" s="2" t="s">
        <v>5251</v>
      </c>
      <c r="C162" s="2" t="s">
        <v>5251</v>
      </c>
      <c r="D162" s="2"/>
    </row>
    <row r="163" spans="1:4" x14ac:dyDescent="0.3">
      <c r="A163" s="2" t="s">
        <v>5420</v>
      </c>
      <c r="B163" s="2" t="s">
        <v>5063</v>
      </c>
      <c r="C163" s="2" t="s">
        <v>5225</v>
      </c>
      <c r="D163" s="2"/>
    </row>
    <row r="164" spans="1:4" x14ac:dyDescent="0.3">
      <c r="A164" s="2" t="s">
        <v>5421</v>
      </c>
      <c r="B164" s="2" t="s">
        <v>5063</v>
      </c>
      <c r="C164" s="2" t="s">
        <v>5225</v>
      </c>
      <c r="D164" s="2"/>
    </row>
    <row r="165" spans="1:4" x14ac:dyDescent="0.3">
      <c r="A165" s="2" t="s">
        <v>5422</v>
      </c>
      <c r="B165" s="2" t="s">
        <v>5063</v>
      </c>
      <c r="C165" s="2" t="s">
        <v>5225</v>
      </c>
      <c r="D165" s="2"/>
    </row>
    <row r="166" spans="1:4" x14ac:dyDescent="0.3">
      <c r="A166" s="2" t="s">
        <v>5423</v>
      </c>
      <c r="B166" s="2" t="s">
        <v>5063</v>
      </c>
      <c r="C166" s="2" t="s">
        <v>5225</v>
      </c>
      <c r="D166" s="2"/>
    </row>
    <row r="167" spans="1:4" x14ac:dyDescent="0.3">
      <c r="A167" s="2" t="s">
        <v>5424</v>
      </c>
      <c r="B167" s="2" t="s">
        <v>5063</v>
      </c>
      <c r="C167" s="2" t="s">
        <v>5225</v>
      </c>
      <c r="D167" s="2"/>
    </row>
    <row r="168" spans="1:4" x14ac:dyDescent="0.3">
      <c r="A168" s="2" t="s">
        <v>5425</v>
      </c>
      <c r="B168" s="2" t="s">
        <v>5063</v>
      </c>
      <c r="C168" s="2" t="s">
        <v>5225</v>
      </c>
      <c r="D168" s="2"/>
    </row>
    <row r="169" spans="1:4" x14ac:dyDescent="0.3">
      <c r="A169" s="2" t="s">
        <v>5426</v>
      </c>
      <c r="B169" s="2" t="s">
        <v>5063</v>
      </c>
      <c r="C169" s="2" t="s">
        <v>5225</v>
      </c>
      <c r="D169" s="2"/>
    </row>
    <row r="170" spans="1:4" x14ac:dyDescent="0.3">
      <c r="A170" s="2" t="s">
        <v>5427</v>
      </c>
      <c r="B170" s="2" t="s">
        <v>5063</v>
      </c>
      <c r="C170" s="2" t="s">
        <v>5225</v>
      </c>
      <c r="D170" s="2"/>
    </row>
    <row r="171" spans="1:4" x14ac:dyDescent="0.3">
      <c r="A171" s="2" t="s">
        <v>5428</v>
      </c>
      <c r="B171" s="2" t="s">
        <v>5069</v>
      </c>
      <c r="C171" s="2" t="s">
        <v>5429</v>
      </c>
      <c r="D171" s="2"/>
    </row>
    <row r="172" spans="1:4" x14ac:dyDescent="0.3">
      <c r="A172" s="2" t="s">
        <v>5430</v>
      </c>
      <c r="B172" s="2" t="s">
        <v>5068</v>
      </c>
      <c r="C172" s="2" t="s">
        <v>5431</v>
      </c>
      <c r="D172" s="2"/>
    </row>
  </sheetData>
  <mergeCells count="2">
    <mergeCell ref="A1:D1"/>
    <mergeCell ref="F6:G6"/>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230"/>
  <sheetViews>
    <sheetView workbookViewId="0">
      <selection sqref="A1:D1"/>
    </sheetView>
  </sheetViews>
  <sheetFormatPr defaultColWidth="8.6640625" defaultRowHeight="14.4" x14ac:dyDescent="0.3"/>
  <cols>
    <col min="1" max="1" width="32.5546875" bestFit="1" customWidth="1"/>
    <col min="2" max="2" width="54.5546875" customWidth="1"/>
    <col min="3" max="3" width="60" customWidth="1"/>
    <col min="4" max="4" width="40.5546875" customWidth="1"/>
    <col min="8" max="8" width="27.109375" customWidth="1"/>
    <col min="9" max="9" width="29" customWidth="1"/>
    <col min="10" max="10" width="34.109375" bestFit="1" customWidth="1"/>
    <col min="11" max="11" width="73.33203125" bestFit="1" customWidth="1"/>
  </cols>
  <sheetData>
    <row r="1" spans="1:9" ht="19.2" customHeight="1" x14ac:dyDescent="0.3">
      <c r="A1" s="29" t="s">
        <v>5058</v>
      </c>
      <c r="B1" s="30"/>
      <c r="C1" s="30"/>
      <c r="D1" s="30"/>
    </row>
    <row r="2" spans="1:9" ht="30" customHeight="1" x14ac:dyDescent="0.3">
      <c r="A2" s="1" t="s">
        <v>1</v>
      </c>
      <c r="B2" s="1" t="s">
        <v>2</v>
      </c>
      <c r="C2" s="1" t="s">
        <v>5059</v>
      </c>
      <c r="D2" s="1" t="s">
        <v>5060</v>
      </c>
    </row>
    <row r="3" spans="1:9" ht="18" customHeight="1" x14ac:dyDescent="0.3">
      <c r="A3" s="2" t="s">
        <v>5432</v>
      </c>
      <c r="B3" s="2" t="s">
        <v>7</v>
      </c>
      <c r="C3" s="2" t="s">
        <v>5061</v>
      </c>
      <c r="D3" s="2"/>
    </row>
    <row r="4" spans="1:9" ht="18" customHeight="1" x14ac:dyDescent="0.3">
      <c r="A4" s="2" t="s">
        <v>5433</v>
      </c>
      <c r="B4" s="2" t="s">
        <v>7</v>
      </c>
      <c r="C4" s="2" t="s">
        <v>5061</v>
      </c>
      <c r="D4" s="2"/>
    </row>
    <row r="5" spans="1:9" ht="18" customHeight="1" x14ac:dyDescent="0.3">
      <c r="A5" s="2" t="s">
        <v>5434</v>
      </c>
      <c r="B5" s="2" t="s">
        <v>7</v>
      </c>
      <c r="C5" s="2" t="s">
        <v>5061</v>
      </c>
      <c r="D5" s="2"/>
    </row>
    <row r="6" spans="1:9" ht="18" customHeight="1" x14ac:dyDescent="0.3">
      <c r="A6" s="2" t="s">
        <v>5435</v>
      </c>
      <c r="B6" s="2" t="s">
        <v>7</v>
      </c>
      <c r="C6" s="2" t="s">
        <v>5061</v>
      </c>
      <c r="D6" s="2"/>
      <c r="H6" s="34" t="s">
        <v>5062</v>
      </c>
      <c r="I6" s="35"/>
    </row>
    <row r="7" spans="1:9" ht="18" customHeight="1" x14ac:dyDescent="0.3">
      <c r="A7" s="2" t="s">
        <v>5436</v>
      </c>
      <c r="B7" s="2" t="s">
        <v>7</v>
      </c>
      <c r="C7" s="2" t="s">
        <v>5061</v>
      </c>
      <c r="D7" s="2"/>
      <c r="H7" s="3" t="s">
        <v>7</v>
      </c>
      <c r="I7" s="4">
        <f>COUNTIF(B:B,"AHU")</f>
        <v>37</v>
      </c>
    </row>
    <row r="8" spans="1:9" ht="18" customHeight="1" x14ac:dyDescent="0.3">
      <c r="A8" s="2" t="s">
        <v>5437</v>
      </c>
      <c r="B8" s="2" t="s">
        <v>7</v>
      </c>
      <c r="C8" s="2" t="s">
        <v>5061</v>
      </c>
      <c r="D8" s="2"/>
      <c r="H8" s="8" t="s">
        <v>5438</v>
      </c>
      <c r="I8" s="4">
        <f>COUNTIF(B:B,"ERU")</f>
        <v>11</v>
      </c>
    </row>
    <row r="9" spans="1:9" ht="18" customHeight="1" x14ac:dyDescent="0.3">
      <c r="A9" s="2" t="s">
        <v>5439</v>
      </c>
      <c r="B9" s="2" t="s">
        <v>7</v>
      </c>
      <c r="C9" s="2" t="s">
        <v>5061</v>
      </c>
      <c r="D9" s="2"/>
      <c r="H9" s="3" t="s">
        <v>48</v>
      </c>
      <c r="I9" s="4">
        <f>COUNTIF(B:B,"FCU")</f>
        <v>135</v>
      </c>
    </row>
    <row r="10" spans="1:9" ht="18" customHeight="1" x14ac:dyDescent="0.3">
      <c r="A10" s="2" t="s">
        <v>5440</v>
      </c>
      <c r="B10" s="2" t="s">
        <v>7</v>
      </c>
      <c r="C10" s="2" t="s">
        <v>5061</v>
      </c>
      <c r="D10" s="2"/>
      <c r="H10" s="3" t="s">
        <v>5063</v>
      </c>
      <c r="I10" s="4">
        <f>COUNTIF(B:B,"CHW Pump")</f>
        <v>9</v>
      </c>
    </row>
    <row r="11" spans="1:9" ht="18" customHeight="1" x14ac:dyDescent="0.3">
      <c r="A11" s="2" t="s">
        <v>5441</v>
      </c>
      <c r="B11" s="2" t="s">
        <v>7</v>
      </c>
      <c r="C11" s="2" t="s">
        <v>5061</v>
      </c>
      <c r="D11" s="2"/>
      <c r="H11" s="3" t="s">
        <v>5064</v>
      </c>
      <c r="I11" s="4">
        <f>COUNTIF(B:B,"VAV")</f>
        <v>739</v>
      </c>
    </row>
    <row r="12" spans="1:9" ht="18" customHeight="1" x14ac:dyDescent="0.3">
      <c r="A12" s="2" t="s">
        <v>5442</v>
      </c>
      <c r="B12" s="2" t="s">
        <v>7</v>
      </c>
      <c r="C12" s="2" t="s">
        <v>5061</v>
      </c>
      <c r="D12" s="2"/>
      <c r="H12" s="3" t="s">
        <v>5248</v>
      </c>
      <c r="I12" s="4">
        <f>COUNTIF(B:B,"CAV")</f>
        <v>78</v>
      </c>
    </row>
    <row r="13" spans="1:9" ht="18" customHeight="1" x14ac:dyDescent="0.3">
      <c r="A13" s="2" t="s">
        <v>5443</v>
      </c>
      <c r="B13" s="2" t="s">
        <v>7</v>
      </c>
      <c r="C13" s="2" t="s">
        <v>5061</v>
      </c>
      <c r="D13" s="2"/>
      <c r="H13" s="3" t="s">
        <v>3912</v>
      </c>
      <c r="I13" s="4">
        <f>COUNTIF(B:B,"FEV")</f>
        <v>76</v>
      </c>
    </row>
    <row r="14" spans="1:9" ht="18" customHeight="1" x14ac:dyDescent="0.3">
      <c r="A14" s="2" t="s">
        <v>5444</v>
      </c>
      <c r="B14" s="2" t="s">
        <v>5438</v>
      </c>
      <c r="C14" s="2" t="s">
        <v>5438</v>
      </c>
      <c r="D14" s="2"/>
      <c r="H14" s="3" t="s">
        <v>3910</v>
      </c>
      <c r="I14" s="4">
        <f>COUNTIF(B:B,"VEV")</f>
        <v>44</v>
      </c>
    </row>
    <row r="15" spans="1:9" x14ac:dyDescent="0.3">
      <c r="A15" s="2" t="s">
        <v>5445</v>
      </c>
      <c r="B15" s="2" t="s">
        <v>5438</v>
      </c>
      <c r="C15" s="2" t="s">
        <v>5438</v>
      </c>
      <c r="D15" s="2"/>
      <c r="H15" s="3" t="s">
        <v>5446</v>
      </c>
      <c r="I15" s="4">
        <f>COUNTIF(B:B,"EAV")</f>
        <v>51</v>
      </c>
    </row>
    <row r="16" spans="1:9" ht="18" customHeight="1" x14ac:dyDescent="0.3">
      <c r="A16" s="2" t="s">
        <v>5447</v>
      </c>
      <c r="B16" s="2" t="s">
        <v>5438</v>
      </c>
      <c r="C16" s="2" t="s">
        <v>5438</v>
      </c>
      <c r="D16" s="2"/>
      <c r="H16" s="3" t="s">
        <v>5066</v>
      </c>
      <c r="I16" s="4">
        <f>COUNTIF(B:B,"HEX")</f>
        <v>7</v>
      </c>
    </row>
    <row r="17" spans="1:11" ht="18" customHeight="1" x14ac:dyDescent="0.3">
      <c r="A17" s="2" t="s">
        <v>5448</v>
      </c>
      <c r="B17" s="2" t="s">
        <v>5438</v>
      </c>
      <c r="C17" s="2" t="s">
        <v>5438</v>
      </c>
      <c r="D17" s="2"/>
      <c r="H17" s="3" t="s">
        <v>5068</v>
      </c>
      <c r="I17" s="4">
        <f>COUNTIF(B:B,"EF")</f>
        <v>38</v>
      </c>
    </row>
    <row r="18" spans="1:11" ht="18" customHeight="1" x14ac:dyDescent="0.3">
      <c r="A18" s="2" t="s">
        <v>5449</v>
      </c>
      <c r="B18" s="2" t="s">
        <v>5438</v>
      </c>
      <c r="C18" s="2" t="s">
        <v>5438</v>
      </c>
      <c r="D18" s="2"/>
      <c r="H18" s="3" t="s">
        <v>5073</v>
      </c>
      <c r="I18" s="4">
        <f>COUNTIF(B:B,"Generator")</f>
        <v>3</v>
      </c>
    </row>
    <row r="19" spans="1:11" ht="18" customHeight="1" x14ac:dyDescent="0.3">
      <c r="A19" s="2" t="s">
        <v>5450</v>
      </c>
      <c r="B19" s="2" t="s">
        <v>5438</v>
      </c>
      <c r="C19" s="2" t="s">
        <v>5438</v>
      </c>
      <c r="D19" s="2"/>
      <c r="H19" s="5" t="s">
        <v>5074</v>
      </c>
      <c r="I19" s="5">
        <f>SUM(I7:I18)</f>
        <v>1228</v>
      </c>
    </row>
    <row r="20" spans="1:11" ht="18" customHeight="1" x14ac:dyDescent="0.3">
      <c r="A20" s="2" t="s">
        <v>5451</v>
      </c>
      <c r="B20" s="2" t="s">
        <v>5438</v>
      </c>
      <c r="C20" s="2" t="s">
        <v>5438</v>
      </c>
      <c r="D20" s="2"/>
    </row>
    <row r="21" spans="1:11" ht="18" customHeight="1" x14ac:dyDescent="0.3">
      <c r="A21" s="2" t="s">
        <v>5452</v>
      </c>
      <c r="B21" s="2" t="s">
        <v>5438</v>
      </c>
      <c r="C21" s="2" t="s">
        <v>5438</v>
      </c>
      <c r="D21" s="2"/>
    </row>
    <row r="22" spans="1:11" ht="18" customHeight="1" x14ac:dyDescent="0.3">
      <c r="A22" s="2" t="s">
        <v>5453</v>
      </c>
      <c r="B22" s="2" t="s">
        <v>5438</v>
      </c>
      <c r="C22" s="2" t="s">
        <v>5438</v>
      </c>
      <c r="D22" s="2"/>
    </row>
    <row r="23" spans="1:11" ht="18" customHeight="1" x14ac:dyDescent="0.3">
      <c r="A23" s="2" t="s">
        <v>5454</v>
      </c>
      <c r="B23" s="2" t="s">
        <v>5438</v>
      </c>
      <c r="C23" s="2" t="s">
        <v>5438</v>
      </c>
      <c r="D23" s="2"/>
    </row>
    <row r="24" spans="1:11" ht="18" customHeight="1" x14ac:dyDescent="0.3">
      <c r="A24" s="2" t="s">
        <v>5455</v>
      </c>
      <c r="B24" s="2" t="s">
        <v>5438</v>
      </c>
      <c r="C24" s="2" t="s">
        <v>5438</v>
      </c>
      <c r="D24" s="2"/>
    </row>
    <row r="25" spans="1:11" ht="18" customHeight="1" x14ac:dyDescent="0.3">
      <c r="A25" s="2" t="s">
        <v>5456</v>
      </c>
      <c r="B25" s="2" t="s">
        <v>7</v>
      </c>
      <c r="C25" s="2" t="s">
        <v>5061</v>
      </c>
      <c r="D25" s="2"/>
    </row>
    <row r="26" spans="1:11" ht="18" customHeight="1" x14ac:dyDescent="0.3">
      <c r="A26" s="2" t="s">
        <v>5457</v>
      </c>
      <c r="B26" s="2" t="s">
        <v>7</v>
      </c>
      <c r="C26" s="2" t="s">
        <v>5061</v>
      </c>
      <c r="D26" s="2"/>
    </row>
    <row r="27" spans="1:11" ht="18" customHeight="1" x14ac:dyDescent="0.3">
      <c r="A27" s="2" t="s">
        <v>5458</v>
      </c>
      <c r="B27" s="2" t="s">
        <v>7</v>
      </c>
      <c r="C27" s="2" t="s">
        <v>5061</v>
      </c>
      <c r="D27" s="2"/>
    </row>
    <row r="28" spans="1:11" ht="18" customHeight="1" x14ac:dyDescent="0.3">
      <c r="A28" s="2" t="s">
        <v>5459</v>
      </c>
      <c r="B28" s="2" t="s">
        <v>7</v>
      </c>
      <c r="C28" s="2" t="s">
        <v>5061</v>
      </c>
      <c r="D28" s="2"/>
    </row>
    <row r="29" spans="1:11" ht="18" customHeight="1" x14ac:dyDescent="0.3">
      <c r="A29" s="2" t="s">
        <v>5460</v>
      </c>
      <c r="B29" s="2" t="s">
        <v>7</v>
      </c>
      <c r="C29" s="2" t="s">
        <v>5061</v>
      </c>
      <c r="D29" s="2"/>
      <c r="H29" s="6" t="s">
        <v>5075</v>
      </c>
      <c r="I29" s="6" t="s">
        <v>5076</v>
      </c>
      <c r="J29" s="6" t="s">
        <v>5077</v>
      </c>
      <c r="K29" s="6" t="s">
        <v>5078</v>
      </c>
    </row>
    <row r="30" spans="1:11" ht="18" customHeight="1" x14ac:dyDescent="0.3">
      <c r="A30" s="2" t="s">
        <v>5461</v>
      </c>
      <c r="B30" s="2" t="s">
        <v>7</v>
      </c>
      <c r="C30" s="2" t="s">
        <v>5061</v>
      </c>
      <c r="D30" s="2"/>
      <c r="H30" s="2">
        <v>1</v>
      </c>
      <c r="I30" s="2" t="s">
        <v>5065</v>
      </c>
      <c r="J30" s="2" t="s">
        <v>5462</v>
      </c>
      <c r="K30" s="2" t="s">
        <v>5463</v>
      </c>
    </row>
    <row r="31" spans="1:11" ht="18" customHeight="1" x14ac:dyDescent="0.3">
      <c r="A31" s="2" t="s">
        <v>5464</v>
      </c>
      <c r="B31" s="2" t="s">
        <v>7</v>
      </c>
      <c r="C31" s="2" t="s">
        <v>5061</v>
      </c>
      <c r="D31" s="2"/>
      <c r="H31" s="2">
        <v>2</v>
      </c>
      <c r="I31" s="2" t="s">
        <v>5065</v>
      </c>
      <c r="J31" s="2" t="s">
        <v>5465</v>
      </c>
      <c r="K31" s="2" t="s">
        <v>5466</v>
      </c>
    </row>
    <row r="32" spans="1:11" ht="18" customHeight="1" x14ac:dyDescent="0.3">
      <c r="A32" s="2" t="s">
        <v>5467</v>
      </c>
      <c r="B32" s="2" t="s">
        <v>7</v>
      </c>
      <c r="C32" s="2" t="s">
        <v>5061</v>
      </c>
      <c r="D32" s="2"/>
      <c r="H32" s="2">
        <v>3</v>
      </c>
      <c r="I32" s="2" t="s">
        <v>5065</v>
      </c>
      <c r="J32" s="2" t="s">
        <v>5468</v>
      </c>
      <c r="K32" s="2" t="s">
        <v>5469</v>
      </c>
    </row>
    <row r="33" spans="1:11" ht="18" customHeight="1" x14ac:dyDescent="0.3">
      <c r="A33" s="2" t="s">
        <v>5470</v>
      </c>
      <c r="B33" s="2" t="s">
        <v>7</v>
      </c>
      <c r="C33" s="2" t="s">
        <v>5061</v>
      </c>
      <c r="D33" s="2"/>
      <c r="H33" s="2">
        <v>4</v>
      </c>
      <c r="I33" s="2" t="s">
        <v>5065</v>
      </c>
      <c r="J33" s="2" t="s">
        <v>5471</v>
      </c>
      <c r="K33" s="2" t="s">
        <v>5472</v>
      </c>
    </row>
    <row r="34" spans="1:11" ht="18" customHeight="1" x14ac:dyDescent="0.3">
      <c r="A34" s="2" t="s">
        <v>5473</v>
      </c>
      <c r="B34" s="2" t="s">
        <v>7</v>
      </c>
      <c r="C34" s="2" t="s">
        <v>5061</v>
      </c>
      <c r="D34" s="2"/>
      <c r="H34" s="2">
        <v>5</v>
      </c>
      <c r="I34" s="2" t="s">
        <v>5065</v>
      </c>
      <c r="J34" s="2" t="s">
        <v>5474</v>
      </c>
      <c r="K34" s="2" t="s">
        <v>5475</v>
      </c>
    </row>
    <row r="35" spans="1:11" ht="18" customHeight="1" x14ac:dyDescent="0.3">
      <c r="A35" s="2" t="s">
        <v>5476</v>
      </c>
      <c r="B35" s="2" t="s">
        <v>7</v>
      </c>
      <c r="C35" s="2" t="s">
        <v>5061</v>
      </c>
      <c r="D35" s="2"/>
      <c r="H35" s="2">
        <v>6</v>
      </c>
      <c r="I35" s="2" t="s">
        <v>5065</v>
      </c>
      <c r="J35" s="2" t="s">
        <v>5477</v>
      </c>
      <c r="K35" s="2" t="s">
        <v>5478</v>
      </c>
    </row>
    <row r="36" spans="1:11" ht="18" customHeight="1" x14ac:dyDescent="0.3">
      <c r="A36" s="2" t="s">
        <v>5479</v>
      </c>
      <c r="B36" s="2" t="s">
        <v>7</v>
      </c>
      <c r="C36" s="2" t="s">
        <v>5061</v>
      </c>
      <c r="D36" s="2"/>
      <c r="H36" s="2">
        <v>7</v>
      </c>
      <c r="I36" s="2" t="s">
        <v>5065</v>
      </c>
      <c r="J36" s="2" t="s">
        <v>5480</v>
      </c>
      <c r="K36" s="2" t="s">
        <v>5481</v>
      </c>
    </row>
    <row r="37" spans="1:11" ht="18" customHeight="1" x14ac:dyDescent="0.3">
      <c r="A37" s="2" t="s">
        <v>5482</v>
      </c>
      <c r="B37" s="2" t="s">
        <v>7</v>
      </c>
      <c r="C37" s="2" t="s">
        <v>5061</v>
      </c>
      <c r="D37" s="2"/>
      <c r="H37" s="2">
        <v>8</v>
      </c>
      <c r="I37" s="2" t="s">
        <v>5068</v>
      </c>
      <c r="J37" s="2" t="s">
        <v>5483</v>
      </c>
      <c r="K37" s="2" t="s">
        <v>5484</v>
      </c>
    </row>
    <row r="38" spans="1:11" ht="18" customHeight="1" x14ac:dyDescent="0.3">
      <c r="A38" s="2" t="s">
        <v>5485</v>
      </c>
      <c r="B38" s="2" t="s">
        <v>7</v>
      </c>
      <c r="C38" s="2" t="s">
        <v>5061</v>
      </c>
      <c r="D38" s="2"/>
      <c r="H38" s="2">
        <v>9</v>
      </c>
      <c r="I38" s="2" t="s">
        <v>5068</v>
      </c>
      <c r="J38" s="2" t="s">
        <v>5486</v>
      </c>
      <c r="K38" s="2" t="s">
        <v>5484</v>
      </c>
    </row>
    <row r="39" spans="1:11" ht="18" customHeight="1" x14ac:dyDescent="0.3">
      <c r="A39" s="2" t="s">
        <v>5487</v>
      </c>
      <c r="B39" s="2" t="s">
        <v>7</v>
      </c>
      <c r="C39" s="2" t="s">
        <v>5061</v>
      </c>
      <c r="D39" s="2"/>
      <c r="H39" s="2">
        <v>10</v>
      </c>
      <c r="I39" s="2" t="s">
        <v>5068</v>
      </c>
      <c r="J39" s="2" t="s">
        <v>5488</v>
      </c>
      <c r="K39" s="2" t="s">
        <v>5484</v>
      </c>
    </row>
    <row r="40" spans="1:11" ht="18" customHeight="1" x14ac:dyDescent="0.3">
      <c r="A40" s="2" t="s">
        <v>5489</v>
      </c>
      <c r="B40" s="2" t="s">
        <v>7</v>
      </c>
      <c r="C40" s="2" t="s">
        <v>5061</v>
      </c>
      <c r="D40" s="2"/>
      <c r="H40" s="2">
        <v>11</v>
      </c>
      <c r="I40" s="2" t="s">
        <v>5068</v>
      </c>
      <c r="J40" s="2" t="s">
        <v>5490</v>
      </c>
      <c r="K40" s="2" t="s">
        <v>5484</v>
      </c>
    </row>
    <row r="41" spans="1:11" ht="18" customHeight="1" x14ac:dyDescent="0.3">
      <c r="A41" s="2" t="s">
        <v>5491</v>
      </c>
      <c r="B41" s="2" t="s">
        <v>7</v>
      </c>
      <c r="C41" s="2" t="s">
        <v>5061</v>
      </c>
      <c r="D41" s="2"/>
      <c r="H41" s="2">
        <v>12</v>
      </c>
      <c r="I41" s="2" t="s">
        <v>5068</v>
      </c>
      <c r="J41" s="2" t="s">
        <v>5492</v>
      </c>
      <c r="K41" s="2" t="s">
        <v>5484</v>
      </c>
    </row>
    <row r="42" spans="1:11" ht="18" customHeight="1" x14ac:dyDescent="0.3">
      <c r="A42" s="2" t="s">
        <v>2201</v>
      </c>
      <c r="B42" s="2" t="s">
        <v>7</v>
      </c>
      <c r="C42" s="2" t="s">
        <v>5061</v>
      </c>
      <c r="D42" s="2"/>
      <c r="H42" s="2">
        <v>13</v>
      </c>
      <c r="I42" s="2" t="s">
        <v>5068</v>
      </c>
      <c r="J42" s="2" t="s">
        <v>5493</v>
      </c>
      <c r="K42" s="2" t="s">
        <v>5484</v>
      </c>
    </row>
    <row r="43" spans="1:11" ht="18" customHeight="1" x14ac:dyDescent="0.3">
      <c r="A43" s="2" t="s">
        <v>2203</v>
      </c>
      <c r="B43" s="2" t="s">
        <v>7</v>
      </c>
      <c r="C43" s="2" t="s">
        <v>5061</v>
      </c>
      <c r="D43" s="2"/>
      <c r="H43" s="2">
        <v>14</v>
      </c>
      <c r="I43" s="2" t="s">
        <v>5068</v>
      </c>
      <c r="J43" s="2" t="s">
        <v>5494</v>
      </c>
      <c r="K43" s="2" t="s">
        <v>5484</v>
      </c>
    </row>
    <row r="44" spans="1:11" ht="18" customHeight="1" x14ac:dyDescent="0.3">
      <c r="A44" s="2" t="s">
        <v>2204</v>
      </c>
      <c r="B44" s="2" t="s">
        <v>7</v>
      </c>
      <c r="C44" s="2" t="s">
        <v>5061</v>
      </c>
      <c r="D44" s="2"/>
      <c r="H44" s="2">
        <v>15</v>
      </c>
      <c r="I44" s="2" t="s">
        <v>5068</v>
      </c>
      <c r="J44" s="2" t="s">
        <v>5495</v>
      </c>
      <c r="K44" s="2" t="s">
        <v>5484</v>
      </c>
    </row>
    <row r="45" spans="1:11" ht="18" customHeight="1" x14ac:dyDescent="0.3">
      <c r="A45" s="2" t="s">
        <v>2205</v>
      </c>
      <c r="B45" s="2" t="s">
        <v>7</v>
      </c>
      <c r="C45" s="2" t="s">
        <v>5061</v>
      </c>
      <c r="D45" s="2"/>
      <c r="H45" s="2">
        <v>16</v>
      </c>
      <c r="I45" s="2" t="s">
        <v>5068</v>
      </c>
      <c r="J45" s="2" t="s">
        <v>5496</v>
      </c>
      <c r="K45" s="2" t="s">
        <v>5484</v>
      </c>
    </row>
    <row r="46" spans="1:11" ht="18" customHeight="1" x14ac:dyDescent="0.3">
      <c r="A46" s="2" t="s">
        <v>2206</v>
      </c>
      <c r="B46" s="2" t="s">
        <v>7</v>
      </c>
      <c r="C46" s="2" t="s">
        <v>5061</v>
      </c>
      <c r="D46" s="2"/>
      <c r="H46" s="2">
        <v>17</v>
      </c>
      <c r="I46" s="2" t="s">
        <v>5068</v>
      </c>
      <c r="J46" s="2" t="s">
        <v>5497</v>
      </c>
      <c r="K46" s="2" t="s">
        <v>5484</v>
      </c>
    </row>
    <row r="47" spans="1:11" ht="18" customHeight="1" x14ac:dyDescent="0.3">
      <c r="A47" s="2" t="s">
        <v>2207</v>
      </c>
      <c r="B47" s="2" t="s">
        <v>7</v>
      </c>
      <c r="C47" s="2" t="s">
        <v>5061</v>
      </c>
      <c r="D47" s="2"/>
      <c r="H47" s="2">
        <v>18</v>
      </c>
      <c r="I47" s="2" t="s">
        <v>5068</v>
      </c>
      <c r="J47" s="2" t="s">
        <v>5498</v>
      </c>
      <c r="K47" s="2" t="s">
        <v>5484</v>
      </c>
    </row>
    <row r="48" spans="1:11" ht="18" customHeight="1" x14ac:dyDescent="0.3">
      <c r="A48" s="2" t="s">
        <v>2208</v>
      </c>
      <c r="B48" s="2" t="s">
        <v>7</v>
      </c>
      <c r="C48" s="2" t="s">
        <v>5061</v>
      </c>
      <c r="D48" s="2"/>
      <c r="H48" s="2">
        <v>19</v>
      </c>
      <c r="I48" s="2" t="s">
        <v>5068</v>
      </c>
      <c r="J48" s="2" t="s">
        <v>5499</v>
      </c>
      <c r="K48" s="2" t="s">
        <v>5484</v>
      </c>
    </row>
    <row r="49" spans="1:11" ht="18" customHeight="1" x14ac:dyDescent="0.3">
      <c r="A49" s="2" t="s">
        <v>2209</v>
      </c>
      <c r="B49" s="2" t="s">
        <v>7</v>
      </c>
      <c r="C49" s="2" t="s">
        <v>5061</v>
      </c>
      <c r="D49" s="2"/>
      <c r="H49" s="2">
        <v>20</v>
      </c>
      <c r="I49" s="2" t="s">
        <v>5068</v>
      </c>
      <c r="J49" s="2" t="s">
        <v>5500</v>
      </c>
      <c r="K49" s="2" t="s">
        <v>5484</v>
      </c>
    </row>
    <row r="50" spans="1:11" ht="18" customHeight="1" x14ac:dyDescent="0.3">
      <c r="A50" s="2" t="s">
        <v>2210</v>
      </c>
      <c r="B50" s="2" t="s">
        <v>7</v>
      </c>
      <c r="C50" s="2" t="s">
        <v>5061</v>
      </c>
      <c r="D50" s="2"/>
      <c r="H50" s="2">
        <v>21</v>
      </c>
      <c r="I50" s="2" t="s">
        <v>5068</v>
      </c>
      <c r="J50" s="2" t="s">
        <v>5501</v>
      </c>
      <c r="K50" s="2" t="s">
        <v>5484</v>
      </c>
    </row>
    <row r="51" spans="1:11" ht="18" customHeight="1" x14ac:dyDescent="0.3">
      <c r="A51" s="2" t="s">
        <v>5502</v>
      </c>
      <c r="B51" s="2" t="s">
        <v>5068</v>
      </c>
      <c r="C51" s="2" t="s">
        <v>5068</v>
      </c>
      <c r="D51" s="2"/>
      <c r="H51" s="2">
        <v>22</v>
      </c>
      <c r="I51" s="2" t="s">
        <v>5068</v>
      </c>
      <c r="J51" s="2" t="s">
        <v>5503</v>
      </c>
      <c r="K51" s="2" t="s">
        <v>5484</v>
      </c>
    </row>
    <row r="52" spans="1:11" ht="18" customHeight="1" x14ac:dyDescent="0.3">
      <c r="A52" s="2" t="s">
        <v>5504</v>
      </c>
      <c r="B52" s="2" t="s">
        <v>5068</v>
      </c>
      <c r="C52" s="2" t="s">
        <v>5068</v>
      </c>
      <c r="D52" s="2"/>
      <c r="H52" s="2">
        <v>23</v>
      </c>
      <c r="I52" s="2" t="s">
        <v>5068</v>
      </c>
      <c r="J52" s="2" t="s">
        <v>5505</v>
      </c>
      <c r="K52" s="2" t="s">
        <v>5484</v>
      </c>
    </row>
    <row r="53" spans="1:11" ht="18" customHeight="1" x14ac:dyDescent="0.3">
      <c r="A53" s="2" t="s">
        <v>5506</v>
      </c>
      <c r="B53" s="2" t="s">
        <v>5068</v>
      </c>
      <c r="C53" s="2" t="s">
        <v>5068</v>
      </c>
      <c r="D53" s="2"/>
      <c r="H53" s="2">
        <v>24</v>
      </c>
      <c r="I53" s="2" t="s">
        <v>5068</v>
      </c>
      <c r="J53" s="2" t="s">
        <v>5507</v>
      </c>
      <c r="K53" s="2" t="s">
        <v>5484</v>
      </c>
    </row>
    <row r="54" spans="1:11" ht="18" customHeight="1" x14ac:dyDescent="0.3">
      <c r="A54" s="2" t="s">
        <v>5508</v>
      </c>
      <c r="B54" s="2" t="s">
        <v>5068</v>
      </c>
      <c r="C54" s="2" t="s">
        <v>5068</v>
      </c>
      <c r="D54" s="2"/>
      <c r="H54" s="2">
        <v>25</v>
      </c>
      <c r="I54" s="2" t="s">
        <v>5068</v>
      </c>
      <c r="J54" s="2" t="s">
        <v>5509</v>
      </c>
      <c r="K54" s="2" t="s">
        <v>5484</v>
      </c>
    </row>
    <row r="55" spans="1:11" ht="18" customHeight="1" x14ac:dyDescent="0.3">
      <c r="A55" s="2" t="s">
        <v>5510</v>
      </c>
      <c r="B55" s="2" t="s">
        <v>5068</v>
      </c>
      <c r="C55" s="2" t="s">
        <v>5068</v>
      </c>
      <c r="D55" s="2"/>
      <c r="H55" s="2">
        <v>26</v>
      </c>
      <c r="I55" s="2" t="s">
        <v>5068</v>
      </c>
      <c r="J55" s="2" t="s">
        <v>5511</v>
      </c>
      <c r="K55" s="2" t="s">
        <v>5484</v>
      </c>
    </row>
    <row r="56" spans="1:11" ht="18" customHeight="1" x14ac:dyDescent="0.3">
      <c r="A56" s="2" t="s">
        <v>5512</v>
      </c>
      <c r="B56" s="2" t="s">
        <v>5068</v>
      </c>
      <c r="C56" s="2" t="s">
        <v>5068</v>
      </c>
      <c r="D56" s="2"/>
      <c r="H56" s="2">
        <v>27</v>
      </c>
      <c r="I56" s="2" t="s">
        <v>5068</v>
      </c>
      <c r="J56" s="2" t="s">
        <v>5513</v>
      </c>
      <c r="K56" s="2" t="s">
        <v>5484</v>
      </c>
    </row>
    <row r="57" spans="1:11" ht="18" customHeight="1" x14ac:dyDescent="0.3">
      <c r="A57" s="2" t="s">
        <v>5514</v>
      </c>
      <c r="B57" s="2" t="s">
        <v>5068</v>
      </c>
      <c r="C57" s="2" t="s">
        <v>5068</v>
      </c>
      <c r="D57" s="2"/>
    </row>
    <row r="58" spans="1:11" ht="18" customHeight="1" x14ac:dyDescent="0.3">
      <c r="A58" s="2" t="s">
        <v>5515</v>
      </c>
      <c r="B58" s="2" t="s">
        <v>5068</v>
      </c>
      <c r="C58" s="2" t="s">
        <v>5068</v>
      </c>
      <c r="D58" s="2"/>
    </row>
    <row r="59" spans="1:11" ht="18" customHeight="1" x14ac:dyDescent="0.3">
      <c r="A59" s="2" t="s">
        <v>5516</v>
      </c>
      <c r="B59" s="2" t="s">
        <v>5068</v>
      </c>
      <c r="C59" s="2" t="s">
        <v>5068</v>
      </c>
      <c r="D59" s="2"/>
    </row>
    <row r="60" spans="1:11" ht="18" customHeight="1" x14ac:dyDescent="0.3">
      <c r="A60" s="2" t="s">
        <v>5517</v>
      </c>
      <c r="B60" s="2" t="s">
        <v>5068</v>
      </c>
      <c r="C60" s="2" t="s">
        <v>5068</v>
      </c>
      <c r="D60" s="2"/>
    </row>
    <row r="61" spans="1:11" ht="18" customHeight="1" x14ac:dyDescent="0.3">
      <c r="A61" s="2" t="s">
        <v>5518</v>
      </c>
      <c r="B61" s="2" t="s">
        <v>5068</v>
      </c>
      <c r="C61" s="2" t="s">
        <v>5068</v>
      </c>
      <c r="D61" s="2"/>
    </row>
    <row r="62" spans="1:11" ht="18" customHeight="1" x14ac:dyDescent="0.3">
      <c r="A62" s="2" t="s">
        <v>5519</v>
      </c>
      <c r="B62" s="2" t="s">
        <v>5068</v>
      </c>
      <c r="C62" s="2" t="s">
        <v>5068</v>
      </c>
      <c r="D62" s="2"/>
    </row>
    <row r="63" spans="1:11" ht="18" customHeight="1" x14ac:dyDescent="0.3">
      <c r="A63" s="2" t="s">
        <v>5483</v>
      </c>
      <c r="B63" s="2" t="s">
        <v>5068</v>
      </c>
      <c r="C63" s="2" t="s">
        <v>5068</v>
      </c>
      <c r="D63" s="2"/>
    </row>
    <row r="64" spans="1:11" ht="18" customHeight="1" x14ac:dyDescent="0.3">
      <c r="A64" s="2" t="s">
        <v>5486</v>
      </c>
      <c r="B64" s="2" t="s">
        <v>5068</v>
      </c>
      <c r="C64" s="2" t="s">
        <v>5068</v>
      </c>
      <c r="D64" s="2"/>
    </row>
    <row r="65" spans="1:4" ht="18" customHeight="1" x14ac:dyDescent="0.3">
      <c r="A65" s="2" t="s">
        <v>5488</v>
      </c>
      <c r="B65" s="2" t="s">
        <v>5068</v>
      </c>
      <c r="C65" s="2" t="s">
        <v>5068</v>
      </c>
      <c r="D65" s="2"/>
    </row>
    <row r="66" spans="1:4" ht="18" customHeight="1" x14ac:dyDescent="0.3">
      <c r="A66" s="2" t="s">
        <v>5490</v>
      </c>
      <c r="B66" s="2" t="s">
        <v>5068</v>
      </c>
      <c r="C66" s="2" t="s">
        <v>5068</v>
      </c>
      <c r="D66" s="2"/>
    </row>
    <row r="67" spans="1:4" ht="18" customHeight="1" x14ac:dyDescent="0.3">
      <c r="A67" s="2" t="s">
        <v>5492</v>
      </c>
      <c r="B67" s="2" t="s">
        <v>5068</v>
      </c>
      <c r="C67" s="2" t="s">
        <v>5068</v>
      </c>
      <c r="D67" s="2"/>
    </row>
    <row r="68" spans="1:4" ht="18" customHeight="1" x14ac:dyDescent="0.3">
      <c r="A68" s="2" t="s">
        <v>5493</v>
      </c>
      <c r="B68" s="2" t="s">
        <v>5068</v>
      </c>
      <c r="C68" s="2" t="s">
        <v>5068</v>
      </c>
      <c r="D68" s="2"/>
    </row>
    <row r="69" spans="1:4" ht="18" customHeight="1" x14ac:dyDescent="0.3">
      <c r="A69" s="2" t="s">
        <v>5494</v>
      </c>
      <c r="B69" s="2" t="s">
        <v>5068</v>
      </c>
      <c r="C69" s="2" t="s">
        <v>5068</v>
      </c>
      <c r="D69" s="2"/>
    </row>
    <row r="70" spans="1:4" ht="18" customHeight="1" x14ac:dyDescent="0.3">
      <c r="A70" s="2" t="s">
        <v>5495</v>
      </c>
      <c r="B70" s="2" t="s">
        <v>5068</v>
      </c>
      <c r="C70" s="2" t="s">
        <v>5068</v>
      </c>
      <c r="D70" s="2"/>
    </row>
    <row r="71" spans="1:4" ht="18" customHeight="1" x14ac:dyDescent="0.3">
      <c r="A71" s="2" t="s">
        <v>5496</v>
      </c>
      <c r="B71" s="2" t="s">
        <v>5068</v>
      </c>
      <c r="C71" s="2" t="s">
        <v>5068</v>
      </c>
      <c r="D71" s="2"/>
    </row>
    <row r="72" spans="1:4" ht="18" customHeight="1" x14ac:dyDescent="0.3">
      <c r="A72" s="2" t="s">
        <v>5497</v>
      </c>
      <c r="B72" s="2" t="s">
        <v>5068</v>
      </c>
      <c r="C72" s="2" t="s">
        <v>5068</v>
      </c>
      <c r="D72" s="2"/>
    </row>
    <row r="73" spans="1:4" ht="18" customHeight="1" x14ac:dyDescent="0.3">
      <c r="A73" s="2" t="s">
        <v>5498</v>
      </c>
      <c r="B73" s="2" t="s">
        <v>5068</v>
      </c>
      <c r="C73" s="2" t="s">
        <v>5068</v>
      </c>
      <c r="D73" s="2"/>
    </row>
    <row r="74" spans="1:4" ht="18" customHeight="1" x14ac:dyDescent="0.3">
      <c r="A74" s="2" t="s">
        <v>5499</v>
      </c>
      <c r="B74" s="2" t="s">
        <v>5068</v>
      </c>
      <c r="C74" s="2" t="s">
        <v>5068</v>
      </c>
      <c r="D74" s="2"/>
    </row>
    <row r="75" spans="1:4" ht="18" customHeight="1" x14ac:dyDescent="0.3">
      <c r="A75" s="2" t="s">
        <v>5500</v>
      </c>
      <c r="B75" s="2" t="s">
        <v>5068</v>
      </c>
      <c r="C75" s="2" t="s">
        <v>5068</v>
      </c>
      <c r="D75" s="2"/>
    </row>
    <row r="76" spans="1:4" ht="18" customHeight="1" x14ac:dyDescent="0.3">
      <c r="A76" s="2" t="s">
        <v>5501</v>
      </c>
      <c r="B76" s="2" t="s">
        <v>5068</v>
      </c>
      <c r="C76" s="2" t="s">
        <v>5068</v>
      </c>
      <c r="D76" s="2"/>
    </row>
    <row r="77" spans="1:4" ht="18" customHeight="1" x14ac:dyDescent="0.3">
      <c r="A77" s="2" t="s">
        <v>5503</v>
      </c>
      <c r="B77" s="2" t="s">
        <v>5068</v>
      </c>
      <c r="C77" s="2" t="s">
        <v>5068</v>
      </c>
      <c r="D77" s="2"/>
    </row>
    <row r="78" spans="1:4" ht="18" customHeight="1" x14ac:dyDescent="0.3">
      <c r="A78" s="2" t="s">
        <v>5505</v>
      </c>
      <c r="B78" s="2" t="s">
        <v>5068</v>
      </c>
      <c r="C78" s="2" t="s">
        <v>5068</v>
      </c>
      <c r="D78" s="2"/>
    </row>
    <row r="79" spans="1:4" ht="18" customHeight="1" x14ac:dyDescent="0.3">
      <c r="A79" s="2" t="s">
        <v>5507</v>
      </c>
      <c r="B79" s="2" t="s">
        <v>5068</v>
      </c>
      <c r="C79" s="2" t="s">
        <v>5068</v>
      </c>
      <c r="D79" s="2"/>
    </row>
    <row r="80" spans="1:4" ht="18" customHeight="1" x14ac:dyDescent="0.3">
      <c r="A80" s="2" t="s">
        <v>5509</v>
      </c>
      <c r="B80" s="2" t="s">
        <v>5068</v>
      </c>
      <c r="C80" s="2" t="s">
        <v>5068</v>
      </c>
      <c r="D80" s="2"/>
    </row>
    <row r="81" spans="1:4" ht="18" customHeight="1" x14ac:dyDescent="0.3">
      <c r="A81" s="2" t="s">
        <v>5511</v>
      </c>
      <c r="B81" s="2" t="s">
        <v>5068</v>
      </c>
      <c r="C81" s="2" t="s">
        <v>5068</v>
      </c>
      <c r="D81" s="2"/>
    </row>
    <row r="82" spans="1:4" ht="18" customHeight="1" x14ac:dyDescent="0.3">
      <c r="A82" s="2" t="s">
        <v>5513</v>
      </c>
      <c r="B82" s="2" t="s">
        <v>5068</v>
      </c>
      <c r="C82" s="2" t="s">
        <v>5068</v>
      </c>
      <c r="D82" s="2"/>
    </row>
    <row r="83" spans="1:4" ht="18" customHeight="1" x14ac:dyDescent="0.3">
      <c r="A83" s="2" t="s">
        <v>5520</v>
      </c>
      <c r="B83" s="2" t="s">
        <v>5068</v>
      </c>
      <c r="C83" s="2" t="s">
        <v>5068</v>
      </c>
      <c r="D83" s="2"/>
    </row>
    <row r="84" spans="1:4" ht="18" customHeight="1" x14ac:dyDescent="0.3">
      <c r="A84" s="2" t="s">
        <v>5521</v>
      </c>
      <c r="B84" s="2" t="s">
        <v>5068</v>
      </c>
      <c r="C84" s="2" t="s">
        <v>5068</v>
      </c>
      <c r="D84" s="2"/>
    </row>
    <row r="85" spans="1:4" ht="18" customHeight="1" x14ac:dyDescent="0.3">
      <c r="A85" s="2" t="s">
        <v>5522</v>
      </c>
      <c r="B85" s="2" t="s">
        <v>5068</v>
      </c>
      <c r="C85" s="2" t="s">
        <v>5068</v>
      </c>
      <c r="D85" s="2"/>
    </row>
    <row r="86" spans="1:4" ht="18" customHeight="1" x14ac:dyDescent="0.3">
      <c r="A86" s="2" t="s">
        <v>5523</v>
      </c>
      <c r="B86" s="2" t="s">
        <v>5068</v>
      </c>
      <c r="C86" s="2" t="s">
        <v>5068</v>
      </c>
      <c r="D86" s="2"/>
    </row>
    <row r="87" spans="1:4" ht="18" customHeight="1" x14ac:dyDescent="0.3">
      <c r="A87" s="2" t="s">
        <v>5524</v>
      </c>
      <c r="B87" s="2" t="s">
        <v>5068</v>
      </c>
      <c r="C87" s="2" t="s">
        <v>5068</v>
      </c>
      <c r="D87" s="2"/>
    </row>
    <row r="88" spans="1:4" ht="18" customHeight="1" x14ac:dyDescent="0.3">
      <c r="A88" s="2" t="s">
        <v>5525</v>
      </c>
      <c r="B88" s="2" t="s">
        <v>5068</v>
      </c>
      <c r="C88" s="2" t="s">
        <v>5068</v>
      </c>
      <c r="D88" s="2"/>
    </row>
    <row r="89" spans="1:4" ht="18" customHeight="1" x14ac:dyDescent="0.3">
      <c r="A89" s="2" t="s">
        <v>2211</v>
      </c>
      <c r="B89" s="2" t="s">
        <v>269</v>
      </c>
      <c r="C89" s="2" t="s">
        <v>5064</v>
      </c>
      <c r="D89" s="2"/>
    </row>
    <row r="90" spans="1:4" ht="18" customHeight="1" x14ac:dyDescent="0.3">
      <c r="A90" s="2" t="s">
        <v>2213</v>
      </c>
      <c r="B90" s="2" t="s">
        <v>269</v>
      </c>
      <c r="C90" s="2" t="s">
        <v>5064</v>
      </c>
      <c r="D90" s="2"/>
    </row>
    <row r="91" spans="1:4" ht="18" customHeight="1" x14ac:dyDescent="0.3">
      <c r="A91" s="2" t="s">
        <v>2215</v>
      </c>
      <c r="B91" s="2" t="s">
        <v>269</v>
      </c>
      <c r="C91" s="2" t="s">
        <v>5064</v>
      </c>
      <c r="D91" s="2"/>
    </row>
    <row r="92" spans="1:4" ht="18" customHeight="1" x14ac:dyDescent="0.3">
      <c r="A92" s="2" t="s">
        <v>2217</v>
      </c>
      <c r="B92" s="2" t="s">
        <v>269</v>
      </c>
      <c r="C92" s="2" t="s">
        <v>5064</v>
      </c>
      <c r="D92" s="2"/>
    </row>
    <row r="93" spans="1:4" ht="18" customHeight="1" x14ac:dyDescent="0.3">
      <c r="A93" s="2" t="s">
        <v>2219</v>
      </c>
      <c r="B93" s="2" t="s">
        <v>269</v>
      </c>
      <c r="C93" s="2" t="s">
        <v>5064</v>
      </c>
      <c r="D93" s="2"/>
    </row>
    <row r="94" spans="1:4" ht="18" customHeight="1" x14ac:dyDescent="0.3">
      <c r="A94" s="2" t="s">
        <v>2221</v>
      </c>
      <c r="B94" s="2" t="s">
        <v>269</v>
      </c>
      <c r="C94" s="2" t="s">
        <v>5064</v>
      </c>
      <c r="D94" s="2"/>
    </row>
    <row r="95" spans="1:4" ht="18" customHeight="1" x14ac:dyDescent="0.3">
      <c r="A95" s="2" t="s">
        <v>2223</v>
      </c>
      <c r="B95" s="2" t="s">
        <v>269</v>
      </c>
      <c r="C95" s="2" t="s">
        <v>5064</v>
      </c>
      <c r="D95" s="2"/>
    </row>
    <row r="96" spans="1:4" ht="18" customHeight="1" x14ac:dyDescent="0.3">
      <c r="A96" s="2" t="s">
        <v>2224</v>
      </c>
      <c r="B96" s="2" t="s">
        <v>269</v>
      </c>
      <c r="C96" s="2" t="s">
        <v>5064</v>
      </c>
      <c r="D96" s="2"/>
    </row>
    <row r="97" spans="1:4" ht="18" customHeight="1" x14ac:dyDescent="0.3">
      <c r="A97" s="2" t="s">
        <v>2225</v>
      </c>
      <c r="B97" s="2" t="s">
        <v>269</v>
      </c>
      <c r="C97" s="2" t="s">
        <v>5064</v>
      </c>
      <c r="D97" s="2"/>
    </row>
    <row r="98" spans="1:4" ht="18" customHeight="1" x14ac:dyDescent="0.3">
      <c r="A98" s="2" t="s">
        <v>2226</v>
      </c>
      <c r="B98" s="2" t="s">
        <v>269</v>
      </c>
      <c r="C98" s="2" t="s">
        <v>5064</v>
      </c>
      <c r="D98" s="2"/>
    </row>
    <row r="99" spans="1:4" ht="18" customHeight="1" x14ac:dyDescent="0.3">
      <c r="A99" s="2" t="s">
        <v>2227</v>
      </c>
      <c r="B99" s="2" t="s">
        <v>269</v>
      </c>
      <c r="C99" s="2" t="s">
        <v>5064</v>
      </c>
      <c r="D99" s="2"/>
    </row>
    <row r="100" spans="1:4" ht="18" customHeight="1" x14ac:dyDescent="0.3">
      <c r="A100" s="2" t="s">
        <v>2228</v>
      </c>
      <c r="B100" s="2" t="s">
        <v>269</v>
      </c>
      <c r="C100" s="2" t="s">
        <v>5064</v>
      </c>
      <c r="D100" s="2"/>
    </row>
    <row r="101" spans="1:4" ht="18" customHeight="1" x14ac:dyDescent="0.3">
      <c r="A101" s="2" t="s">
        <v>2230</v>
      </c>
      <c r="B101" s="2" t="s">
        <v>269</v>
      </c>
      <c r="C101" s="2" t="s">
        <v>5064</v>
      </c>
      <c r="D101" s="2"/>
    </row>
    <row r="102" spans="1:4" ht="18" customHeight="1" x14ac:dyDescent="0.3">
      <c r="A102" s="2" t="s">
        <v>2231</v>
      </c>
      <c r="B102" s="2" t="s">
        <v>269</v>
      </c>
      <c r="C102" s="2" t="s">
        <v>5064</v>
      </c>
      <c r="D102" s="2"/>
    </row>
    <row r="103" spans="1:4" ht="18" customHeight="1" x14ac:dyDescent="0.3">
      <c r="A103" s="2" t="s">
        <v>2232</v>
      </c>
      <c r="B103" s="2" t="s">
        <v>269</v>
      </c>
      <c r="C103" s="2" t="s">
        <v>5064</v>
      </c>
      <c r="D103" s="2"/>
    </row>
    <row r="104" spans="1:4" ht="18" customHeight="1" x14ac:dyDescent="0.3">
      <c r="A104" s="2" t="s">
        <v>2233</v>
      </c>
      <c r="B104" s="2" t="s">
        <v>269</v>
      </c>
      <c r="C104" s="2" t="s">
        <v>5064</v>
      </c>
      <c r="D104" s="2"/>
    </row>
    <row r="105" spans="1:4" ht="18" customHeight="1" x14ac:dyDescent="0.3">
      <c r="A105" s="2" t="s">
        <v>2235</v>
      </c>
      <c r="B105" s="2" t="s">
        <v>269</v>
      </c>
      <c r="C105" s="2" t="s">
        <v>5064</v>
      </c>
      <c r="D105" s="2"/>
    </row>
    <row r="106" spans="1:4" ht="18" customHeight="1" x14ac:dyDescent="0.3">
      <c r="A106" s="2" t="s">
        <v>2237</v>
      </c>
      <c r="B106" s="2" t="s">
        <v>269</v>
      </c>
      <c r="C106" s="2" t="s">
        <v>5064</v>
      </c>
      <c r="D106" s="2"/>
    </row>
    <row r="107" spans="1:4" ht="18" customHeight="1" x14ac:dyDescent="0.3">
      <c r="A107" s="2" t="s">
        <v>2239</v>
      </c>
      <c r="B107" s="2" t="s">
        <v>269</v>
      </c>
      <c r="C107" s="2" t="s">
        <v>5064</v>
      </c>
      <c r="D107" s="2"/>
    </row>
    <row r="108" spans="1:4" ht="18" customHeight="1" x14ac:dyDescent="0.3">
      <c r="A108" s="2" t="s">
        <v>2241</v>
      </c>
      <c r="B108" s="2" t="s">
        <v>269</v>
      </c>
      <c r="C108" s="2" t="s">
        <v>5064</v>
      </c>
      <c r="D108" s="2"/>
    </row>
    <row r="109" spans="1:4" ht="18" customHeight="1" x14ac:dyDescent="0.3">
      <c r="A109" s="2" t="s">
        <v>2243</v>
      </c>
      <c r="B109" s="2" t="s">
        <v>269</v>
      </c>
      <c r="C109" s="2" t="s">
        <v>5064</v>
      </c>
      <c r="D109" s="2"/>
    </row>
    <row r="110" spans="1:4" ht="18" customHeight="1" x14ac:dyDescent="0.3">
      <c r="A110" s="2" t="s">
        <v>2245</v>
      </c>
      <c r="B110" s="2" t="s">
        <v>269</v>
      </c>
      <c r="C110" s="2" t="s">
        <v>5064</v>
      </c>
      <c r="D110" s="2"/>
    </row>
    <row r="111" spans="1:4" ht="18" customHeight="1" x14ac:dyDescent="0.3">
      <c r="A111" s="2" t="s">
        <v>2247</v>
      </c>
      <c r="B111" s="2" t="s">
        <v>269</v>
      </c>
      <c r="C111" s="2" t="s">
        <v>5064</v>
      </c>
      <c r="D111" s="2"/>
    </row>
    <row r="112" spans="1:4" ht="18" customHeight="1" x14ac:dyDescent="0.3">
      <c r="A112" s="2" t="s">
        <v>2249</v>
      </c>
      <c r="B112" s="2" t="s">
        <v>269</v>
      </c>
      <c r="C112" s="2" t="s">
        <v>5064</v>
      </c>
      <c r="D112" s="2"/>
    </row>
    <row r="113" spans="1:4" ht="18" customHeight="1" x14ac:dyDescent="0.3">
      <c r="A113" s="2" t="s">
        <v>2251</v>
      </c>
      <c r="B113" s="2" t="s">
        <v>269</v>
      </c>
      <c r="C113" s="2" t="s">
        <v>5064</v>
      </c>
      <c r="D113" s="2"/>
    </row>
    <row r="114" spans="1:4" ht="18" customHeight="1" x14ac:dyDescent="0.3">
      <c r="A114" s="2" t="s">
        <v>2253</v>
      </c>
      <c r="B114" s="2" t="s">
        <v>269</v>
      </c>
      <c r="C114" s="2" t="s">
        <v>5064</v>
      </c>
      <c r="D114" s="2"/>
    </row>
    <row r="115" spans="1:4" ht="18" customHeight="1" x14ac:dyDescent="0.3">
      <c r="A115" s="2" t="s">
        <v>2255</v>
      </c>
      <c r="B115" s="2" t="s">
        <v>269</v>
      </c>
      <c r="C115" s="2" t="s">
        <v>5064</v>
      </c>
      <c r="D115" s="2"/>
    </row>
    <row r="116" spans="1:4" ht="18" customHeight="1" x14ac:dyDescent="0.3">
      <c r="A116" s="2" t="s">
        <v>2257</v>
      </c>
      <c r="B116" s="2" t="s">
        <v>269</v>
      </c>
      <c r="C116" s="2" t="s">
        <v>5064</v>
      </c>
      <c r="D116" s="2"/>
    </row>
    <row r="117" spans="1:4" ht="18" customHeight="1" x14ac:dyDescent="0.3">
      <c r="A117" s="2" t="s">
        <v>2259</v>
      </c>
      <c r="B117" s="2" t="s">
        <v>269</v>
      </c>
      <c r="C117" s="2" t="s">
        <v>5064</v>
      </c>
      <c r="D117" s="2"/>
    </row>
    <row r="118" spans="1:4" ht="18" customHeight="1" x14ac:dyDescent="0.3">
      <c r="A118" s="2" t="s">
        <v>2261</v>
      </c>
      <c r="B118" s="2" t="s">
        <v>269</v>
      </c>
      <c r="C118" s="2" t="s">
        <v>5064</v>
      </c>
      <c r="D118" s="2"/>
    </row>
    <row r="119" spans="1:4" ht="18" customHeight="1" x14ac:dyDescent="0.3">
      <c r="A119" s="2" t="s">
        <v>2262</v>
      </c>
      <c r="B119" s="2" t="s">
        <v>269</v>
      </c>
      <c r="C119" s="2" t="s">
        <v>5064</v>
      </c>
      <c r="D119" s="2"/>
    </row>
    <row r="120" spans="1:4" ht="18" customHeight="1" x14ac:dyDescent="0.3">
      <c r="A120" s="2" t="s">
        <v>2264</v>
      </c>
      <c r="B120" s="2" t="s">
        <v>269</v>
      </c>
      <c r="C120" s="2" t="s">
        <v>5064</v>
      </c>
      <c r="D120" s="2"/>
    </row>
    <row r="121" spans="1:4" ht="18" customHeight="1" x14ac:dyDescent="0.3">
      <c r="A121" s="2" t="s">
        <v>2266</v>
      </c>
      <c r="B121" s="2" t="s">
        <v>269</v>
      </c>
      <c r="C121" s="2" t="s">
        <v>5064</v>
      </c>
      <c r="D121" s="2"/>
    </row>
    <row r="122" spans="1:4" ht="18" customHeight="1" x14ac:dyDescent="0.3">
      <c r="A122" s="2" t="s">
        <v>2267</v>
      </c>
      <c r="B122" s="2" t="s">
        <v>269</v>
      </c>
      <c r="C122" s="2" t="s">
        <v>5064</v>
      </c>
      <c r="D122" s="2"/>
    </row>
    <row r="123" spans="1:4" ht="18" customHeight="1" x14ac:dyDescent="0.3">
      <c r="A123" s="2" t="s">
        <v>2268</v>
      </c>
      <c r="B123" s="2" t="s">
        <v>269</v>
      </c>
      <c r="C123" s="2" t="s">
        <v>5064</v>
      </c>
      <c r="D123" s="2"/>
    </row>
    <row r="124" spans="1:4" ht="18" customHeight="1" x14ac:dyDescent="0.3">
      <c r="A124" s="2" t="s">
        <v>2270</v>
      </c>
      <c r="B124" s="2" t="s">
        <v>269</v>
      </c>
      <c r="C124" s="2" t="s">
        <v>5064</v>
      </c>
      <c r="D124" s="2"/>
    </row>
    <row r="125" spans="1:4" ht="18" customHeight="1" x14ac:dyDescent="0.3">
      <c r="A125" s="2" t="s">
        <v>2272</v>
      </c>
      <c r="B125" s="2" t="s">
        <v>269</v>
      </c>
      <c r="C125" s="2" t="s">
        <v>5064</v>
      </c>
      <c r="D125" s="2"/>
    </row>
    <row r="126" spans="1:4" ht="18" customHeight="1" x14ac:dyDescent="0.3">
      <c r="A126" s="2" t="s">
        <v>2274</v>
      </c>
      <c r="B126" s="2" t="s">
        <v>269</v>
      </c>
      <c r="C126" s="2" t="s">
        <v>5064</v>
      </c>
      <c r="D126" s="2"/>
    </row>
    <row r="127" spans="1:4" ht="18" customHeight="1" x14ac:dyDescent="0.3">
      <c r="A127" s="2" t="s">
        <v>2276</v>
      </c>
      <c r="B127" s="2" t="s">
        <v>269</v>
      </c>
      <c r="C127" s="2" t="s">
        <v>5064</v>
      </c>
      <c r="D127" s="2"/>
    </row>
    <row r="128" spans="1:4" ht="18" customHeight="1" x14ac:dyDescent="0.3">
      <c r="A128" s="2" t="s">
        <v>2278</v>
      </c>
      <c r="B128" s="2" t="s">
        <v>269</v>
      </c>
      <c r="C128" s="2" t="s">
        <v>5064</v>
      </c>
      <c r="D128" s="2"/>
    </row>
    <row r="129" spans="1:4" ht="18" customHeight="1" x14ac:dyDescent="0.3">
      <c r="A129" s="2" t="s">
        <v>2280</v>
      </c>
      <c r="B129" s="2" t="s">
        <v>269</v>
      </c>
      <c r="C129" s="2" t="s">
        <v>5064</v>
      </c>
      <c r="D129" s="2"/>
    </row>
    <row r="130" spans="1:4" ht="18" customHeight="1" x14ac:dyDescent="0.3">
      <c r="A130" s="2" t="s">
        <v>2282</v>
      </c>
      <c r="B130" s="2" t="s">
        <v>269</v>
      </c>
      <c r="C130" s="2" t="s">
        <v>5064</v>
      </c>
      <c r="D130" s="2"/>
    </row>
    <row r="131" spans="1:4" ht="18" customHeight="1" x14ac:dyDescent="0.3">
      <c r="A131" s="2" t="s">
        <v>2284</v>
      </c>
      <c r="B131" s="2" t="s">
        <v>269</v>
      </c>
      <c r="C131" s="2" t="s">
        <v>5064</v>
      </c>
      <c r="D131" s="2"/>
    </row>
    <row r="132" spans="1:4" ht="18" customHeight="1" x14ac:dyDescent="0.3">
      <c r="A132" s="2" t="s">
        <v>2286</v>
      </c>
      <c r="B132" s="2" t="s">
        <v>269</v>
      </c>
      <c r="C132" s="2" t="s">
        <v>5064</v>
      </c>
      <c r="D132" s="2"/>
    </row>
    <row r="133" spans="1:4" ht="18" customHeight="1" x14ac:dyDescent="0.3">
      <c r="A133" s="2" t="s">
        <v>2288</v>
      </c>
      <c r="B133" s="2" t="s">
        <v>269</v>
      </c>
      <c r="C133" s="2" t="s">
        <v>5064</v>
      </c>
      <c r="D133" s="2"/>
    </row>
    <row r="134" spans="1:4" ht="18" customHeight="1" x14ac:dyDescent="0.3">
      <c r="A134" s="2" t="s">
        <v>2290</v>
      </c>
      <c r="B134" s="2" t="s">
        <v>269</v>
      </c>
      <c r="C134" s="2" t="s">
        <v>5064</v>
      </c>
      <c r="D134" s="2"/>
    </row>
    <row r="135" spans="1:4" ht="18" customHeight="1" x14ac:dyDescent="0.3">
      <c r="A135" s="2" t="s">
        <v>2292</v>
      </c>
      <c r="B135" s="2" t="s">
        <v>269</v>
      </c>
      <c r="C135" s="2" t="s">
        <v>5064</v>
      </c>
      <c r="D135" s="2"/>
    </row>
    <row r="136" spans="1:4" ht="18" customHeight="1" x14ac:dyDescent="0.3">
      <c r="A136" s="2" t="s">
        <v>2294</v>
      </c>
      <c r="B136" s="2" t="s">
        <v>269</v>
      </c>
      <c r="C136" s="2" t="s">
        <v>5064</v>
      </c>
      <c r="D136" s="2"/>
    </row>
    <row r="137" spans="1:4" ht="18" customHeight="1" x14ac:dyDescent="0.3">
      <c r="A137" s="2" t="s">
        <v>2296</v>
      </c>
      <c r="B137" s="2" t="s">
        <v>269</v>
      </c>
      <c r="C137" s="2" t="s">
        <v>5064</v>
      </c>
      <c r="D137" s="2"/>
    </row>
    <row r="138" spans="1:4" ht="18" customHeight="1" x14ac:dyDescent="0.3">
      <c r="A138" s="2" t="s">
        <v>2298</v>
      </c>
      <c r="B138" s="2" t="s">
        <v>269</v>
      </c>
      <c r="C138" s="2" t="s">
        <v>5064</v>
      </c>
      <c r="D138" s="2"/>
    </row>
    <row r="139" spans="1:4" ht="18" customHeight="1" x14ac:dyDescent="0.3">
      <c r="A139" s="2" t="s">
        <v>2300</v>
      </c>
      <c r="B139" s="2" t="s">
        <v>269</v>
      </c>
      <c r="C139" s="2" t="s">
        <v>5064</v>
      </c>
      <c r="D139" s="2"/>
    </row>
    <row r="140" spans="1:4" ht="18" customHeight="1" x14ac:dyDescent="0.3">
      <c r="A140" s="2" t="s">
        <v>2302</v>
      </c>
      <c r="B140" s="2" t="s">
        <v>269</v>
      </c>
      <c r="C140" s="2" t="s">
        <v>5064</v>
      </c>
      <c r="D140" s="2"/>
    </row>
    <row r="141" spans="1:4" ht="18" customHeight="1" x14ac:dyDescent="0.3">
      <c r="A141" s="2" t="s">
        <v>2304</v>
      </c>
      <c r="B141" s="2" t="s">
        <v>269</v>
      </c>
      <c r="C141" s="2" t="s">
        <v>5064</v>
      </c>
      <c r="D141" s="2"/>
    </row>
    <row r="142" spans="1:4" ht="18" customHeight="1" x14ac:dyDescent="0.3">
      <c r="A142" s="2" t="s">
        <v>2306</v>
      </c>
      <c r="B142" s="2" t="s">
        <v>269</v>
      </c>
      <c r="C142" s="2" t="s">
        <v>5064</v>
      </c>
      <c r="D142" s="2"/>
    </row>
    <row r="143" spans="1:4" ht="18" customHeight="1" x14ac:dyDescent="0.3">
      <c r="A143" s="2" t="s">
        <v>2308</v>
      </c>
      <c r="B143" s="2" t="s">
        <v>269</v>
      </c>
      <c r="C143" s="2" t="s">
        <v>5064</v>
      </c>
      <c r="D143" s="2"/>
    </row>
    <row r="144" spans="1:4" ht="18" customHeight="1" x14ac:dyDescent="0.3">
      <c r="A144" s="2" t="s">
        <v>2309</v>
      </c>
      <c r="B144" s="2" t="s">
        <v>269</v>
      </c>
      <c r="C144" s="2" t="s">
        <v>5064</v>
      </c>
      <c r="D144" s="2"/>
    </row>
    <row r="145" spans="1:4" ht="18" customHeight="1" x14ac:dyDescent="0.3">
      <c r="A145" s="2" t="s">
        <v>2311</v>
      </c>
      <c r="B145" s="2" t="s">
        <v>269</v>
      </c>
      <c r="C145" s="2" t="s">
        <v>5064</v>
      </c>
      <c r="D145" s="2"/>
    </row>
    <row r="146" spans="1:4" ht="18" customHeight="1" x14ac:dyDescent="0.3">
      <c r="A146" s="2" t="s">
        <v>2313</v>
      </c>
      <c r="B146" s="2" t="s">
        <v>269</v>
      </c>
      <c r="C146" s="2" t="s">
        <v>5064</v>
      </c>
      <c r="D146" s="2"/>
    </row>
    <row r="147" spans="1:4" ht="18" customHeight="1" x14ac:dyDescent="0.3">
      <c r="A147" s="2" t="s">
        <v>2315</v>
      </c>
      <c r="B147" s="2" t="s">
        <v>269</v>
      </c>
      <c r="C147" s="2" t="s">
        <v>5064</v>
      </c>
      <c r="D147" s="2"/>
    </row>
    <row r="148" spans="1:4" ht="18" customHeight="1" x14ac:dyDescent="0.3">
      <c r="A148" s="2" t="s">
        <v>2317</v>
      </c>
      <c r="B148" s="2" t="s">
        <v>269</v>
      </c>
      <c r="C148" s="2" t="s">
        <v>5064</v>
      </c>
      <c r="D148" s="2"/>
    </row>
    <row r="149" spans="1:4" ht="18" customHeight="1" x14ac:dyDescent="0.3">
      <c r="A149" s="2" t="s">
        <v>2319</v>
      </c>
      <c r="B149" s="2" t="s">
        <v>269</v>
      </c>
      <c r="C149" s="2" t="s">
        <v>5064</v>
      </c>
      <c r="D149" s="2"/>
    </row>
    <row r="150" spans="1:4" ht="18" customHeight="1" x14ac:dyDescent="0.3">
      <c r="A150" s="2" t="s">
        <v>2321</v>
      </c>
      <c r="B150" s="2" t="s">
        <v>269</v>
      </c>
      <c r="C150" s="2" t="s">
        <v>5064</v>
      </c>
      <c r="D150" s="2"/>
    </row>
    <row r="151" spans="1:4" ht="18" customHeight="1" x14ac:dyDescent="0.3">
      <c r="A151" s="2" t="s">
        <v>2323</v>
      </c>
      <c r="B151" s="2" t="s">
        <v>269</v>
      </c>
      <c r="C151" s="2" t="s">
        <v>5064</v>
      </c>
      <c r="D151" s="2"/>
    </row>
    <row r="152" spans="1:4" ht="18" customHeight="1" x14ac:dyDescent="0.3">
      <c r="A152" s="2" t="s">
        <v>2324</v>
      </c>
      <c r="B152" s="2" t="s">
        <v>269</v>
      </c>
      <c r="C152" s="2" t="s">
        <v>5064</v>
      </c>
      <c r="D152" s="2"/>
    </row>
    <row r="153" spans="1:4" ht="18" customHeight="1" x14ac:dyDescent="0.3">
      <c r="A153" s="2" t="s">
        <v>2326</v>
      </c>
      <c r="B153" s="2" t="s">
        <v>269</v>
      </c>
      <c r="C153" s="2" t="s">
        <v>5064</v>
      </c>
      <c r="D153" s="2"/>
    </row>
    <row r="154" spans="1:4" ht="18" customHeight="1" x14ac:dyDescent="0.3">
      <c r="A154" s="2" t="s">
        <v>2327</v>
      </c>
      <c r="B154" s="2" t="s">
        <v>269</v>
      </c>
      <c r="C154" s="2" t="s">
        <v>5064</v>
      </c>
      <c r="D154" s="2"/>
    </row>
    <row r="155" spans="1:4" ht="18" customHeight="1" x14ac:dyDescent="0.3">
      <c r="A155" s="2" t="s">
        <v>2329</v>
      </c>
      <c r="B155" s="2" t="s">
        <v>269</v>
      </c>
      <c r="C155" s="2" t="s">
        <v>5064</v>
      </c>
      <c r="D155" s="2"/>
    </row>
    <row r="156" spans="1:4" ht="18" customHeight="1" x14ac:dyDescent="0.3">
      <c r="A156" s="2" t="s">
        <v>2331</v>
      </c>
      <c r="B156" s="2" t="s">
        <v>269</v>
      </c>
      <c r="C156" s="2" t="s">
        <v>5064</v>
      </c>
      <c r="D156" s="2"/>
    </row>
    <row r="157" spans="1:4" ht="18" customHeight="1" x14ac:dyDescent="0.3">
      <c r="A157" s="2" t="s">
        <v>2333</v>
      </c>
      <c r="B157" s="2" t="s">
        <v>269</v>
      </c>
      <c r="C157" s="2" t="s">
        <v>5064</v>
      </c>
      <c r="D157" s="2"/>
    </row>
    <row r="158" spans="1:4" ht="18" customHeight="1" x14ac:dyDescent="0.3">
      <c r="A158" s="2" t="s">
        <v>2334</v>
      </c>
      <c r="B158" s="2" t="s">
        <v>269</v>
      </c>
      <c r="C158" s="2" t="s">
        <v>5064</v>
      </c>
      <c r="D158" s="2"/>
    </row>
    <row r="159" spans="1:4" ht="18" customHeight="1" x14ac:dyDescent="0.3">
      <c r="A159" s="2" t="s">
        <v>2336</v>
      </c>
      <c r="B159" s="2" t="s">
        <v>269</v>
      </c>
      <c r="C159" s="2" t="s">
        <v>5064</v>
      </c>
      <c r="D159" s="2"/>
    </row>
    <row r="160" spans="1:4" ht="18" customHeight="1" x14ac:dyDescent="0.3">
      <c r="A160" s="2" t="s">
        <v>2338</v>
      </c>
      <c r="B160" s="2" t="s">
        <v>269</v>
      </c>
      <c r="C160" s="2" t="s">
        <v>5064</v>
      </c>
      <c r="D160" s="2"/>
    </row>
    <row r="161" spans="1:4" ht="18" customHeight="1" x14ac:dyDescent="0.3">
      <c r="A161" s="2" t="s">
        <v>2340</v>
      </c>
      <c r="B161" s="2" t="s">
        <v>269</v>
      </c>
      <c r="C161" s="2" t="s">
        <v>5064</v>
      </c>
      <c r="D161" s="2"/>
    </row>
    <row r="162" spans="1:4" ht="18" customHeight="1" x14ac:dyDescent="0.3">
      <c r="A162" s="2" t="s">
        <v>2342</v>
      </c>
      <c r="B162" s="2" t="s">
        <v>269</v>
      </c>
      <c r="C162" s="2" t="s">
        <v>5064</v>
      </c>
      <c r="D162" s="2"/>
    </row>
    <row r="163" spans="1:4" ht="18" customHeight="1" x14ac:dyDescent="0.3">
      <c r="A163" s="2" t="s">
        <v>2344</v>
      </c>
      <c r="B163" s="2" t="s">
        <v>269</v>
      </c>
      <c r="C163" s="2" t="s">
        <v>5064</v>
      </c>
      <c r="D163" s="2"/>
    </row>
    <row r="164" spans="1:4" ht="18" customHeight="1" x14ac:dyDescent="0.3">
      <c r="A164" s="2" t="s">
        <v>2346</v>
      </c>
      <c r="B164" s="2" t="s">
        <v>269</v>
      </c>
      <c r="C164" s="2" t="s">
        <v>5064</v>
      </c>
      <c r="D164" s="2"/>
    </row>
    <row r="165" spans="1:4" ht="18" customHeight="1" x14ac:dyDescent="0.3">
      <c r="A165" s="2" t="s">
        <v>2348</v>
      </c>
      <c r="B165" s="2" t="s">
        <v>269</v>
      </c>
      <c r="C165" s="2" t="s">
        <v>5064</v>
      </c>
      <c r="D165" s="2"/>
    </row>
    <row r="166" spans="1:4" ht="18" customHeight="1" x14ac:dyDescent="0.3">
      <c r="A166" s="2" t="s">
        <v>2350</v>
      </c>
      <c r="B166" s="2" t="s">
        <v>269</v>
      </c>
      <c r="C166" s="2" t="s">
        <v>5064</v>
      </c>
      <c r="D166" s="2"/>
    </row>
    <row r="167" spans="1:4" ht="18" customHeight="1" x14ac:dyDescent="0.3">
      <c r="A167" s="2" t="s">
        <v>2352</v>
      </c>
      <c r="B167" s="2" t="s">
        <v>269</v>
      </c>
      <c r="C167" s="2" t="s">
        <v>5064</v>
      </c>
      <c r="D167" s="2"/>
    </row>
    <row r="168" spans="1:4" ht="18" customHeight="1" x14ac:dyDescent="0.3">
      <c r="A168" s="2" t="s">
        <v>2354</v>
      </c>
      <c r="B168" s="2" t="s">
        <v>269</v>
      </c>
      <c r="C168" s="2" t="s">
        <v>5064</v>
      </c>
      <c r="D168" s="2"/>
    </row>
    <row r="169" spans="1:4" ht="18" customHeight="1" x14ac:dyDescent="0.3">
      <c r="A169" s="2" t="s">
        <v>2356</v>
      </c>
      <c r="B169" s="2" t="s">
        <v>269</v>
      </c>
      <c r="C169" s="2" t="s">
        <v>5064</v>
      </c>
      <c r="D169" s="2"/>
    </row>
    <row r="170" spans="1:4" ht="18" customHeight="1" x14ac:dyDescent="0.3">
      <c r="A170" s="2" t="s">
        <v>2358</v>
      </c>
      <c r="B170" s="2" t="s">
        <v>269</v>
      </c>
      <c r="C170" s="2" t="s">
        <v>5064</v>
      </c>
      <c r="D170" s="2"/>
    </row>
    <row r="171" spans="1:4" ht="18" customHeight="1" x14ac:dyDescent="0.3">
      <c r="A171" s="2" t="s">
        <v>2360</v>
      </c>
      <c r="B171" s="2" t="s">
        <v>269</v>
      </c>
      <c r="C171" s="2" t="s">
        <v>5064</v>
      </c>
      <c r="D171" s="2"/>
    </row>
    <row r="172" spans="1:4" ht="18" customHeight="1" x14ac:dyDescent="0.3">
      <c r="A172" s="2" t="s">
        <v>2362</v>
      </c>
      <c r="B172" s="2" t="s">
        <v>269</v>
      </c>
      <c r="C172" s="2" t="s">
        <v>5064</v>
      </c>
      <c r="D172" s="2"/>
    </row>
    <row r="173" spans="1:4" ht="18" customHeight="1" x14ac:dyDescent="0.3">
      <c r="A173" s="2" t="s">
        <v>2364</v>
      </c>
      <c r="B173" s="2" t="s">
        <v>269</v>
      </c>
      <c r="C173" s="2" t="s">
        <v>5064</v>
      </c>
      <c r="D173" s="2"/>
    </row>
    <row r="174" spans="1:4" ht="18" customHeight="1" x14ac:dyDescent="0.3">
      <c r="A174" s="2" t="s">
        <v>2366</v>
      </c>
      <c r="B174" s="2" t="s">
        <v>269</v>
      </c>
      <c r="C174" s="2" t="s">
        <v>5064</v>
      </c>
      <c r="D174" s="2"/>
    </row>
    <row r="175" spans="1:4" ht="18" customHeight="1" x14ac:dyDescent="0.3">
      <c r="A175" s="2" t="s">
        <v>2367</v>
      </c>
      <c r="B175" s="2" t="s">
        <v>269</v>
      </c>
      <c r="C175" s="2" t="s">
        <v>5064</v>
      </c>
      <c r="D175" s="2"/>
    </row>
    <row r="176" spans="1:4" ht="18" customHeight="1" x14ac:dyDescent="0.3">
      <c r="A176" s="2" t="s">
        <v>2369</v>
      </c>
      <c r="B176" s="2" t="s">
        <v>269</v>
      </c>
      <c r="C176" s="2" t="s">
        <v>5064</v>
      </c>
      <c r="D176" s="2"/>
    </row>
    <row r="177" spans="1:4" ht="18" customHeight="1" x14ac:dyDescent="0.3">
      <c r="A177" s="2" t="s">
        <v>2371</v>
      </c>
      <c r="B177" s="2" t="s">
        <v>269</v>
      </c>
      <c r="C177" s="2" t="s">
        <v>5064</v>
      </c>
      <c r="D177" s="2"/>
    </row>
    <row r="178" spans="1:4" ht="18" customHeight="1" x14ac:dyDescent="0.3">
      <c r="A178" s="2" t="s">
        <v>2373</v>
      </c>
      <c r="B178" s="2" t="s">
        <v>269</v>
      </c>
      <c r="C178" s="2" t="s">
        <v>5064</v>
      </c>
      <c r="D178" s="2"/>
    </row>
    <row r="179" spans="1:4" ht="18" customHeight="1" x14ac:dyDescent="0.3">
      <c r="A179" s="2" t="s">
        <v>2375</v>
      </c>
      <c r="B179" s="2" t="s">
        <v>269</v>
      </c>
      <c r="C179" s="2" t="s">
        <v>5064</v>
      </c>
      <c r="D179" s="2"/>
    </row>
    <row r="180" spans="1:4" ht="18" customHeight="1" x14ac:dyDescent="0.3">
      <c r="A180" s="2" t="s">
        <v>2377</v>
      </c>
      <c r="B180" s="2" t="s">
        <v>269</v>
      </c>
      <c r="C180" s="2" t="s">
        <v>5064</v>
      </c>
      <c r="D180" s="2"/>
    </row>
    <row r="181" spans="1:4" ht="18" customHeight="1" x14ac:dyDescent="0.3">
      <c r="A181" s="2" t="s">
        <v>2379</v>
      </c>
      <c r="B181" s="2" t="s">
        <v>269</v>
      </c>
      <c r="C181" s="2" t="s">
        <v>5064</v>
      </c>
      <c r="D181" s="2"/>
    </row>
    <row r="182" spans="1:4" ht="18" customHeight="1" x14ac:dyDescent="0.3">
      <c r="A182" s="2" t="s">
        <v>2381</v>
      </c>
      <c r="B182" s="2" t="s">
        <v>269</v>
      </c>
      <c r="C182" s="2" t="s">
        <v>5064</v>
      </c>
      <c r="D182" s="2"/>
    </row>
    <row r="183" spans="1:4" ht="18" customHeight="1" x14ac:dyDescent="0.3">
      <c r="A183" s="2" t="s">
        <v>2383</v>
      </c>
      <c r="B183" s="2" t="s">
        <v>269</v>
      </c>
      <c r="C183" s="2" t="s">
        <v>5064</v>
      </c>
      <c r="D183" s="2"/>
    </row>
    <row r="184" spans="1:4" ht="18" customHeight="1" x14ac:dyDescent="0.3">
      <c r="A184" s="2" t="s">
        <v>2385</v>
      </c>
      <c r="B184" s="2" t="s">
        <v>269</v>
      </c>
      <c r="C184" s="2" t="s">
        <v>5064</v>
      </c>
      <c r="D184" s="2"/>
    </row>
    <row r="185" spans="1:4" ht="18" customHeight="1" x14ac:dyDescent="0.3">
      <c r="A185" s="2" t="s">
        <v>2387</v>
      </c>
      <c r="B185" s="2" t="s">
        <v>269</v>
      </c>
      <c r="C185" s="2" t="s">
        <v>5064</v>
      </c>
      <c r="D185" s="2"/>
    </row>
    <row r="186" spans="1:4" ht="18" customHeight="1" x14ac:dyDescent="0.3">
      <c r="A186" s="2" t="s">
        <v>2389</v>
      </c>
      <c r="B186" s="2" t="s">
        <v>269</v>
      </c>
      <c r="C186" s="2" t="s">
        <v>5064</v>
      </c>
      <c r="D186" s="2"/>
    </row>
    <row r="187" spans="1:4" ht="18" customHeight="1" x14ac:dyDescent="0.3">
      <c r="A187" s="2" t="s">
        <v>2391</v>
      </c>
      <c r="B187" s="2" t="s">
        <v>269</v>
      </c>
      <c r="C187" s="2" t="s">
        <v>5064</v>
      </c>
      <c r="D187" s="2"/>
    </row>
    <row r="188" spans="1:4" ht="18" customHeight="1" x14ac:dyDescent="0.3">
      <c r="A188" s="2" t="s">
        <v>2393</v>
      </c>
      <c r="B188" s="2" t="s">
        <v>269</v>
      </c>
      <c r="C188" s="2" t="s">
        <v>5064</v>
      </c>
      <c r="D188" s="2"/>
    </row>
    <row r="189" spans="1:4" ht="18" customHeight="1" x14ac:dyDescent="0.3">
      <c r="A189" s="2" t="s">
        <v>2395</v>
      </c>
      <c r="B189" s="2" t="s">
        <v>269</v>
      </c>
      <c r="C189" s="2" t="s">
        <v>5064</v>
      </c>
      <c r="D189" s="2"/>
    </row>
    <row r="190" spans="1:4" ht="18" customHeight="1" x14ac:dyDescent="0.3">
      <c r="A190" s="2" t="s">
        <v>2397</v>
      </c>
      <c r="B190" s="2" t="s">
        <v>269</v>
      </c>
      <c r="C190" s="2" t="s">
        <v>5064</v>
      </c>
      <c r="D190" s="2"/>
    </row>
    <row r="191" spans="1:4" ht="18" customHeight="1" x14ac:dyDescent="0.3">
      <c r="A191" s="2" t="s">
        <v>2399</v>
      </c>
      <c r="B191" s="2" t="s">
        <v>269</v>
      </c>
      <c r="C191" s="2" t="s">
        <v>5064</v>
      </c>
      <c r="D191" s="2"/>
    </row>
    <row r="192" spans="1:4" ht="18" customHeight="1" x14ac:dyDescent="0.3">
      <c r="A192" s="2" t="s">
        <v>2401</v>
      </c>
      <c r="B192" s="2" t="s">
        <v>269</v>
      </c>
      <c r="C192" s="2" t="s">
        <v>5064</v>
      </c>
      <c r="D192" s="2"/>
    </row>
    <row r="193" spans="1:4" ht="18" customHeight="1" x14ac:dyDescent="0.3">
      <c r="A193" s="2" t="s">
        <v>2403</v>
      </c>
      <c r="B193" s="2" t="s">
        <v>269</v>
      </c>
      <c r="C193" s="2" t="s">
        <v>5064</v>
      </c>
      <c r="D193" s="2"/>
    </row>
    <row r="194" spans="1:4" ht="18" customHeight="1" x14ac:dyDescent="0.3">
      <c r="A194" s="2" t="s">
        <v>2405</v>
      </c>
      <c r="B194" s="2" t="s">
        <v>269</v>
      </c>
      <c r="C194" s="2" t="s">
        <v>5064</v>
      </c>
      <c r="D194" s="2"/>
    </row>
    <row r="195" spans="1:4" ht="18" customHeight="1" x14ac:dyDescent="0.3">
      <c r="A195" s="2" t="s">
        <v>2407</v>
      </c>
      <c r="B195" s="2" t="s">
        <v>269</v>
      </c>
      <c r="C195" s="2" t="s">
        <v>5064</v>
      </c>
      <c r="D195" s="2"/>
    </row>
    <row r="196" spans="1:4" ht="18" customHeight="1" x14ac:dyDescent="0.3">
      <c r="A196" s="2" t="s">
        <v>2409</v>
      </c>
      <c r="B196" s="2" t="s">
        <v>269</v>
      </c>
      <c r="C196" s="2" t="s">
        <v>5064</v>
      </c>
      <c r="D196" s="2"/>
    </row>
    <row r="197" spans="1:4" ht="18" customHeight="1" x14ac:dyDescent="0.3">
      <c r="A197" s="2" t="s">
        <v>2411</v>
      </c>
      <c r="B197" s="2" t="s">
        <v>269</v>
      </c>
      <c r="C197" s="2" t="s">
        <v>5064</v>
      </c>
      <c r="D197" s="2"/>
    </row>
    <row r="198" spans="1:4" ht="18" customHeight="1" x14ac:dyDescent="0.3">
      <c r="A198" s="2" t="s">
        <v>2413</v>
      </c>
      <c r="B198" s="2" t="s">
        <v>269</v>
      </c>
      <c r="C198" s="2" t="s">
        <v>5064</v>
      </c>
      <c r="D198" s="2"/>
    </row>
    <row r="199" spans="1:4" ht="18" customHeight="1" x14ac:dyDescent="0.3">
      <c r="A199" s="2" t="s">
        <v>2415</v>
      </c>
      <c r="B199" s="2" t="s">
        <v>269</v>
      </c>
      <c r="C199" s="2" t="s">
        <v>5064</v>
      </c>
      <c r="D199" s="2"/>
    </row>
    <row r="200" spans="1:4" ht="18" customHeight="1" x14ac:dyDescent="0.3">
      <c r="A200" s="2" t="s">
        <v>2417</v>
      </c>
      <c r="B200" s="2" t="s">
        <v>269</v>
      </c>
      <c r="C200" s="2" t="s">
        <v>5064</v>
      </c>
      <c r="D200" s="2"/>
    </row>
    <row r="201" spans="1:4" ht="18" customHeight="1" x14ac:dyDescent="0.3">
      <c r="A201" s="2" t="s">
        <v>2419</v>
      </c>
      <c r="B201" s="2" t="s">
        <v>269</v>
      </c>
      <c r="C201" s="2" t="s">
        <v>5064</v>
      </c>
      <c r="D201" s="2"/>
    </row>
    <row r="202" spans="1:4" ht="18" customHeight="1" x14ac:dyDescent="0.3">
      <c r="A202" s="2" t="s">
        <v>2421</v>
      </c>
      <c r="B202" s="2" t="s">
        <v>269</v>
      </c>
      <c r="C202" s="2" t="s">
        <v>5064</v>
      </c>
      <c r="D202" s="2"/>
    </row>
    <row r="203" spans="1:4" ht="18" customHeight="1" x14ac:dyDescent="0.3">
      <c r="A203" s="2" t="s">
        <v>2423</v>
      </c>
      <c r="B203" s="2" t="s">
        <v>269</v>
      </c>
      <c r="C203" s="2" t="s">
        <v>5064</v>
      </c>
      <c r="D203" s="2"/>
    </row>
    <row r="204" spans="1:4" ht="18" customHeight="1" x14ac:dyDescent="0.3">
      <c r="A204" s="2" t="s">
        <v>2425</v>
      </c>
      <c r="B204" s="2" t="s">
        <v>269</v>
      </c>
      <c r="C204" s="2" t="s">
        <v>5064</v>
      </c>
      <c r="D204" s="2"/>
    </row>
    <row r="205" spans="1:4" ht="18" customHeight="1" x14ac:dyDescent="0.3">
      <c r="A205" s="2" t="s">
        <v>2427</v>
      </c>
      <c r="B205" s="2" t="s">
        <v>269</v>
      </c>
      <c r="C205" s="2" t="s">
        <v>5064</v>
      </c>
      <c r="D205" s="2"/>
    </row>
    <row r="206" spans="1:4" ht="18" customHeight="1" x14ac:dyDescent="0.3">
      <c r="A206" s="2" t="s">
        <v>2429</v>
      </c>
      <c r="B206" s="2" t="s">
        <v>269</v>
      </c>
      <c r="C206" s="2" t="s">
        <v>5064</v>
      </c>
      <c r="D206" s="2"/>
    </row>
    <row r="207" spans="1:4" ht="18" customHeight="1" x14ac:dyDescent="0.3">
      <c r="A207" s="2" t="s">
        <v>2431</v>
      </c>
      <c r="B207" s="2" t="s">
        <v>269</v>
      </c>
      <c r="C207" s="2" t="s">
        <v>5064</v>
      </c>
      <c r="D207" s="2"/>
    </row>
    <row r="208" spans="1:4" ht="18" customHeight="1" x14ac:dyDescent="0.3">
      <c r="A208" s="2" t="s">
        <v>2433</v>
      </c>
      <c r="B208" s="2" t="s">
        <v>269</v>
      </c>
      <c r="C208" s="2" t="s">
        <v>5064</v>
      </c>
      <c r="D208" s="2"/>
    </row>
    <row r="209" spans="1:4" ht="18" customHeight="1" x14ac:dyDescent="0.3">
      <c r="A209" s="2" t="s">
        <v>2435</v>
      </c>
      <c r="B209" s="2" t="s">
        <v>269</v>
      </c>
      <c r="C209" s="2" t="s">
        <v>5064</v>
      </c>
      <c r="D209" s="2"/>
    </row>
    <row r="210" spans="1:4" ht="18" customHeight="1" x14ac:dyDescent="0.3">
      <c r="A210" s="2" t="s">
        <v>2437</v>
      </c>
      <c r="B210" s="2" t="s">
        <v>269</v>
      </c>
      <c r="C210" s="2" t="s">
        <v>5064</v>
      </c>
      <c r="D210" s="2"/>
    </row>
    <row r="211" spans="1:4" ht="18" customHeight="1" x14ac:dyDescent="0.3">
      <c r="A211" s="2" t="s">
        <v>2439</v>
      </c>
      <c r="B211" s="2" t="s">
        <v>269</v>
      </c>
      <c r="C211" s="2" t="s">
        <v>5064</v>
      </c>
      <c r="D211" s="2"/>
    </row>
    <row r="212" spans="1:4" ht="18" customHeight="1" x14ac:dyDescent="0.3">
      <c r="A212" s="2" t="s">
        <v>2441</v>
      </c>
      <c r="B212" s="2" t="s">
        <v>269</v>
      </c>
      <c r="C212" s="2" t="s">
        <v>5064</v>
      </c>
      <c r="D212" s="2"/>
    </row>
    <row r="213" spans="1:4" ht="18" customHeight="1" x14ac:dyDescent="0.3">
      <c r="A213" s="2" t="s">
        <v>2443</v>
      </c>
      <c r="B213" s="2" t="s">
        <v>269</v>
      </c>
      <c r="C213" s="2" t="s">
        <v>5064</v>
      </c>
      <c r="D213" s="2"/>
    </row>
    <row r="214" spans="1:4" ht="18" customHeight="1" x14ac:dyDescent="0.3">
      <c r="A214" s="2" t="s">
        <v>2445</v>
      </c>
      <c r="B214" s="2" t="s">
        <v>269</v>
      </c>
      <c r="C214" s="2" t="s">
        <v>5064</v>
      </c>
      <c r="D214" s="2"/>
    </row>
    <row r="215" spans="1:4" ht="18" customHeight="1" x14ac:dyDescent="0.3">
      <c r="A215" s="2" t="s">
        <v>2447</v>
      </c>
      <c r="B215" s="2" t="s">
        <v>269</v>
      </c>
      <c r="C215" s="2" t="s">
        <v>5064</v>
      </c>
      <c r="D215" s="2"/>
    </row>
    <row r="216" spans="1:4" ht="18" customHeight="1" x14ac:dyDescent="0.3">
      <c r="A216" s="2" t="s">
        <v>2449</v>
      </c>
      <c r="B216" s="2" t="s">
        <v>269</v>
      </c>
      <c r="C216" s="2" t="s">
        <v>5064</v>
      </c>
      <c r="D216" s="2"/>
    </row>
    <row r="217" spans="1:4" ht="18" customHeight="1" x14ac:dyDescent="0.3">
      <c r="A217" s="2" t="s">
        <v>2451</v>
      </c>
      <c r="B217" s="2" t="s">
        <v>269</v>
      </c>
      <c r="C217" s="2" t="s">
        <v>5064</v>
      </c>
      <c r="D217" s="2"/>
    </row>
    <row r="218" spans="1:4" ht="18" customHeight="1" x14ac:dyDescent="0.3">
      <c r="A218" s="2" t="s">
        <v>2453</v>
      </c>
      <c r="B218" s="2" t="s">
        <v>269</v>
      </c>
      <c r="C218" s="2" t="s">
        <v>5064</v>
      </c>
      <c r="D218" s="2"/>
    </row>
    <row r="219" spans="1:4" ht="18" customHeight="1" x14ac:dyDescent="0.3">
      <c r="A219" s="2" t="s">
        <v>2455</v>
      </c>
      <c r="B219" s="2" t="s">
        <v>269</v>
      </c>
      <c r="C219" s="2" t="s">
        <v>5064</v>
      </c>
      <c r="D219" s="2"/>
    </row>
    <row r="220" spans="1:4" ht="18" customHeight="1" x14ac:dyDescent="0.3">
      <c r="A220" s="2" t="s">
        <v>2457</v>
      </c>
      <c r="B220" s="2" t="s">
        <v>269</v>
      </c>
      <c r="C220" s="2" t="s">
        <v>5064</v>
      </c>
      <c r="D220" s="2"/>
    </row>
    <row r="221" spans="1:4" ht="18" customHeight="1" x14ac:dyDescent="0.3">
      <c r="A221" s="2" t="s">
        <v>2459</v>
      </c>
      <c r="B221" s="2" t="s">
        <v>269</v>
      </c>
      <c r="C221" s="2" t="s">
        <v>5064</v>
      </c>
      <c r="D221" s="2"/>
    </row>
    <row r="222" spans="1:4" ht="18" customHeight="1" x14ac:dyDescent="0.3">
      <c r="A222" s="2" t="s">
        <v>2461</v>
      </c>
      <c r="B222" s="2" t="s">
        <v>269</v>
      </c>
      <c r="C222" s="2" t="s">
        <v>5064</v>
      </c>
      <c r="D222" s="2"/>
    </row>
    <row r="223" spans="1:4" ht="18" customHeight="1" x14ac:dyDescent="0.3">
      <c r="A223" s="2" t="s">
        <v>2463</v>
      </c>
      <c r="B223" s="2" t="s">
        <v>269</v>
      </c>
      <c r="C223" s="2" t="s">
        <v>5064</v>
      </c>
      <c r="D223" s="2"/>
    </row>
    <row r="224" spans="1:4" ht="18" customHeight="1" x14ac:dyDescent="0.3">
      <c r="A224" s="2" t="s">
        <v>2465</v>
      </c>
      <c r="B224" s="2" t="s">
        <v>269</v>
      </c>
      <c r="C224" s="2" t="s">
        <v>5064</v>
      </c>
      <c r="D224" s="2"/>
    </row>
    <row r="225" spans="1:4" ht="18" customHeight="1" x14ac:dyDescent="0.3">
      <c r="A225" s="2" t="s">
        <v>2467</v>
      </c>
      <c r="B225" s="2" t="s">
        <v>269</v>
      </c>
      <c r="C225" s="2" t="s">
        <v>5064</v>
      </c>
      <c r="D225" s="2"/>
    </row>
    <row r="226" spans="1:4" ht="18" customHeight="1" x14ac:dyDescent="0.3">
      <c r="A226" s="2" t="s">
        <v>2469</v>
      </c>
      <c r="B226" s="2" t="s">
        <v>269</v>
      </c>
      <c r="C226" s="2" t="s">
        <v>5064</v>
      </c>
      <c r="D226" s="2"/>
    </row>
    <row r="227" spans="1:4" ht="18" customHeight="1" x14ac:dyDescent="0.3">
      <c r="A227" s="2" t="s">
        <v>2471</v>
      </c>
      <c r="B227" s="2" t="s">
        <v>269</v>
      </c>
      <c r="C227" s="2" t="s">
        <v>5064</v>
      </c>
      <c r="D227" s="2"/>
    </row>
    <row r="228" spans="1:4" ht="18" customHeight="1" x14ac:dyDescent="0.3">
      <c r="A228" s="2" t="s">
        <v>2473</v>
      </c>
      <c r="B228" s="2" t="s">
        <v>269</v>
      </c>
      <c r="C228" s="2" t="s">
        <v>5064</v>
      </c>
      <c r="D228" s="2"/>
    </row>
    <row r="229" spans="1:4" ht="18" customHeight="1" x14ac:dyDescent="0.3">
      <c r="A229" s="2" t="s">
        <v>2475</v>
      </c>
      <c r="B229" s="2" t="s">
        <v>269</v>
      </c>
      <c r="C229" s="2" t="s">
        <v>5064</v>
      </c>
      <c r="D229" s="2"/>
    </row>
    <row r="230" spans="1:4" ht="18" customHeight="1" x14ac:dyDescent="0.3">
      <c r="A230" s="2" t="s">
        <v>2477</v>
      </c>
      <c r="B230" s="2" t="s">
        <v>269</v>
      </c>
      <c r="C230" s="2" t="s">
        <v>5064</v>
      </c>
      <c r="D230" s="2"/>
    </row>
    <row r="231" spans="1:4" ht="18" customHeight="1" x14ac:dyDescent="0.3">
      <c r="A231" s="2" t="s">
        <v>2479</v>
      </c>
      <c r="B231" s="2" t="s">
        <v>269</v>
      </c>
      <c r="C231" s="2" t="s">
        <v>5064</v>
      </c>
      <c r="D231" s="2"/>
    </row>
    <row r="232" spans="1:4" ht="18" customHeight="1" x14ac:dyDescent="0.3">
      <c r="A232" s="2" t="s">
        <v>2481</v>
      </c>
      <c r="B232" s="2" t="s">
        <v>269</v>
      </c>
      <c r="C232" s="2" t="s">
        <v>5064</v>
      </c>
      <c r="D232" s="2"/>
    </row>
    <row r="233" spans="1:4" ht="18" customHeight="1" x14ac:dyDescent="0.3">
      <c r="A233" s="2" t="s">
        <v>2483</v>
      </c>
      <c r="B233" s="2" t="s">
        <v>269</v>
      </c>
      <c r="C233" s="2" t="s">
        <v>5064</v>
      </c>
      <c r="D233" s="2"/>
    </row>
    <row r="234" spans="1:4" ht="18" customHeight="1" x14ac:dyDescent="0.3">
      <c r="A234" s="2" t="s">
        <v>2485</v>
      </c>
      <c r="B234" s="2" t="s">
        <v>269</v>
      </c>
      <c r="C234" s="2" t="s">
        <v>5064</v>
      </c>
      <c r="D234" s="2"/>
    </row>
    <row r="235" spans="1:4" ht="18" customHeight="1" x14ac:dyDescent="0.3">
      <c r="A235" s="2" t="s">
        <v>2487</v>
      </c>
      <c r="B235" s="2" t="s">
        <v>269</v>
      </c>
      <c r="C235" s="2" t="s">
        <v>5064</v>
      </c>
      <c r="D235" s="2"/>
    </row>
    <row r="236" spans="1:4" ht="18" customHeight="1" x14ac:dyDescent="0.3">
      <c r="A236" s="2" t="s">
        <v>2489</v>
      </c>
      <c r="B236" s="2" t="s">
        <v>269</v>
      </c>
      <c r="C236" s="2" t="s">
        <v>5064</v>
      </c>
      <c r="D236" s="2"/>
    </row>
    <row r="237" spans="1:4" ht="18" customHeight="1" x14ac:dyDescent="0.3">
      <c r="A237" s="2" t="s">
        <v>2491</v>
      </c>
      <c r="B237" s="2" t="s">
        <v>269</v>
      </c>
      <c r="C237" s="2" t="s">
        <v>5064</v>
      </c>
      <c r="D237" s="2"/>
    </row>
    <row r="238" spans="1:4" ht="18" customHeight="1" x14ac:dyDescent="0.3">
      <c r="A238" s="2" t="s">
        <v>2493</v>
      </c>
      <c r="B238" s="2" t="s">
        <v>269</v>
      </c>
      <c r="C238" s="2" t="s">
        <v>5064</v>
      </c>
      <c r="D238" s="2"/>
    </row>
    <row r="239" spans="1:4" ht="18" customHeight="1" x14ac:dyDescent="0.3">
      <c r="A239" s="2" t="s">
        <v>2495</v>
      </c>
      <c r="B239" s="2" t="s">
        <v>269</v>
      </c>
      <c r="C239" s="2" t="s">
        <v>5064</v>
      </c>
      <c r="D239" s="2"/>
    </row>
    <row r="240" spans="1:4" ht="18" customHeight="1" x14ac:dyDescent="0.3">
      <c r="A240" s="2" t="s">
        <v>2497</v>
      </c>
      <c r="B240" s="2" t="s">
        <v>269</v>
      </c>
      <c r="C240" s="2" t="s">
        <v>5064</v>
      </c>
      <c r="D240" s="2"/>
    </row>
    <row r="241" spans="1:4" ht="18" customHeight="1" x14ac:dyDescent="0.3">
      <c r="A241" s="2" t="s">
        <v>2499</v>
      </c>
      <c r="B241" s="2" t="s">
        <v>269</v>
      </c>
      <c r="C241" s="2" t="s">
        <v>5064</v>
      </c>
      <c r="D241" s="2"/>
    </row>
    <row r="242" spans="1:4" ht="18" customHeight="1" x14ac:dyDescent="0.3">
      <c r="A242" s="2" t="s">
        <v>2501</v>
      </c>
      <c r="B242" s="2" t="s">
        <v>269</v>
      </c>
      <c r="C242" s="2" t="s">
        <v>5064</v>
      </c>
      <c r="D242" s="2"/>
    </row>
    <row r="243" spans="1:4" ht="18" customHeight="1" x14ac:dyDescent="0.3">
      <c r="A243" s="2" t="s">
        <v>2503</v>
      </c>
      <c r="B243" s="2" t="s">
        <v>269</v>
      </c>
      <c r="C243" s="2" t="s">
        <v>5064</v>
      </c>
      <c r="D243" s="2"/>
    </row>
    <row r="244" spans="1:4" ht="18" customHeight="1" x14ac:dyDescent="0.3">
      <c r="A244" s="2" t="s">
        <v>2505</v>
      </c>
      <c r="B244" s="2" t="s">
        <v>269</v>
      </c>
      <c r="C244" s="2" t="s">
        <v>5064</v>
      </c>
      <c r="D244" s="2"/>
    </row>
    <row r="245" spans="1:4" ht="18" customHeight="1" x14ac:dyDescent="0.3">
      <c r="A245" s="2" t="s">
        <v>2507</v>
      </c>
      <c r="B245" s="2" t="s">
        <v>269</v>
      </c>
      <c r="C245" s="2" t="s">
        <v>5064</v>
      </c>
      <c r="D245" s="2"/>
    </row>
    <row r="246" spans="1:4" ht="18" customHeight="1" x14ac:dyDescent="0.3">
      <c r="A246" s="2" t="s">
        <v>2509</v>
      </c>
      <c r="B246" s="2" t="s">
        <v>269</v>
      </c>
      <c r="C246" s="2" t="s">
        <v>5064</v>
      </c>
      <c r="D246" s="2"/>
    </row>
    <row r="247" spans="1:4" ht="18" customHeight="1" x14ac:dyDescent="0.3">
      <c r="A247" s="2" t="s">
        <v>2511</v>
      </c>
      <c r="B247" s="2" t="s">
        <v>269</v>
      </c>
      <c r="C247" s="2" t="s">
        <v>5064</v>
      </c>
      <c r="D247" s="2"/>
    </row>
    <row r="248" spans="1:4" ht="18" customHeight="1" x14ac:dyDescent="0.3">
      <c r="A248" s="2" t="s">
        <v>2513</v>
      </c>
      <c r="B248" s="2" t="s">
        <v>269</v>
      </c>
      <c r="C248" s="2" t="s">
        <v>5064</v>
      </c>
      <c r="D248" s="2"/>
    </row>
    <row r="249" spans="1:4" ht="18" customHeight="1" x14ac:dyDescent="0.3">
      <c r="A249" s="2" t="s">
        <v>2515</v>
      </c>
      <c r="B249" s="2" t="s">
        <v>269</v>
      </c>
      <c r="C249" s="2" t="s">
        <v>5064</v>
      </c>
      <c r="D249" s="2"/>
    </row>
    <row r="250" spans="1:4" ht="18" customHeight="1" x14ac:dyDescent="0.3">
      <c r="A250" s="2" t="s">
        <v>2517</v>
      </c>
      <c r="B250" s="2" t="s">
        <v>269</v>
      </c>
      <c r="C250" s="2" t="s">
        <v>5064</v>
      </c>
      <c r="D250" s="2"/>
    </row>
    <row r="251" spans="1:4" ht="18" customHeight="1" x14ac:dyDescent="0.3">
      <c r="A251" s="2" t="s">
        <v>2519</v>
      </c>
      <c r="B251" s="2" t="s">
        <v>269</v>
      </c>
      <c r="C251" s="2" t="s">
        <v>5064</v>
      </c>
      <c r="D251" s="2"/>
    </row>
    <row r="252" spans="1:4" ht="18" customHeight="1" x14ac:dyDescent="0.3">
      <c r="A252" s="2" t="s">
        <v>2521</v>
      </c>
      <c r="B252" s="2" t="s">
        <v>269</v>
      </c>
      <c r="C252" s="2" t="s">
        <v>5064</v>
      </c>
      <c r="D252" s="2"/>
    </row>
    <row r="253" spans="1:4" ht="18" customHeight="1" x14ac:dyDescent="0.3">
      <c r="A253" s="2" t="s">
        <v>2523</v>
      </c>
      <c r="B253" s="2" t="s">
        <v>269</v>
      </c>
      <c r="C253" s="2" t="s">
        <v>5064</v>
      </c>
      <c r="D253" s="2"/>
    </row>
    <row r="254" spans="1:4" ht="18" customHeight="1" x14ac:dyDescent="0.3">
      <c r="A254" s="2" t="s">
        <v>2524</v>
      </c>
      <c r="B254" s="2" t="s">
        <v>269</v>
      </c>
      <c r="C254" s="2" t="s">
        <v>5064</v>
      </c>
      <c r="D254" s="2"/>
    </row>
    <row r="255" spans="1:4" ht="18" customHeight="1" x14ac:dyDescent="0.3">
      <c r="A255" s="2" t="s">
        <v>2525</v>
      </c>
      <c r="B255" s="2" t="s">
        <v>269</v>
      </c>
      <c r="C255" s="2" t="s">
        <v>5064</v>
      </c>
      <c r="D255" s="2"/>
    </row>
    <row r="256" spans="1:4" ht="18" customHeight="1" x14ac:dyDescent="0.3">
      <c r="A256" s="2" t="s">
        <v>2526</v>
      </c>
      <c r="B256" s="2" t="s">
        <v>269</v>
      </c>
      <c r="C256" s="2" t="s">
        <v>5064</v>
      </c>
      <c r="D256" s="2"/>
    </row>
    <row r="257" spans="1:4" ht="18" customHeight="1" x14ac:dyDescent="0.3">
      <c r="A257" s="2" t="s">
        <v>2528</v>
      </c>
      <c r="B257" s="2" t="s">
        <v>269</v>
      </c>
      <c r="C257" s="2" t="s">
        <v>5064</v>
      </c>
      <c r="D257" s="2"/>
    </row>
    <row r="258" spans="1:4" ht="18" customHeight="1" x14ac:dyDescent="0.3">
      <c r="A258" s="2" t="s">
        <v>2530</v>
      </c>
      <c r="B258" s="2" t="s">
        <v>269</v>
      </c>
      <c r="C258" s="2" t="s">
        <v>5064</v>
      </c>
      <c r="D258" s="2"/>
    </row>
    <row r="259" spans="1:4" ht="18" customHeight="1" x14ac:dyDescent="0.3">
      <c r="A259" s="2" t="s">
        <v>2532</v>
      </c>
      <c r="B259" s="2" t="s">
        <v>269</v>
      </c>
      <c r="C259" s="2" t="s">
        <v>5064</v>
      </c>
      <c r="D259" s="2"/>
    </row>
    <row r="260" spans="1:4" ht="18" customHeight="1" x14ac:dyDescent="0.3">
      <c r="A260" s="2" t="s">
        <v>2534</v>
      </c>
      <c r="B260" s="2" t="s">
        <v>269</v>
      </c>
      <c r="C260" s="2" t="s">
        <v>5064</v>
      </c>
      <c r="D260" s="2"/>
    </row>
    <row r="261" spans="1:4" ht="18" customHeight="1" x14ac:dyDescent="0.3">
      <c r="A261" s="2" t="s">
        <v>2536</v>
      </c>
      <c r="B261" s="2" t="s">
        <v>269</v>
      </c>
      <c r="C261" s="2" t="s">
        <v>5064</v>
      </c>
      <c r="D261" s="2"/>
    </row>
    <row r="262" spans="1:4" ht="18" customHeight="1" x14ac:dyDescent="0.3">
      <c r="A262" s="2" t="s">
        <v>2537</v>
      </c>
      <c r="B262" s="2" t="s">
        <v>269</v>
      </c>
      <c r="C262" s="2" t="s">
        <v>5064</v>
      </c>
      <c r="D262" s="2"/>
    </row>
    <row r="263" spans="1:4" ht="18" customHeight="1" x14ac:dyDescent="0.3">
      <c r="A263" s="2" t="s">
        <v>2538</v>
      </c>
      <c r="B263" s="2" t="s">
        <v>269</v>
      </c>
      <c r="C263" s="2" t="s">
        <v>5064</v>
      </c>
      <c r="D263" s="2"/>
    </row>
    <row r="264" spans="1:4" ht="18" customHeight="1" x14ac:dyDescent="0.3">
      <c r="A264" s="2" t="s">
        <v>2539</v>
      </c>
      <c r="B264" s="2" t="s">
        <v>269</v>
      </c>
      <c r="C264" s="2" t="s">
        <v>5064</v>
      </c>
      <c r="D264" s="2"/>
    </row>
    <row r="265" spans="1:4" ht="18" customHeight="1" x14ac:dyDescent="0.3">
      <c r="A265" s="2" t="s">
        <v>2541</v>
      </c>
      <c r="B265" s="2" t="s">
        <v>269</v>
      </c>
      <c r="C265" s="2" t="s">
        <v>5064</v>
      </c>
      <c r="D265" s="2"/>
    </row>
    <row r="266" spans="1:4" ht="18" customHeight="1" x14ac:dyDescent="0.3">
      <c r="A266" s="2" t="s">
        <v>2543</v>
      </c>
      <c r="B266" s="2" t="s">
        <v>269</v>
      </c>
      <c r="C266" s="2" t="s">
        <v>5064</v>
      </c>
      <c r="D266" s="2"/>
    </row>
    <row r="267" spans="1:4" ht="18" customHeight="1" x14ac:dyDescent="0.3">
      <c r="A267" s="2" t="s">
        <v>2545</v>
      </c>
      <c r="B267" s="2" t="s">
        <v>269</v>
      </c>
      <c r="C267" s="2" t="s">
        <v>5064</v>
      </c>
      <c r="D267" s="2"/>
    </row>
    <row r="268" spans="1:4" ht="18" customHeight="1" x14ac:dyDescent="0.3">
      <c r="A268" s="2" t="s">
        <v>2547</v>
      </c>
      <c r="B268" s="2" t="s">
        <v>269</v>
      </c>
      <c r="C268" s="2" t="s">
        <v>5064</v>
      </c>
      <c r="D268" s="2"/>
    </row>
    <row r="269" spans="1:4" ht="18" customHeight="1" x14ac:dyDescent="0.3">
      <c r="A269" s="2" t="s">
        <v>2549</v>
      </c>
      <c r="B269" s="2" t="s">
        <v>269</v>
      </c>
      <c r="C269" s="2" t="s">
        <v>5064</v>
      </c>
      <c r="D269" s="2"/>
    </row>
    <row r="270" spans="1:4" ht="18" customHeight="1" x14ac:dyDescent="0.3">
      <c r="A270" s="2" t="s">
        <v>2551</v>
      </c>
      <c r="B270" s="2" t="s">
        <v>269</v>
      </c>
      <c r="C270" s="2" t="s">
        <v>5064</v>
      </c>
      <c r="D270" s="2"/>
    </row>
    <row r="271" spans="1:4" ht="18" customHeight="1" x14ac:dyDescent="0.3">
      <c r="A271" s="2" t="s">
        <v>2553</v>
      </c>
      <c r="B271" s="2" t="s">
        <v>269</v>
      </c>
      <c r="C271" s="2" t="s">
        <v>5064</v>
      </c>
      <c r="D271" s="2"/>
    </row>
    <row r="272" spans="1:4" ht="18" customHeight="1" x14ac:dyDescent="0.3">
      <c r="A272" s="2" t="s">
        <v>2555</v>
      </c>
      <c r="B272" s="2" t="s">
        <v>269</v>
      </c>
      <c r="C272" s="2" t="s">
        <v>5064</v>
      </c>
      <c r="D272" s="2"/>
    </row>
    <row r="273" spans="1:4" ht="18" customHeight="1" x14ac:dyDescent="0.3">
      <c r="A273" s="2" t="s">
        <v>2557</v>
      </c>
      <c r="B273" s="2" t="s">
        <v>269</v>
      </c>
      <c r="C273" s="2" t="s">
        <v>5064</v>
      </c>
      <c r="D273" s="2"/>
    </row>
    <row r="274" spans="1:4" ht="18" customHeight="1" x14ac:dyDescent="0.3">
      <c r="A274" s="2" t="s">
        <v>2559</v>
      </c>
      <c r="B274" s="2" t="s">
        <v>269</v>
      </c>
      <c r="C274" s="2" t="s">
        <v>5064</v>
      </c>
      <c r="D274" s="2"/>
    </row>
    <row r="275" spans="1:4" ht="18" customHeight="1" x14ac:dyDescent="0.3">
      <c r="A275" s="2" t="s">
        <v>2561</v>
      </c>
      <c r="B275" s="2" t="s">
        <v>269</v>
      </c>
      <c r="C275" s="2" t="s">
        <v>5064</v>
      </c>
      <c r="D275" s="2"/>
    </row>
    <row r="276" spans="1:4" ht="18" customHeight="1" x14ac:dyDescent="0.3">
      <c r="A276" s="2" t="s">
        <v>2563</v>
      </c>
      <c r="B276" s="2" t="s">
        <v>269</v>
      </c>
      <c r="C276" s="2" t="s">
        <v>5064</v>
      </c>
      <c r="D276" s="2"/>
    </row>
    <row r="277" spans="1:4" ht="18" customHeight="1" x14ac:dyDescent="0.3">
      <c r="A277" s="2" t="s">
        <v>2565</v>
      </c>
      <c r="B277" s="2" t="s">
        <v>269</v>
      </c>
      <c r="C277" s="2" t="s">
        <v>5064</v>
      </c>
      <c r="D277" s="2"/>
    </row>
    <row r="278" spans="1:4" ht="18" customHeight="1" x14ac:dyDescent="0.3">
      <c r="A278" s="2" t="s">
        <v>2567</v>
      </c>
      <c r="B278" s="2" t="s">
        <v>269</v>
      </c>
      <c r="C278" s="2" t="s">
        <v>5064</v>
      </c>
      <c r="D278" s="2"/>
    </row>
    <row r="279" spans="1:4" ht="18" customHeight="1" x14ac:dyDescent="0.3">
      <c r="A279" s="2" t="s">
        <v>2569</v>
      </c>
      <c r="B279" s="2" t="s">
        <v>269</v>
      </c>
      <c r="C279" s="2" t="s">
        <v>5064</v>
      </c>
      <c r="D279" s="2"/>
    </row>
    <row r="280" spans="1:4" ht="18" customHeight="1" x14ac:dyDescent="0.3">
      <c r="A280" s="2" t="s">
        <v>2571</v>
      </c>
      <c r="B280" s="2" t="s">
        <v>269</v>
      </c>
      <c r="C280" s="2" t="s">
        <v>5064</v>
      </c>
      <c r="D280" s="2"/>
    </row>
    <row r="281" spans="1:4" ht="18" customHeight="1" x14ac:dyDescent="0.3">
      <c r="A281" s="2" t="s">
        <v>2573</v>
      </c>
      <c r="B281" s="2" t="s">
        <v>269</v>
      </c>
      <c r="C281" s="2" t="s">
        <v>5064</v>
      </c>
      <c r="D281" s="2"/>
    </row>
    <row r="282" spans="1:4" ht="18" customHeight="1" x14ac:dyDescent="0.3">
      <c r="A282" s="2" t="s">
        <v>2574</v>
      </c>
      <c r="B282" s="2" t="s">
        <v>269</v>
      </c>
      <c r="C282" s="2" t="s">
        <v>5064</v>
      </c>
      <c r="D282" s="2"/>
    </row>
    <row r="283" spans="1:4" ht="18" customHeight="1" x14ac:dyDescent="0.3">
      <c r="A283" s="2" t="s">
        <v>2576</v>
      </c>
      <c r="B283" s="2" t="s">
        <v>269</v>
      </c>
      <c r="C283" s="2" t="s">
        <v>5064</v>
      </c>
      <c r="D283" s="2"/>
    </row>
    <row r="284" spans="1:4" ht="18" customHeight="1" x14ac:dyDescent="0.3">
      <c r="A284" s="2" t="s">
        <v>2578</v>
      </c>
      <c r="B284" s="2" t="s">
        <v>269</v>
      </c>
      <c r="C284" s="2" t="s">
        <v>5064</v>
      </c>
      <c r="D284" s="2"/>
    </row>
    <row r="285" spans="1:4" ht="18" customHeight="1" x14ac:dyDescent="0.3">
      <c r="A285" s="2" t="s">
        <v>2580</v>
      </c>
      <c r="B285" s="2" t="s">
        <v>269</v>
      </c>
      <c r="C285" s="2" t="s">
        <v>5064</v>
      </c>
      <c r="D285" s="2"/>
    </row>
    <row r="286" spans="1:4" ht="18" customHeight="1" x14ac:dyDescent="0.3">
      <c r="A286" s="2" t="s">
        <v>2582</v>
      </c>
      <c r="B286" s="2" t="s">
        <v>269</v>
      </c>
      <c r="C286" s="2" t="s">
        <v>5064</v>
      </c>
      <c r="D286" s="2"/>
    </row>
    <row r="287" spans="1:4" ht="18" customHeight="1" x14ac:dyDescent="0.3">
      <c r="A287" s="2" t="s">
        <v>2584</v>
      </c>
      <c r="B287" s="2" t="s">
        <v>269</v>
      </c>
      <c r="C287" s="2" t="s">
        <v>5064</v>
      </c>
      <c r="D287" s="2"/>
    </row>
    <row r="288" spans="1:4" ht="18" customHeight="1" x14ac:dyDescent="0.3">
      <c r="A288" s="2" t="s">
        <v>2586</v>
      </c>
      <c r="B288" s="2" t="s">
        <v>269</v>
      </c>
      <c r="C288" s="2" t="s">
        <v>5064</v>
      </c>
      <c r="D288" s="2"/>
    </row>
    <row r="289" spans="1:4" ht="18" customHeight="1" x14ac:dyDescent="0.3">
      <c r="A289" s="2" t="s">
        <v>2588</v>
      </c>
      <c r="B289" s="2" t="s">
        <v>269</v>
      </c>
      <c r="C289" s="2" t="s">
        <v>5064</v>
      </c>
      <c r="D289" s="2"/>
    </row>
    <row r="290" spans="1:4" ht="18" customHeight="1" x14ac:dyDescent="0.3">
      <c r="A290" s="2" t="s">
        <v>2590</v>
      </c>
      <c r="B290" s="2" t="s">
        <v>269</v>
      </c>
      <c r="C290" s="2" t="s">
        <v>5064</v>
      </c>
      <c r="D290" s="2"/>
    </row>
    <row r="291" spans="1:4" ht="18" customHeight="1" x14ac:dyDescent="0.3">
      <c r="A291" s="2" t="s">
        <v>2592</v>
      </c>
      <c r="B291" s="2" t="s">
        <v>269</v>
      </c>
      <c r="C291" s="2" t="s">
        <v>5064</v>
      </c>
      <c r="D291" s="2"/>
    </row>
    <row r="292" spans="1:4" ht="18" customHeight="1" x14ac:dyDescent="0.3">
      <c r="A292" s="2" t="s">
        <v>2594</v>
      </c>
      <c r="B292" s="2" t="s">
        <v>269</v>
      </c>
      <c r="C292" s="2" t="s">
        <v>5064</v>
      </c>
      <c r="D292" s="2"/>
    </row>
    <row r="293" spans="1:4" ht="18" customHeight="1" x14ac:dyDescent="0.3">
      <c r="A293" s="2" t="s">
        <v>2596</v>
      </c>
      <c r="B293" s="2" t="s">
        <v>269</v>
      </c>
      <c r="C293" s="2" t="s">
        <v>5064</v>
      </c>
      <c r="D293" s="2"/>
    </row>
    <row r="294" spans="1:4" ht="18" customHeight="1" x14ac:dyDescent="0.3">
      <c r="A294" s="2" t="s">
        <v>2598</v>
      </c>
      <c r="B294" s="2" t="s">
        <v>269</v>
      </c>
      <c r="C294" s="2" t="s">
        <v>5064</v>
      </c>
      <c r="D294" s="2"/>
    </row>
    <row r="295" spans="1:4" ht="18" customHeight="1" x14ac:dyDescent="0.3">
      <c r="A295" s="2" t="s">
        <v>2600</v>
      </c>
      <c r="B295" s="2" t="s">
        <v>269</v>
      </c>
      <c r="C295" s="2" t="s">
        <v>5064</v>
      </c>
      <c r="D295" s="2"/>
    </row>
    <row r="296" spans="1:4" ht="18" customHeight="1" x14ac:dyDescent="0.3">
      <c r="A296" s="2" t="s">
        <v>2602</v>
      </c>
      <c r="B296" s="2" t="s">
        <v>269</v>
      </c>
      <c r="C296" s="2" t="s">
        <v>5064</v>
      </c>
      <c r="D296" s="2"/>
    </row>
    <row r="297" spans="1:4" ht="18" customHeight="1" x14ac:dyDescent="0.3">
      <c r="A297" s="2" t="s">
        <v>2604</v>
      </c>
      <c r="B297" s="2" t="s">
        <v>269</v>
      </c>
      <c r="C297" s="2" t="s">
        <v>5064</v>
      </c>
      <c r="D297" s="2"/>
    </row>
    <row r="298" spans="1:4" ht="18" customHeight="1" x14ac:dyDescent="0.3">
      <c r="A298" s="2" t="s">
        <v>2606</v>
      </c>
      <c r="B298" s="2" t="s">
        <v>269</v>
      </c>
      <c r="C298" s="2" t="s">
        <v>5064</v>
      </c>
      <c r="D298" s="2"/>
    </row>
    <row r="299" spans="1:4" ht="18" customHeight="1" x14ac:dyDescent="0.3">
      <c r="A299" s="2" t="s">
        <v>2608</v>
      </c>
      <c r="B299" s="2" t="s">
        <v>269</v>
      </c>
      <c r="C299" s="2" t="s">
        <v>5064</v>
      </c>
      <c r="D299" s="2"/>
    </row>
    <row r="300" spans="1:4" ht="18" customHeight="1" x14ac:dyDescent="0.3">
      <c r="A300" s="2" t="s">
        <v>2610</v>
      </c>
      <c r="B300" s="2" t="s">
        <v>269</v>
      </c>
      <c r="C300" s="2" t="s">
        <v>5064</v>
      </c>
      <c r="D300" s="2"/>
    </row>
    <row r="301" spans="1:4" ht="18" customHeight="1" x14ac:dyDescent="0.3">
      <c r="A301" s="2" t="s">
        <v>2612</v>
      </c>
      <c r="B301" s="2" t="s">
        <v>269</v>
      </c>
      <c r="C301" s="2" t="s">
        <v>5064</v>
      </c>
      <c r="D301" s="2"/>
    </row>
    <row r="302" spans="1:4" ht="18" customHeight="1" x14ac:dyDescent="0.3">
      <c r="A302" s="2" t="s">
        <v>2614</v>
      </c>
      <c r="B302" s="2" t="s">
        <v>269</v>
      </c>
      <c r="C302" s="2" t="s">
        <v>5064</v>
      </c>
      <c r="D302" s="2"/>
    </row>
    <row r="303" spans="1:4" ht="18" customHeight="1" x14ac:dyDescent="0.3">
      <c r="A303" s="2" t="s">
        <v>2616</v>
      </c>
      <c r="B303" s="2" t="s">
        <v>269</v>
      </c>
      <c r="C303" s="2" t="s">
        <v>5064</v>
      </c>
      <c r="D303" s="2"/>
    </row>
    <row r="304" spans="1:4" ht="18" customHeight="1" x14ac:dyDescent="0.3">
      <c r="A304" s="2" t="s">
        <v>2618</v>
      </c>
      <c r="B304" s="2" t="s">
        <v>269</v>
      </c>
      <c r="C304" s="2" t="s">
        <v>5064</v>
      </c>
      <c r="D304" s="2"/>
    </row>
    <row r="305" spans="1:4" ht="18" customHeight="1" x14ac:dyDescent="0.3">
      <c r="A305" s="2" t="s">
        <v>2620</v>
      </c>
      <c r="B305" s="2" t="s">
        <v>269</v>
      </c>
      <c r="C305" s="2" t="s">
        <v>5064</v>
      </c>
      <c r="D305" s="2"/>
    </row>
    <row r="306" spans="1:4" ht="18" customHeight="1" x14ac:dyDescent="0.3">
      <c r="A306" s="2" t="s">
        <v>2622</v>
      </c>
      <c r="B306" s="2" t="s">
        <v>269</v>
      </c>
      <c r="C306" s="2" t="s">
        <v>5064</v>
      </c>
      <c r="D306" s="2"/>
    </row>
    <row r="307" spans="1:4" ht="18" customHeight="1" x14ac:dyDescent="0.3">
      <c r="A307" s="2" t="s">
        <v>2624</v>
      </c>
      <c r="B307" s="2" t="s">
        <v>269</v>
      </c>
      <c r="C307" s="2" t="s">
        <v>5064</v>
      </c>
      <c r="D307" s="2"/>
    </row>
    <row r="308" spans="1:4" ht="18" customHeight="1" x14ac:dyDescent="0.3">
      <c r="A308" s="2" t="s">
        <v>2626</v>
      </c>
      <c r="B308" s="2" t="s">
        <v>269</v>
      </c>
      <c r="C308" s="2" t="s">
        <v>5064</v>
      </c>
      <c r="D308" s="2"/>
    </row>
    <row r="309" spans="1:4" ht="18" customHeight="1" x14ac:dyDescent="0.3">
      <c r="A309" s="2" t="s">
        <v>2628</v>
      </c>
      <c r="B309" s="2" t="s">
        <v>269</v>
      </c>
      <c r="C309" s="2" t="s">
        <v>5064</v>
      </c>
      <c r="D309" s="2"/>
    </row>
    <row r="310" spans="1:4" ht="18" customHeight="1" x14ac:dyDescent="0.3">
      <c r="A310" s="2" t="s">
        <v>2630</v>
      </c>
      <c r="B310" s="2" t="s">
        <v>269</v>
      </c>
      <c r="C310" s="2" t="s">
        <v>5064</v>
      </c>
      <c r="D310" s="2"/>
    </row>
    <row r="311" spans="1:4" ht="18" customHeight="1" x14ac:dyDescent="0.3">
      <c r="A311" s="2" t="s">
        <v>2632</v>
      </c>
      <c r="B311" s="2" t="s">
        <v>269</v>
      </c>
      <c r="C311" s="2" t="s">
        <v>5064</v>
      </c>
      <c r="D311" s="2"/>
    </row>
    <row r="312" spans="1:4" ht="18" customHeight="1" x14ac:dyDescent="0.3">
      <c r="A312" s="2" t="s">
        <v>2634</v>
      </c>
      <c r="B312" s="2" t="s">
        <v>269</v>
      </c>
      <c r="C312" s="2" t="s">
        <v>5064</v>
      </c>
      <c r="D312" s="2"/>
    </row>
    <row r="313" spans="1:4" ht="18" customHeight="1" x14ac:dyDescent="0.3">
      <c r="A313" s="2" t="s">
        <v>2636</v>
      </c>
      <c r="B313" s="2" t="s">
        <v>269</v>
      </c>
      <c r="C313" s="2" t="s">
        <v>5064</v>
      </c>
      <c r="D313" s="2"/>
    </row>
    <row r="314" spans="1:4" ht="18" customHeight="1" x14ac:dyDescent="0.3">
      <c r="A314" s="2" t="s">
        <v>2638</v>
      </c>
      <c r="B314" s="2" t="s">
        <v>269</v>
      </c>
      <c r="C314" s="2" t="s">
        <v>5064</v>
      </c>
      <c r="D314" s="2"/>
    </row>
    <row r="315" spans="1:4" ht="18" customHeight="1" x14ac:dyDescent="0.3">
      <c r="A315" s="2" t="s">
        <v>2640</v>
      </c>
      <c r="B315" s="2" t="s">
        <v>269</v>
      </c>
      <c r="C315" s="2" t="s">
        <v>5064</v>
      </c>
      <c r="D315" s="2"/>
    </row>
    <row r="316" spans="1:4" ht="18" customHeight="1" x14ac:dyDescent="0.3">
      <c r="A316" s="2" t="s">
        <v>2642</v>
      </c>
      <c r="B316" s="2" t="s">
        <v>269</v>
      </c>
      <c r="C316" s="2" t="s">
        <v>5064</v>
      </c>
      <c r="D316" s="2"/>
    </row>
    <row r="317" spans="1:4" ht="18" customHeight="1" x14ac:dyDescent="0.3">
      <c r="A317" s="2" t="s">
        <v>2644</v>
      </c>
      <c r="B317" s="2" t="s">
        <v>269</v>
      </c>
      <c r="C317" s="2" t="s">
        <v>5064</v>
      </c>
      <c r="D317" s="2"/>
    </row>
    <row r="318" spans="1:4" ht="18" customHeight="1" x14ac:dyDescent="0.3">
      <c r="A318" s="2" t="s">
        <v>2646</v>
      </c>
      <c r="B318" s="2" t="s">
        <v>269</v>
      </c>
      <c r="C318" s="2" t="s">
        <v>5064</v>
      </c>
      <c r="D318" s="2"/>
    </row>
    <row r="319" spans="1:4" ht="18" customHeight="1" x14ac:dyDescent="0.3">
      <c r="A319" s="2" t="s">
        <v>2648</v>
      </c>
      <c r="B319" s="2" t="s">
        <v>269</v>
      </c>
      <c r="C319" s="2" t="s">
        <v>5064</v>
      </c>
      <c r="D319" s="2"/>
    </row>
    <row r="320" spans="1:4" ht="18" customHeight="1" x14ac:dyDescent="0.3">
      <c r="A320" s="2" t="s">
        <v>2650</v>
      </c>
      <c r="B320" s="2" t="s">
        <v>269</v>
      </c>
      <c r="C320" s="2" t="s">
        <v>5064</v>
      </c>
      <c r="D320" s="2"/>
    </row>
    <row r="321" spans="1:4" ht="18" customHeight="1" x14ac:dyDescent="0.3">
      <c r="A321" s="2" t="s">
        <v>2652</v>
      </c>
      <c r="B321" s="2" t="s">
        <v>269</v>
      </c>
      <c r="C321" s="2" t="s">
        <v>5064</v>
      </c>
      <c r="D321" s="2"/>
    </row>
    <row r="322" spans="1:4" ht="18" customHeight="1" x14ac:dyDescent="0.3">
      <c r="A322" s="2" t="s">
        <v>2654</v>
      </c>
      <c r="B322" s="2" t="s">
        <v>269</v>
      </c>
      <c r="C322" s="2" t="s">
        <v>5064</v>
      </c>
      <c r="D322" s="2"/>
    </row>
    <row r="323" spans="1:4" ht="18" customHeight="1" x14ac:dyDescent="0.3">
      <c r="A323" s="2" t="s">
        <v>2656</v>
      </c>
      <c r="B323" s="2" t="s">
        <v>269</v>
      </c>
      <c r="C323" s="2" t="s">
        <v>5064</v>
      </c>
      <c r="D323" s="2"/>
    </row>
    <row r="324" spans="1:4" ht="18" customHeight="1" x14ac:dyDescent="0.3">
      <c r="A324" s="2" t="s">
        <v>2658</v>
      </c>
      <c r="B324" s="2" t="s">
        <v>269</v>
      </c>
      <c r="C324" s="2" t="s">
        <v>5064</v>
      </c>
      <c r="D324" s="2"/>
    </row>
    <row r="325" spans="1:4" ht="18" customHeight="1" x14ac:dyDescent="0.3">
      <c r="A325" s="2" t="s">
        <v>5526</v>
      </c>
      <c r="B325" s="2" t="s">
        <v>269</v>
      </c>
      <c r="C325" s="2" t="s">
        <v>5064</v>
      </c>
      <c r="D325" s="2"/>
    </row>
    <row r="326" spans="1:4" ht="18" customHeight="1" x14ac:dyDescent="0.3">
      <c r="A326" s="2" t="s">
        <v>2660</v>
      </c>
      <c r="B326" s="2" t="s">
        <v>269</v>
      </c>
      <c r="C326" s="2" t="s">
        <v>5064</v>
      </c>
      <c r="D326" s="2"/>
    </row>
    <row r="327" spans="1:4" ht="18" customHeight="1" x14ac:dyDescent="0.3">
      <c r="A327" s="2" t="s">
        <v>2662</v>
      </c>
      <c r="B327" s="2" t="s">
        <v>269</v>
      </c>
      <c r="C327" s="2" t="s">
        <v>5064</v>
      </c>
      <c r="D327" s="2"/>
    </row>
    <row r="328" spans="1:4" ht="18" customHeight="1" x14ac:dyDescent="0.3">
      <c r="A328" s="2" t="s">
        <v>2664</v>
      </c>
      <c r="B328" s="2" t="s">
        <v>269</v>
      </c>
      <c r="C328" s="2" t="s">
        <v>5064</v>
      </c>
      <c r="D328" s="2"/>
    </row>
    <row r="329" spans="1:4" ht="18" customHeight="1" x14ac:dyDescent="0.3">
      <c r="A329" s="2" t="s">
        <v>2666</v>
      </c>
      <c r="B329" s="2" t="s">
        <v>269</v>
      </c>
      <c r="C329" s="2" t="s">
        <v>5064</v>
      </c>
      <c r="D329" s="2"/>
    </row>
    <row r="330" spans="1:4" ht="18" customHeight="1" x14ac:dyDescent="0.3">
      <c r="A330" s="2" t="s">
        <v>2668</v>
      </c>
      <c r="B330" s="2" t="s">
        <v>269</v>
      </c>
      <c r="C330" s="2" t="s">
        <v>5064</v>
      </c>
      <c r="D330" s="2"/>
    </row>
    <row r="331" spans="1:4" ht="18" customHeight="1" x14ac:dyDescent="0.3">
      <c r="A331" s="2" t="s">
        <v>2670</v>
      </c>
      <c r="B331" s="2" t="s">
        <v>269</v>
      </c>
      <c r="C331" s="2" t="s">
        <v>5064</v>
      </c>
      <c r="D331" s="2"/>
    </row>
    <row r="332" spans="1:4" ht="18" customHeight="1" x14ac:dyDescent="0.3">
      <c r="A332" s="2" t="s">
        <v>2672</v>
      </c>
      <c r="B332" s="2" t="s">
        <v>269</v>
      </c>
      <c r="C332" s="2" t="s">
        <v>5064</v>
      </c>
      <c r="D332" s="2"/>
    </row>
    <row r="333" spans="1:4" ht="18" customHeight="1" x14ac:dyDescent="0.3">
      <c r="A333" s="2" t="s">
        <v>2674</v>
      </c>
      <c r="B333" s="2" t="s">
        <v>269</v>
      </c>
      <c r="C333" s="2" t="s">
        <v>5064</v>
      </c>
      <c r="D333" s="2"/>
    </row>
    <row r="334" spans="1:4" ht="18" customHeight="1" x14ac:dyDescent="0.3">
      <c r="A334" s="2" t="s">
        <v>2676</v>
      </c>
      <c r="B334" s="2" t="s">
        <v>269</v>
      </c>
      <c r="C334" s="2" t="s">
        <v>5064</v>
      </c>
      <c r="D334" s="2"/>
    </row>
    <row r="335" spans="1:4" ht="18" customHeight="1" x14ac:dyDescent="0.3">
      <c r="A335" s="2" t="s">
        <v>2678</v>
      </c>
      <c r="B335" s="2" t="s">
        <v>269</v>
      </c>
      <c r="C335" s="2" t="s">
        <v>5064</v>
      </c>
      <c r="D335" s="2"/>
    </row>
    <row r="336" spans="1:4" ht="18" customHeight="1" x14ac:dyDescent="0.3">
      <c r="A336" s="2" t="s">
        <v>2680</v>
      </c>
      <c r="B336" s="2" t="s">
        <v>269</v>
      </c>
      <c r="C336" s="2" t="s">
        <v>5064</v>
      </c>
      <c r="D336" s="2"/>
    </row>
    <row r="337" spans="1:4" ht="18" customHeight="1" x14ac:dyDescent="0.3">
      <c r="A337" s="2" t="s">
        <v>2682</v>
      </c>
      <c r="B337" s="2" t="s">
        <v>269</v>
      </c>
      <c r="C337" s="2" t="s">
        <v>5064</v>
      </c>
      <c r="D337" s="2"/>
    </row>
    <row r="338" spans="1:4" ht="18" customHeight="1" x14ac:dyDescent="0.3">
      <c r="A338" s="2" t="s">
        <v>2684</v>
      </c>
      <c r="B338" s="2" t="s">
        <v>269</v>
      </c>
      <c r="C338" s="2" t="s">
        <v>5064</v>
      </c>
      <c r="D338" s="2"/>
    </row>
    <row r="339" spans="1:4" x14ac:dyDescent="0.3">
      <c r="A339" s="2" t="s">
        <v>2686</v>
      </c>
      <c r="B339" s="2" t="s">
        <v>269</v>
      </c>
      <c r="C339" s="2" t="s">
        <v>5064</v>
      </c>
      <c r="D339" s="2"/>
    </row>
    <row r="340" spans="1:4" x14ac:dyDescent="0.3">
      <c r="A340" s="2" t="s">
        <v>2688</v>
      </c>
      <c r="B340" s="2" t="s">
        <v>269</v>
      </c>
      <c r="C340" s="2" t="s">
        <v>5064</v>
      </c>
      <c r="D340" s="2"/>
    </row>
    <row r="341" spans="1:4" x14ac:dyDescent="0.3">
      <c r="A341" s="2" t="s">
        <v>2690</v>
      </c>
      <c r="B341" s="2" t="s">
        <v>269</v>
      </c>
      <c r="C341" s="2" t="s">
        <v>5064</v>
      </c>
      <c r="D341" s="2"/>
    </row>
    <row r="342" spans="1:4" x14ac:dyDescent="0.3">
      <c r="A342" s="2" t="s">
        <v>2692</v>
      </c>
      <c r="B342" s="2" t="s">
        <v>269</v>
      </c>
      <c r="C342" s="2" t="s">
        <v>5064</v>
      </c>
      <c r="D342" s="2"/>
    </row>
    <row r="343" spans="1:4" x14ac:dyDescent="0.3">
      <c r="A343" s="2" t="s">
        <v>2694</v>
      </c>
      <c r="B343" s="2" t="s">
        <v>269</v>
      </c>
      <c r="C343" s="2" t="s">
        <v>5064</v>
      </c>
      <c r="D343" s="2"/>
    </row>
    <row r="344" spans="1:4" x14ac:dyDescent="0.3">
      <c r="A344" s="2" t="s">
        <v>2696</v>
      </c>
      <c r="B344" s="2" t="s">
        <v>269</v>
      </c>
      <c r="C344" s="2" t="s">
        <v>5064</v>
      </c>
      <c r="D344" s="2"/>
    </row>
    <row r="345" spans="1:4" x14ac:dyDescent="0.3">
      <c r="A345" s="2" t="s">
        <v>2698</v>
      </c>
      <c r="B345" s="2" t="s">
        <v>269</v>
      </c>
      <c r="C345" s="2" t="s">
        <v>5064</v>
      </c>
      <c r="D345" s="2"/>
    </row>
    <row r="346" spans="1:4" x14ac:dyDescent="0.3">
      <c r="A346" s="2" t="s">
        <v>2700</v>
      </c>
      <c r="B346" s="2" t="s">
        <v>269</v>
      </c>
      <c r="C346" s="2" t="s">
        <v>5064</v>
      </c>
      <c r="D346" s="2"/>
    </row>
    <row r="347" spans="1:4" x14ac:dyDescent="0.3">
      <c r="A347" s="2" t="s">
        <v>2702</v>
      </c>
      <c r="B347" s="2" t="s">
        <v>269</v>
      </c>
      <c r="C347" s="2" t="s">
        <v>5064</v>
      </c>
      <c r="D347" s="2"/>
    </row>
    <row r="348" spans="1:4" x14ac:dyDescent="0.3">
      <c r="A348" s="2" t="s">
        <v>2704</v>
      </c>
      <c r="B348" s="2" t="s">
        <v>269</v>
      </c>
      <c r="C348" s="2" t="s">
        <v>5064</v>
      </c>
      <c r="D348" s="2"/>
    </row>
    <row r="349" spans="1:4" x14ac:dyDescent="0.3">
      <c r="A349" s="2" t="s">
        <v>2706</v>
      </c>
      <c r="B349" s="2" t="s">
        <v>269</v>
      </c>
      <c r="C349" s="2" t="s">
        <v>5064</v>
      </c>
      <c r="D349" s="2"/>
    </row>
    <row r="350" spans="1:4" x14ac:dyDescent="0.3">
      <c r="A350" s="2" t="s">
        <v>2708</v>
      </c>
      <c r="B350" s="2" t="s">
        <v>269</v>
      </c>
      <c r="C350" s="2" t="s">
        <v>5064</v>
      </c>
      <c r="D350" s="2"/>
    </row>
    <row r="351" spans="1:4" x14ac:dyDescent="0.3">
      <c r="A351" s="2" t="s">
        <v>2710</v>
      </c>
      <c r="B351" s="2" t="s">
        <v>269</v>
      </c>
      <c r="C351" s="2" t="s">
        <v>5064</v>
      </c>
      <c r="D351" s="2"/>
    </row>
    <row r="352" spans="1:4" x14ac:dyDescent="0.3">
      <c r="A352" s="2" t="s">
        <v>2712</v>
      </c>
      <c r="B352" s="2" t="s">
        <v>269</v>
      </c>
      <c r="C352" s="2" t="s">
        <v>5064</v>
      </c>
      <c r="D352" s="2"/>
    </row>
    <row r="353" spans="1:4" x14ac:dyDescent="0.3">
      <c r="A353" s="2" t="s">
        <v>2714</v>
      </c>
      <c r="B353" s="2" t="s">
        <v>269</v>
      </c>
      <c r="C353" s="2" t="s">
        <v>5064</v>
      </c>
      <c r="D353" s="2"/>
    </row>
    <row r="354" spans="1:4" x14ac:dyDescent="0.3">
      <c r="A354" s="2" t="s">
        <v>2716</v>
      </c>
      <c r="B354" s="2" t="s">
        <v>269</v>
      </c>
      <c r="C354" s="2" t="s">
        <v>5064</v>
      </c>
      <c r="D354" s="2"/>
    </row>
    <row r="355" spans="1:4" x14ac:dyDescent="0.3">
      <c r="A355" s="2" t="s">
        <v>2718</v>
      </c>
      <c r="B355" s="2" t="s">
        <v>269</v>
      </c>
      <c r="C355" s="2" t="s">
        <v>5064</v>
      </c>
      <c r="D355" s="2"/>
    </row>
    <row r="356" spans="1:4" x14ac:dyDescent="0.3">
      <c r="A356" s="2" t="s">
        <v>2720</v>
      </c>
      <c r="B356" s="2" t="s">
        <v>269</v>
      </c>
      <c r="C356" s="2" t="s">
        <v>5064</v>
      </c>
      <c r="D356" s="2"/>
    </row>
    <row r="357" spans="1:4" x14ac:dyDescent="0.3">
      <c r="A357" s="2" t="s">
        <v>2722</v>
      </c>
      <c r="B357" s="2" t="s">
        <v>269</v>
      </c>
      <c r="C357" s="2" t="s">
        <v>5064</v>
      </c>
      <c r="D357" s="2"/>
    </row>
    <row r="358" spans="1:4" x14ac:dyDescent="0.3">
      <c r="A358" s="2" t="s">
        <v>2724</v>
      </c>
      <c r="B358" s="2" t="s">
        <v>269</v>
      </c>
      <c r="C358" s="2" t="s">
        <v>5064</v>
      </c>
      <c r="D358" s="2"/>
    </row>
    <row r="359" spans="1:4" x14ac:dyDescent="0.3">
      <c r="A359" s="2" t="s">
        <v>2726</v>
      </c>
      <c r="B359" s="2" t="s">
        <v>269</v>
      </c>
      <c r="C359" s="2" t="s">
        <v>5064</v>
      </c>
      <c r="D359" s="2"/>
    </row>
    <row r="360" spans="1:4" x14ac:dyDescent="0.3">
      <c r="A360" s="2" t="s">
        <v>2728</v>
      </c>
      <c r="B360" s="2" t="s">
        <v>269</v>
      </c>
      <c r="C360" s="2" t="s">
        <v>5064</v>
      </c>
      <c r="D360" s="2"/>
    </row>
    <row r="361" spans="1:4" x14ac:dyDescent="0.3">
      <c r="A361" s="2" t="s">
        <v>2730</v>
      </c>
      <c r="B361" s="2" t="s">
        <v>269</v>
      </c>
      <c r="C361" s="2" t="s">
        <v>5064</v>
      </c>
      <c r="D361" s="2"/>
    </row>
    <row r="362" spans="1:4" x14ac:dyDescent="0.3">
      <c r="A362" s="2" t="s">
        <v>2732</v>
      </c>
      <c r="B362" s="2" t="s">
        <v>269</v>
      </c>
      <c r="C362" s="2" t="s">
        <v>5064</v>
      </c>
      <c r="D362" s="2"/>
    </row>
    <row r="363" spans="1:4" x14ac:dyDescent="0.3">
      <c r="A363" s="2" t="s">
        <v>2734</v>
      </c>
      <c r="B363" s="2" t="s">
        <v>269</v>
      </c>
      <c r="C363" s="2" t="s">
        <v>5064</v>
      </c>
      <c r="D363" s="2"/>
    </row>
    <row r="364" spans="1:4" x14ac:dyDescent="0.3">
      <c r="A364" s="2" t="s">
        <v>2736</v>
      </c>
      <c r="B364" s="2" t="s">
        <v>269</v>
      </c>
      <c r="C364" s="2" t="s">
        <v>5064</v>
      </c>
      <c r="D364" s="2"/>
    </row>
    <row r="365" spans="1:4" x14ac:dyDescent="0.3">
      <c r="A365" s="2" t="s">
        <v>2738</v>
      </c>
      <c r="B365" s="2" t="s">
        <v>269</v>
      </c>
      <c r="C365" s="2" t="s">
        <v>5064</v>
      </c>
      <c r="D365" s="2"/>
    </row>
    <row r="366" spans="1:4" x14ac:dyDescent="0.3">
      <c r="A366" s="2" t="s">
        <v>2740</v>
      </c>
      <c r="B366" s="2" t="s">
        <v>269</v>
      </c>
      <c r="C366" s="2" t="s">
        <v>5064</v>
      </c>
      <c r="D366" s="2"/>
    </row>
    <row r="367" spans="1:4" x14ac:dyDescent="0.3">
      <c r="A367" s="2" t="s">
        <v>2742</v>
      </c>
      <c r="B367" s="2" t="s">
        <v>269</v>
      </c>
      <c r="C367" s="2" t="s">
        <v>5064</v>
      </c>
      <c r="D367" s="2"/>
    </row>
    <row r="368" spans="1:4" x14ac:dyDescent="0.3">
      <c r="A368" s="2" t="s">
        <v>2744</v>
      </c>
      <c r="B368" s="2" t="s">
        <v>269</v>
      </c>
      <c r="C368" s="2" t="s">
        <v>5064</v>
      </c>
      <c r="D368" s="2"/>
    </row>
    <row r="369" spans="1:4" x14ac:dyDescent="0.3">
      <c r="A369" s="2" t="s">
        <v>2746</v>
      </c>
      <c r="B369" s="2" t="s">
        <v>269</v>
      </c>
      <c r="C369" s="2" t="s">
        <v>5064</v>
      </c>
      <c r="D369" s="2"/>
    </row>
    <row r="370" spans="1:4" x14ac:dyDescent="0.3">
      <c r="A370" s="2" t="s">
        <v>2748</v>
      </c>
      <c r="B370" s="2" t="s">
        <v>269</v>
      </c>
      <c r="C370" s="2" t="s">
        <v>5064</v>
      </c>
      <c r="D370" s="2"/>
    </row>
    <row r="371" spans="1:4" x14ac:dyDescent="0.3">
      <c r="A371" s="2" t="s">
        <v>2750</v>
      </c>
      <c r="B371" s="2" t="s">
        <v>269</v>
      </c>
      <c r="C371" s="2" t="s">
        <v>5064</v>
      </c>
      <c r="D371" s="2"/>
    </row>
    <row r="372" spans="1:4" x14ac:dyDescent="0.3">
      <c r="A372" s="2" t="s">
        <v>2752</v>
      </c>
      <c r="B372" s="2" t="s">
        <v>269</v>
      </c>
      <c r="C372" s="2" t="s">
        <v>5064</v>
      </c>
      <c r="D372" s="2"/>
    </row>
    <row r="373" spans="1:4" x14ac:dyDescent="0.3">
      <c r="A373" s="2" t="s">
        <v>2754</v>
      </c>
      <c r="B373" s="2" t="s">
        <v>269</v>
      </c>
      <c r="C373" s="2" t="s">
        <v>5064</v>
      </c>
      <c r="D373" s="2"/>
    </row>
    <row r="374" spans="1:4" x14ac:dyDescent="0.3">
      <c r="A374" s="2" t="s">
        <v>2756</v>
      </c>
      <c r="B374" s="2" t="s">
        <v>269</v>
      </c>
      <c r="C374" s="2" t="s">
        <v>5064</v>
      </c>
      <c r="D374" s="2"/>
    </row>
    <row r="375" spans="1:4" x14ac:dyDescent="0.3">
      <c r="A375" s="2" t="s">
        <v>2758</v>
      </c>
      <c r="B375" s="2" t="s">
        <v>269</v>
      </c>
      <c r="C375" s="2" t="s">
        <v>5064</v>
      </c>
      <c r="D375" s="2"/>
    </row>
    <row r="376" spans="1:4" x14ac:dyDescent="0.3">
      <c r="A376" s="2" t="s">
        <v>2760</v>
      </c>
      <c r="B376" s="2" t="s">
        <v>269</v>
      </c>
      <c r="C376" s="2" t="s">
        <v>5064</v>
      </c>
      <c r="D376" s="2"/>
    </row>
    <row r="377" spans="1:4" x14ac:dyDescent="0.3">
      <c r="A377" s="2" t="s">
        <v>2762</v>
      </c>
      <c r="B377" s="2" t="s">
        <v>269</v>
      </c>
      <c r="C377" s="2" t="s">
        <v>5064</v>
      </c>
      <c r="D377" s="2"/>
    </row>
    <row r="378" spans="1:4" x14ac:dyDescent="0.3">
      <c r="A378" s="2" t="s">
        <v>2764</v>
      </c>
      <c r="B378" s="2" t="s">
        <v>269</v>
      </c>
      <c r="C378" s="2" t="s">
        <v>5064</v>
      </c>
      <c r="D378" s="2"/>
    </row>
    <row r="379" spans="1:4" x14ac:dyDescent="0.3">
      <c r="A379" s="2" t="s">
        <v>2766</v>
      </c>
      <c r="B379" s="2" t="s">
        <v>269</v>
      </c>
      <c r="C379" s="2" t="s">
        <v>5064</v>
      </c>
      <c r="D379" s="2"/>
    </row>
    <row r="380" spans="1:4" x14ac:dyDescent="0.3">
      <c r="A380" s="2" t="s">
        <v>2768</v>
      </c>
      <c r="B380" s="2" t="s">
        <v>269</v>
      </c>
      <c r="C380" s="2" t="s">
        <v>5064</v>
      </c>
      <c r="D380" s="2"/>
    </row>
    <row r="381" spans="1:4" x14ac:dyDescent="0.3">
      <c r="A381" s="2" t="s">
        <v>2770</v>
      </c>
      <c r="B381" s="2" t="s">
        <v>269</v>
      </c>
      <c r="C381" s="2" t="s">
        <v>5064</v>
      </c>
      <c r="D381" s="2"/>
    </row>
    <row r="382" spans="1:4" x14ac:dyDescent="0.3">
      <c r="A382" s="2" t="s">
        <v>2772</v>
      </c>
      <c r="B382" s="2" t="s">
        <v>269</v>
      </c>
      <c r="C382" s="2" t="s">
        <v>5064</v>
      </c>
      <c r="D382" s="2"/>
    </row>
    <row r="383" spans="1:4" x14ac:dyDescent="0.3">
      <c r="A383" s="2" t="s">
        <v>2774</v>
      </c>
      <c r="B383" s="2" t="s">
        <v>269</v>
      </c>
      <c r="C383" s="2" t="s">
        <v>5064</v>
      </c>
      <c r="D383" s="2"/>
    </row>
    <row r="384" spans="1:4" x14ac:dyDescent="0.3">
      <c r="A384" s="2" t="s">
        <v>2776</v>
      </c>
      <c r="B384" s="2" t="s">
        <v>269</v>
      </c>
      <c r="C384" s="2" t="s">
        <v>5064</v>
      </c>
      <c r="D384" s="2"/>
    </row>
    <row r="385" spans="1:4" x14ac:dyDescent="0.3">
      <c r="A385" s="2" t="s">
        <v>2778</v>
      </c>
      <c r="B385" s="2" t="s">
        <v>269</v>
      </c>
      <c r="C385" s="2" t="s">
        <v>5064</v>
      </c>
      <c r="D385" s="2"/>
    </row>
    <row r="386" spans="1:4" x14ac:dyDescent="0.3">
      <c r="A386" s="2" t="s">
        <v>2780</v>
      </c>
      <c r="B386" s="2" t="s">
        <v>269</v>
      </c>
      <c r="C386" s="2" t="s">
        <v>5064</v>
      </c>
      <c r="D386" s="2"/>
    </row>
    <row r="387" spans="1:4" x14ac:dyDescent="0.3">
      <c r="A387" s="2" t="s">
        <v>2782</v>
      </c>
      <c r="B387" s="2" t="s">
        <v>269</v>
      </c>
      <c r="C387" s="2" t="s">
        <v>5064</v>
      </c>
      <c r="D387" s="2"/>
    </row>
    <row r="388" spans="1:4" x14ac:dyDescent="0.3">
      <c r="A388" s="2" t="s">
        <v>2784</v>
      </c>
      <c r="B388" s="2" t="s">
        <v>269</v>
      </c>
      <c r="C388" s="2" t="s">
        <v>5064</v>
      </c>
      <c r="D388" s="2"/>
    </row>
    <row r="389" spans="1:4" x14ac:dyDescent="0.3">
      <c r="A389" s="2" t="s">
        <v>2786</v>
      </c>
      <c r="B389" s="2" t="s">
        <v>269</v>
      </c>
      <c r="C389" s="2" t="s">
        <v>5064</v>
      </c>
      <c r="D389" s="2"/>
    </row>
    <row r="390" spans="1:4" x14ac:dyDescent="0.3">
      <c r="A390" s="2" t="s">
        <v>2788</v>
      </c>
      <c r="B390" s="2" t="s">
        <v>269</v>
      </c>
      <c r="C390" s="2" t="s">
        <v>5064</v>
      </c>
      <c r="D390" s="2"/>
    </row>
    <row r="391" spans="1:4" x14ac:dyDescent="0.3">
      <c r="A391" s="2" t="s">
        <v>2790</v>
      </c>
      <c r="B391" s="2" t="s">
        <v>269</v>
      </c>
      <c r="C391" s="2" t="s">
        <v>5064</v>
      </c>
      <c r="D391" s="2"/>
    </row>
    <row r="392" spans="1:4" x14ac:dyDescent="0.3">
      <c r="A392" s="2" t="s">
        <v>2792</v>
      </c>
      <c r="B392" s="2" t="s">
        <v>269</v>
      </c>
      <c r="C392" s="2" t="s">
        <v>5064</v>
      </c>
      <c r="D392" s="2"/>
    </row>
    <row r="393" spans="1:4" x14ac:dyDescent="0.3">
      <c r="A393" s="2" t="s">
        <v>2794</v>
      </c>
      <c r="B393" s="2" t="s">
        <v>269</v>
      </c>
      <c r="C393" s="2" t="s">
        <v>5064</v>
      </c>
      <c r="D393" s="2"/>
    </row>
    <row r="394" spans="1:4" x14ac:dyDescent="0.3">
      <c r="A394" s="2" t="s">
        <v>2796</v>
      </c>
      <c r="B394" s="2" t="s">
        <v>269</v>
      </c>
      <c r="C394" s="2" t="s">
        <v>5064</v>
      </c>
      <c r="D394" s="2"/>
    </row>
    <row r="395" spans="1:4" x14ac:dyDescent="0.3">
      <c r="A395" s="2" t="s">
        <v>2798</v>
      </c>
      <c r="B395" s="2" t="s">
        <v>269</v>
      </c>
      <c r="C395" s="2" t="s">
        <v>5064</v>
      </c>
      <c r="D395" s="2"/>
    </row>
    <row r="396" spans="1:4" x14ac:dyDescent="0.3">
      <c r="A396" s="2" t="s">
        <v>2800</v>
      </c>
      <c r="B396" s="2" t="s">
        <v>269</v>
      </c>
      <c r="C396" s="2" t="s">
        <v>5064</v>
      </c>
      <c r="D396" s="2"/>
    </row>
    <row r="397" spans="1:4" x14ac:dyDescent="0.3">
      <c r="A397" s="2" t="s">
        <v>2802</v>
      </c>
      <c r="B397" s="2" t="s">
        <v>269</v>
      </c>
      <c r="C397" s="2" t="s">
        <v>5064</v>
      </c>
      <c r="D397" s="2"/>
    </row>
    <row r="398" spans="1:4" x14ac:dyDescent="0.3">
      <c r="A398" s="2" t="s">
        <v>2804</v>
      </c>
      <c r="B398" s="2" t="s">
        <v>269</v>
      </c>
      <c r="C398" s="2" t="s">
        <v>5064</v>
      </c>
      <c r="D398" s="2"/>
    </row>
    <row r="399" spans="1:4" x14ac:dyDescent="0.3">
      <c r="A399" s="2" t="s">
        <v>2806</v>
      </c>
      <c r="B399" s="2" t="s">
        <v>269</v>
      </c>
      <c r="C399" s="2" t="s">
        <v>5064</v>
      </c>
      <c r="D399" s="2"/>
    </row>
    <row r="400" spans="1:4" x14ac:dyDescent="0.3">
      <c r="A400" s="2" t="s">
        <v>2808</v>
      </c>
      <c r="B400" s="2" t="s">
        <v>269</v>
      </c>
      <c r="C400" s="2" t="s">
        <v>5064</v>
      </c>
      <c r="D400" s="2"/>
    </row>
    <row r="401" spans="1:4" x14ac:dyDescent="0.3">
      <c r="A401" s="2" t="s">
        <v>2810</v>
      </c>
      <c r="B401" s="2" t="s">
        <v>269</v>
      </c>
      <c r="C401" s="2" t="s">
        <v>5064</v>
      </c>
      <c r="D401" s="2"/>
    </row>
    <row r="402" spans="1:4" x14ac:dyDescent="0.3">
      <c r="A402" s="2" t="s">
        <v>2812</v>
      </c>
      <c r="B402" s="2" t="s">
        <v>269</v>
      </c>
      <c r="C402" s="2" t="s">
        <v>5064</v>
      </c>
      <c r="D402" s="2"/>
    </row>
    <row r="403" spans="1:4" x14ac:dyDescent="0.3">
      <c r="A403" s="2" t="s">
        <v>2814</v>
      </c>
      <c r="B403" s="2" t="s">
        <v>269</v>
      </c>
      <c r="C403" s="2" t="s">
        <v>5064</v>
      </c>
      <c r="D403" s="2"/>
    </row>
    <row r="404" spans="1:4" x14ac:dyDescent="0.3">
      <c r="A404" s="2" t="s">
        <v>2816</v>
      </c>
      <c r="B404" s="2" t="s">
        <v>269</v>
      </c>
      <c r="C404" s="2" t="s">
        <v>5064</v>
      </c>
      <c r="D404" s="2"/>
    </row>
    <row r="405" spans="1:4" x14ac:dyDescent="0.3">
      <c r="A405" s="2" t="s">
        <v>2818</v>
      </c>
      <c r="B405" s="2" t="s">
        <v>269</v>
      </c>
      <c r="C405" s="2" t="s">
        <v>5064</v>
      </c>
      <c r="D405" s="2"/>
    </row>
    <row r="406" spans="1:4" x14ac:dyDescent="0.3">
      <c r="A406" s="2" t="s">
        <v>2820</v>
      </c>
      <c r="B406" s="2" t="s">
        <v>269</v>
      </c>
      <c r="C406" s="2" t="s">
        <v>5064</v>
      </c>
      <c r="D406" s="2"/>
    </row>
    <row r="407" spans="1:4" x14ac:dyDescent="0.3">
      <c r="A407" s="2" t="s">
        <v>2822</v>
      </c>
      <c r="B407" s="2" t="s">
        <v>269</v>
      </c>
      <c r="C407" s="2" t="s">
        <v>5064</v>
      </c>
      <c r="D407" s="2"/>
    </row>
    <row r="408" spans="1:4" x14ac:dyDescent="0.3">
      <c r="A408" s="2" t="s">
        <v>2824</v>
      </c>
      <c r="B408" s="2" t="s">
        <v>269</v>
      </c>
      <c r="C408" s="2" t="s">
        <v>5064</v>
      </c>
      <c r="D408" s="2"/>
    </row>
    <row r="409" spans="1:4" x14ac:dyDescent="0.3">
      <c r="A409" s="2" t="s">
        <v>2825</v>
      </c>
      <c r="B409" s="2" t="s">
        <v>269</v>
      </c>
      <c r="C409" s="2" t="s">
        <v>5064</v>
      </c>
      <c r="D409" s="2"/>
    </row>
    <row r="410" spans="1:4" x14ac:dyDescent="0.3">
      <c r="A410" s="2" t="s">
        <v>2826</v>
      </c>
      <c r="B410" s="2" t="s">
        <v>269</v>
      </c>
      <c r="C410" s="2" t="s">
        <v>5064</v>
      </c>
      <c r="D410" s="2"/>
    </row>
    <row r="411" spans="1:4" x14ac:dyDescent="0.3">
      <c r="A411" s="2" t="s">
        <v>2827</v>
      </c>
      <c r="B411" s="2" t="s">
        <v>269</v>
      </c>
      <c r="C411" s="2" t="s">
        <v>5064</v>
      </c>
      <c r="D411" s="2"/>
    </row>
    <row r="412" spans="1:4" x14ac:dyDescent="0.3">
      <c r="A412" s="2" t="s">
        <v>2828</v>
      </c>
      <c r="B412" s="2" t="s">
        <v>269</v>
      </c>
      <c r="C412" s="2" t="s">
        <v>5064</v>
      </c>
      <c r="D412" s="2"/>
    </row>
    <row r="413" spans="1:4" x14ac:dyDescent="0.3">
      <c r="A413" s="2" t="s">
        <v>2830</v>
      </c>
      <c r="B413" s="2" t="s">
        <v>269</v>
      </c>
      <c r="C413" s="2" t="s">
        <v>5064</v>
      </c>
      <c r="D413" s="2"/>
    </row>
    <row r="414" spans="1:4" x14ac:dyDescent="0.3">
      <c r="A414" s="2" t="s">
        <v>2832</v>
      </c>
      <c r="B414" s="2" t="s">
        <v>269</v>
      </c>
      <c r="C414" s="2" t="s">
        <v>5064</v>
      </c>
      <c r="D414" s="2"/>
    </row>
    <row r="415" spans="1:4" x14ac:dyDescent="0.3">
      <c r="A415" s="2" t="s">
        <v>2834</v>
      </c>
      <c r="B415" s="2" t="s">
        <v>269</v>
      </c>
      <c r="C415" s="2" t="s">
        <v>5064</v>
      </c>
      <c r="D415" s="2"/>
    </row>
    <row r="416" spans="1:4" x14ac:dyDescent="0.3">
      <c r="A416" s="2" t="s">
        <v>2836</v>
      </c>
      <c r="B416" s="2" t="s">
        <v>269</v>
      </c>
      <c r="C416" s="2" t="s">
        <v>5064</v>
      </c>
      <c r="D416" s="2"/>
    </row>
    <row r="417" spans="1:4" x14ac:dyDescent="0.3">
      <c r="A417" s="2" t="s">
        <v>2838</v>
      </c>
      <c r="B417" s="2" t="s">
        <v>269</v>
      </c>
      <c r="C417" s="2" t="s">
        <v>5064</v>
      </c>
      <c r="D417" s="2"/>
    </row>
    <row r="418" spans="1:4" x14ac:dyDescent="0.3">
      <c r="A418" s="2" t="s">
        <v>2840</v>
      </c>
      <c r="B418" s="2" t="s">
        <v>269</v>
      </c>
      <c r="C418" s="2" t="s">
        <v>5064</v>
      </c>
      <c r="D418" s="2"/>
    </row>
    <row r="419" spans="1:4" x14ac:dyDescent="0.3">
      <c r="A419" s="2" t="s">
        <v>2842</v>
      </c>
      <c r="B419" s="2" t="s">
        <v>269</v>
      </c>
      <c r="C419" s="2" t="s">
        <v>5064</v>
      </c>
      <c r="D419" s="2"/>
    </row>
    <row r="420" spans="1:4" x14ac:dyDescent="0.3">
      <c r="A420" s="2" t="s">
        <v>2844</v>
      </c>
      <c r="B420" s="2" t="s">
        <v>269</v>
      </c>
      <c r="C420" s="2" t="s">
        <v>5064</v>
      </c>
      <c r="D420" s="2"/>
    </row>
    <row r="421" spans="1:4" x14ac:dyDescent="0.3">
      <c r="A421" s="2" t="s">
        <v>2846</v>
      </c>
      <c r="B421" s="2" t="s">
        <v>269</v>
      </c>
      <c r="C421" s="2" t="s">
        <v>5064</v>
      </c>
      <c r="D421" s="2"/>
    </row>
    <row r="422" spans="1:4" x14ac:dyDescent="0.3">
      <c r="A422" s="2" t="s">
        <v>2848</v>
      </c>
      <c r="B422" s="2" t="s">
        <v>269</v>
      </c>
      <c r="C422" s="2" t="s">
        <v>5064</v>
      </c>
      <c r="D422" s="2"/>
    </row>
    <row r="423" spans="1:4" x14ac:dyDescent="0.3">
      <c r="A423" s="2" t="s">
        <v>2850</v>
      </c>
      <c r="B423" s="2" t="s">
        <v>269</v>
      </c>
      <c r="C423" s="2" t="s">
        <v>5064</v>
      </c>
      <c r="D423" s="2"/>
    </row>
    <row r="424" spans="1:4" x14ac:dyDescent="0.3">
      <c r="A424" s="2" t="s">
        <v>2852</v>
      </c>
      <c r="B424" s="2" t="s">
        <v>269</v>
      </c>
      <c r="C424" s="2" t="s">
        <v>5064</v>
      </c>
      <c r="D424" s="2"/>
    </row>
    <row r="425" spans="1:4" x14ac:dyDescent="0.3">
      <c r="A425" s="2" t="s">
        <v>2854</v>
      </c>
      <c r="B425" s="2" t="s">
        <v>269</v>
      </c>
      <c r="C425" s="2" t="s">
        <v>5064</v>
      </c>
      <c r="D425" s="2"/>
    </row>
    <row r="426" spans="1:4" x14ac:dyDescent="0.3">
      <c r="A426" s="2" t="s">
        <v>2856</v>
      </c>
      <c r="B426" s="2" t="s">
        <v>269</v>
      </c>
      <c r="C426" s="2" t="s">
        <v>5064</v>
      </c>
      <c r="D426" s="2"/>
    </row>
    <row r="427" spans="1:4" x14ac:dyDescent="0.3">
      <c r="A427" s="2" t="s">
        <v>2858</v>
      </c>
      <c r="B427" s="2" t="s">
        <v>269</v>
      </c>
      <c r="C427" s="2" t="s">
        <v>5064</v>
      </c>
      <c r="D427" s="2"/>
    </row>
    <row r="428" spans="1:4" x14ac:dyDescent="0.3">
      <c r="A428" s="2" t="s">
        <v>2860</v>
      </c>
      <c r="B428" s="2" t="s">
        <v>269</v>
      </c>
      <c r="C428" s="2" t="s">
        <v>5064</v>
      </c>
      <c r="D428" s="2"/>
    </row>
    <row r="429" spans="1:4" x14ac:dyDescent="0.3">
      <c r="A429" s="2" t="s">
        <v>2862</v>
      </c>
      <c r="B429" s="2" t="s">
        <v>269</v>
      </c>
      <c r="C429" s="2" t="s">
        <v>5064</v>
      </c>
      <c r="D429" s="2"/>
    </row>
    <row r="430" spans="1:4" x14ac:dyDescent="0.3">
      <c r="A430" s="2" t="s">
        <v>2864</v>
      </c>
      <c r="B430" s="2" t="s">
        <v>269</v>
      </c>
      <c r="C430" s="2" t="s">
        <v>5064</v>
      </c>
      <c r="D430" s="2"/>
    </row>
    <row r="431" spans="1:4" x14ac:dyDescent="0.3">
      <c r="A431" s="2" t="s">
        <v>2866</v>
      </c>
      <c r="B431" s="2" t="s">
        <v>269</v>
      </c>
      <c r="C431" s="2" t="s">
        <v>5064</v>
      </c>
      <c r="D431" s="2"/>
    </row>
    <row r="432" spans="1:4" x14ac:dyDescent="0.3">
      <c r="A432" s="2" t="s">
        <v>2868</v>
      </c>
      <c r="B432" s="2" t="s">
        <v>269</v>
      </c>
      <c r="C432" s="2" t="s">
        <v>5064</v>
      </c>
      <c r="D432" s="2"/>
    </row>
    <row r="433" spans="1:4" x14ac:dyDescent="0.3">
      <c r="A433" s="2" t="s">
        <v>2870</v>
      </c>
      <c r="B433" s="2" t="s">
        <v>269</v>
      </c>
      <c r="C433" s="2" t="s">
        <v>5064</v>
      </c>
      <c r="D433" s="2"/>
    </row>
    <row r="434" spans="1:4" x14ac:dyDescent="0.3">
      <c r="A434" s="2" t="s">
        <v>2872</v>
      </c>
      <c r="B434" s="2" t="s">
        <v>269</v>
      </c>
      <c r="C434" s="2" t="s">
        <v>5064</v>
      </c>
      <c r="D434" s="2"/>
    </row>
    <row r="435" spans="1:4" x14ac:dyDescent="0.3">
      <c r="A435" s="2" t="s">
        <v>2874</v>
      </c>
      <c r="B435" s="2" t="s">
        <v>269</v>
      </c>
      <c r="C435" s="2" t="s">
        <v>5064</v>
      </c>
      <c r="D435" s="2"/>
    </row>
    <row r="436" spans="1:4" x14ac:dyDescent="0.3">
      <c r="A436" s="2" t="s">
        <v>2876</v>
      </c>
      <c r="B436" s="2" t="s">
        <v>269</v>
      </c>
      <c r="C436" s="2" t="s">
        <v>5064</v>
      </c>
      <c r="D436" s="2"/>
    </row>
    <row r="437" spans="1:4" x14ac:dyDescent="0.3">
      <c r="A437" s="2" t="s">
        <v>2878</v>
      </c>
      <c r="B437" s="2" t="s">
        <v>269</v>
      </c>
      <c r="C437" s="2" t="s">
        <v>5064</v>
      </c>
      <c r="D437" s="2"/>
    </row>
    <row r="438" spans="1:4" x14ac:dyDescent="0.3">
      <c r="A438" s="2" t="s">
        <v>2880</v>
      </c>
      <c r="B438" s="2" t="s">
        <v>269</v>
      </c>
      <c r="C438" s="2" t="s">
        <v>5064</v>
      </c>
      <c r="D438" s="2"/>
    </row>
    <row r="439" spans="1:4" x14ac:dyDescent="0.3">
      <c r="A439" s="2" t="s">
        <v>2882</v>
      </c>
      <c r="B439" s="2" t="s">
        <v>269</v>
      </c>
      <c r="C439" s="2" t="s">
        <v>5064</v>
      </c>
      <c r="D439" s="2"/>
    </row>
    <row r="440" spans="1:4" x14ac:dyDescent="0.3">
      <c r="A440" s="2" t="s">
        <v>2884</v>
      </c>
      <c r="B440" s="2" t="s">
        <v>269</v>
      </c>
      <c r="C440" s="2" t="s">
        <v>5064</v>
      </c>
      <c r="D440" s="2"/>
    </row>
    <row r="441" spans="1:4" x14ac:dyDescent="0.3">
      <c r="A441" s="2" t="s">
        <v>2886</v>
      </c>
      <c r="B441" s="2" t="s">
        <v>269</v>
      </c>
      <c r="C441" s="2" t="s">
        <v>5064</v>
      </c>
      <c r="D441" s="2"/>
    </row>
    <row r="442" spans="1:4" x14ac:dyDescent="0.3">
      <c r="A442" s="2" t="s">
        <v>2888</v>
      </c>
      <c r="B442" s="2" t="s">
        <v>269</v>
      </c>
      <c r="C442" s="2" t="s">
        <v>5064</v>
      </c>
      <c r="D442" s="2"/>
    </row>
    <row r="443" spans="1:4" x14ac:dyDescent="0.3">
      <c r="A443" s="2" t="s">
        <v>2890</v>
      </c>
      <c r="B443" s="2" t="s">
        <v>269</v>
      </c>
      <c r="C443" s="2" t="s">
        <v>5064</v>
      </c>
      <c r="D443" s="2"/>
    </row>
    <row r="444" spans="1:4" x14ac:dyDescent="0.3">
      <c r="A444" s="2" t="s">
        <v>2892</v>
      </c>
      <c r="B444" s="2" t="s">
        <v>269</v>
      </c>
      <c r="C444" s="2" t="s">
        <v>5064</v>
      </c>
      <c r="D444" s="2"/>
    </row>
    <row r="445" spans="1:4" x14ac:dyDescent="0.3">
      <c r="A445" s="2" t="s">
        <v>2894</v>
      </c>
      <c r="B445" s="2" t="s">
        <v>269</v>
      </c>
      <c r="C445" s="2" t="s">
        <v>5064</v>
      </c>
      <c r="D445" s="2"/>
    </row>
    <row r="446" spans="1:4" x14ac:dyDescent="0.3">
      <c r="A446" s="2" t="s">
        <v>2896</v>
      </c>
      <c r="B446" s="2" t="s">
        <v>269</v>
      </c>
      <c r="C446" s="2" t="s">
        <v>5064</v>
      </c>
      <c r="D446" s="2"/>
    </row>
    <row r="447" spans="1:4" x14ac:dyDescent="0.3">
      <c r="A447" s="2" t="s">
        <v>2898</v>
      </c>
      <c r="B447" s="2" t="s">
        <v>269</v>
      </c>
      <c r="C447" s="2" t="s">
        <v>5064</v>
      </c>
      <c r="D447" s="2"/>
    </row>
    <row r="448" spans="1:4" x14ac:dyDescent="0.3">
      <c r="A448" s="2" t="s">
        <v>2900</v>
      </c>
      <c r="B448" s="2" t="s">
        <v>269</v>
      </c>
      <c r="C448" s="2" t="s">
        <v>5064</v>
      </c>
      <c r="D448" s="2"/>
    </row>
    <row r="449" spans="1:4" x14ac:dyDescent="0.3">
      <c r="A449" s="2" t="s">
        <v>2902</v>
      </c>
      <c r="B449" s="2" t="s">
        <v>269</v>
      </c>
      <c r="C449" s="2" t="s">
        <v>5064</v>
      </c>
      <c r="D449" s="2"/>
    </row>
    <row r="450" spans="1:4" x14ac:dyDescent="0.3">
      <c r="A450" s="2" t="s">
        <v>2904</v>
      </c>
      <c r="B450" s="2" t="s">
        <v>269</v>
      </c>
      <c r="C450" s="2" t="s">
        <v>5064</v>
      </c>
      <c r="D450" s="2"/>
    </row>
    <row r="451" spans="1:4" x14ac:dyDescent="0.3">
      <c r="A451" s="2" t="s">
        <v>2906</v>
      </c>
      <c r="B451" s="2" t="s">
        <v>269</v>
      </c>
      <c r="C451" s="2" t="s">
        <v>5064</v>
      </c>
      <c r="D451" s="2"/>
    </row>
    <row r="452" spans="1:4" x14ac:dyDescent="0.3">
      <c r="A452" s="2" t="s">
        <v>2908</v>
      </c>
      <c r="B452" s="2" t="s">
        <v>269</v>
      </c>
      <c r="C452" s="2" t="s">
        <v>5064</v>
      </c>
      <c r="D452" s="2"/>
    </row>
    <row r="453" spans="1:4" x14ac:dyDescent="0.3">
      <c r="A453" s="2" t="s">
        <v>2910</v>
      </c>
      <c r="B453" s="2" t="s">
        <v>269</v>
      </c>
      <c r="C453" s="2" t="s">
        <v>5064</v>
      </c>
      <c r="D453" s="2"/>
    </row>
    <row r="454" spans="1:4" x14ac:dyDescent="0.3">
      <c r="A454" s="2" t="s">
        <v>2912</v>
      </c>
      <c r="B454" s="2" t="s">
        <v>269</v>
      </c>
      <c r="C454" s="2" t="s">
        <v>5064</v>
      </c>
      <c r="D454" s="2"/>
    </row>
    <row r="455" spans="1:4" x14ac:dyDescent="0.3">
      <c r="A455" s="2" t="s">
        <v>2914</v>
      </c>
      <c r="B455" s="2" t="s">
        <v>269</v>
      </c>
      <c r="C455" s="2" t="s">
        <v>5064</v>
      </c>
      <c r="D455" s="2"/>
    </row>
    <row r="456" spans="1:4" x14ac:dyDescent="0.3">
      <c r="A456" s="2" t="s">
        <v>2916</v>
      </c>
      <c r="B456" s="2" t="s">
        <v>269</v>
      </c>
      <c r="C456" s="2" t="s">
        <v>5064</v>
      </c>
      <c r="D456" s="2"/>
    </row>
    <row r="457" spans="1:4" x14ac:dyDescent="0.3">
      <c r="A457" s="2" t="s">
        <v>2918</v>
      </c>
      <c r="B457" s="2" t="s">
        <v>269</v>
      </c>
      <c r="C457" s="2" t="s">
        <v>5064</v>
      </c>
      <c r="D457" s="2"/>
    </row>
    <row r="458" spans="1:4" x14ac:dyDescent="0.3">
      <c r="A458" s="2" t="s">
        <v>2920</v>
      </c>
      <c r="B458" s="2" t="s">
        <v>269</v>
      </c>
      <c r="C458" s="2" t="s">
        <v>5064</v>
      </c>
      <c r="D458" s="2"/>
    </row>
    <row r="459" spans="1:4" x14ac:dyDescent="0.3">
      <c r="A459" s="2" t="s">
        <v>2921</v>
      </c>
      <c r="B459" s="2" t="s">
        <v>269</v>
      </c>
      <c r="C459" s="2" t="s">
        <v>5064</v>
      </c>
      <c r="D459" s="2"/>
    </row>
    <row r="460" spans="1:4" x14ac:dyDescent="0.3">
      <c r="A460" s="2" t="s">
        <v>2923</v>
      </c>
      <c r="B460" s="2" t="s">
        <v>269</v>
      </c>
      <c r="C460" s="2" t="s">
        <v>5064</v>
      </c>
      <c r="D460" s="2"/>
    </row>
    <row r="461" spans="1:4" x14ac:dyDescent="0.3">
      <c r="A461" s="2" t="s">
        <v>2925</v>
      </c>
      <c r="B461" s="2" t="s">
        <v>269</v>
      </c>
      <c r="C461" s="2" t="s">
        <v>5064</v>
      </c>
      <c r="D461" s="2"/>
    </row>
    <row r="462" spans="1:4" x14ac:dyDescent="0.3">
      <c r="A462" s="2" t="s">
        <v>2927</v>
      </c>
      <c r="B462" s="2" t="s">
        <v>269</v>
      </c>
      <c r="C462" s="2" t="s">
        <v>5064</v>
      </c>
      <c r="D462" s="2"/>
    </row>
    <row r="463" spans="1:4" x14ac:dyDescent="0.3">
      <c r="A463" s="2" t="s">
        <v>2929</v>
      </c>
      <c r="B463" s="2" t="s">
        <v>269</v>
      </c>
      <c r="C463" s="2" t="s">
        <v>5064</v>
      </c>
      <c r="D463" s="2"/>
    </row>
    <row r="464" spans="1:4" x14ac:dyDescent="0.3">
      <c r="A464" s="2" t="s">
        <v>2931</v>
      </c>
      <c r="B464" s="2" t="s">
        <v>269</v>
      </c>
      <c r="C464" s="2" t="s">
        <v>5064</v>
      </c>
      <c r="D464" s="2"/>
    </row>
    <row r="465" spans="1:4" x14ac:dyDescent="0.3">
      <c r="A465" s="2" t="s">
        <v>2933</v>
      </c>
      <c r="B465" s="2" t="s">
        <v>269</v>
      </c>
      <c r="C465" s="2" t="s">
        <v>5064</v>
      </c>
      <c r="D465" s="2"/>
    </row>
    <row r="466" spans="1:4" x14ac:dyDescent="0.3">
      <c r="A466" s="2" t="s">
        <v>2935</v>
      </c>
      <c r="B466" s="2" t="s">
        <v>269</v>
      </c>
      <c r="C466" s="2" t="s">
        <v>5064</v>
      </c>
      <c r="D466" s="2"/>
    </row>
    <row r="467" spans="1:4" x14ac:dyDescent="0.3">
      <c r="A467" s="2" t="s">
        <v>2937</v>
      </c>
      <c r="B467" s="2" t="s">
        <v>269</v>
      </c>
      <c r="C467" s="2" t="s">
        <v>5064</v>
      </c>
      <c r="D467" s="2"/>
    </row>
    <row r="468" spans="1:4" x14ac:dyDescent="0.3">
      <c r="A468" s="2" t="s">
        <v>2939</v>
      </c>
      <c r="B468" s="2" t="s">
        <v>269</v>
      </c>
      <c r="C468" s="2" t="s">
        <v>5064</v>
      </c>
      <c r="D468" s="2"/>
    </row>
    <row r="469" spans="1:4" x14ac:dyDescent="0.3">
      <c r="A469" s="2" t="s">
        <v>2941</v>
      </c>
      <c r="B469" s="2" t="s">
        <v>269</v>
      </c>
      <c r="C469" s="2" t="s">
        <v>5064</v>
      </c>
      <c r="D469" s="2"/>
    </row>
    <row r="470" spans="1:4" x14ac:dyDescent="0.3">
      <c r="A470" s="2" t="s">
        <v>2943</v>
      </c>
      <c r="B470" s="2" t="s">
        <v>269</v>
      </c>
      <c r="C470" s="2" t="s">
        <v>5064</v>
      </c>
      <c r="D470" s="2"/>
    </row>
    <row r="471" spans="1:4" x14ac:dyDescent="0.3">
      <c r="A471" s="2" t="s">
        <v>2945</v>
      </c>
      <c r="B471" s="2" t="s">
        <v>269</v>
      </c>
      <c r="C471" s="2" t="s">
        <v>5064</v>
      </c>
      <c r="D471" s="2"/>
    </row>
    <row r="472" spans="1:4" x14ac:dyDescent="0.3">
      <c r="A472" s="2" t="s">
        <v>2947</v>
      </c>
      <c r="B472" s="2" t="s">
        <v>269</v>
      </c>
      <c r="C472" s="2" t="s">
        <v>5064</v>
      </c>
      <c r="D472" s="2"/>
    </row>
    <row r="473" spans="1:4" x14ac:dyDescent="0.3">
      <c r="A473" s="2" t="s">
        <v>2949</v>
      </c>
      <c r="B473" s="2" t="s">
        <v>269</v>
      </c>
      <c r="C473" s="2" t="s">
        <v>5064</v>
      </c>
      <c r="D473" s="2"/>
    </row>
    <row r="474" spans="1:4" x14ac:dyDescent="0.3">
      <c r="A474" s="2" t="s">
        <v>2951</v>
      </c>
      <c r="B474" s="2" t="s">
        <v>269</v>
      </c>
      <c r="C474" s="2" t="s">
        <v>5064</v>
      </c>
      <c r="D474" s="2"/>
    </row>
    <row r="475" spans="1:4" x14ac:dyDescent="0.3">
      <c r="A475" s="2" t="s">
        <v>2953</v>
      </c>
      <c r="B475" s="2" t="s">
        <v>269</v>
      </c>
      <c r="C475" s="2" t="s">
        <v>5064</v>
      </c>
      <c r="D475" s="2"/>
    </row>
    <row r="476" spans="1:4" x14ac:dyDescent="0.3">
      <c r="A476" s="2" t="s">
        <v>2955</v>
      </c>
      <c r="B476" s="2" t="s">
        <v>269</v>
      </c>
      <c r="C476" s="2" t="s">
        <v>5064</v>
      </c>
      <c r="D476" s="2"/>
    </row>
    <row r="477" spans="1:4" x14ac:dyDescent="0.3">
      <c r="A477" s="2" t="s">
        <v>2957</v>
      </c>
      <c r="B477" s="2" t="s">
        <v>269</v>
      </c>
      <c r="C477" s="2" t="s">
        <v>5064</v>
      </c>
      <c r="D477" s="2"/>
    </row>
    <row r="478" spans="1:4" x14ac:dyDescent="0.3">
      <c r="A478" s="2" t="s">
        <v>5527</v>
      </c>
      <c r="B478" s="2" t="s">
        <v>269</v>
      </c>
      <c r="C478" s="2" t="s">
        <v>5064</v>
      </c>
      <c r="D478" s="2"/>
    </row>
    <row r="479" spans="1:4" x14ac:dyDescent="0.3">
      <c r="A479" s="2" t="s">
        <v>2959</v>
      </c>
      <c r="B479" s="2" t="s">
        <v>269</v>
      </c>
      <c r="C479" s="2" t="s">
        <v>5064</v>
      </c>
      <c r="D479" s="2"/>
    </row>
    <row r="480" spans="1:4" x14ac:dyDescent="0.3">
      <c r="A480" s="2" t="s">
        <v>2961</v>
      </c>
      <c r="B480" s="2" t="s">
        <v>269</v>
      </c>
      <c r="C480" s="2" t="s">
        <v>5064</v>
      </c>
      <c r="D480" s="2"/>
    </row>
    <row r="481" spans="1:4" x14ac:dyDescent="0.3">
      <c r="A481" s="2" t="s">
        <v>2963</v>
      </c>
      <c r="B481" s="2" t="s">
        <v>269</v>
      </c>
      <c r="C481" s="2" t="s">
        <v>5064</v>
      </c>
      <c r="D481" s="2"/>
    </row>
    <row r="482" spans="1:4" x14ac:dyDescent="0.3">
      <c r="A482" s="2" t="s">
        <v>2965</v>
      </c>
      <c r="B482" s="2" t="s">
        <v>269</v>
      </c>
      <c r="C482" s="2" t="s">
        <v>5064</v>
      </c>
      <c r="D482" s="2"/>
    </row>
    <row r="483" spans="1:4" x14ac:dyDescent="0.3">
      <c r="A483" s="2" t="s">
        <v>2967</v>
      </c>
      <c r="B483" s="2" t="s">
        <v>269</v>
      </c>
      <c r="C483" s="2" t="s">
        <v>5064</v>
      </c>
      <c r="D483" s="2"/>
    </row>
    <row r="484" spans="1:4" x14ac:dyDescent="0.3">
      <c r="A484" s="2" t="s">
        <v>2969</v>
      </c>
      <c r="B484" s="2" t="s">
        <v>269</v>
      </c>
      <c r="C484" s="2" t="s">
        <v>5064</v>
      </c>
      <c r="D484" s="2"/>
    </row>
    <row r="485" spans="1:4" x14ac:dyDescent="0.3">
      <c r="A485" s="2" t="s">
        <v>2971</v>
      </c>
      <c r="B485" s="2" t="s">
        <v>269</v>
      </c>
      <c r="C485" s="2" t="s">
        <v>5064</v>
      </c>
      <c r="D485" s="2"/>
    </row>
    <row r="486" spans="1:4" x14ac:dyDescent="0.3">
      <c r="A486" s="2" t="s">
        <v>2973</v>
      </c>
      <c r="B486" s="2" t="s">
        <v>269</v>
      </c>
      <c r="C486" s="2" t="s">
        <v>5064</v>
      </c>
      <c r="D486" s="2"/>
    </row>
    <row r="487" spans="1:4" x14ac:dyDescent="0.3">
      <c r="A487" s="2" t="s">
        <v>2975</v>
      </c>
      <c r="B487" s="2" t="s">
        <v>269</v>
      </c>
      <c r="C487" s="2" t="s">
        <v>5064</v>
      </c>
      <c r="D487" s="2"/>
    </row>
    <row r="488" spans="1:4" x14ac:dyDescent="0.3">
      <c r="A488" s="2" t="s">
        <v>2977</v>
      </c>
      <c r="B488" s="2" t="s">
        <v>269</v>
      </c>
      <c r="C488" s="2" t="s">
        <v>5064</v>
      </c>
      <c r="D488" s="2"/>
    </row>
    <row r="489" spans="1:4" x14ac:dyDescent="0.3">
      <c r="A489" s="2" t="s">
        <v>2979</v>
      </c>
      <c r="B489" s="2" t="s">
        <v>269</v>
      </c>
      <c r="C489" s="2" t="s">
        <v>5064</v>
      </c>
      <c r="D489" s="2"/>
    </row>
    <row r="490" spans="1:4" x14ac:dyDescent="0.3">
      <c r="A490" s="2" t="s">
        <v>2981</v>
      </c>
      <c r="B490" s="2" t="s">
        <v>269</v>
      </c>
      <c r="C490" s="2" t="s">
        <v>5064</v>
      </c>
      <c r="D490" s="2"/>
    </row>
    <row r="491" spans="1:4" x14ac:dyDescent="0.3">
      <c r="A491" s="2" t="s">
        <v>2983</v>
      </c>
      <c r="B491" s="2" t="s">
        <v>269</v>
      </c>
      <c r="C491" s="2" t="s">
        <v>5064</v>
      </c>
      <c r="D491" s="2"/>
    </row>
    <row r="492" spans="1:4" x14ac:dyDescent="0.3">
      <c r="A492" s="2" t="s">
        <v>2985</v>
      </c>
      <c r="B492" s="2" t="s">
        <v>269</v>
      </c>
      <c r="C492" s="2" t="s">
        <v>5064</v>
      </c>
      <c r="D492" s="2"/>
    </row>
    <row r="493" spans="1:4" x14ac:dyDescent="0.3">
      <c r="A493" s="2" t="s">
        <v>2987</v>
      </c>
      <c r="B493" s="2" t="s">
        <v>269</v>
      </c>
      <c r="C493" s="2" t="s">
        <v>5064</v>
      </c>
      <c r="D493" s="2"/>
    </row>
    <row r="494" spans="1:4" x14ac:dyDescent="0.3">
      <c r="A494" s="2" t="s">
        <v>2988</v>
      </c>
      <c r="B494" s="2" t="s">
        <v>269</v>
      </c>
      <c r="C494" s="2" t="s">
        <v>5064</v>
      </c>
      <c r="D494" s="2"/>
    </row>
    <row r="495" spans="1:4" x14ac:dyDescent="0.3">
      <c r="A495" s="2" t="s">
        <v>2990</v>
      </c>
      <c r="B495" s="2" t="s">
        <v>269</v>
      </c>
      <c r="C495" s="2" t="s">
        <v>5064</v>
      </c>
      <c r="D495" s="2"/>
    </row>
    <row r="496" spans="1:4" x14ac:dyDescent="0.3">
      <c r="A496" s="2" t="s">
        <v>2992</v>
      </c>
      <c r="B496" s="2" t="s">
        <v>269</v>
      </c>
      <c r="C496" s="2" t="s">
        <v>5064</v>
      </c>
      <c r="D496" s="2"/>
    </row>
    <row r="497" spans="1:4" x14ac:dyDescent="0.3">
      <c r="A497" s="2" t="s">
        <v>2994</v>
      </c>
      <c r="B497" s="2" t="s">
        <v>269</v>
      </c>
      <c r="C497" s="2" t="s">
        <v>5064</v>
      </c>
      <c r="D497" s="2"/>
    </row>
    <row r="498" spans="1:4" x14ac:dyDescent="0.3">
      <c r="A498" s="2" t="s">
        <v>2996</v>
      </c>
      <c r="B498" s="2" t="s">
        <v>269</v>
      </c>
      <c r="C498" s="2" t="s">
        <v>5064</v>
      </c>
      <c r="D498" s="2"/>
    </row>
    <row r="499" spans="1:4" x14ac:dyDescent="0.3">
      <c r="A499" s="2" t="s">
        <v>2998</v>
      </c>
      <c r="B499" s="2" t="s">
        <v>269</v>
      </c>
      <c r="C499" s="2" t="s">
        <v>5064</v>
      </c>
      <c r="D499" s="2"/>
    </row>
    <row r="500" spans="1:4" x14ac:dyDescent="0.3">
      <c r="A500" s="2" t="s">
        <v>3000</v>
      </c>
      <c r="B500" s="2" t="s">
        <v>269</v>
      </c>
      <c r="C500" s="2" t="s">
        <v>5064</v>
      </c>
      <c r="D500" s="2"/>
    </row>
    <row r="501" spans="1:4" x14ac:dyDescent="0.3">
      <c r="A501" s="2" t="s">
        <v>3001</v>
      </c>
      <c r="B501" s="2" t="s">
        <v>269</v>
      </c>
      <c r="C501" s="2" t="s">
        <v>5064</v>
      </c>
      <c r="D501" s="2"/>
    </row>
    <row r="502" spans="1:4" x14ac:dyDescent="0.3">
      <c r="A502" s="2" t="s">
        <v>3003</v>
      </c>
      <c r="B502" s="2" t="s">
        <v>269</v>
      </c>
      <c r="C502" s="2" t="s">
        <v>5064</v>
      </c>
      <c r="D502" s="2"/>
    </row>
    <row r="503" spans="1:4" x14ac:dyDescent="0.3">
      <c r="A503" s="2" t="s">
        <v>3005</v>
      </c>
      <c r="B503" s="2" t="s">
        <v>269</v>
      </c>
      <c r="C503" s="2" t="s">
        <v>5064</v>
      </c>
      <c r="D503" s="2"/>
    </row>
    <row r="504" spans="1:4" x14ac:dyDescent="0.3">
      <c r="A504" s="2" t="s">
        <v>3007</v>
      </c>
      <c r="B504" s="2" t="s">
        <v>269</v>
      </c>
      <c r="C504" s="2" t="s">
        <v>5064</v>
      </c>
      <c r="D504" s="2"/>
    </row>
    <row r="505" spans="1:4" x14ac:dyDescent="0.3">
      <c r="A505" s="2" t="s">
        <v>3009</v>
      </c>
      <c r="B505" s="2" t="s">
        <v>269</v>
      </c>
      <c r="C505" s="2" t="s">
        <v>5064</v>
      </c>
      <c r="D505" s="2"/>
    </row>
    <row r="506" spans="1:4" x14ac:dyDescent="0.3">
      <c r="A506" s="2" t="s">
        <v>3011</v>
      </c>
      <c r="B506" s="2" t="s">
        <v>269</v>
      </c>
      <c r="C506" s="2" t="s">
        <v>5064</v>
      </c>
      <c r="D506" s="2"/>
    </row>
    <row r="507" spans="1:4" x14ac:dyDescent="0.3">
      <c r="A507" s="2" t="s">
        <v>3013</v>
      </c>
      <c r="B507" s="2" t="s">
        <v>269</v>
      </c>
      <c r="C507" s="2" t="s">
        <v>5064</v>
      </c>
      <c r="D507" s="2"/>
    </row>
    <row r="508" spans="1:4" x14ac:dyDescent="0.3">
      <c r="A508" s="2" t="s">
        <v>3015</v>
      </c>
      <c r="B508" s="2" t="s">
        <v>269</v>
      </c>
      <c r="C508" s="2" t="s">
        <v>5064</v>
      </c>
      <c r="D508" s="2"/>
    </row>
    <row r="509" spans="1:4" x14ac:dyDescent="0.3">
      <c r="A509" s="2" t="s">
        <v>3017</v>
      </c>
      <c r="B509" s="2" t="s">
        <v>269</v>
      </c>
      <c r="C509" s="2" t="s">
        <v>5064</v>
      </c>
      <c r="D509" s="2"/>
    </row>
    <row r="510" spans="1:4" x14ac:dyDescent="0.3">
      <c r="A510" s="2" t="s">
        <v>3019</v>
      </c>
      <c r="B510" s="2" t="s">
        <v>269</v>
      </c>
      <c r="C510" s="2" t="s">
        <v>5064</v>
      </c>
      <c r="D510" s="2"/>
    </row>
    <row r="511" spans="1:4" x14ac:dyDescent="0.3">
      <c r="A511" s="2" t="s">
        <v>3021</v>
      </c>
      <c r="B511" s="2" t="s">
        <v>269</v>
      </c>
      <c r="C511" s="2" t="s">
        <v>5064</v>
      </c>
      <c r="D511" s="2"/>
    </row>
    <row r="512" spans="1:4" x14ac:dyDescent="0.3">
      <c r="A512" s="2" t="s">
        <v>3023</v>
      </c>
      <c r="B512" s="2" t="s">
        <v>269</v>
      </c>
      <c r="C512" s="2" t="s">
        <v>5064</v>
      </c>
      <c r="D512" s="2"/>
    </row>
    <row r="513" spans="1:4" x14ac:dyDescent="0.3">
      <c r="A513" s="2" t="s">
        <v>3025</v>
      </c>
      <c r="B513" s="2" t="s">
        <v>269</v>
      </c>
      <c r="C513" s="2" t="s">
        <v>5064</v>
      </c>
      <c r="D513" s="2"/>
    </row>
    <row r="514" spans="1:4" x14ac:dyDescent="0.3">
      <c r="A514" s="2" t="s">
        <v>3027</v>
      </c>
      <c r="B514" s="2" t="s">
        <v>269</v>
      </c>
      <c r="C514" s="2" t="s">
        <v>5064</v>
      </c>
      <c r="D514" s="2"/>
    </row>
    <row r="515" spans="1:4" x14ac:dyDescent="0.3">
      <c r="A515" s="2" t="s">
        <v>3029</v>
      </c>
      <c r="B515" s="2" t="s">
        <v>269</v>
      </c>
      <c r="C515" s="2" t="s">
        <v>5064</v>
      </c>
      <c r="D515" s="2"/>
    </row>
    <row r="516" spans="1:4" x14ac:dyDescent="0.3">
      <c r="A516" s="2" t="s">
        <v>3031</v>
      </c>
      <c r="B516" s="2" t="s">
        <v>269</v>
      </c>
      <c r="C516" s="2" t="s">
        <v>5064</v>
      </c>
      <c r="D516" s="2"/>
    </row>
    <row r="517" spans="1:4" x14ac:dyDescent="0.3">
      <c r="A517" s="2" t="s">
        <v>3033</v>
      </c>
      <c r="B517" s="2" t="s">
        <v>269</v>
      </c>
      <c r="C517" s="2" t="s">
        <v>5064</v>
      </c>
      <c r="D517" s="2"/>
    </row>
    <row r="518" spans="1:4" x14ac:dyDescent="0.3">
      <c r="A518" s="2" t="s">
        <v>3035</v>
      </c>
      <c r="B518" s="2" t="s">
        <v>269</v>
      </c>
      <c r="C518" s="2" t="s">
        <v>5064</v>
      </c>
      <c r="D518" s="2"/>
    </row>
    <row r="519" spans="1:4" x14ac:dyDescent="0.3">
      <c r="A519" s="2" t="s">
        <v>3037</v>
      </c>
      <c r="B519" s="2" t="s">
        <v>269</v>
      </c>
      <c r="C519" s="2" t="s">
        <v>5064</v>
      </c>
      <c r="D519" s="2"/>
    </row>
    <row r="520" spans="1:4" x14ac:dyDescent="0.3">
      <c r="A520" s="2" t="s">
        <v>3039</v>
      </c>
      <c r="B520" s="2" t="s">
        <v>269</v>
      </c>
      <c r="C520" s="2" t="s">
        <v>5064</v>
      </c>
      <c r="D520" s="2"/>
    </row>
    <row r="521" spans="1:4" x14ac:dyDescent="0.3">
      <c r="A521" s="2" t="s">
        <v>3041</v>
      </c>
      <c r="B521" s="2" t="s">
        <v>269</v>
      </c>
      <c r="C521" s="2" t="s">
        <v>5064</v>
      </c>
      <c r="D521" s="2"/>
    </row>
    <row r="522" spans="1:4" x14ac:dyDescent="0.3">
      <c r="A522" s="2" t="s">
        <v>3043</v>
      </c>
      <c r="B522" s="2" t="s">
        <v>269</v>
      </c>
      <c r="C522" s="2" t="s">
        <v>5064</v>
      </c>
      <c r="D522" s="2"/>
    </row>
    <row r="523" spans="1:4" x14ac:dyDescent="0.3">
      <c r="A523" s="2" t="s">
        <v>3045</v>
      </c>
      <c r="B523" s="2" t="s">
        <v>269</v>
      </c>
      <c r="C523" s="2" t="s">
        <v>5064</v>
      </c>
      <c r="D523" s="2"/>
    </row>
    <row r="524" spans="1:4" x14ac:dyDescent="0.3">
      <c r="A524" s="2" t="s">
        <v>3047</v>
      </c>
      <c r="B524" s="2" t="s">
        <v>269</v>
      </c>
      <c r="C524" s="2" t="s">
        <v>5064</v>
      </c>
      <c r="D524" s="2"/>
    </row>
    <row r="525" spans="1:4" x14ac:dyDescent="0.3">
      <c r="A525" s="2" t="s">
        <v>3049</v>
      </c>
      <c r="B525" s="2" t="s">
        <v>269</v>
      </c>
      <c r="C525" s="2" t="s">
        <v>5064</v>
      </c>
      <c r="D525" s="2"/>
    </row>
    <row r="526" spans="1:4" x14ac:dyDescent="0.3">
      <c r="A526" s="2" t="s">
        <v>3051</v>
      </c>
      <c r="B526" s="2" t="s">
        <v>269</v>
      </c>
      <c r="C526" s="2" t="s">
        <v>5064</v>
      </c>
      <c r="D526" s="2"/>
    </row>
    <row r="527" spans="1:4" x14ac:dyDescent="0.3">
      <c r="A527" s="2" t="s">
        <v>3053</v>
      </c>
      <c r="B527" s="2" t="s">
        <v>269</v>
      </c>
      <c r="C527" s="2" t="s">
        <v>5064</v>
      </c>
      <c r="D527" s="2"/>
    </row>
    <row r="528" spans="1:4" x14ac:dyDescent="0.3">
      <c r="A528" s="2" t="s">
        <v>3055</v>
      </c>
      <c r="B528" s="2" t="s">
        <v>269</v>
      </c>
      <c r="C528" s="2" t="s">
        <v>5064</v>
      </c>
      <c r="D528" s="2"/>
    </row>
    <row r="529" spans="1:4" x14ac:dyDescent="0.3">
      <c r="A529" s="2" t="s">
        <v>3057</v>
      </c>
      <c r="B529" s="2" t="s">
        <v>269</v>
      </c>
      <c r="C529" s="2" t="s">
        <v>5064</v>
      </c>
      <c r="D529" s="2"/>
    </row>
    <row r="530" spans="1:4" x14ac:dyDescent="0.3">
      <c r="A530" s="2" t="s">
        <v>3059</v>
      </c>
      <c r="B530" s="2" t="s">
        <v>269</v>
      </c>
      <c r="C530" s="2" t="s">
        <v>5064</v>
      </c>
      <c r="D530" s="2"/>
    </row>
    <row r="531" spans="1:4" x14ac:dyDescent="0.3">
      <c r="A531" s="2" t="s">
        <v>3061</v>
      </c>
      <c r="B531" s="2" t="s">
        <v>269</v>
      </c>
      <c r="C531" s="2" t="s">
        <v>5064</v>
      </c>
      <c r="D531" s="2"/>
    </row>
    <row r="532" spans="1:4" x14ac:dyDescent="0.3">
      <c r="A532" s="2" t="s">
        <v>3063</v>
      </c>
      <c r="B532" s="2" t="s">
        <v>269</v>
      </c>
      <c r="C532" s="2" t="s">
        <v>5064</v>
      </c>
      <c r="D532" s="2"/>
    </row>
    <row r="533" spans="1:4" x14ac:dyDescent="0.3">
      <c r="A533" s="2" t="s">
        <v>3065</v>
      </c>
      <c r="B533" s="2" t="s">
        <v>269</v>
      </c>
      <c r="C533" s="2" t="s">
        <v>5064</v>
      </c>
      <c r="D533" s="2"/>
    </row>
    <row r="534" spans="1:4" x14ac:dyDescent="0.3">
      <c r="A534" s="2" t="s">
        <v>3067</v>
      </c>
      <c r="B534" s="2" t="s">
        <v>269</v>
      </c>
      <c r="C534" s="2" t="s">
        <v>5064</v>
      </c>
      <c r="D534" s="2"/>
    </row>
    <row r="535" spans="1:4" x14ac:dyDescent="0.3">
      <c r="A535" s="2" t="s">
        <v>3069</v>
      </c>
      <c r="B535" s="2" t="s">
        <v>269</v>
      </c>
      <c r="C535" s="2" t="s">
        <v>5064</v>
      </c>
      <c r="D535" s="2"/>
    </row>
    <row r="536" spans="1:4" x14ac:dyDescent="0.3">
      <c r="A536" s="2" t="s">
        <v>3071</v>
      </c>
      <c r="B536" s="2" t="s">
        <v>269</v>
      </c>
      <c r="C536" s="2" t="s">
        <v>5064</v>
      </c>
      <c r="D536" s="2"/>
    </row>
    <row r="537" spans="1:4" x14ac:dyDescent="0.3">
      <c r="A537" s="2" t="s">
        <v>3073</v>
      </c>
      <c r="B537" s="2" t="s">
        <v>269</v>
      </c>
      <c r="C537" s="2" t="s">
        <v>5064</v>
      </c>
      <c r="D537" s="2"/>
    </row>
    <row r="538" spans="1:4" x14ac:dyDescent="0.3">
      <c r="A538" s="2" t="s">
        <v>3074</v>
      </c>
      <c r="B538" s="2" t="s">
        <v>269</v>
      </c>
      <c r="C538" s="2" t="s">
        <v>5064</v>
      </c>
      <c r="D538" s="2"/>
    </row>
    <row r="539" spans="1:4" x14ac:dyDescent="0.3">
      <c r="A539" s="2" t="s">
        <v>3076</v>
      </c>
      <c r="B539" s="2" t="s">
        <v>269</v>
      </c>
      <c r="C539" s="2" t="s">
        <v>5064</v>
      </c>
      <c r="D539" s="2"/>
    </row>
    <row r="540" spans="1:4" x14ac:dyDescent="0.3">
      <c r="A540" s="2" t="s">
        <v>3078</v>
      </c>
      <c r="B540" s="2" t="s">
        <v>269</v>
      </c>
      <c r="C540" s="2" t="s">
        <v>5064</v>
      </c>
      <c r="D540" s="2"/>
    </row>
    <row r="541" spans="1:4" x14ac:dyDescent="0.3">
      <c r="A541" s="2" t="s">
        <v>3080</v>
      </c>
      <c r="B541" s="2" t="s">
        <v>269</v>
      </c>
      <c r="C541" s="2" t="s">
        <v>5064</v>
      </c>
      <c r="D541" s="2"/>
    </row>
    <row r="542" spans="1:4" x14ac:dyDescent="0.3">
      <c r="A542" s="2" t="s">
        <v>3081</v>
      </c>
      <c r="B542" s="2" t="s">
        <v>269</v>
      </c>
      <c r="C542" s="2" t="s">
        <v>5064</v>
      </c>
      <c r="D542" s="2"/>
    </row>
    <row r="543" spans="1:4" x14ac:dyDescent="0.3">
      <c r="A543" s="2" t="s">
        <v>3082</v>
      </c>
      <c r="B543" s="2" t="s">
        <v>269</v>
      </c>
      <c r="C543" s="2" t="s">
        <v>5064</v>
      </c>
      <c r="D543" s="2"/>
    </row>
    <row r="544" spans="1:4" x14ac:dyDescent="0.3">
      <c r="A544" s="2" t="s">
        <v>3083</v>
      </c>
      <c r="B544" s="2" t="s">
        <v>269</v>
      </c>
      <c r="C544" s="2" t="s">
        <v>5064</v>
      </c>
      <c r="D544" s="2"/>
    </row>
    <row r="545" spans="1:4" x14ac:dyDescent="0.3">
      <c r="A545" s="2" t="s">
        <v>3085</v>
      </c>
      <c r="B545" s="2" t="s">
        <v>269</v>
      </c>
      <c r="C545" s="2" t="s">
        <v>5064</v>
      </c>
      <c r="D545" s="2"/>
    </row>
    <row r="546" spans="1:4" x14ac:dyDescent="0.3">
      <c r="A546" s="2" t="s">
        <v>3087</v>
      </c>
      <c r="B546" s="2" t="s">
        <v>269</v>
      </c>
      <c r="C546" s="2" t="s">
        <v>5064</v>
      </c>
      <c r="D546" s="2"/>
    </row>
    <row r="547" spans="1:4" x14ac:dyDescent="0.3">
      <c r="A547" s="2" t="s">
        <v>3089</v>
      </c>
      <c r="B547" s="2" t="s">
        <v>269</v>
      </c>
      <c r="C547" s="2" t="s">
        <v>5064</v>
      </c>
      <c r="D547" s="2"/>
    </row>
    <row r="548" spans="1:4" x14ac:dyDescent="0.3">
      <c r="A548" s="2" t="s">
        <v>3091</v>
      </c>
      <c r="B548" s="2" t="s">
        <v>269</v>
      </c>
      <c r="C548" s="2" t="s">
        <v>5064</v>
      </c>
      <c r="D548" s="2"/>
    </row>
    <row r="549" spans="1:4" x14ac:dyDescent="0.3">
      <c r="A549" s="2" t="s">
        <v>3093</v>
      </c>
      <c r="B549" s="2" t="s">
        <v>269</v>
      </c>
      <c r="C549" s="2" t="s">
        <v>5064</v>
      </c>
      <c r="D549" s="2"/>
    </row>
    <row r="550" spans="1:4" x14ac:dyDescent="0.3">
      <c r="A550" s="2" t="s">
        <v>3095</v>
      </c>
      <c r="B550" s="2" t="s">
        <v>269</v>
      </c>
      <c r="C550" s="2" t="s">
        <v>5064</v>
      </c>
      <c r="D550" s="2"/>
    </row>
    <row r="551" spans="1:4" x14ac:dyDescent="0.3">
      <c r="A551" s="2" t="s">
        <v>3097</v>
      </c>
      <c r="B551" s="2" t="s">
        <v>269</v>
      </c>
      <c r="C551" s="2" t="s">
        <v>5064</v>
      </c>
      <c r="D551" s="2"/>
    </row>
    <row r="552" spans="1:4" x14ac:dyDescent="0.3">
      <c r="A552" s="2" t="s">
        <v>3099</v>
      </c>
      <c r="B552" s="2" t="s">
        <v>269</v>
      </c>
      <c r="C552" s="2" t="s">
        <v>5064</v>
      </c>
      <c r="D552" s="2"/>
    </row>
    <row r="553" spans="1:4" x14ac:dyDescent="0.3">
      <c r="A553" s="2" t="s">
        <v>3100</v>
      </c>
      <c r="B553" s="2" t="s">
        <v>269</v>
      </c>
      <c r="C553" s="2" t="s">
        <v>5064</v>
      </c>
      <c r="D553" s="2"/>
    </row>
    <row r="554" spans="1:4" x14ac:dyDescent="0.3">
      <c r="A554" s="2" t="s">
        <v>3101</v>
      </c>
      <c r="B554" s="2" t="s">
        <v>269</v>
      </c>
      <c r="C554" s="2" t="s">
        <v>5064</v>
      </c>
      <c r="D554" s="2"/>
    </row>
    <row r="555" spans="1:4" x14ac:dyDescent="0.3">
      <c r="A555" s="2" t="s">
        <v>3103</v>
      </c>
      <c r="B555" s="2" t="s">
        <v>269</v>
      </c>
      <c r="C555" s="2" t="s">
        <v>5064</v>
      </c>
      <c r="D555" s="2"/>
    </row>
    <row r="556" spans="1:4" x14ac:dyDescent="0.3">
      <c r="A556" s="2" t="s">
        <v>3105</v>
      </c>
      <c r="B556" s="2" t="s">
        <v>269</v>
      </c>
      <c r="C556" s="2" t="s">
        <v>5064</v>
      </c>
      <c r="D556" s="2"/>
    </row>
    <row r="557" spans="1:4" x14ac:dyDescent="0.3">
      <c r="A557" s="2" t="s">
        <v>3107</v>
      </c>
      <c r="B557" s="2" t="s">
        <v>269</v>
      </c>
      <c r="C557" s="2" t="s">
        <v>5064</v>
      </c>
      <c r="D557" s="2"/>
    </row>
    <row r="558" spans="1:4" x14ac:dyDescent="0.3">
      <c r="A558" s="2" t="s">
        <v>3109</v>
      </c>
      <c r="B558" s="2" t="s">
        <v>269</v>
      </c>
      <c r="C558" s="2" t="s">
        <v>5064</v>
      </c>
      <c r="D558" s="2"/>
    </row>
    <row r="559" spans="1:4" x14ac:dyDescent="0.3">
      <c r="A559" s="2" t="s">
        <v>3111</v>
      </c>
      <c r="B559" s="2" t="s">
        <v>269</v>
      </c>
      <c r="C559" s="2" t="s">
        <v>5064</v>
      </c>
      <c r="D559" s="2"/>
    </row>
    <row r="560" spans="1:4" x14ac:dyDescent="0.3">
      <c r="A560" s="2" t="s">
        <v>3113</v>
      </c>
      <c r="B560" s="2" t="s">
        <v>269</v>
      </c>
      <c r="C560" s="2" t="s">
        <v>5064</v>
      </c>
      <c r="D560" s="2"/>
    </row>
    <row r="561" spans="1:4" x14ac:dyDescent="0.3">
      <c r="A561" s="2" t="s">
        <v>3115</v>
      </c>
      <c r="B561" s="2" t="s">
        <v>269</v>
      </c>
      <c r="C561" s="2" t="s">
        <v>5064</v>
      </c>
      <c r="D561" s="2"/>
    </row>
    <row r="562" spans="1:4" x14ac:dyDescent="0.3">
      <c r="A562" s="2" t="s">
        <v>3117</v>
      </c>
      <c r="B562" s="2" t="s">
        <v>269</v>
      </c>
      <c r="C562" s="2" t="s">
        <v>5064</v>
      </c>
      <c r="D562" s="2"/>
    </row>
    <row r="563" spans="1:4" x14ac:dyDescent="0.3">
      <c r="A563" s="2" t="s">
        <v>3118</v>
      </c>
      <c r="B563" s="2" t="s">
        <v>269</v>
      </c>
      <c r="C563" s="2" t="s">
        <v>5064</v>
      </c>
      <c r="D563" s="2"/>
    </row>
    <row r="564" spans="1:4" x14ac:dyDescent="0.3">
      <c r="A564" s="2" t="s">
        <v>3120</v>
      </c>
      <c r="B564" s="2" t="s">
        <v>269</v>
      </c>
      <c r="C564" s="2" t="s">
        <v>5064</v>
      </c>
      <c r="D564" s="2"/>
    </row>
    <row r="565" spans="1:4" x14ac:dyDescent="0.3">
      <c r="A565" s="2" t="s">
        <v>3121</v>
      </c>
      <c r="B565" s="2" t="s">
        <v>269</v>
      </c>
      <c r="C565" s="2" t="s">
        <v>5064</v>
      </c>
      <c r="D565" s="2"/>
    </row>
    <row r="566" spans="1:4" x14ac:dyDescent="0.3">
      <c r="A566" s="2" t="s">
        <v>3123</v>
      </c>
      <c r="B566" s="2" t="s">
        <v>269</v>
      </c>
      <c r="C566" s="2" t="s">
        <v>5064</v>
      </c>
      <c r="D566" s="2"/>
    </row>
    <row r="567" spans="1:4" x14ac:dyDescent="0.3">
      <c r="A567" s="2" t="s">
        <v>3124</v>
      </c>
      <c r="B567" s="2" t="s">
        <v>269</v>
      </c>
      <c r="C567" s="2" t="s">
        <v>5064</v>
      </c>
      <c r="D567" s="2"/>
    </row>
    <row r="568" spans="1:4" x14ac:dyDescent="0.3">
      <c r="A568" s="2" t="s">
        <v>3126</v>
      </c>
      <c r="B568" s="2" t="s">
        <v>269</v>
      </c>
      <c r="C568" s="2" t="s">
        <v>5064</v>
      </c>
      <c r="D568" s="2"/>
    </row>
    <row r="569" spans="1:4" x14ac:dyDescent="0.3">
      <c r="A569" s="2" t="s">
        <v>3128</v>
      </c>
      <c r="B569" s="2" t="s">
        <v>269</v>
      </c>
      <c r="C569" s="2" t="s">
        <v>5064</v>
      </c>
      <c r="D569" s="2"/>
    </row>
    <row r="570" spans="1:4" x14ac:dyDescent="0.3">
      <c r="A570" s="2" t="s">
        <v>3130</v>
      </c>
      <c r="B570" s="2" t="s">
        <v>269</v>
      </c>
      <c r="C570" s="2" t="s">
        <v>5064</v>
      </c>
      <c r="D570" s="2"/>
    </row>
    <row r="571" spans="1:4" x14ac:dyDescent="0.3">
      <c r="A571" s="2" t="s">
        <v>3132</v>
      </c>
      <c r="B571" s="2" t="s">
        <v>269</v>
      </c>
      <c r="C571" s="2" t="s">
        <v>5064</v>
      </c>
      <c r="D571" s="2"/>
    </row>
    <row r="572" spans="1:4" x14ac:dyDescent="0.3">
      <c r="A572" s="2" t="s">
        <v>3134</v>
      </c>
      <c r="B572" s="2" t="s">
        <v>269</v>
      </c>
      <c r="C572" s="2" t="s">
        <v>5064</v>
      </c>
      <c r="D572" s="2"/>
    </row>
    <row r="573" spans="1:4" x14ac:dyDescent="0.3">
      <c r="A573" s="2" t="s">
        <v>3136</v>
      </c>
      <c r="B573" s="2" t="s">
        <v>269</v>
      </c>
      <c r="C573" s="2" t="s">
        <v>5064</v>
      </c>
      <c r="D573" s="2"/>
    </row>
    <row r="574" spans="1:4" x14ac:dyDescent="0.3">
      <c r="A574" s="2" t="s">
        <v>3138</v>
      </c>
      <c r="B574" s="2" t="s">
        <v>269</v>
      </c>
      <c r="C574" s="2" t="s">
        <v>5064</v>
      </c>
      <c r="D574" s="2"/>
    </row>
    <row r="575" spans="1:4" x14ac:dyDescent="0.3">
      <c r="A575" s="2" t="s">
        <v>3140</v>
      </c>
      <c r="B575" s="2" t="s">
        <v>269</v>
      </c>
      <c r="C575" s="2" t="s">
        <v>5064</v>
      </c>
      <c r="D575" s="2"/>
    </row>
    <row r="576" spans="1:4" x14ac:dyDescent="0.3">
      <c r="A576" s="2" t="s">
        <v>3142</v>
      </c>
      <c r="B576" s="2" t="s">
        <v>269</v>
      </c>
      <c r="C576" s="2" t="s">
        <v>5064</v>
      </c>
      <c r="D576" s="2"/>
    </row>
    <row r="577" spans="1:4" x14ac:dyDescent="0.3">
      <c r="A577" s="2" t="s">
        <v>3144</v>
      </c>
      <c r="B577" s="2" t="s">
        <v>269</v>
      </c>
      <c r="C577" s="2" t="s">
        <v>5064</v>
      </c>
      <c r="D577" s="2"/>
    </row>
    <row r="578" spans="1:4" x14ac:dyDescent="0.3">
      <c r="A578" s="2" t="s">
        <v>3146</v>
      </c>
      <c r="B578" s="2" t="s">
        <v>269</v>
      </c>
      <c r="C578" s="2" t="s">
        <v>5064</v>
      </c>
      <c r="D578" s="2"/>
    </row>
    <row r="579" spans="1:4" x14ac:dyDescent="0.3">
      <c r="A579" s="2" t="s">
        <v>3147</v>
      </c>
      <c r="B579" s="2" t="s">
        <v>269</v>
      </c>
      <c r="C579" s="2" t="s">
        <v>5064</v>
      </c>
      <c r="D579" s="2"/>
    </row>
    <row r="580" spans="1:4" x14ac:dyDescent="0.3">
      <c r="A580" s="2" t="s">
        <v>3148</v>
      </c>
      <c r="B580" s="2" t="s">
        <v>269</v>
      </c>
      <c r="C580" s="2" t="s">
        <v>5064</v>
      </c>
      <c r="D580" s="2"/>
    </row>
    <row r="581" spans="1:4" x14ac:dyDescent="0.3">
      <c r="A581" s="2" t="s">
        <v>3149</v>
      </c>
      <c r="B581" s="2" t="s">
        <v>269</v>
      </c>
      <c r="C581" s="2" t="s">
        <v>5064</v>
      </c>
      <c r="D581" s="2"/>
    </row>
    <row r="582" spans="1:4" x14ac:dyDescent="0.3">
      <c r="A582" s="2" t="s">
        <v>3150</v>
      </c>
      <c r="B582" s="2" t="s">
        <v>269</v>
      </c>
      <c r="C582" s="2" t="s">
        <v>5064</v>
      </c>
      <c r="D582" s="2"/>
    </row>
    <row r="583" spans="1:4" x14ac:dyDescent="0.3">
      <c r="A583" s="2" t="s">
        <v>3151</v>
      </c>
      <c r="B583" s="2" t="s">
        <v>269</v>
      </c>
      <c r="C583" s="2" t="s">
        <v>5064</v>
      </c>
      <c r="D583" s="2"/>
    </row>
    <row r="584" spans="1:4" x14ac:dyDescent="0.3">
      <c r="A584" s="2" t="s">
        <v>3153</v>
      </c>
      <c r="B584" s="2" t="s">
        <v>269</v>
      </c>
      <c r="C584" s="2" t="s">
        <v>5064</v>
      </c>
      <c r="D584" s="2"/>
    </row>
    <row r="585" spans="1:4" x14ac:dyDescent="0.3">
      <c r="A585" s="2" t="s">
        <v>3155</v>
      </c>
      <c r="B585" s="2" t="s">
        <v>269</v>
      </c>
      <c r="C585" s="2" t="s">
        <v>5064</v>
      </c>
      <c r="D585" s="2"/>
    </row>
    <row r="586" spans="1:4" x14ac:dyDescent="0.3">
      <c r="A586" s="2" t="s">
        <v>3157</v>
      </c>
      <c r="B586" s="2" t="s">
        <v>269</v>
      </c>
      <c r="C586" s="2" t="s">
        <v>5064</v>
      </c>
      <c r="D586" s="2"/>
    </row>
    <row r="587" spans="1:4" x14ac:dyDescent="0.3">
      <c r="A587" s="2" t="s">
        <v>3159</v>
      </c>
      <c r="B587" s="2" t="s">
        <v>269</v>
      </c>
      <c r="C587" s="2" t="s">
        <v>5064</v>
      </c>
      <c r="D587" s="2"/>
    </row>
    <row r="588" spans="1:4" x14ac:dyDescent="0.3">
      <c r="A588" s="2" t="s">
        <v>3161</v>
      </c>
      <c r="B588" s="2" t="s">
        <v>269</v>
      </c>
      <c r="C588" s="2" t="s">
        <v>5064</v>
      </c>
      <c r="D588" s="2"/>
    </row>
    <row r="589" spans="1:4" x14ac:dyDescent="0.3">
      <c r="A589" s="2" t="s">
        <v>3163</v>
      </c>
      <c r="B589" s="2" t="s">
        <v>269</v>
      </c>
      <c r="C589" s="2" t="s">
        <v>5064</v>
      </c>
      <c r="D589" s="2"/>
    </row>
    <row r="590" spans="1:4" x14ac:dyDescent="0.3">
      <c r="A590" s="2" t="s">
        <v>3165</v>
      </c>
      <c r="B590" s="2" t="s">
        <v>269</v>
      </c>
      <c r="C590" s="2" t="s">
        <v>5064</v>
      </c>
      <c r="D590" s="2"/>
    </row>
    <row r="591" spans="1:4" x14ac:dyDescent="0.3">
      <c r="A591" s="2" t="s">
        <v>3167</v>
      </c>
      <c r="B591" s="2" t="s">
        <v>269</v>
      </c>
      <c r="C591" s="2" t="s">
        <v>5064</v>
      </c>
      <c r="D591" s="2"/>
    </row>
    <row r="592" spans="1:4" x14ac:dyDescent="0.3">
      <c r="A592" s="2" t="s">
        <v>3169</v>
      </c>
      <c r="B592" s="2" t="s">
        <v>269</v>
      </c>
      <c r="C592" s="2" t="s">
        <v>5064</v>
      </c>
      <c r="D592" s="2"/>
    </row>
    <row r="593" spans="1:4" x14ac:dyDescent="0.3">
      <c r="A593" s="2" t="s">
        <v>3171</v>
      </c>
      <c r="B593" s="2" t="s">
        <v>269</v>
      </c>
      <c r="C593" s="2" t="s">
        <v>5064</v>
      </c>
      <c r="D593" s="2"/>
    </row>
    <row r="594" spans="1:4" x14ac:dyDescent="0.3">
      <c r="A594" s="2" t="s">
        <v>3173</v>
      </c>
      <c r="B594" s="2" t="s">
        <v>269</v>
      </c>
      <c r="C594" s="2" t="s">
        <v>5064</v>
      </c>
      <c r="D594" s="2"/>
    </row>
    <row r="595" spans="1:4" x14ac:dyDescent="0.3">
      <c r="A595" s="2" t="s">
        <v>3175</v>
      </c>
      <c r="B595" s="2" t="s">
        <v>269</v>
      </c>
      <c r="C595" s="2" t="s">
        <v>5064</v>
      </c>
      <c r="D595" s="2"/>
    </row>
    <row r="596" spans="1:4" x14ac:dyDescent="0.3">
      <c r="A596" s="2" t="s">
        <v>3177</v>
      </c>
      <c r="B596" s="2" t="s">
        <v>269</v>
      </c>
      <c r="C596" s="2" t="s">
        <v>5064</v>
      </c>
      <c r="D596" s="2"/>
    </row>
    <row r="597" spans="1:4" x14ac:dyDescent="0.3">
      <c r="A597" s="2" t="s">
        <v>3179</v>
      </c>
      <c r="B597" s="2" t="s">
        <v>269</v>
      </c>
      <c r="C597" s="2" t="s">
        <v>5064</v>
      </c>
      <c r="D597" s="2"/>
    </row>
    <row r="598" spans="1:4" x14ac:dyDescent="0.3">
      <c r="A598" s="2" t="s">
        <v>3181</v>
      </c>
      <c r="B598" s="2" t="s">
        <v>269</v>
      </c>
      <c r="C598" s="2" t="s">
        <v>5064</v>
      </c>
      <c r="D598" s="2"/>
    </row>
    <row r="599" spans="1:4" x14ac:dyDescent="0.3">
      <c r="A599" s="2" t="s">
        <v>3183</v>
      </c>
      <c r="B599" s="2" t="s">
        <v>269</v>
      </c>
      <c r="C599" s="2" t="s">
        <v>5064</v>
      </c>
      <c r="D599" s="2"/>
    </row>
    <row r="600" spans="1:4" x14ac:dyDescent="0.3">
      <c r="A600" s="2" t="s">
        <v>3184</v>
      </c>
      <c r="B600" s="2" t="s">
        <v>269</v>
      </c>
      <c r="C600" s="2" t="s">
        <v>5064</v>
      </c>
      <c r="D600" s="2"/>
    </row>
    <row r="601" spans="1:4" x14ac:dyDescent="0.3">
      <c r="A601" s="2" t="s">
        <v>3186</v>
      </c>
      <c r="B601" s="2" t="s">
        <v>269</v>
      </c>
      <c r="C601" s="2" t="s">
        <v>5064</v>
      </c>
      <c r="D601" s="2"/>
    </row>
    <row r="602" spans="1:4" x14ac:dyDescent="0.3">
      <c r="A602" s="2" t="s">
        <v>3188</v>
      </c>
      <c r="B602" s="2" t="s">
        <v>269</v>
      </c>
      <c r="C602" s="2" t="s">
        <v>5064</v>
      </c>
      <c r="D602" s="2"/>
    </row>
    <row r="603" spans="1:4" x14ac:dyDescent="0.3">
      <c r="A603" s="2" t="s">
        <v>3190</v>
      </c>
      <c r="B603" s="2" t="s">
        <v>269</v>
      </c>
      <c r="C603" s="2" t="s">
        <v>5064</v>
      </c>
      <c r="D603" s="2"/>
    </row>
    <row r="604" spans="1:4" x14ac:dyDescent="0.3">
      <c r="A604" s="2" t="s">
        <v>3192</v>
      </c>
      <c r="B604" s="2" t="s">
        <v>269</v>
      </c>
      <c r="C604" s="2" t="s">
        <v>5064</v>
      </c>
      <c r="D604" s="2"/>
    </row>
    <row r="605" spans="1:4" x14ac:dyDescent="0.3">
      <c r="A605" s="2" t="s">
        <v>3194</v>
      </c>
      <c r="B605" s="2" t="s">
        <v>269</v>
      </c>
      <c r="C605" s="2" t="s">
        <v>5064</v>
      </c>
      <c r="D605" s="2"/>
    </row>
    <row r="606" spans="1:4" x14ac:dyDescent="0.3">
      <c r="A606" s="2" t="s">
        <v>3196</v>
      </c>
      <c r="B606" s="2" t="s">
        <v>269</v>
      </c>
      <c r="C606" s="2" t="s">
        <v>5064</v>
      </c>
      <c r="D606" s="2"/>
    </row>
    <row r="607" spans="1:4" x14ac:dyDescent="0.3">
      <c r="A607" s="2" t="s">
        <v>3198</v>
      </c>
      <c r="B607" s="2" t="s">
        <v>269</v>
      </c>
      <c r="C607" s="2" t="s">
        <v>5064</v>
      </c>
      <c r="D607" s="2"/>
    </row>
    <row r="608" spans="1:4" x14ac:dyDescent="0.3">
      <c r="A608" s="2" t="s">
        <v>3200</v>
      </c>
      <c r="B608" s="2" t="s">
        <v>269</v>
      </c>
      <c r="C608" s="2" t="s">
        <v>5064</v>
      </c>
      <c r="D608" s="2"/>
    </row>
    <row r="609" spans="1:4" x14ac:dyDescent="0.3">
      <c r="A609" s="2" t="s">
        <v>3202</v>
      </c>
      <c r="B609" s="2" t="s">
        <v>269</v>
      </c>
      <c r="C609" s="2" t="s">
        <v>5064</v>
      </c>
      <c r="D609" s="2"/>
    </row>
    <row r="610" spans="1:4" x14ac:dyDescent="0.3">
      <c r="A610" s="2" t="s">
        <v>3204</v>
      </c>
      <c r="B610" s="2" t="s">
        <v>269</v>
      </c>
      <c r="C610" s="2" t="s">
        <v>5064</v>
      </c>
      <c r="D610" s="2"/>
    </row>
    <row r="611" spans="1:4" x14ac:dyDescent="0.3">
      <c r="A611" s="2" t="s">
        <v>3206</v>
      </c>
      <c r="B611" s="2" t="s">
        <v>269</v>
      </c>
      <c r="C611" s="2" t="s">
        <v>5064</v>
      </c>
      <c r="D611" s="2"/>
    </row>
    <row r="612" spans="1:4" x14ac:dyDescent="0.3">
      <c r="A612" s="2" t="s">
        <v>3208</v>
      </c>
      <c r="B612" s="2" t="s">
        <v>269</v>
      </c>
      <c r="C612" s="2" t="s">
        <v>5064</v>
      </c>
      <c r="D612" s="2"/>
    </row>
    <row r="613" spans="1:4" x14ac:dyDescent="0.3">
      <c r="A613" s="2" t="s">
        <v>3210</v>
      </c>
      <c r="B613" s="2" t="s">
        <v>269</v>
      </c>
      <c r="C613" s="2" t="s">
        <v>5064</v>
      </c>
      <c r="D613" s="2"/>
    </row>
    <row r="614" spans="1:4" x14ac:dyDescent="0.3">
      <c r="A614" s="2" t="s">
        <v>3212</v>
      </c>
      <c r="B614" s="2" t="s">
        <v>269</v>
      </c>
      <c r="C614" s="2" t="s">
        <v>5064</v>
      </c>
      <c r="D614" s="2"/>
    </row>
    <row r="615" spans="1:4" x14ac:dyDescent="0.3">
      <c r="A615" s="2" t="s">
        <v>3214</v>
      </c>
      <c r="B615" s="2" t="s">
        <v>269</v>
      </c>
      <c r="C615" s="2" t="s">
        <v>5064</v>
      </c>
      <c r="D615" s="2"/>
    </row>
    <row r="616" spans="1:4" x14ac:dyDescent="0.3">
      <c r="A616" s="2" t="s">
        <v>3216</v>
      </c>
      <c r="B616" s="2" t="s">
        <v>269</v>
      </c>
      <c r="C616" s="2" t="s">
        <v>5064</v>
      </c>
      <c r="D616" s="2"/>
    </row>
    <row r="617" spans="1:4" x14ac:dyDescent="0.3">
      <c r="A617" s="2" t="s">
        <v>3218</v>
      </c>
      <c r="B617" s="2" t="s">
        <v>269</v>
      </c>
      <c r="C617" s="2" t="s">
        <v>5064</v>
      </c>
      <c r="D617" s="2"/>
    </row>
    <row r="618" spans="1:4" x14ac:dyDescent="0.3">
      <c r="A618" s="2" t="s">
        <v>3220</v>
      </c>
      <c r="B618" s="2" t="s">
        <v>269</v>
      </c>
      <c r="C618" s="2" t="s">
        <v>5064</v>
      </c>
      <c r="D618" s="2"/>
    </row>
    <row r="619" spans="1:4" x14ac:dyDescent="0.3">
      <c r="A619" s="2" t="s">
        <v>3222</v>
      </c>
      <c r="B619" s="2" t="s">
        <v>269</v>
      </c>
      <c r="C619" s="2" t="s">
        <v>5064</v>
      </c>
      <c r="D619" s="2"/>
    </row>
    <row r="620" spans="1:4" x14ac:dyDescent="0.3">
      <c r="A620" s="2" t="s">
        <v>3224</v>
      </c>
      <c r="B620" s="2" t="s">
        <v>269</v>
      </c>
      <c r="C620" s="2" t="s">
        <v>5064</v>
      </c>
      <c r="D620" s="2"/>
    </row>
    <row r="621" spans="1:4" x14ac:dyDescent="0.3">
      <c r="A621" s="2" t="s">
        <v>3226</v>
      </c>
      <c r="B621" s="2" t="s">
        <v>269</v>
      </c>
      <c r="C621" s="2" t="s">
        <v>5064</v>
      </c>
      <c r="D621" s="2"/>
    </row>
    <row r="622" spans="1:4" x14ac:dyDescent="0.3">
      <c r="A622" s="2" t="s">
        <v>3228</v>
      </c>
      <c r="B622" s="2" t="s">
        <v>269</v>
      </c>
      <c r="C622" s="2" t="s">
        <v>5064</v>
      </c>
      <c r="D622" s="2"/>
    </row>
    <row r="623" spans="1:4" x14ac:dyDescent="0.3">
      <c r="A623" s="2" t="s">
        <v>3230</v>
      </c>
      <c r="B623" s="2" t="s">
        <v>269</v>
      </c>
      <c r="C623" s="2" t="s">
        <v>5064</v>
      </c>
      <c r="D623" s="2"/>
    </row>
    <row r="624" spans="1:4" x14ac:dyDescent="0.3">
      <c r="A624" s="2" t="s">
        <v>3232</v>
      </c>
      <c r="B624" s="2" t="s">
        <v>269</v>
      </c>
      <c r="C624" s="2" t="s">
        <v>5064</v>
      </c>
      <c r="D624" s="2"/>
    </row>
    <row r="625" spans="1:4" x14ac:dyDescent="0.3">
      <c r="A625" s="2" t="s">
        <v>3233</v>
      </c>
      <c r="B625" s="2" t="s">
        <v>269</v>
      </c>
      <c r="C625" s="2" t="s">
        <v>5064</v>
      </c>
      <c r="D625" s="2"/>
    </row>
    <row r="626" spans="1:4" x14ac:dyDescent="0.3">
      <c r="A626" s="2" t="s">
        <v>3235</v>
      </c>
      <c r="B626" s="2" t="s">
        <v>269</v>
      </c>
      <c r="C626" s="2" t="s">
        <v>5064</v>
      </c>
      <c r="D626" s="2"/>
    </row>
    <row r="627" spans="1:4" x14ac:dyDescent="0.3">
      <c r="A627" s="2" t="s">
        <v>3237</v>
      </c>
      <c r="B627" s="2" t="s">
        <v>269</v>
      </c>
      <c r="C627" s="2" t="s">
        <v>5064</v>
      </c>
      <c r="D627" s="2"/>
    </row>
    <row r="628" spans="1:4" x14ac:dyDescent="0.3">
      <c r="A628" s="2" t="s">
        <v>3239</v>
      </c>
      <c r="B628" s="2" t="s">
        <v>269</v>
      </c>
      <c r="C628" s="2" t="s">
        <v>5064</v>
      </c>
      <c r="D628" s="2"/>
    </row>
    <row r="629" spans="1:4" x14ac:dyDescent="0.3">
      <c r="A629" s="2" t="s">
        <v>3241</v>
      </c>
      <c r="B629" s="2" t="s">
        <v>269</v>
      </c>
      <c r="C629" s="2" t="s">
        <v>5064</v>
      </c>
      <c r="D629" s="2"/>
    </row>
    <row r="630" spans="1:4" x14ac:dyDescent="0.3">
      <c r="A630" s="2" t="s">
        <v>3243</v>
      </c>
      <c r="B630" s="2" t="s">
        <v>269</v>
      </c>
      <c r="C630" s="2" t="s">
        <v>5064</v>
      </c>
      <c r="D630" s="2"/>
    </row>
    <row r="631" spans="1:4" x14ac:dyDescent="0.3">
      <c r="A631" s="2" t="s">
        <v>3245</v>
      </c>
      <c r="B631" s="2" t="s">
        <v>269</v>
      </c>
      <c r="C631" s="2" t="s">
        <v>5064</v>
      </c>
      <c r="D631" s="2"/>
    </row>
    <row r="632" spans="1:4" x14ac:dyDescent="0.3">
      <c r="A632" s="2" t="s">
        <v>3247</v>
      </c>
      <c r="B632" s="2" t="s">
        <v>269</v>
      </c>
      <c r="C632" s="2" t="s">
        <v>5064</v>
      </c>
      <c r="D632" s="2"/>
    </row>
    <row r="633" spans="1:4" x14ac:dyDescent="0.3">
      <c r="A633" s="2" t="s">
        <v>3249</v>
      </c>
      <c r="B633" s="2" t="s">
        <v>269</v>
      </c>
      <c r="C633" s="2" t="s">
        <v>5064</v>
      </c>
      <c r="D633" s="2"/>
    </row>
    <row r="634" spans="1:4" x14ac:dyDescent="0.3">
      <c r="A634" s="2" t="s">
        <v>3251</v>
      </c>
      <c r="B634" s="2" t="s">
        <v>269</v>
      </c>
      <c r="C634" s="2" t="s">
        <v>5064</v>
      </c>
      <c r="D634" s="2"/>
    </row>
    <row r="635" spans="1:4" x14ac:dyDescent="0.3">
      <c r="A635" s="2" t="s">
        <v>3252</v>
      </c>
      <c r="B635" s="2" t="s">
        <v>269</v>
      </c>
      <c r="C635" s="2" t="s">
        <v>5064</v>
      </c>
      <c r="D635" s="2"/>
    </row>
    <row r="636" spans="1:4" x14ac:dyDescent="0.3">
      <c r="A636" s="2" t="s">
        <v>3254</v>
      </c>
      <c r="B636" s="2" t="s">
        <v>269</v>
      </c>
      <c r="C636" s="2" t="s">
        <v>5064</v>
      </c>
      <c r="D636" s="2"/>
    </row>
    <row r="637" spans="1:4" x14ac:dyDescent="0.3">
      <c r="A637" s="2" t="s">
        <v>3256</v>
      </c>
      <c r="B637" s="2" t="s">
        <v>269</v>
      </c>
      <c r="C637" s="2" t="s">
        <v>5064</v>
      </c>
      <c r="D637" s="2"/>
    </row>
    <row r="638" spans="1:4" x14ac:dyDescent="0.3">
      <c r="A638" s="2" t="s">
        <v>3258</v>
      </c>
      <c r="B638" s="2" t="s">
        <v>269</v>
      </c>
      <c r="C638" s="2" t="s">
        <v>5064</v>
      </c>
      <c r="D638" s="2"/>
    </row>
    <row r="639" spans="1:4" x14ac:dyDescent="0.3">
      <c r="A639" s="2" t="s">
        <v>3260</v>
      </c>
      <c r="B639" s="2" t="s">
        <v>269</v>
      </c>
      <c r="C639" s="2" t="s">
        <v>5064</v>
      </c>
      <c r="D639" s="2"/>
    </row>
    <row r="640" spans="1:4" x14ac:dyDescent="0.3">
      <c r="A640" s="2" t="s">
        <v>3262</v>
      </c>
      <c r="B640" s="2" t="s">
        <v>269</v>
      </c>
      <c r="C640" s="2" t="s">
        <v>5064</v>
      </c>
      <c r="D640" s="2"/>
    </row>
    <row r="641" spans="1:4" x14ac:dyDescent="0.3">
      <c r="A641" s="2" t="s">
        <v>3263</v>
      </c>
      <c r="B641" s="2" t="s">
        <v>269</v>
      </c>
      <c r="C641" s="2" t="s">
        <v>5064</v>
      </c>
      <c r="D641" s="2"/>
    </row>
    <row r="642" spans="1:4" x14ac:dyDescent="0.3">
      <c r="A642" s="2" t="s">
        <v>3265</v>
      </c>
      <c r="B642" s="2" t="s">
        <v>269</v>
      </c>
      <c r="C642" s="2" t="s">
        <v>5064</v>
      </c>
      <c r="D642" s="2"/>
    </row>
    <row r="643" spans="1:4" x14ac:dyDescent="0.3">
      <c r="A643" s="2" t="s">
        <v>3267</v>
      </c>
      <c r="B643" s="2" t="s">
        <v>269</v>
      </c>
      <c r="C643" s="2" t="s">
        <v>5064</v>
      </c>
      <c r="D643" s="2"/>
    </row>
    <row r="644" spans="1:4" x14ac:dyDescent="0.3">
      <c r="A644" s="2" t="s">
        <v>3269</v>
      </c>
      <c r="B644" s="2" t="s">
        <v>269</v>
      </c>
      <c r="C644" s="2" t="s">
        <v>5064</v>
      </c>
      <c r="D644" s="2"/>
    </row>
    <row r="645" spans="1:4" x14ac:dyDescent="0.3">
      <c r="A645" s="2" t="s">
        <v>3271</v>
      </c>
      <c r="B645" s="2" t="s">
        <v>269</v>
      </c>
      <c r="C645" s="2" t="s">
        <v>5064</v>
      </c>
      <c r="D645" s="2"/>
    </row>
    <row r="646" spans="1:4" x14ac:dyDescent="0.3">
      <c r="A646" s="2" t="s">
        <v>3273</v>
      </c>
      <c r="B646" s="2" t="s">
        <v>269</v>
      </c>
      <c r="C646" s="2" t="s">
        <v>5064</v>
      </c>
      <c r="D646" s="2"/>
    </row>
    <row r="647" spans="1:4" x14ac:dyDescent="0.3">
      <c r="A647" s="2" t="s">
        <v>3275</v>
      </c>
      <c r="B647" s="2" t="s">
        <v>269</v>
      </c>
      <c r="C647" s="2" t="s">
        <v>5064</v>
      </c>
      <c r="D647" s="2"/>
    </row>
    <row r="648" spans="1:4" x14ac:dyDescent="0.3">
      <c r="A648" s="2" t="s">
        <v>3277</v>
      </c>
      <c r="B648" s="2" t="s">
        <v>269</v>
      </c>
      <c r="C648" s="2" t="s">
        <v>5064</v>
      </c>
      <c r="D648" s="2"/>
    </row>
    <row r="649" spans="1:4" x14ac:dyDescent="0.3">
      <c r="A649" s="2" t="s">
        <v>3279</v>
      </c>
      <c r="B649" s="2" t="s">
        <v>269</v>
      </c>
      <c r="C649" s="2" t="s">
        <v>5064</v>
      </c>
      <c r="D649" s="2"/>
    </row>
    <row r="650" spans="1:4" x14ac:dyDescent="0.3">
      <c r="A650" s="2" t="s">
        <v>3281</v>
      </c>
      <c r="B650" s="2" t="s">
        <v>269</v>
      </c>
      <c r="C650" s="2" t="s">
        <v>5064</v>
      </c>
      <c r="D650" s="2"/>
    </row>
    <row r="651" spans="1:4" x14ac:dyDescent="0.3">
      <c r="A651" s="2" t="s">
        <v>3283</v>
      </c>
      <c r="B651" s="2" t="s">
        <v>269</v>
      </c>
      <c r="C651" s="2" t="s">
        <v>5064</v>
      </c>
      <c r="D651" s="2"/>
    </row>
    <row r="652" spans="1:4" x14ac:dyDescent="0.3">
      <c r="A652" s="2" t="s">
        <v>3285</v>
      </c>
      <c r="B652" s="2" t="s">
        <v>269</v>
      </c>
      <c r="C652" s="2" t="s">
        <v>5064</v>
      </c>
      <c r="D652" s="2"/>
    </row>
    <row r="653" spans="1:4" x14ac:dyDescent="0.3">
      <c r="A653" s="2" t="s">
        <v>3287</v>
      </c>
      <c r="B653" s="2" t="s">
        <v>269</v>
      </c>
      <c r="C653" s="2" t="s">
        <v>5064</v>
      </c>
      <c r="D653" s="2"/>
    </row>
    <row r="654" spans="1:4" x14ac:dyDescent="0.3">
      <c r="A654" s="2" t="s">
        <v>3289</v>
      </c>
      <c r="B654" s="2" t="s">
        <v>269</v>
      </c>
      <c r="C654" s="2" t="s">
        <v>5064</v>
      </c>
      <c r="D654" s="2"/>
    </row>
    <row r="655" spans="1:4" x14ac:dyDescent="0.3">
      <c r="A655" s="2" t="s">
        <v>3291</v>
      </c>
      <c r="B655" s="2" t="s">
        <v>269</v>
      </c>
      <c r="C655" s="2" t="s">
        <v>5064</v>
      </c>
      <c r="D655" s="2"/>
    </row>
    <row r="656" spans="1:4" x14ac:dyDescent="0.3">
      <c r="A656" s="2" t="s">
        <v>3293</v>
      </c>
      <c r="B656" s="2" t="s">
        <v>269</v>
      </c>
      <c r="C656" s="2" t="s">
        <v>5064</v>
      </c>
      <c r="D656" s="2"/>
    </row>
    <row r="657" spans="1:4" x14ac:dyDescent="0.3">
      <c r="A657" s="2" t="s">
        <v>3295</v>
      </c>
      <c r="B657" s="2" t="s">
        <v>269</v>
      </c>
      <c r="C657" s="2" t="s">
        <v>5064</v>
      </c>
      <c r="D657" s="2"/>
    </row>
    <row r="658" spans="1:4" x14ac:dyDescent="0.3">
      <c r="A658" s="2" t="s">
        <v>3297</v>
      </c>
      <c r="B658" s="2" t="s">
        <v>269</v>
      </c>
      <c r="C658" s="2" t="s">
        <v>5064</v>
      </c>
      <c r="D658" s="2"/>
    </row>
    <row r="659" spans="1:4" x14ac:dyDescent="0.3">
      <c r="A659" s="2" t="s">
        <v>3299</v>
      </c>
      <c r="B659" s="2" t="s">
        <v>269</v>
      </c>
      <c r="C659" s="2" t="s">
        <v>5064</v>
      </c>
      <c r="D659" s="2"/>
    </row>
    <row r="660" spans="1:4" x14ac:dyDescent="0.3">
      <c r="A660" s="2" t="s">
        <v>3301</v>
      </c>
      <c r="B660" s="2" t="s">
        <v>269</v>
      </c>
      <c r="C660" s="2" t="s">
        <v>5064</v>
      </c>
      <c r="D660" s="2"/>
    </row>
    <row r="661" spans="1:4" x14ac:dyDescent="0.3">
      <c r="A661" s="2" t="s">
        <v>3303</v>
      </c>
      <c r="B661" s="2" t="s">
        <v>269</v>
      </c>
      <c r="C661" s="2" t="s">
        <v>5064</v>
      </c>
      <c r="D661" s="2"/>
    </row>
    <row r="662" spans="1:4" x14ac:dyDescent="0.3">
      <c r="A662" s="2" t="s">
        <v>3305</v>
      </c>
      <c r="B662" s="2" t="s">
        <v>269</v>
      </c>
      <c r="C662" s="2" t="s">
        <v>5064</v>
      </c>
      <c r="D662" s="2"/>
    </row>
    <row r="663" spans="1:4" x14ac:dyDescent="0.3">
      <c r="A663" s="2" t="s">
        <v>3307</v>
      </c>
      <c r="B663" s="2" t="s">
        <v>269</v>
      </c>
      <c r="C663" s="2" t="s">
        <v>5064</v>
      </c>
      <c r="D663" s="2"/>
    </row>
    <row r="664" spans="1:4" x14ac:dyDescent="0.3">
      <c r="A664" s="2" t="s">
        <v>3309</v>
      </c>
      <c r="B664" s="2" t="s">
        <v>269</v>
      </c>
      <c r="C664" s="2" t="s">
        <v>5064</v>
      </c>
      <c r="D664" s="2"/>
    </row>
    <row r="665" spans="1:4" x14ac:dyDescent="0.3">
      <c r="A665" s="2" t="s">
        <v>3311</v>
      </c>
      <c r="B665" s="2" t="s">
        <v>269</v>
      </c>
      <c r="C665" s="2" t="s">
        <v>5064</v>
      </c>
      <c r="D665" s="2"/>
    </row>
    <row r="666" spans="1:4" x14ac:dyDescent="0.3">
      <c r="A666" s="2" t="s">
        <v>3313</v>
      </c>
      <c r="B666" s="2" t="s">
        <v>269</v>
      </c>
      <c r="C666" s="2" t="s">
        <v>5064</v>
      </c>
      <c r="D666" s="2"/>
    </row>
    <row r="667" spans="1:4" x14ac:dyDescent="0.3">
      <c r="A667" s="2" t="s">
        <v>3315</v>
      </c>
      <c r="B667" s="2" t="s">
        <v>269</v>
      </c>
      <c r="C667" s="2" t="s">
        <v>5064</v>
      </c>
      <c r="D667" s="2"/>
    </row>
    <row r="668" spans="1:4" x14ac:dyDescent="0.3">
      <c r="A668" s="2" t="s">
        <v>3317</v>
      </c>
      <c r="B668" s="2" t="s">
        <v>269</v>
      </c>
      <c r="C668" s="2" t="s">
        <v>5064</v>
      </c>
      <c r="D668" s="2"/>
    </row>
    <row r="669" spans="1:4" x14ac:dyDescent="0.3">
      <c r="A669" s="2" t="s">
        <v>3318</v>
      </c>
      <c r="B669" s="2" t="s">
        <v>269</v>
      </c>
      <c r="C669" s="2" t="s">
        <v>5064</v>
      </c>
      <c r="D669" s="2"/>
    </row>
    <row r="670" spans="1:4" x14ac:dyDescent="0.3">
      <c r="A670" s="2" t="s">
        <v>3320</v>
      </c>
      <c r="B670" s="2" t="s">
        <v>269</v>
      </c>
      <c r="C670" s="2" t="s">
        <v>5064</v>
      </c>
      <c r="D670" s="2"/>
    </row>
    <row r="671" spans="1:4" x14ac:dyDescent="0.3">
      <c r="A671" s="2" t="s">
        <v>3322</v>
      </c>
      <c r="B671" s="2" t="s">
        <v>269</v>
      </c>
      <c r="C671" s="2" t="s">
        <v>5064</v>
      </c>
      <c r="D671" s="2"/>
    </row>
    <row r="672" spans="1:4" x14ac:dyDescent="0.3">
      <c r="A672" s="2" t="s">
        <v>3324</v>
      </c>
      <c r="B672" s="2" t="s">
        <v>269</v>
      </c>
      <c r="C672" s="2" t="s">
        <v>5064</v>
      </c>
      <c r="D672" s="2"/>
    </row>
    <row r="673" spans="1:4" x14ac:dyDescent="0.3">
      <c r="A673" s="2" t="s">
        <v>3326</v>
      </c>
      <c r="B673" s="2" t="s">
        <v>269</v>
      </c>
      <c r="C673" s="2" t="s">
        <v>5064</v>
      </c>
      <c r="D673" s="2"/>
    </row>
    <row r="674" spans="1:4" x14ac:dyDescent="0.3">
      <c r="A674" s="2" t="s">
        <v>3328</v>
      </c>
      <c r="B674" s="2" t="s">
        <v>269</v>
      </c>
      <c r="C674" s="2" t="s">
        <v>5064</v>
      </c>
      <c r="D674" s="2"/>
    </row>
    <row r="675" spans="1:4" x14ac:dyDescent="0.3">
      <c r="A675" s="2" t="s">
        <v>3330</v>
      </c>
      <c r="B675" s="2" t="s">
        <v>269</v>
      </c>
      <c r="C675" s="2" t="s">
        <v>5064</v>
      </c>
      <c r="D675" s="2"/>
    </row>
    <row r="676" spans="1:4" x14ac:dyDescent="0.3">
      <c r="A676" s="2" t="s">
        <v>3332</v>
      </c>
      <c r="B676" s="2" t="s">
        <v>269</v>
      </c>
      <c r="C676" s="2" t="s">
        <v>5064</v>
      </c>
      <c r="D676" s="2"/>
    </row>
    <row r="677" spans="1:4" x14ac:dyDescent="0.3">
      <c r="A677" s="2" t="s">
        <v>3334</v>
      </c>
      <c r="B677" s="2" t="s">
        <v>269</v>
      </c>
      <c r="C677" s="2" t="s">
        <v>5064</v>
      </c>
      <c r="D677" s="2"/>
    </row>
    <row r="678" spans="1:4" x14ac:dyDescent="0.3">
      <c r="A678" s="2" t="s">
        <v>3336</v>
      </c>
      <c r="B678" s="2" t="s">
        <v>269</v>
      </c>
      <c r="C678" s="2" t="s">
        <v>5064</v>
      </c>
      <c r="D678" s="2"/>
    </row>
    <row r="679" spans="1:4" x14ac:dyDescent="0.3">
      <c r="A679" s="2" t="s">
        <v>3338</v>
      </c>
      <c r="B679" s="2" t="s">
        <v>269</v>
      </c>
      <c r="C679" s="2" t="s">
        <v>5064</v>
      </c>
      <c r="D679" s="2"/>
    </row>
    <row r="680" spans="1:4" x14ac:dyDescent="0.3">
      <c r="A680" s="2" t="s">
        <v>3340</v>
      </c>
      <c r="B680" s="2" t="s">
        <v>269</v>
      </c>
      <c r="C680" s="2" t="s">
        <v>5064</v>
      </c>
      <c r="D680" s="2"/>
    </row>
    <row r="681" spans="1:4" x14ac:dyDescent="0.3">
      <c r="A681" s="2" t="s">
        <v>3342</v>
      </c>
      <c r="B681" s="2" t="s">
        <v>269</v>
      </c>
      <c r="C681" s="2" t="s">
        <v>5064</v>
      </c>
      <c r="D681" s="2"/>
    </row>
    <row r="682" spans="1:4" x14ac:dyDescent="0.3">
      <c r="A682" s="2" t="s">
        <v>3344</v>
      </c>
      <c r="B682" s="2" t="s">
        <v>269</v>
      </c>
      <c r="C682" s="2" t="s">
        <v>5064</v>
      </c>
      <c r="D682" s="2"/>
    </row>
    <row r="683" spans="1:4" x14ac:dyDescent="0.3">
      <c r="A683" s="2" t="s">
        <v>3346</v>
      </c>
      <c r="B683" s="2" t="s">
        <v>269</v>
      </c>
      <c r="C683" s="2" t="s">
        <v>5064</v>
      </c>
      <c r="D683" s="2"/>
    </row>
    <row r="684" spans="1:4" x14ac:dyDescent="0.3">
      <c r="A684" s="2" t="s">
        <v>3348</v>
      </c>
      <c r="B684" s="2" t="s">
        <v>269</v>
      </c>
      <c r="C684" s="2" t="s">
        <v>5064</v>
      </c>
      <c r="D684" s="2"/>
    </row>
    <row r="685" spans="1:4" x14ac:dyDescent="0.3">
      <c r="A685" s="2" t="s">
        <v>3350</v>
      </c>
      <c r="B685" s="2" t="s">
        <v>269</v>
      </c>
      <c r="C685" s="2" t="s">
        <v>5064</v>
      </c>
      <c r="D685" s="2"/>
    </row>
    <row r="686" spans="1:4" x14ac:dyDescent="0.3">
      <c r="A686" s="2" t="s">
        <v>3352</v>
      </c>
      <c r="B686" s="2" t="s">
        <v>269</v>
      </c>
      <c r="C686" s="2" t="s">
        <v>5064</v>
      </c>
      <c r="D686" s="2"/>
    </row>
    <row r="687" spans="1:4" x14ac:dyDescent="0.3">
      <c r="A687" s="2" t="s">
        <v>3354</v>
      </c>
      <c r="B687" s="2" t="s">
        <v>269</v>
      </c>
      <c r="C687" s="2" t="s">
        <v>5064</v>
      </c>
      <c r="D687" s="2"/>
    </row>
    <row r="688" spans="1:4" x14ac:dyDescent="0.3">
      <c r="A688" s="2" t="s">
        <v>3356</v>
      </c>
      <c r="B688" s="2" t="s">
        <v>269</v>
      </c>
      <c r="C688" s="2" t="s">
        <v>5064</v>
      </c>
      <c r="D688" s="2"/>
    </row>
    <row r="689" spans="1:4" x14ac:dyDescent="0.3">
      <c r="A689" s="2" t="s">
        <v>3358</v>
      </c>
      <c r="B689" s="2" t="s">
        <v>269</v>
      </c>
      <c r="C689" s="2" t="s">
        <v>5064</v>
      </c>
      <c r="D689" s="2"/>
    </row>
    <row r="690" spans="1:4" x14ac:dyDescent="0.3">
      <c r="A690" s="2" t="s">
        <v>3360</v>
      </c>
      <c r="B690" s="2" t="s">
        <v>269</v>
      </c>
      <c r="C690" s="2" t="s">
        <v>5064</v>
      </c>
      <c r="D690" s="2"/>
    </row>
    <row r="691" spans="1:4" x14ac:dyDescent="0.3">
      <c r="A691" s="2" t="s">
        <v>3362</v>
      </c>
      <c r="B691" s="2" t="s">
        <v>269</v>
      </c>
      <c r="C691" s="2" t="s">
        <v>5064</v>
      </c>
      <c r="D691" s="2"/>
    </row>
    <row r="692" spans="1:4" x14ac:dyDescent="0.3">
      <c r="A692" s="2" t="s">
        <v>3364</v>
      </c>
      <c r="B692" s="2" t="s">
        <v>269</v>
      </c>
      <c r="C692" s="2" t="s">
        <v>5064</v>
      </c>
      <c r="D692" s="2"/>
    </row>
    <row r="693" spans="1:4" x14ac:dyDescent="0.3">
      <c r="A693" s="2" t="s">
        <v>3366</v>
      </c>
      <c r="B693" s="2" t="s">
        <v>269</v>
      </c>
      <c r="C693" s="2" t="s">
        <v>5064</v>
      </c>
      <c r="D693" s="2"/>
    </row>
    <row r="694" spans="1:4" x14ac:dyDescent="0.3">
      <c r="A694" s="2" t="s">
        <v>3368</v>
      </c>
      <c r="B694" s="2" t="s">
        <v>269</v>
      </c>
      <c r="C694" s="2" t="s">
        <v>5064</v>
      </c>
      <c r="D694" s="2"/>
    </row>
    <row r="695" spans="1:4" x14ac:dyDescent="0.3">
      <c r="A695" s="2" t="s">
        <v>3370</v>
      </c>
      <c r="B695" s="2" t="s">
        <v>269</v>
      </c>
      <c r="C695" s="2" t="s">
        <v>5064</v>
      </c>
      <c r="D695" s="2"/>
    </row>
    <row r="696" spans="1:4" x14ac:dyDescent="0.3">
      <c r="A696" s="2" t="s">
        <v>3372</v>
      </c>
      <c r="B696" s="2" t="s">
        <v>269</v>
      </c>
      <c r="C696" s="2" t="s">
        <v>5064</v>
      </c>
      <c r="D696" s="2"/>
    </row>
    <row r="697" spans="1:4" x14ac:dyDescent="0.3">
      <c r="A697" s="2" t="s">
        <v>3374</v>
      </c>
      <c r="B697" s="2" t="s">
        <v>269</v>
      </c>
      <c r="C697" s="2" t="s">
        <v>5064</v>
      </c>
      <c r="D697" s="2"/>
    </row>
    <row r="698" spans="1:4" x14ac:dyDescent="0.3">
      <c r="A698" s="2" t="s">
        <v>3376</v>
      </c>
      <c r="B698" s="2" t="s">
        <v>269</v>
      </c>
      <c r="C698" s="2" t="s">
        <v>5064</v>
      </c>
      <c r="D698" s="2"/>
    </row>
    <row r="699" spans="1:4" x14ac:dyDescent="0.3">
      <c r="A699" s="2" t="s">
        <v>3378</v>
      </c>
      <c r="B699" s="2" t="s">
        <v>269</v>
      </c>
      <c r="C699" s="2" t="s">
        <v>5064</v>
      </c>
      <c r="D699" s="2"/>
    </row>
    <row r="700" spans="1:4" x14ac:dyDescent="0.3">
      <c r="A700" s="2" t="s">
        <v>3379</v>
      </c>
      <c r="B700" s="2" t="s">
        <v>269</v>
      </c>
      <c r="C700" s="2" t="s">
        <v>5064</v>
      </c>
      <c r="D700" s="2"/>
    </row>
    <row r="701" spans="1:4" x14ac:dyDescent="0.3">
      <c r="A701" s="2" t="s">
        <v>3381</v>
      </c>
      <c r="B701" s="2" t="s">
        <v>269</v>
      </c>
      <c r="C701" s="2" t="s">
        <v>5064</v>
      </c>
      <c r="D701" s="2"/>
    </row>
    <row r="702" spans="1:4" x14ac:dyDescent="0.3">
      <c r="A702" s="2" t="s">
        <v>3383</v>
      </c>
      <c r="B702" s="2" t="s">
        <v>269</v>
      </c>
      <c r="C702" s="2" t="s">
        <v>5064</v>
      </c>
      <c r="D702" s="2"/>
    </row>
    <row r="703" spans="1:4" x14ac:dyDescent="0.3">
      <c r="A703" s="2" t="s">
        <v>3385</v>
      </c>
      <c r="B703" s="2" t="s">
        <v>269</v>
      </c>
      <c r="C703" s="2" t="s">
        <v>5064</v>
      </c>
      <c r="D703" s="2"/>
    </row>
    <row r="704" spans="1:4" x14ac:dyDescent="0.3">
      <c r="A704" s="2" t="s">
        <v>3387</v>
      </c>
      <c r="B704" s="2" t="s">
        <v>269</v>
      </c>
      <c r="C704" s="2" t="s">
        <v>5064</v>
      </c>
      <c r="D704" s="2"/>
    </row>
    <row r="705" spans="1:4" x14ac:dyDescent="0.3">
      <c r="A705" s="2" t="s">
        <v>3389</v>
      </c>
      <c r="B705" s="2" t="s">
        <v>269</v>
      </c>
      <c r="C705" s="2" t="s">
        <v>5064</v>
      </c>
      <c r="D705" s="2"/>
    </row>
    <row r="706" spans="1:4" x14ac:dyDescent="0.3">
      <c r="A706" s="2" t="s">
        <v>3391</v>
      </c>
      <c r="B706" s="2" t="s">
        <v>269</v>
      </c>
      <c r="C706" s="2" t="s">
        <v>5064</v>
      </c>
      <c r="D706" s="2"/>
    </row>
    <row r="707" spans="1:4" x14ac:dyDescent="0.3">
      <c r="A707" s="2" t="s">
        <v>3393</v>
      </c>
      <c r="B707" s="2" t="s">
        <v>269</v>
      </c>
      <c r="C707" s="2" t="s">
        <v>5064</v>
      </c>
      <c r="D707" s="2"/>
    </row>
    <row r="708" spans="1:4" x14ac:dyDescent="0.3">
      <c r="A708" s="2" t="s">
        <v>3394</v>
      </c>
      <c r="B708" s="2" t="s">
        <v>269</v>
      </c>
      <c r="C708" s="2" t="s">
        <v>5064</v>
      </c>
      <c r="D708" s="2"/>
    </row>
    <row r="709" spans="1:4" x14ac:dyDescent="0.3">
      <c r="A709" s="2" t="s">
        <v>3395</v>
      </c>
      <c r="B709" s="2" t="s">
        <v>269</v>
      </c>
      <c r="C709" s="2" t="s">
        <v>5064</v>
      </c>
      <c r="D709" s="2"/>
    </row>
    <row r="710" spans="1:4" x14ac:dyDescent="0.3">
      <c r="A710" s="2" t="s">
        <v>3396</v>
      </c>
      <c r="B710" s="2" t="s">
        <v>269</v>
      </c>
      <c r="C710" s="2" t="s">
        <v>5064</v>
      </c>
      <c r="D710" s="2"/>
    </row>
    <row r="711" spans="1:4" x14ac:dyDescent="0.3">
      <c r="A711" s="2" t="s">
        <v>3398</v>
      </c>
      <c r="B711" s="2" t="s">
        <v>269</v>
      </c>
      <c r="C711" s="2" t="s">
        <v>5064</v>
      </c>
      <c r="D711" s="2"/>
    </row>
    <row r="712" spans="1:4" x14ac:dyDescent="0.3">
      <c r="A712" s="2" t="s">
        <v>3400</v>
      </c>
      <c r="B712" s="2" t="s">
        <v>269</v>
      </c>
      <c r="C712" s="2" t="s">
        <v>5064</v>
      </c>
      <c r="D712" s="2"/>
    </row>
    <row r="713" spans="1:4" x14ac:dyDescent="0.3">
      <c r="A713" s="2" t="s">
        <v>3402</v>
      </c>
      <c r="B713" s="2" t="s">
        <v>269</v>
      </c>
      <c r="C713" s="2" t="s">
        <v>5064</v>
      </c>
      <c r="D713" s="2"/>
    </row>
    <row r="714" spans="1:4" x14ac:dyDescent="0.3">
      <c r="A714" s="2" t="s">
        <v>3404</v>
      </c>
      <c r="B714" s="2" t="s">
        <v>269</v>
      </c>
      <c r="C714" s="2" t="s">
        <v>5064</v>
      </c>
      <c r="D714" s="2"/>
    </row>
    <row r="715" spans="1:4" x14ac:dyDescent="0.3">
      <c r="A715" s="2" t="s">
        <v>3406</v>
      </c>
      <c r="B715" s="2" t="s">
        <v>269</v>
      </c>
      <c r="C715" s="2" t="s">
        <v>5064</v>
      </c>
      <c r="D715" s="2"/>
    </row>
    <row r="716" spans="1:4" x14ac:dyDescent="0.3">
      <c r="A716" s="2" t="s">
        <v>3408</v>
      </c>
      <c r="B716" s="2" t="s">
        <v>269</v>
      </c>
      <c r="C716" s="2" t="s">
        <v>5064</v>
      </c>
      <c r="D716" s="2"/>
    </row>
    <row r="717" spans="1:4" x14ac:dyDescent="0.3">
      <c r="A717" s="2" t="s">
        <v>3410</v>
      </c>
      <c r="B717" s="2" t="s">
        <v>269</v>
      </c>
      <c r="C717" s="2" t="s">
        <v>5064</v>
      </c>
      <c r="D717" s="2"/>
    </row>
    <row r="718" spans="1:4" x14ac:dyDescent="0.3">
      <c r="A718" s="2" t="s">
        <v>3412</v>
      </c>
      <c r="B718" s="2" t="s">
        <v>269</v>
      </c>
      <c r="C718" s="2" t="s">
        <v>5064</v>
      </c>
      <c r="D718" s="2"/>
    </row>
    <row r="719" spans="1:4" x14ac:dyDescent="0.3">
      <c r="A719" s="2" t="s">
        <v>3414</v>
      </c>
      <c r="B719" s="2" t="s">
        <v>269</v>
      </c>
      <c r="C719" s="2" t="s">
        <v>5064</v>
      </c>
      <c r="D719" s="2"/>
    </row>
    <row r="720" spans="1:4" x14ac:dyDescent="0.3">
      <c r="A720" s="2" t="s">
        <v>3416</v>
      </c>
      <c r="B720" s="2" t="s">
        <v>269</v>
      </c>
      <c r="C720" s="2" t="s">
        <v>5064</v>
      </c>
      <c r="D720" s="2"/>
    </row>
    <row r="721" spans="1:4" x14ac:dyDescent="0.3">
      <c r="A721" s="2" t="s">
        <v>3418</v>
      </c>
      <c r="B721" s="2" t="s">
        <v>269</v>
      </c>
      <c r="C721" s="2" t="s">
        <v>5064</v>
      </c>
      <c r="D721" s="2"/>
    </row>
    <row r="722" spans="1:4" x14ac:dyDescent="0.3">
      <c r="A722" s="2" t="s">
        <v>3420</v>
      </c>
      <c r="B722" s="2" t="s">
        <v>269</v>
      </c>
      <c r="C722" s="2" t="s">
        <v>5064</v>
      </c>
      <c r="D722" s="2"/>
    </row>
    <row r="723" spans="1:4" x14ac:dyDescent="0.3">
      <c r="A723" s="2" t="s">
        <v>3422</v>
      </c>
      <c r="B723" s="2" t="s">
        <v>269</v>
      </c>
      <c r="C723" s="2" t="s">
        <v>5064</v>
      </c>
      <c r="D723" s="2"/>
    </row>
    <row r="724" spans="1:4" x14ac:dyDescent="0.3">
      <c r="A724" s="2" t="s">
        <v>3424</v>
      </c>
      <c r="B724" s="2" t="s">
        <v>269</v>
      </c>
      <c r="C724" s="2" t="s">
        <v>5064</v>
      </c>
      <c r="D724" s="2"/>
    </row>
    <row r="725" spans="1:4" x14ac:dyDescent="0.3">
      <c r="A725" s="2" t="s">
        <v>3426</v>
      </c>
      <c r="B725" s="2" t="s">
        <v>269</v>
      </c>
      <c r="C725" s="2" t="s">
        <v>5064</v>
      </c>
      <c r="D725" s="2"/>
    </row>
    <row r="726" spans="1:4" x14ac:dyDescent="0.3">
      <c r="A726" s="2" t="s">
        <v>3428</v>
      </c>
      <c r="B726" s="2" t="s">
        <v>269</v>
      </c>
      <c r="C726" s="2" t="s">
        <v>5064</v>
      </c>
      <c r="D726" s="2"/>
    </row>
    <row r="727" spans="1:4" x14ac:dyDescent="0.3">
      <c r="A727" s="2" t="s">
        <v>3430</v>
      </c>
      <c r="B727" s="2" t="s">
        <v>269</v>
      </c>
      <c r="C727" s="2" t="s">
        <v>5064</v>
      </c>
      <c r="D727" s="2"/>
    </row>
    <row r="728" spans="1:4" x14ac:dyDescent="0.3">
      <c r="A728" s="2" t="s">
        <v>3432</v>
      </c>
      <c r="B728" s="2" t="s">
        <v>269</v>
      </c>
      <c r="C728" s="2" t="s">
        <v>5064</v>
      </c>
      <c r="D728" s="2"/>
    </row>
    <row r="729" spans="1:4" x14ac:dyDescent="0.3">
      <c r="A729" s="2" t="s">
        <v>3433</v>
      </c>
      <c r="B729" s="2" t="s">
        <v>269</v>
      </c>
      <c r="C729" s="2" t="s">
        <v>5064</v>
      </c>
      <c r="D729" s="2"/>
    </row>
    <row r="730" spans="1:4" x14ac:dyDescent="0.3">
      <c r="A730" s="2" t="s">
        <v>3435</v>
      </c>
      <c r="B730" s="2" t="s">
        <v>269</v>
      </c>
      <c r="C730" s="2" t="s">
        <v>5064</v>
      </c>
      <c r="D730" s="2"/>
    </row>
    <row r="731" spans="1:4" x14ac:dyDescent="0.3">
      <c r="A731" s="2" t="s">
        <v>3437</v>
      </c>
      <c r="B731" s="2" t="s">
        <v>269</v>
      </c>
      <c r="C731" s="2" t="s">
        <v>5064</v>
      </c>
      <c r="D731" s="2"/>
    </row>
    <row r="732" spans="1:4" x14ac:dyDescent="0.3">
      <c r="A732" s="2" t="s">
        <v>3439</v>
      </c>
      <c r="B732" s="2" t="s">
        <v>269</v>
      </c>
      <c r="C732" s="2" t="s">
        <v>5064</v>
      </c>
      <c r="D732" s="2"/>
    </row>
    <row r="733" spans="1:4" x14ac:dyDescent="0.3">
      <c r="A733" s="2" t="s">
        <v>3441</v>
      </c>
      <c r="B733" s="2" t="s">
        <v>269</v>
      </c>
      <c r="C733" s="2" t="s">
        <v>5064</v>
      </c>
      <c r="D733" s="2"/>
    </row>
    <row r="734" spans="1:4" x14ac:dyDescent="0.3">
      <c r="A734" s="2" t="s">
        <v>3443</v>
      </c>
      <c r="B734" s="2" t="s">
        <v>269</v>
      </c>
      <c r="C734" s="2" t="s">
        <v>5064</v>
      </c>
      <c r="D734" s="2"/>
    </row>
    <row r="735" spans="1:4" x14ac:dyDescent="0.3">
      <c r="A735" s="2" t="s">
        <v>3445</v>
      </c>
      <c r="B735" s="2" t="s">
        <v>269</v>
      </c>
      <c r="C735" s="2" t="s">
        <v>5064</v>
      </c>
      <c r="D735" s="2"/>
    </row>
    <row r="736" spans="1:4" x14ac:dyDescent="0.3">
      <c r="A736" s="2" t="s">
        <v>3446</v>
      </c>
      <c r="B736" s="2" t="s">
        <v>269</v>
      </c>
      <c r="C736" s="2" t="s">
        <v>5064</v>
      </c>
      <c r="D736" s="2"/>
    </row>
    <row r="737" spans="1:4" x14ac:dyDescent="0.3">
      <c r="A737" s="2" t="s">
        <v>3448</v>
      </c>
      <c r="B737" s="2" t="s">
        <v>269</v>
      </c>
      <c r="C737" s="2" t="s">
        <v>5064</v>
      </c>
      <c r="D737" s="2"/>
    </row>
    <row r="738" spans="1:4" x14ac:dyDescent="0.3">
      <c r="A738" s="2" t="s">
        <v>3450</v>
      </c>
      <c r="B738" s="2" t="s">
        <v>269</v>
      </c>
      <c r="C738" s="2" t="s">
        <v>5064</v>
      </c>
      <c r="D738" s="2"/>
    </row>
    <row r="739" spans="1:4" x14ac:dyDescent="0.3">
      <c r="A739" s="2" t="s">
        <v>3452</v>
      </c>
      <c r="B739" s="2" t="s">
        <v>269</v>
      </c>
      <c r="C739" s="2" t="s">
        <v>5064</v>
      </c>
      <c r="D739" s="2"/>
    </row>
    <row r="740" spans="1:4" x14ac:dyDescent="0.3">
      <c r="A740" s="2" t="s">
        <v>3454</v>
      </c>
      <c r="B740" s="2" t="s">
        <v>269</v>
      </c>
      <c r="C740" s="2" t="s">
        <v>5064</v>
      </c>
      <c r="D740" s="2"/>
    </row>
    <row r="741" spans="1:4" x14ac:dyDescent="0.3">
      <c r="A741" s="2" t="s">
        <v>3456</v>
      </c>
      <c r="B741" s="2" t="s">
        <v>269</v>
      </c>
      <c r="C741" s="2" t="s">
        <v>5064</v>
      </c>
      <c r="D741" s="2"/>
    </row>
    <row r="742" spans="1:4" x14ac:dyDescent="0.3">
      <c r="A742" s="2" t="s">
        <v>3458</v>
      </c>
      <c r="B742" s="2" t="s">
        <v>269</v>
      </c>
      <c r="C742" s="2" t="s">
        <v>5064</v>
      </c>
      <c r="D742" s="2"/>
    </row>
    <row r="743" spans="1:4" x14ac:dyDescent="0.3">
      <c r="A743" s="2" t="s">
        <v>3460</v>
      </c>
      <c r="B743" s="2" t="s">
        <v>269</v>
      </c>
      <c r="C743" s="2" t="s">
        <v>5064</v>
      </c>
      <c r="D743" s="2"/>
    </row>
    <row r="744" spans="1:4" x14ac:dyDescent="0.3">
      <c r="A744" s="2" t="s">
        <v>3462</v>
      </c>
      <c r="B744" s="2" t="s">
        <v>269</v>
      </c>
      <c r="C744" s="2" t="s">
        <v>5064</v>
      </c>
      <c r="D744" s="2"/>
    </row>
    <row r="745" spans="1:4" x14ac:dyDescent="0.3">
      <c r="A745" s="2" t="s">
        <v>3464</v>
      </c>
      <c r="B745" s="2" t="s">
        <v>269</v>
      </c>
      <c r="C745" s="2" t="s">
        <v>5064</v>
      </c>
      <c r="D745" s="2"/>
    </row>
    <row r="746" spans="1:4" x14ac:dyDescent="0.3">
      <c r="A746" s="2" t="s">
        <v>3466</v>
      </c>
      <c r="B746" s="2" t="s">
        <v>269</v>
      </c>
      <c r="C746" s="2" t="s">
        <v>5064</v>
      </c>
      <c r="D746" s="2"/>
    </row>
    <row r="747" spans="1:4" x14ac:dyDescent="0.3">
      <c r="A747" s="2" t="s">
        <v>3468</v>
      </c>
      <c r="B747" s="2" t="s">
        <v>269</v>
      </c>
      <c r="C747" s="2" t="s">
        <v>5064</v>
      </c>
      <c r="D747" s="2"/>
    </row>
    <row r="748" spans="1:4" x14ac:dyDescent="0.3">
      <c r="A748" s="2" t="s">
        <v>3470</v>
      </c>
      <c r="B748" s="2" t="s">
        <v>269</v>
      </c>
      <c r="C748" s="2" t="s">
        <v>5064</v>
      </c>
      <c r="D748" s="2"/>
    </row>
    <row r="749" spans="1:4" x14ac:dyDescent="0.3">
      <c r="A749" s="2" t="s">
        <v>3472</v>
      </c>
      <c r="B749" s="2" t="s">
        <v>269</v>
      </c>
      <c r="C749" s="2" t="s">
        <v>5064</v>
      </c>
      <c r="D749" s="2"/>
    </row>
    <row r="750" spans="1:4" x14ac:dyDescent="0.3">
      <c r="A750" s="2" t="s">
        <v>3474</v>
      </c>
      <c r="B750" s="2" t="s">
        <v>269</v>
      </c>
      <c r="C750" s="2" t="s">
        <v>5064</v>
      </c>
      <c r="D750" s="2"/>
    </row>
    <row r="751" spans="1:4" x14ac:dyDescent="0.3">
      <c r="A751" s="2" t="s">
        <v>3476</v>
      </c>
      <c r="B751" s="2" t="s">
        <v>269</v>
      </c>
      <c r="C751" s="2" t="s">
        <v>5064</v>
      </c>
      <c r="D751" s="2"/>
    </row>
    <row r="752" spans="1:4" x14ac:dyDescent="0.3">
      <c r="A752" s="2" t="s">
        <v>3478</v>
      </c>
      <c r="B752" s="2" t="s">
        <v>269</v>
      </c>
      <c r="C752" s="2" t="s">
        <v>5064</v>
      </c>
      <c r="D752" s="2"/>
    </row>
    <row r="753" spans="1:4" x14ac:dyDescent="0.3">
      <c r="A753" s="2" t="s">
        <v>3480</v>
      </c>
      <c r="B753" s="2" t="s">
        <v>269</v>
      </c>
      <c r="C753" s="2" t="s">
        <v>5064</v>
      </c>
      <c r="D753" s="2"/>
    </row>
    <row r="754" spans="1:4" x14ac:dyDescent="0.3">
      <c r="A754" s="2" t="s">
        <v>3482</v>
      </c>
      <c r="B754" s="2" t="s">
        <v>269</v>
      </c>
      <c r="C754" s="2" t="s">
        <v>5064</v>
      </c>
      <c r="D754" s="2"/>
    </row>
    <row r="755" spans="1:4" x14ac:dyDescent="0.3">
      <c r="A755" s="2" t="s">
        <v>3484</v>
      </c>
      <c r="B755" s="2" t="s">
        <v>269</v>
      </c>
      <c r="C755" s="2" t="s">
        <v>5064</v>
      </c>
      <c r="D755" s="2"/>
    </row>
    <row r="756" spans="1:4" x14ac:dyDescent="0.3">
      <c r="A756" s="2" t="s">
        <v>3486</v>
      </c>
      <c r="B756" s="2" t="s">
        <v>269</v>
      </c>
      <c r="C756" s="2" t="s">
        <v>5064</v>
      </c>
      <c r="D756" s="2"/>
    </row>
    <row r="757" spans="1:4" x14ac:dyDescent="0.3">
      <c r="A757" s="2" t="s">
        <v>3488</v>
      </c>
      <c r="B757" s="2" t="s">
        <v>269</v>
      </c>
      <c r="C757" s="2" t="s">
        <v>5064</v>
      </c>
      <c r="D757" s="2"/>
    </row>
    <row r="758" spans="1:4" x14ac:dyDescent="0.3">
      <c r="A758" s="2" t="s">
        <v>3490</v>
      </c>
      <c r="B758" s="2" t="s">
        <v>269</v>
      </c>
      <c r="C758" s="2" t="s">
        <v>5064</v>
      </c>
      <c r="D758" s="2"/>
    </row>
    <row r="759" spans="1:4" x14ac:dyDescent="0.3">
      <c r="A759" s="2" t="s">
        <v>3492</v>
      </c>
      <c r="B759" s="2" t="s">
        <v>269</v>
      </c>
      <c r="C759" s="2" t="s">
        <v>5064</v>
      </c>
      <c r="D759" s="2"/>
    </row>
    <row r="760" spans="1:4" x14ac:dyDescent="0.3">
      <c r="A760" s="2" t="s">
        <v>3494</v>
      </c>
      <c r="B760" s="2" t="s">
        <v>269</v>
      </c>
      <c r="C760" s="2" t="s">
        <v>5064</v>
      </c>
      <c r="D760" s="2"/>
    </row>
    <row r="761" spans="1:4" x14ac:dyDescent="0.3">
      <c r="A761" s="2" t="s">
        <v>3496</v>
      </c>
      <c r="B761" s="2" t="s">
        <v>269</v>
      </c>
      <c r="C761" s="2" t="s">
        <v>5064</v>
      </c>
      <c r="D761" s="2"/>
    </row>
    <row r="762" spans="1:4" x14ac:dyDescent="0.3">
      <c r="A762" s="2" t="s">
        <v>3498</v>
      </c>
      <c r="B762" s="2" t="s">
        <v>269</v>
      </c>
      <c r="C762" s="2" t="s">
        <v>5064</v>
      </c>
      <c r="D762" s="2"/>
    </row>
    <row r="763" spans="1:4" x14ac:dyDescent="0.3">
      <c r="A763" s="2" t="s">
        <v>3500</v>
      </c>
      <c r="B763" s="2" t="s">
        <v>269</v>
      </c>
      <c r="C763" s="2" t="s">
        <v>5064</v>
      </c>
      <c r="D763" s="2"/>
    </row>
    <row r="764" spans="1:4" x14ac:dyDescent="0.3">
      <c r="A764" s="2" t="s">
        <v>3502</v>
      </c>
      <c r="B764" s="2" t="s">
        <v>269</v>
      </c>
      <c r="C764" s="2" t="s">
        <v>5064</v>
      </c>
      <c r="D764" s="2"/>
    </row>
    <row r="765" spans="1:4" x14ac:dyDescent="0.3">
      <c r="A765" s="2" t="s">
        <v>3504</v>
      </c>
      <c r="B765" s="2" t="s">
        <v>269</v>
      </c>
      <c r="C765" s="2" t="s">
        <v>5064</v>
      </c>
      <c r="D765" s="2"/>
    </row>
    <row r="766" spans="1:4" x14ac:dyDescent="0.3">
      <c r="A766" s="2" t="s">
        <v>3506</v>
      </c>
      <c r="B766" s="2" t="s">
        <v>269</v>
      </c>
      <c r="C766" s="2" t="s">
        <v>5064</v>
      </c>
      <c r="D766" s="2"/>
    </row>
    <row r="767" spans="1:4" x14ac:dyDescent="0.3">
      <c r="A767" s="2" t="s">
        <v>3507</v>
      </c>
      <c r="B767" s="2" t="s">
        <v>269</v>
      </c>
      <c r="C767" s="2" t="s">
        <v>5064</v>
      </c>
      <c r="D767" s="2"/>
    </row>
    <row r="768" spans="1:4" x14ac:dyDescent="0.3">
      <c r="A768" s="2" t="s">
        <v>3509</v>
      </c>
      <c r="B768" s="2" t="s">
        <v>269</v>
      </c>
      <c r="C768" s="2" t="s">
        <v>5064</v>
      </c>
      <c r="D768" s="2"/>
    </row>
    <row r="769" spans="1:4" x14ac:dyDescent="0.3">
      <c r="A769" s="2" t="s">
        <v>3511</v>
      </c>
      <c r="B769" s="2" t="s">
        <v>269</v>
      </c>
      <c r="C769" s="2" t="s">
        <v>5064</v>
      </c>
      <c r="D769" s="2"/>
    </row>
    <row r="770" spans="1:4" x14ac:dyDescent="0.3">
      <c r="A770" s="2" t="s">
        <v>3513</v>
      </c>
      <c r="B770" s="2" t="s">
        <v>269</v>
      </c>
      <c r="C770" s="2" t="s">
        <v>5064</v>
      </c>
      <c r="D770" s="2"/>
    </row>
    <row r="771" spans="1:4" x14ac:dyDescent="0.3">
      <c r="A771" s="2" t="s">
        <v>3515</v>
      </c>
      <c r="B771" s="2" t="s">
        <v>269</v>
      </c>
      <c r="C771" s="2" t="s">
        <v>5064</v>
      </c>
      <c r="D771" s="2"/>
    </row>
    <row r="772" spans="1:4" x14ac:dyDescent="0.3">
      <c r="A772" s="2" t="s">
        <v>3517</v>
      </c>
      <c r="B772" s="2" t="s">
        <v>269</v>
      </c>
      <c r="C772" s="2" t="s">
        <v>5064</v>
      </c>
      <c r="D772" s="2"/>
    </row>
    <row r="773" spans="1:4" x14ac:dyDescent="0.3">
      <c r="A773" s="2" t="s">
        <v>3519</v>
      </c>
      <c r="B773" s="2" t="s">
        <v>269</v>
      </c>
      <c r="C773" s="2" t="s">
        <v>5064</v>
      </c>
      <c r="D773" s="2"/>
    </row>
    <row r="774" spans="1:4" x14ac:dyDescent="0.3">
      <c r="A774" s="2" t="s">
        <v>3521</v>
      </c>
      <c r="B774" s="2" t="s">
        <v>269</v>
      </c>
      <c r="C774" s="2" t="s">
        <v>5064</v>
      </c>
      <c r="D774" s="2"/>
    </row>
    <row r="775" spans="1:4" x14ac:dyDescent="0.3">
      <c r="A775" s="2" t="s">
        <v>3523</v>
      </c>
      <c r="B775" s="2" t="s">
        <v>269</v>
      </c>
      <c r="C775" s="2" t="s">
        <v>5064</v>
      </c>
      <c r="D775" s="2"/>
    </row>
    <row r="776" spans="1:4" x14ac:dyDescent="0.3">
      <c r="A776" s="2" t="s">
        <v>3525</v>
      </c>
      <c r="B776" s="2" t="s">
        <v>269</v>
      </c>
      <c r="C776" s="2" t="s">
        <v>5064</v>
      </c>
      <c r="D776" s="2"/>
    </row>
    <row r="777" spans="1:4" x14ac:dyDescent="0.3">
      <c r="A777" s="2" t="s">
        <v>3527</v>
      </c>
      <c r="B777" s="2" t="s">
        <v>269</v>
      </c>
      <c r="C777" s="2" t="s">
        <v>5064</v>
      </c>
      <c r="D777" s="2"/>
    </row>
    <row r="778" spans="1:4" x14ac:dyDescent="0.3">
      <c r="A778" s="2" t="s">
        <v>3529</v>
      </c>
      <c r="B778" s="2" t="s">
        <v>269</v>
      </c>
      <c r="C778" s="2" t="s">
        <v>5064</v>
      </c>
      <c r="D778" s="2"/>
    </row>
    <row r="779" spans="1:4" x14ac:dyDescent="0.3">
      <c r="A779" s="2" t="s">
        <v>3531</v>
      </c>
      <c r="B779" s="2" t="s">
        <v>269</v>
      </c>
      <c r="C779" s="2" t="s">
        <v>5064</v>
      </c>
      <c r="D779" s="2"/>
    </row>
    <row r="780" spans="1:4" x14ac:dyDescent="0.3">
      <c r="A780" s="2" t="s">
        <v>3533</v>
      </c>
      <c r="B780" s="2" t="s">
        <v>269</v>
      </c>
      <c r="C780" s="2" t="s">
        <v>5064</v>
      </c>
      <c r="D780" s="2"/>
    </row>
    <row r="781" spans="1:4" x14ac:dyDescent="0.3">
      <c r="A781" s="2" t="s">
        <v>3535</v>
      </c>
      <c r="B781" s="2" t="s">
        <v>269</v>
      </c>
      <c r="C781" s="2" t="s">
        <v>5064</v>
      </c>
      <c r="D781" s="2"/>
    </row>
    <row r="782" spans="1:4" x14ac:dyDescent="0.3">
      <c r="A782" s="2" t="s">
        <v>3537</v>
      </c>
      <c r="B782" s="2" t="s">
        <v>269</v>
      </c>
      <c r="C782" s="2" t="s">
        <v>5064</v>
      </c>
      <c r="D782" s="2"/>
    </row>
    <row r="783" spans="1:4" x14ac:dyDescent="0.3">
      <c r="A783" s="2" t="s">
        <v>3539</v>
      </c>
      <c r="B783" s="2" t="s">
        <v>269</v>
      </c>
      <c r="C783" s="2" t="s">
        <v>5064</v>
      </c>
      <c r="D783" s="2"/>
    </row>
    <row r="784" spans="1:4" x14ac:dyDescent="0.3">
      <c r="A784" s="2" t="s">
        <v>3541</v>
      </c>
      <c r="B784" s="2" t="s">
        <v>269</v>
      </c>
      <c r="C784" s="2" t="s">
        <v>5064</v>
      </c>
      <c r="D784" s="2"/>
    </row>
    <row r="785" spans="1:4" x14ac:dyDescent="0.3">
      <c r="A785" s="2" t="s">
        <v>3543</v>
      </c>
      <c r="B785" s="2" t="s">
        <v>269</v>
      </c>
      <c r="C785" s="2" t="s">
        <v>5064</v>
      </c>
      <c r="D785" s="2"/>
    </row>
    <row r="786" spans="1:4" x14ac:dyDescent="0.3">
      <c r="A786" s="2" t="s">
        <v>3545</v>
      </c>
      <c r="B786" s="2" t="s">
        <v>269</v>
      </c>
      <c r="C786" s="2" t="s">
        <v>5064</v>
      </c>
      <c r="D786" s="2"/>
    </row>
    <row r="787" spans="1:4" x14ac:dyDescent="0.3">
      <c r="A787" s="2" t="s">
        <v>3547</v>
      </c>
      <c r="B787" s="2" t="s">
        <v>269</v>
      </c>
      <c r="C787" s="2" t="s">
        <v>5064</v>
      </c>
      <c r="D787" s="2"/>
    </row>
    <row r="788" spans="1:4" x14ac:dyDescent="0.3">
      <c r="A788" s="2" t="s">
        <v>3549</v>
      </c>
      <c r="B788" s="2" t="s">
        <v>269</v>
      </c>
      <c r="C788" s="2" t="s">
        <v>5064</v>
      </c>
      <c r="D788" s="2"/>
    </row>
    <row r="789" spans="1:4" x14ac:dyDescent="0.3">
      <c r="A789" s="2" t="s">
        <v>3551</v>
      </c>
      <c r="B789" s="2" t="s">
        <v>269</v>
      </c>
      <c r="C789" s="2" t="s">
        <v>5064</v>
      </c>
      <c r="D789" s="2"/>
    </row>
    <row r="790" spans="1:4" x14ac:dyDescent="0.3">
      <c r="A790" s="2" t="s">
        <v>3553</v>
      </c>
      <c r="B790" s="2" t="s">
        <v>269</v>
      </c>
      <c r="C790" s="2" t="s">
        <v>5064</v>
      </c>
      <c r="D790" s="2"/>
    </row>
    <row r="791" spans="1:4" x14ac:dyDescent="0.3">
      <c r="A791" s="2" t="s">
        <v>3555</v>
      </c>
      <c r="B791" s="2" t="s">
        <v>269</v>
      </c>
      <c r="C791" s="2" t="s">
        <v>5064</v>
      </c>
      <c r="D791" s="2"/>
    </row>
    <row r="792" spans="1:4" x14ac:dyDescent="0.3">
      <c r="A792" s="2" t="s">
        <v>3557</v>
      </c>
      <c r="B792" s="2" t="s">
        <v>269</v>
      </c>
      <c r="C792" s="2" t="s">
        <v>5064</v>
      </c>
      <c r="D792" s="2"/>
    </row>
    <row r="793" spans="1:4" x14ac:dyDescent="0.3">
      <c r="A793" s="2" t="s">
        <v>3559</v>
      </c>
      <c r="B793" s="2" t="s">
        <v>269</v>
      </c>
      <c r="C793" s="2" t="s">
        <v>5064</v>
      </c>
      <c r="D793" s="2"/>
    </row>
    <row r="794" spans="1:4" x14ac:dyDescent="0.3">
      <c r="A794" s="2" t="s">
        <v>3561</v>
      </c>
      <c r="B794" s="2" t="s">
        <v>269</v>
      </c>
      <c r="C794" s="2" t="s">
        <v>5064</v>
      </c>
      <c r="D794" s="2"/>
    </row>
    <row r="795" spans="1:4" x14ac:dyDescent="0.3">
      <c r="A795" s="2" t="s">
        <v>3563</v>
      </c>
      <c r="B795" s="2" t="s">
        <v>269</v>
      </c>
      <c r="C795" s="2" t="s">
        <v>5064</v>
      </c>
      <c r="D795" s="2"/>
    </row>
    <row r="796" spans="1:4" x14ac:dyDescent="0.3">
      <c r="A796" s="2" t="s">
        <v>3565</v>
      </c>
      <c r="B796" s="2" t="s">
        <v>269</v>
      </c>
      <c r="C796" s="2" t="s">
        <v>5064</v>
      </c>
      <c r="D796" s="2"/>
    </row>
    <row r="797" spans="1:4" x14ac:dyDescent="0.3">
      <c r="A797" s="2" t="s">
        <v>3567</v>
      </c>
      <c r="B797" s="2" t="s">
        <v>269</v>
      </c>
      <c r="C797" s="2" t="s">
        <v>5064</v>
      </c>
      <c r="D797" s="2"/>
    </row>
    <row r="798" spans="1:4" x14ac:dyDescent="0.3">
      <c r="A798" s="2" t="s">
        <v>3569</v>
      </c>
      <c r="B798" s="2" t="s">
        <v>269</v>
      </c>
      <c r="C798" s="2" t="s">
        <v>5064</v>
      </c>
      <c r="D798" s="2"/>
    </row>
    <row r="799" spans="1:4" x14ac:dyDescent="0.3">
      <c r="A799" s="2" t="s">
        <v>3571</v>
      </c>
      <c r="B799" s="2" t="s">
        <v>269</v>
      </c>
      <c r="C799" s="2" t="s">
        <v>5064</v>
      </c>
      <c r="D799" s="2"/>
    </row>
    <row r="800" spans="1:4" x14ac:dyDescent="0.3">
      <c r="A800" s="2" t="s">
        <v>3573</v>
      </c>
      <c r="B800" s="2" t="s">
        <v>269</v>
      </c>
      <c r="C800" s="2" t="s">
        <v>5064</v>
      </c>
      <c r="D800" s="2"/>
    </row>
    <row r="801" spans="1:4" x14ac:dyDescent="0.3">
      <c r="A801" s="2" t="s">
        <v>5528</v>
      </c>
      <c r="B801" s="2" t="s">
        <v>269</v>
      </c>
      <c r="C801" s="2" t="s">
        <v>5064</v>
      </c>
      <c r="D801" s="2"/>
    </row>
    <row r="802" spans="1:4" x14ac:dyDescent="0.3">
      <c r="A802" s="2" t="s">
        <v>3576</v>
      </c>
      <c r="B802" s="2" t="s">
        <v>269</v>
      </c>
      <c r="C802" s="2" t="s">
        <v>5064</v>
      </c>
      <c r="D802" s="2"/>
    </row>
    <row r="803" spans="1:4" x14ac:dyDescent="0.3">
      <c r="A803" s="2" t="s">
        <v>3578</v>
      </c>
      <c r="B803" s="2" t="s">
        <v>269</v>
      </c>
      <c r="C803" s="2" t="s">
        <v>5064</v>
      </c>
      <c r="D803" s="2"/>
    </row>
    <row r="804" spans="1:4" x14ac:dyDescent="0.3">
      <c r="A804" s="2" t="s">
        <v>3580</v>
      </c>
      <c r="B804" s="2" t="s">
        <v>269</v>
      </c>
      <c r="C804" s="2" t="s">
        <v>5064</v>
      </c>
      <c r="D804" s="2"/>
    </row>
    <row r="805" spans="1:4" x14ac:dyDescent="0.3">
      <c r="A805" s="2" t="s">
        <v>3582</v>
      </c>
      <c r="B805" s="2" t="s">
        <v>269</v>
      </c>
      <c r="C805" s="2" t="s">
        <v>5064</v>
      </c>
      <c r="D805" s="2"/>
    </row>
    <row r="806" spans="1:4" x14ac:dyDescent="0.3">
      <c r="A806" s="2" t="s">
        <v>3584</v>
      </c>
      <c r="B806" s="2" t="s">
        <v>269</v>
      </c>
      <c r="C806" s="2" t="s">
        <v>5064</v>
      </c>
      <c r="D806" s="2"/>
    </row>
    <row r="807" spans="1:4" x14ac:dyDescent="0.3">
      <c r="A807" s="2" t="s">
        <v>3586</v>
      </c>
      <c r="B807" s="2" t="s">
        <v>269</v>
      </c>
      <c r="C807" s="2" t="s">
        <v>5064</v>
      </c>
      <c r="D807" s="2"/>
    </row>
    <row r="808" spans="1:4" x14ac:dyDescent="0.3">
      <c r="A808" s="2" t="s">
        <v>3588</v>
      </c>
      <c r="B808" s="2" t="s">
        <v>269</v>
      </c>
      <c r="C808" s="2" t="s">
        <v>5064</v>
      </c>
      <c r="D808" s="2"/>
    </row>
    <row r="809" spans="1:4" x14ac:dyDescent="0.3">
      <c r="A809" s="2" t="s">
        <v>3590</v>
      </c>
      <c r="B809" s="2" t="s">
        <v>269</v>
      </c>
      <c r="C809" s="2" t="s">
        <v>5064</v>
      </c>
      <c r="D809" s="2"/>
    </row>
    <row r="810" spans="1:4" x14ac:dyDescent="0.3">
      <c r="A810" s="2" t="s">
        <v>3592</v>
      </c>
      <c r="B810" s="2" t="s">
        <v>269</v>
      </c>
      <c r="C810" s="2" t="s">
        <v>5064</v>
      </c>
      <c r="D810" s="2"/>
    </row>
    <row r="811" spans="1:4" x14ac:dyDescent="0.3">
      <c r="A811" s="2" t="s">
        <v>3594</v>
      </c>
      <c r="B811" s="2" t="s">
        <v>269</v>
      </c>
      <c r="C811" s="2" t="s">
        <v>5064</v>
      </c>
      <c r="D811" s="2"/>
    </row>
    <row r="812" spans="1:4" x14ac:dyDescent="0.3">
      <c r="A812" s="2" t="s">
        <v>3596</v>
      </c>
      <c r="B812" s="2" t="s">
        <v>269</v>
      </c>
      <c r="C812" s="2" t="s">
        <v>5064</v>
      </c>
      <c r="D812" s="2"/>
    </row>
    <row r="813" spans="1:4" x14ac:dyDescent="0.3">
      <c r="A813" s="2" t="s">
        <v>3598</v>
      </c>
      <c r="B813" s="2" t="s">
        <v>269</v>
      </c>
      <c r="C813" s="2" t="s">
        <v>5064</v>
      </c>
      <c r="D813" s="2"/>
    </row>
    <row r="814" spans="1:4" x14ac:dyDescent="0.3">
      <c r="A814" s="2" t="s">
        <v>3600</v>
      </c>
      <c r="B814" s="2" t="s">
        <v>269</v>
      </c>
      <c r="C814" s="2" t="s">
        <v>5064</v>
      </c>
      <c r="D814" s="2"/>
    </row>
    <row r="815" spans="1:4" x14ac:dyDescent="0.3">
      <c r="A815" s="2" t="s">
        <v>3602</v>
      </c>
      <c r="B815" s="2" t="s">
        <v>269</v>
      </c>
      <c r="C815" s="2" t="s">
        <v>5064</v>
      </c>
      <c r="D815" s="2"/>
    </row>
    <row r="816" spans="1:4" x14ac:dyDescent="0.3">
      <c r="A816" s="2" t="s">
        <v>3604</v>
      </c>
      <c r="B816" s="2" t="s">
        <v>269</v>
      </c>
      <c r="C816" s="2" t="s">
        <v>5064</v>
      </c>
      <c r="D816" s="2"/>
    </row>
    <row r="817" spans="1:4" x14ac:dyDescent="0.3">
      <c r="A817" s="2" t="s">
        <v>3606</v>
      </c>
      <c r="B817" s="2" t="s">
        <v>269</v>
      </c>
      <c r="C817" s="2" t="s">
        <v>5064</v>
      </c>
      <c r="D817" s="2"/>
    </row>
    <row r="818" spans="1:4" x14ac:dyDescent="0.3">
      <c r="A818" s="2" t="s">
        <v>3608</v>
      </c>
      <c r="B818" s="2" t="s">
        <v>269</v>
      </c>
      <c r="C818" s="2" t="s">
        <v>5064</v>
      </c>
      <c r="D818" s="2"/>
    </row>
    <row r="819" spans="1:4" x14ac:dyDescent="0.3">
      <c r="A819" s="2" t="s">
        <v>3610</v>
      </c>
      <c r="B819" s="2" t="s">
        <v>269</v>
      </c>
      <c r="C819" s="2" t="s">
        <v>5064</v>
      </c>
      <c r="D819" s="2"/>
    </row>
    <row r="820" spans="1:4" x14ac:dyDescent="0.3">
      <c r="A820" s="2" t="s">
        <v>3612</v>
      </c>
      <c r="B820" s="2" t="s">
        <v>269</v>
      </c>
      <c r="C820" s="2" t="s">
        <v>5064</v>
      </c>
      <c r="D820" s="2"/>
    </row>
    <row r="821" spans="1:4" x14ac:dyDescent="0.3">
      <c r="A821" s="2" t="s">
        <v>3614</v>
      </c>
      <c r="B821" s="2" t="s">
        <v>269</v>
      </c>
      <c r="C821" s="2" t="s">
        <v>5064</v>
      </c>
      <c r="D821" s="2"/>
    </row>
    <row r="822" spans="1:4" x14ac:dyDescent="0.3">
      <c r="A822" s="2" t="s">
        <v>3616</v>
      </c>
      <c r="B822" s="2" t="s">
        <v>269</v>
      </c>
      <c r="C822" s="2" t="s">
        <v>5064</v>
      </c>
      <c r="D822" s="2"/>
    </row>
    <row r="823" spans="1:4" x14ac:dyDescent="0.3">
      <c r="A823" s="2" t="s">
        <v>3618</v>
      </c>
      <c r="B823" s="2" t="s">
        <v>269</v>
      </c>
      <c r="C823" s="2" t="s">
        <v>5064</v>
      </c>
      <c r="D823" s="2"/>
    </row>
    <row r="824" spans="1:4" x14ac:dyDescent="0.3">
      <c r="A824" s="2" t="s">
        <v>3620</v>
      </c>
      <c r="B824" s="2" t="s">
        <v>269</v>
      </c>
      <c r="C824" s="2" t="s">
        <v>5064</v>
      </c>
      <c r="D824" s="2"/>
    </row>
    <row r="825" spans="1:4" x14ac:dyDescent="0.3">
      <c r="A825" s="2" t="s">
        <v>3622</v>
      </c>
      <c r="B825" s="2" t="s">
        <v>269</v>
      </c>
      <c r="C825" s="2" t="s">
        <v>5064</v>
      </c>
      <c r="D825" s="2"/>
    </row>
    <row r="826" spans="1:4" x14ac:dyDescent="0.3">
      <c r="A826" s="2" t="s">
        <v>3624</v>
      </c>
      <c r="B826" s="2" t="s">
        <v>269</v>
      </c>
      <c r="C826" s="2" t="s">
        <v>5064</v>
      </c>
      <c r="D826" s="2"/>
    </row>
    <row r="827" spans="1:4" x14ac:dyDescent="0.3">
      <c r="A827" s="2" t="s">
        <v>3626</v>
      </c>
      <c r="B827" s="2" t="s">
        <v>269</v>
      </c>
      <c r="C827" s="2" t="s">
        <v>5064</v>
      </c>
      <c r="D827" s="2"/>
    </row>
    <row r="828" spans="1:4" x14ac:dyDescent="0.3">
      <c r="A828" s="2" t="s">
        <v>5529</v>
      </c>
      <c r="B828" s="2" t="s">
        <v>1947</v>
      </c>
      <c r="C828" s="2" t="s">
        <v>5248</v>
      </c>
      <c r="D828" s="2"/>
    </row>
    <row r="829" spans="1:4" x14ac:dyDescent="0.3">
      <c r="A829" s="2" t="s">
        <v>5530</v>
      </c>
      <c r="B829" s="2" t="s">
        <v>1947</v>
      </c>
      <c r="C829" s="2" t="s">
        <v>5248</v>
      </c>
      <c r="D829" s="2"/>
    </row>
    <row r="830" spans="1:4" x14ac:dyDescent="0.3">
      <c r="A830" s="2" t="s">
        <v>5531</v>
      </c>
      <c r="B830" s="2" t="s">
        <v>1947</v>
      </c>
      <c r="C830" s="2" t="s">
        <v>5248</v>
      </c>
      <c r="D830" s="2"/>
    </row>
    <row r="831" spans="1:4" x14ac:dyDescent="0.3">
      <c r="A831" s="2" t="s">
        <v>5532</v>
      </c>
      <c r="B831" s="2" t="s">
        <v>1947</v>
      </c>
      <c r="C831" s="2" t="s">
        <v>5248</v>
      </c>
      <c r="D831" s="2"/>
    </row>
    <row r="832" spans="1:4" x14ac:dyDescent="0.3">
      <c r="A832" s="2" t="s">
        <v>5533</v>
      </c>
      <c r="B832" s="2" t="s">
        <v>1947</v>
      </c>
      <c r="C832" s="2" t="s">
        <v>5248</v>
      </c>
      <c r="D832" s="2"/>
    </row>
    <row r="833" spans="1:4" x14ac:dyDescent="0.3">
      <c r="A833" s="2" t="s">
        <v>5534</v>
      </c>
      <c r="B833" s="2" t="s">
        <v>1947</v>
      </c>
      <c r="C833" s="2" t="s">
        <v>5248</v>
      </c>
      <c r="D833" s="2"/>
    </row>
    <row r="834" spans="1:4" x14ac:dyDescent="0.3">
      <c r="A834" s="2" t="s">
        <v>5535</v>
      </c>
      <c r="B834" s="2" t="s">
        <v>1947</v>
      </c>
      <c r="C834" s="2" t="s">
        <v>5248</v>
      </c>
      <c r="D834" s="2"/>
    </row>
    <row r="835" spans="1:4" x14ac:dyDescent="0.3">
      <c r="A835" s="2" t="s">
        <v>5536</v>
      </c>
      <c r="B835" s="2" t="s">
        <v>1947</v>
      </c>
      <c r="C835" s="2" t="s">
        <v>5248</v>
      </c>
      <c r="D835" s="2"/>
    </row>
    <row r="836" spans="1:4" x14ac:dyDescent="0.3">
      <c r="A836" s="2" t="s">
        <v>5537</v>
      </c>
      <c r="B836" s="2" t="s">
        <v>1947</v>
      </c>
      <c r="C836" s="2" t="s">
        <v>5248</v>
      </c>
      <c r="D836" s="2"/>
    </row>
    <row r="837" spans="1:4" x14ac:dyDescent="0.3">
      <c r="A837" s="2" t="s">
        <v>5538</v>
      </c>
      <c r="B837" s="2" t="s">
        <v>1947</v>
      </c>
      <c r="C837" s="2" t="s">
        <v>5248</v>
      </c>
      <c r="D837" s="2"/>
    </row>
    <row r="838" spans="1:4" x14ac:dyDescent="0.3">
      <c r="A838" s="2" t="s">
        <v>5539</v>
      </c>
      <c r="B838" s="2" t="s">
        <v>1947</v>
      </c>
      <c r="C838" s="2" t="s">
        <v>5248</v>
      </c>
      <c r="D838" s="2"/>
    </row>
    <row r="839" spans="1:4" x14ac:dyDescent="0.3">
      <c r="A839" s="2" t="s">
        <v>5540</v>
      </c>
      <c r="B839" s="2" t="s">
        <v>1947</v>
      </c>
      <c r="C839" s="2" t="s">
        <v>5248</v>
      </c>
      <c r="D839" s="2"/>
    </row>
    <row r="840" spans="1:4" x14ac:dyDescent="0.3">
      <c r="A840" s="2" t="s">
        <v>5541</v>
      </c>
      <c r="B840" s="2" t="s">
        <v>1947</v>
      </c>
      <c r="C840" s="2" t="s">
        <v>5248</v>
      </c>
      <c r="D840" s="2"/>
    </row>
    <row r="841" spans="1:4" x14ac:dyDescent="0.3">
      <c r="A841" s="2" t="s">
        <v>5542</v>
      </c>
      <c r="B841" s="2" t="s">
        <v>1947</v>
      </c>
      <c r="C841" s="2" t="s">
        <v>5248</v>
      </c>
      <c r="D841" s="2"/>
    </row>
    <row r="842" spans="1:4" x14ac:dyDescent="0.3">
      <c r="A842" s="2" t="s">
        <v>5543</v>
      </c>
      <c r="B842" s="2" t="s">
        <v>1947</v>
      </c>
      <c r="C842" s="2" t="s">
        <v>5248</v>
      </c>
      <c r="D842" s="2"/>
    </row>
    <row r="843" spans="1:4" x14ac:dyDescent="0.3">
      <c r="A843" s="2" t="s">
        <v>5544</v>
      </c>
      <c r="B843" s="2" t="s">
        <v>1947</v>
      </c>
      <c r="C843" s="2" t="s">
        <v>5248</v>
      </c>
      <c r="D843" s="2"/>
    </row>
    <row r="844" spans="1:4" x14ac:dyDescent="0.3">
      <c r="A844" s="2" t="s">
        <v>5545</v>
      </c>
      <c r="B844" s="2" t="s">
        <v>1947</v>
      </c>
      <c r="C844" s="2" t="s">
        <v>5248</v>
      </c>
      <c r="D844" s="2"/>
    </row>
    <row r="845" spans="1:4" x14ac:dyDescent="0.3">
      <c r="A845" s="2" t="s">
        <v>5546</v>
      </c>
      <c r="B845" s="2" t="s">
        <v>1947</v>
      </c>
      <c r="C845" s="2" t="s">
        <v>5248</v>
      </c>
      <c r="D845" s="2"/>
    </row>
    <row r="846" spans="1:4" x14ac:dyDescent="0.3">
      <c r="A846" s="2" t="s">
        <v>5547</v>
      </c>
      <c r="B846" s="2" t="s">
        <v>1947</v>
      </c>
      <c r="C846" s="2" t="s">
        <v>5248</v>
      </c>
      <c r="D846" s="2"/>
    </row>
    <row r="847" spans="1:4" x14ac:dyDescent="0.3">
      <c r="A847" s="2" t="s">
        <v>5548</v>
      </c>
      <c r="B847" s="2" t="s">
        <v>1947</v>
      </c>
      <c r="C847" s="2" t="s">
        <v>5248</v>
      </c>
      <c r="D847" s="2"/>
    </row>
    <row r="848" spans="1:4" x14ac:dyDescent="0.3">
      <c r="A848" s="2" t="s">
        <v>5549</v>
      </c>
      <c r="B848" s="2" t="s">
        <v>1947</v>
      </c>
      <c r="C848" s="2" t="s">
        <v>5248</v>
      </c>
      <c r="D848" s="2"/>
    </row>
    <row r="849" spans="1:4" x14ac:dyDescent="0.3">
      <c r="A849" s="2" t="s">
        <v>5550</v>
      </c>
      <c r="B849" s="2" t="s">
        <v>1947</v>
      </c>
      <c r="C849" s="2" t="s">
        <v>5248</v>
      </c>
      <c r="D849" s="2"/>
    </row>
    <row r="850" spans="1:4" x14ac:dyDescent="0.3">
      <c r="A850" s="2" t="s">
        <v>5551</v>
      </c>
      <c r="B850" s="2" t="s">
        <v>1947</v>
      </c>
      <c r="C850" s="2" t="s">
        <v>5248</v>
      </c>
      <c r="D850" s="2"/>
    </row>
    <row r="851" spans="1:4" x14ac:dyDescent="0.3">
      <c r="A851" s="2" t="s">
        <v>5552</v>
      </c>
      <c r="B851" s="2" t="s">
        <v>1947</v>
      </c>
      <c r="C851" s="2" t="s">
        <v>5248</v>
      </c>
      <c r="D851" s="2"/>
    </row>
    <row r="852" spans="1:4" x14ac:dyDescent="0.3">
      <c r="A852" s="2" t="s">
        <v>5553</v>
      </c>
      <c r="B852" s="2" t="s">
        <v>1947</v>
      </c>
      <c r="C852" s="2" t="s">
        <v>5248</v>
      </c>
      <c r="D852" s="2"/>
    </row>
    <row r="853" spans="1:4" x14ac:dyDescent="0.3">
      <c r="A853" s="2" t="s">
        <v>5554</v>
      </c>
      <c r="B853" s="2" t="s">
        <v>1947</v>
      </c>
      <c r="C853" s="2" t="s">
        <v>5248</v>
      </c>
      <c r="D853" s="2"/>
    </row>
    <row r="854" spans="1:4" x14ac:dyDescent="0.3">
      <c r="A854" s="2" t="s">
        <v>5555</v>
      </c>
      <c r="B854" s="2" t="s">
        <v>1947</v>
      </c>
      <c r="C854" s="2" t="s">
        <v>5248</v>
      </c>
      <c r="D854" s="2"/>
    </row>
    <row r="855" spans="1:4" x14ac:dyDescent="0.3">
      <c r="A855" s="2" t="s">
        <v>5556</v>
      </c>
      <c r="B855" s="2" t="s">
        <v>1947</v>
      </c>
      <c r="C855" s="2" t="s">
        <v>5248</v>
      </c>
      <c r="D855" s="2"/>
    </row>
    <row r="856" spans="1:4" x14ac:dyDescent="0.3">
      <c r="A856" s="2" t="s">
        <v>5557</v>
      </c>
      <c r="B856" s="2" t="s">
        <v>1947</v>
      </c>
      <c r="C856" s="2" t="s">
        <v>5248</v>
      </c>
      <c r="D856" s="2"/>
    </row>
    <row r="857" spans="1:4" x14ac:dyDescent="0.3">
      <c r="A857" s="2" t="s">
        <v>5558</v>
      </c>
      <c r="B857" s="2" t="s">
        <v>1947</v>
      </c>
      <c r="C857" s="2" t="s">
        <v>5248</v>
      </c>
      <c r="D857" s="2"/>
    </row>
    <row r="858" spans="1:4" x14ac:dyDescent="0.3">
      <c r="A858" s="2" t="s">
        <v>5559</v>
      </c>
      <c r="B858" s="2" t="s">
        <v>1947</v>
      </c>
      <c r="C858" s="2" t="s">
        <v>5248</v>
      </c>
      <c r="D858" s="2"/>
    </row>
    <row r="859" spans="1:4" x14ac:dyDescent="0.3">
      <c r="A859" s="2" t="s">
        <v>5560</v>
      </c>
      <c r="B859" s="2" t="s">
        <v>1947</v>
      </c>
      <c r="C859" s="2" t="s">
        <v>5248</v>
      </c>
      <c r="D859" s="2"/>
    </row>
    <row r="860" spans="1:4" x14ac:dyDescent="0.3">
      <c r="A860" s="2" t="s">
        <v>5561</v>
      </c>
      <c r="B860" s="2" t="s">
        <v>1947</v>
      </c>
      <c r="C860" s="2" t="s">
        <v>5248</v>
      </c>
      <c r="D860" s="2"/>
    </row>
    <row r="861" spans="1:4" x14ac:dyDescent="0.3">
      <c r="A861" s="2" t="s">
        <v>5562</v>
      </c>
      <c r="B861" s="2" t="s">
        <v>1947</v>
      </c>
      <c r="C861" s="2" t="s">
        <v>5248</v>
      </c>
      <c r="D861" s="2"/>
    </row>
    <row r="862" spans="1:4" x14ac:dyDescent="0.3">
      <c r="A862" s="2" t="s">
        <v>5563</v>
      </c>
      <c r="B862" s="2" t="s">
        <v>1947</v>
      </c>
      <c r="C862" s="2" t="s">
        <v>5248</v>
      </c>
      <c r="D862" s="2"/>
    </row>
    <row r="863" spans="1:4" x14ac:dyDescent="0.3">
      <c r="A863" s="2" t="s">
        <v>5564</v>
      </c>
      <c r="B863" s="2" t="s">
        <v>1947</v>
      </c>
      <c r="C863" s="2" t="s">
        <v>5248</v>
      </c>
      <c r="D863" s="2"/>
    </row>
    <row r="864" spans="1:4" x14ac:dyDescent="0.3">
      <c r="A864" s="2" t="s">
        <v>5565</v>
      </c>
      <c r="B864" s="2" t="s">
        <v>1947</v>
      </c>
      <c r="C864" s="2" t="s">
        <v>5248</v>
      </c>
      <c r="D864" s="2"/>
    </row>
    <row r="865" spans="1:4" x14ac:dyDescent="0.3">
      <c r="A865" s="2" t="s">
        <v>5566</v>
      </c>
      <c r="B865" s="2" t="s">
        <v>1947</v>
      </c>
      <c r="C865" s="2" t="s">
        <v>5248</v>
      </c>
      <c r="D865" s="2"/>
    </row>
    <row r="866" spans="1:4" x14ac:dyDescent="0.3">
      <c r="A866" s="2" t="s">
        <v>5567</v>
      </c>
      <c r="B866" s="2" t="s">
        <v>1947</v>
      </c>
      <c r="C866" s="2" t="s">
        <v>5248</v>
      </c>
      <c r="D866" s="2"/>
    </row>
    <row r="867" spans="1:4" x14ac:dyDescent="0.3">
      <c r="A867" s="2" t="s">
        <v>5568</v>
      </c>
      <c r="B867" s="2" t="s">
        <v>1947</v>
      </c>
      <c r="C867" s="2" t="s">
        <v>5248</v>
      </c>
      <c r="D867" s="2"/>
    </row>
    <row r="868" spans="1:4" x14ac:dyDescent="0.3">
      <c r="A868" s="2" t="s">
        <v>5569</v>
      </c>
      <c r="B868" s="2" t="s">
        <v>1947</v>
      </c>
      <c r="C868" s="2" t="s">
        <v>5248</v>
      </c>
      <c r="D868" s="2"/>
    </row>
    <row r="869" spans="1:4" x14ac:dyDescent="0.3">
      <c r="A869" s="2" t="s">
        <v>5570</v>
      </c>
      <c r="B869" s="2" t="s">
        <v>1947</v>
      </c>
      <c r="C869" s="2" t="s">
        <v>5248</v>
      </c>
      <c r="D869" s="2"/>
    </row>
    <row r="870" spans="1:4" x14ac:dyDescent="0.3">
      <c r="A870" s="2" t="s">
        <v>5571</v>
      </c>
      <c r="B870" s="2" t="s">
        <v>1947</v>
      </c>
      <c r="C870" s="2" t="s">
        <v>5248</v>
      </c>
      <c r="D870" s="2"/>
    </row>
    <row r="871" spans="1:4" x14ac:dyDescent="0.3">
      <c r="A871" s="2" t="s">
        <v>5572</v>
      </c>
      <c r="B871" s="2" t="s">
        <v>1947</v>
      </c>
      <c r="C871" s="2" t="s">
        <v>5248</v>
      </c>
      <c r="D871" s="2"/>
    </row>
    <row r="872" spans="1:4" x14ac:dyDescent="0.3">
      <c r="A872" s="2" t="s">
        <v>5573</v>
      </c>
      <c r="B872" s="2" t="s">
        <v>1947</v>
      </c>
      <c r="C872" s="2" t="s">
        <v>5248</v>
      </c>
      <c r="D872" s="2"/>
    </row>
    <row r="873" spans="1:4" x14ac:dyDescent="0.3">
      <c r="A873" s="2" t="s">
        <v>5574</v>
      </c>
      <c r="B873" s="2" t="s">
        <v>1947</v>
      </c>
      <c r="C873" s="2" t="s">
        <v>5248</v>
      </c>
      <c r="D873" s="2"/>
    </row>
    <row r="874" spans="1:4" x14ac:dyDescent="0.3">
      <c r="A874" s="2" t="s">
        <v>5575</v>
      </c>
      <c r="B874" s="2" t="s">
        <v>1947</v>
      </c>
      <c r="C874" s="2" t="s">
        <v>5248</v>
      </c>
      <c r="D874" s="2"/>
    </row>
    <row r="875" spans="1:4" x14ac:dyDescent="0.3">
      <c r="A875" s="2" t="s">
        <v>5576</v>
      </c>
      <c r="B875" s="2" t="s">
        <v>1947</v>
      </c>
      <c r="C875" s="2" t="s">
        <v>5248</v>
      </c>
      <c r="D875" s="2"/>
    </row>
    <row r="876" spans="1:4" x14ac:dyDescent="0.3">
      <c r="A876" s="2" t="s">
        <v>5577</v>
      </c>
      <c r="B876" s="2" t="s">
        <v>1947</v>
      </c>
      <c r="C876" s="2" t="s">
        <v>5248</v>
      </c>
      <c r="D876" s="2"/>
    </row>
    <row r="877" spans="1:4" x14ac:dyDescent="0.3">
      <c r="A877" s="2" t="s">
        <v>5578</v>
      </c>
      <c r="B877" s="2" t="s">
        <v>1947</v>
      </c>
      <c r="C877" s="2" t="s">
        <v>5248</v>
      </c>
      <c r="D877" s="2"/>
    </row>
    <row r="878" spans="1:4" x14ac:dyDescent="0.3">
      <c r="A878" s="2" t="s">
        <v>5579</v>
      </c>
      <c r="B878" s="2" t="s">
        <v>1947</v>
      </c>
      <c r="C878" s="2" t="s">
        <v>5248</v>
      </c>
      <c r="D878" s="2"/>
    </row>
    <row r="879" spans="1:4" x14ac:dyDescent="0.3">
      <c r="A879" s="2" t="s">
        <v>5580</v>
      </c>
      <c r="B879" s="2" t="s">
        <v>1947</v>
      </c>
      <c r="C879" s="2" t="s">
        <v>5248</v>
      </c>
      <c r="D879" s="2"/>
    </row>
    <row r="880" spans="1:4" x14ac:dyDescent="0.3">
      <c r="A880" s="2" t="s">
        <v>5581</v>
      </c>
      <c r="B880" s="2" t="s">
        <v>1947</v>
      </c>
      <c r="C880" s="2" t="s">
        <v>5248</v>
      </c>
      <c r="D880" s="2"/>
    </row>
    <row r="881" spans="1:4" x14ac:dyDescent="0.3">
      <c r="A881" s="2" t="s">
        <v>5582</v>
      </c>
      <c r="B881" s="2" t="s">
        <v>1947</v>
      </c>
      <c r="C881" s="2" t="s">
        <v>5248</v>
      </c>
      <c r="D881" s="2"/>
    </row>
    <row r="882" spans="1:4" x14ac:dyDescent="0.3">
      <c r="A882" s="2" t="s">
        <v>5583</v>
      </c>
      <c r="B882" s="2" t="s">
        <v>1947</v>
      </c>
      <c r="C882" s="2" t="s">
        <v>5248</v>
      </c>
      <c r="D882" s="2"/>
    </row>
    <row r="883" spans="1:4" x14ac:dyDescent="0.3">
      <c r="A883" s="2" t="s">
        <v>5584</v>
      </c>
      <c r="B883" s="2" t="s">
        <v>1947</v>
      </c>
      <c r="C883" s="2" t="s">
        <v>5248</v>
      </c>
      <c r="D883" s="2"/>
    </row>
    <row r="884" spans="1:4" x14ac:dyDescent="0.3">
      <c r="A884" s="2" t="s">
        <v>5585</v>
      </c>
      <c r="B884" s="2" t="s">
        <v>1947</v>
      </c>
      <c r="C884" s="2" t="s">
        <v>5248</v>
      </c>
      <c r="D884" s="2"/>
    </row>
    <row r="885" spans="1:4" x14ac:dyDescent="0.3">
      <c r="A885" s="2" t="s">
        <v>5586</v>
      </c>
      <c r="B885" s="2" t="s">
        <v>1947</v>
      </c>
      <c r="C885" s="2" t="s">
        <v>5248</v>
      </c>
      <c r="D885" s="2"/>
    </row>
    <row r="886" spans="1:4" x14ac:dyDescent="0.3">
      <c r="A886" s="2" t="s">
        <v>5587</v>
      </c>
      <c r="B886" s="2" t="s">
        <v>1947</v>
      </c>
      <c r="C886" s="2" t="s">
        <v>5248</v>
      </c>
      <c r="D886" s="2"/>
    </row>
    <row r="887" spans="1:4" x14ac:dyDescent="0.3">
      <c r="A887" s="2" t="s">
        <v>5588</v>
      </c>
      <c r="B887" s="2" t="s">
        <v>1947</v>
      </c>
      <c r="C887" s="2" t="s">
        <v>5248</v>
      </c>
      <c r="D887" s="2"/>
    </row>
    <row r="888" spans="1:4" x14ac:dyDescent="0.3">
      <c r="A888" s="2" t="s">
        <v>5589</v>
      </c>
      <c r="B888" s="2" t="s">
        <v>1947</v>
      </c>
      <c r="C888" s="2" t="s">
        <v>5248</v>
      </c>
      <c r="D888" s="2"/>
    </row>
    <row r="889" spans="1:4" x14ac:dyDescent="0.3">
      <c r="A889" s="2" t="s">
        <v>5590</v>
      </c>
      <c r="B889" s="2" t="s">
        <v>1947</v>
      </c>
      <c r="C889" s="2" t="s">
        <v>5248</v>
      </c>
      <c r="D889" s="2"/>
    </row>
    <row r="890" spans="1:4" x14ac:dyDescent="0.3">
      <c r="A890" s="2" t="s">
        <v>5591</v>
      </c>
      <c r="B890" s="2" t="s">
        <v>1947</v>
      </c>
      <c r="C890" s="2" t="s">
        <v>5248</v>
      </c>
      <c r="D890" s="2"/>
    </row>
    <row r="891" spans="1:4" x14ac:dyDescent="0.3">
      <c r="A891" s="2" t="s">
        <v>5592</v>
      </c>
      <c r="B891" s="2" t="s">
        <v>1947</v>
      </c>
      <c r="C891" s="2" t="s">
        <v>5248</v>
      </c>
      <c r="D891" s="2"/>
    </row>
    <row r="892" spans="1:4" x14ac:dyDescent="0.3">
      <c r="A892" s="2" t="s">
        <v>5593</v>
      </c>
      <c r="B892" s="2" t="s">
        <v>1947</v>
      </c>
      <c r="C892" s="2" t="s">
        <v>5248</v>
      </c>
      <c r="D892" s="2"/>
    </row>
    <row r="893" spans="1:4" x14ac:dyDescent="0.3">
      <c r="A893" s="2" t="s">
        <v>5594</v>
      </c>
      <c r="B893" s="2" t="s">
        <v>1947</v>
      </c>
      <c r="C893" s="2" t="s">
        <v>5248</v>
      </c>
      <c r="D893" s="2"/>
    </row>
    <row r="894" spans="1:4" x14ac:dyDescent="0.3">
      <c r="A894" s="2" t="s">
        <v>5595</v>
      </c>
      <c r="B894" s="2" t="s">
        <v>1947</v>
      </c>
      <c r="C894" s="2" t="s">
        <v>5248</v>
      </c>
      <c r="D894" s="2"/>
    </row>
    <row r="895" spans="1:4" x14ac:dyDescent="0.3">
      <c r="A895" s="2" t="s">
        <v>5596</v>
      </c>
      <c r="B895" s="2" t="s">
        <v>1947</v>
      </c>
      <c r="C895" s="2" t="s">
        <v>5248</v>
      </c>
      <c r="D895" s="2"/>
    </row>
    <row r="896" spans="1:4" x14ac:dyDescent="0.3">
      <c r="A896" s="2" t="s">
        <v>5597</v>
      </c>
      <c r="B896" s="2" t="s">
        <v>1947</v>
      </c>
      <c r="C896" s="2" t="s">
        <v>5248</v>
      </c>
      <c r="D896" s="2"/>
    </row>
    <row r="897" spans="1:4" x14ac:dyDescent="0.3">
      <c r="A897" s="2" t="s">
        <v>5598</v>
      </c>
      <c r="B897" s="2" t="s">
        <v>1947</v>
      </c>
      <c r="C897" s="2" t="s">
        <v>5248</v>
      </c>
      <c r="D897" s="2"/>
    </row>
    <row r="898" spans="1:4" x14ac:dyDescent="0.3">
      <c r="A898" s="2" t="s">
        <v>5599</v>
      </c>
      <c r="B898" s="2" t="s">
        <v>1947</v>
      </c>
      <c r="C898" s="2" t="s">
        <v>5248</v>
      </c>
      <c r="D898" s="2"/>
    </row>
    <row r="899" spans="1:4" x14ac:dyDescent="0.3">
      <c r="A899" s="2" t="s">
        <v>5600</v>
      </c>
      <c r="B899" s="2" t="s">
        <v>1947</v>
      </c>
      <c r="C899" s="2" t="s">
        <v>5248</v>
      </c>
      <c r="D899" s="2"/>
    </row>
    <row r="900" spans="1:4" x14ac:dyDescent="0.3">
      <c r="A900" s="2" t="s">
        <v>5601</v>
      </c>
      <c r="B900" s="2" t="s">
        <v>1947</v>
      </c>
      <c r="C900" s="2" t="s">
        <v>5248</v>
      </c>
      <c r="D900" s="2"/>
    </row>
    <row r="901" spans="1:4" x14ac:dyDescent="0.3">
      <c r="A901" s="2" t="s">
        <v>5602</v>
      </c>
      <c r="B901" s="2" t="s">
        <v>1947</v>
      </c>
      <c r="C901" s="2" t="s">
        <v>5248</v>
      </c>
      <c r="D901" s="2"/>
    </row>
    <row r="902" spans="1:4" x14ac:dyDescent="0.3">
      <c r="A902" s="2" t="s">
        <v>5603</v>
      </c>
      <c r="B902" s="2" t="s">
        <v>1947</v>
      </c>
      <c r="C902" s="2" t="s">
        <v>5248</v>
      </c>
      <c r="D902" s="2"/>
    </row>
    <row r="903" spans="1:4" x14ac:dyDescent="0.3">
      <c r="A903" s="2" t="s">
        <v>5604</v>
      </c>
      <c r="B903" s="2" t="s">
        <v>1947</v>
      </c>
      <c r="C903" s="2" t="s">
        <v>5248</v>
      </c>
      <c r="D903" s="2"/>
    </row>
    <row r="904" spans="1:4" x14ac:dyDescent="0.3">
      <c r="A904" s="2" t="s">
        <v>5605</v>
      </c>
      <c r="B904" s="2" t="s">
        <v>1947</v>
      </c>
      <c r="C904" s="2" t="s">
        <v>5248</v>
      </c>
      <c r="D904" s="2"/>
    </row>
    <row r="905" spans="1:4" x14ac:dyDescent="0.3">
      <c r="A905" s="2" t="s">
        <v>5606</v>
      </c>
      <c r="B905" s="2" t="s">
        <v>1947</v>
      </c>
      <c r="C905" s="2" t="s">
        <v>5248</v>
      </c>
      <c r="D905" s="2"/>
    </row>
    <row r="906" spans="1:4" x14ac:dyDescent="0.3">
      <c r="A906" s="2" t="s">
        <v>3628</v>
      </c>
      <c r="B906" s="2" t="s">
        <v>48</v>
      </c>
      <c r="C906" s="2" t="s">
        <v>5115</v>
      </c>
      <c r="D906" s="2"/>
    </row>
    <row r="907" spans="1:4" x14ac:dyDescent="0.3">
      <c r="A907" s="2" t="s">
        <v>3630</v>
      </c>
      <c r="B907" s="2" t="s">
        <v>48</v>
      </c>
      <c r="C907" s="2" t="s">
        <v>5115</v>
      </c>
      <c r="D907" s="2"/>
    </row>
    <row r="908" spans="1:4" x14ac:dyDescent="0.3">
      <c r="A908" s="2" t="s">
        <v>3632</v>
      </c>
      <c r="B908" s="2" t="s">
        <v>48</v>
      </c>
      <c r="C908" s="2" t="s">
        <v>5115</v>
      </c>
      <c r="D908" s="2"/>
    </row>
    <row r="909" spans="1:4" x14ac:dyDescent="0.3">
      <c r="A909" s="2" t="s">
        <v>3634</v>
      </c>
      <c r="B909" s="2" t="s">
        <v>48</v>
      </c>
      <c r="C909" s="2" t="s">
        <v>5115</v>
      </c>
      <c r="D909" s="2"/>
    </row>
    <row r="910" spans="1:4" x14ac:dyDescent="0.3">
      <c r="A910" s="2" t="s">
        <v>3635</v>
      </c>
      <c r="B910" s="2" t="s">
        <v>48</v>
      </c>
      <c r="C910" s="2" t="s">
        <v>5115</v>
      </c>
      <c r="D910" s="2"/>
    </row>
    <row r="911" spans="1:4" x14ac:dyDescent="0.3">
      <c r="A911" s="2" t="s">
        <v>3637</v>
      </c>
      <c r="B911" s="2" t="s">
        <v>48</v>
      </c>
      <c r="C911" s="2" t="s">
        <v>5115</v>
      </c>
      <c r="D911" s="2"/>
    </row>
    <row r="912" spans="1:4" x14ac:dyDescent="0.3">
      <c r="A912" s="2" t="s">
        <v>3639</v>
      </c>
      <c r="B912" s="2" t="s">
        <v>48</v>
      </c>
      <c r="C912" s="2" t="s">
        <v>5115</v>
      </c>
      <c r="D912" s="2"/>
    </row>
    <row r="913" spans="1:4" x14ac:dyDescent="0.3">
      <c r="A913" s="2" t="s">
        <v>3641</v>
      </c>
      <c r="B913" s="2" t="s">
        <v>48</v>
      </c>
      <c r="C913" s="2" t="s">
        <v>5115</v>
      </c>
      <c r="D913" s="2"/>
    </row>
    <row r="914" spans="1:4" x14ac:dyDescent="0.3">
      <c r="A914" s="2" t="s">
        <v>3643</v>
      </c>
      <c r="B914" s="2" t="s">
        <v>48</v>
      </c>
      <c r="C914" s="2" t="s">
        <v>5115</v>
      </c>
      <c r="D914" s="2"/>
    </row>
    <row r="915" spans="1:4" x14ac:dyDescent="0.3">
      <c r="A915" s="2" t="s">
        <v>3644</v>
      </c>
      <c r="B915" s="2" t="s">
        <v>48</v>
      </c>
      <c r="C915" s="2" t="s">
        <v>5115</v>
      </c>
      <c r="D915" s="2"/>
    </row>
    <row r="916" spans="1:4" x14ac:dyDescent="0.3">
      <c r="A916" s="2" t="s">
        <v>3646</v>
      </c>
      <c r="B916" s="2" t="s">
        <v>48</v>
      </c>
      <c r="C916" s="2" t="s">
        <v>5115</v>
      </c>
      <c r="D916" s="2"/>
    </row>
    <row r="917" spans="1:4" x14ac:dyDescent="0.3">
      <c r="A917" s="2" t="s">
        <v>3648</v>
      </c>
      <c r="B917" s="2" t="s">
        <v>48</v>
      </c>
      <c r="C917" s="2" t="s">
        <v>5115</v>
      </c>
      <c r="D917" s="2"/>
    </row>
    <row r="918" spans="1:4" x14ac:dyDescent="0.3">
      <c r="A918" s="2" t="s">
        <v>3649</v>
      </c>
      <c r="B918" s="2" t="s">
        <v>48</v>
      </c>
      <c r="C918" s="2" t="s">
        <v>5115</v>
      </c>
      <c r="D918" s="2"/>
    </row>
    <row r="919" spans="1:4" x14ac:dyDescent="0.3">
      <c r="A919" s="2" t="s">
        <v>3651</v>
      </c>
      <c r="B919" s="2" t="s">
        <v>48</v>
      </c>
      <c r="C919" s="2" t="s">
        <v>5115</v>
      </c>
      <c r="D919" s="2"/>
    </row>
    <row r="920" spans="1:4" x14ac:dyDescent="0.3">
      <c r="A920" s="2" t="s">
        <v>3652</v>
      </c>
      <c r="B920" s="2" t="s">
        <v>48</v>
      </c>
      <c r="C920" s="2" t="s">
        <v>5115</v>
      </c>
      <c r="D920" s="2"/>
    </row>
    <row r="921" spans="1:4" x14ac:dyDescent="0.3">
      <c r="A921" s="2" t="s">
        <v>3654</v>
      </c>
      <c r="B921" s="2" t="s">
        <v>48</v>
      </c>
      <c r="C921" s="2" t="s">
        <v>5115</v>
      </c>
      <c r="D921" s="2"/>
    </row>
    <row r="922" spans="1:4" x14ac:dyDescent="0.3">
      <c r="A922" s="2" t="s">
        <v>3655</v>
      </c>
      <c r="B922" s="2" t="s">
        <v>48</v>
      </c>
      <c r="C922" s="2" t="s">
        <v>5115</v>
      </c>
      <c r="D922" s="2"/>
    </row>
    <row r="923" spans="1:4" x14ac:dyDescent="0.3">
      <c r="A923" s="2" t="s">
        <v>3657</v>
      </c>
      <c r="B923" s="2" t="s">
        <v>48</v>
      </c>
      <c r="C923" s="2" t="s">
        <v>5115</v>
      </c>
      <c r="D923" s="2"/>
    </row>
    <row r="924" spans="1:4" x14ac:dyDescent="0.3">
      <c r="A924" s="2" t="s">
        <v>3659</v>
      </c>
      <c r="B924" s="2" t="s">
        <v>48</v>
      </c>
      <c r="C924" s="2" t="s">
        <v>5115</v>
      </c>
      <c r="D924" s="2"/>
    </row>
    <row r="925" spans="1:4" x14ac:dyDescent="0.3">
      <c r="A925" s="2" t="s">
        <v>3660</v>
      </c>
      <c r="B925" s="2" t="s">
        <v>48</v>
      </c>
      <c r="C925" s="2" t="s">
        <v>5115</v>
      </c>
      <c r="D925" s="2"/>
    </row>
    <row r="926" spans="1:4" x14ac:dyDescent="0.3">
      <c r="A926" s="2" t="s">
        <v>3662</v>
      </c>
      <c r="B926" s="2" t="s">
        <v>48</v>
      </c>
      <c r="C926" s="2" t="s">
        <v>5115</v>
      </c>
      <c r="D926" s="2"/>
    </row>
    <row r="927" spans="1:4" x14ac:dyDescent="0.3">
      <c r="A927" s="2" t="s">
        <v>3663</v>
      </c>
      <c r="B927" s="2" t="s">
        <v>48</v>
      </c>
      <c r="C927" s="2" t="s">
        <v>5115</v>
      </c>
      <c r="D927" s="2"/>
    </row>
    <row r="928" spans="1:4" x14ac:dyDescent="0.3">
      <c r="A928" s="2" t="s">
        <v>3665</v>
      </c>
      <c r="B928" s="2" t="s">
        <v>48</v>
      </c>
      <c r="C928" s="2" t="s">
        <v>5115</v>
      </c>
      <c r="D928" s="2"/>
    </row>
    <row r="929" spans="1:4" x14ac:dyDescent="0.3">
      <c r="A929" s="2" t="s">
        <v>3666</v>
      </c>
      <c r="B929" s="2" t="s">
        <v>48</v>
      </c>
      <c r="C929" s="2" t="s">
        <v>5115</v>
      </c>
      <c r="D929" s="2"/>
    </row>
    <row r="930" spans="1:4" x14ac:dyDescent="0.3">
      <c r="A930" s="2" t="s">
        <v>3668</v>
      </c>
      <c r="B930" s="2" t="s">
        <v>48</v>
      </c>
      <c r="C930" s="2" t="s">
        <v>5115</v>
      </c>
      <c r="D930" s="2"/>
    </row>
    <row r="931" spans="1:4" x14ac:dyDescent="0.3">
      <c r="A931" s="2" t="s">
        <v>3670</v>
      </c>
      <c r="B931" s="2" t="s">
        <v>48</v>
      </c>
      <c r="C931" s="2" t="s">
        <v>5115</v>
      </c>
      <c r="D931" s="2"/>
    </row>
    <row r="932" spans="1:4" x14ac:dyDescent="0.3">
      <c r="A932" s="2" t="s">
        <v>3671</v>
      </c>
      <c r="B932" s="2" t="s">
        <v>48</v>
      </c>
      <c r="C932" s="2" t="s">
        <v>5115</v>
      </c>
      <c r="D932" s="2"/>
    </row>
    <row r="933" spans="1:4" x14ac:dyDescent="0.3">
      <c r="A933" s="2" t="s">
        <v>3673</v>
      </c>
      <c r="B933" s="2" t="s">
        <v>48</v>
      </c>
      <c r="C933" s="2" t="s">
        <v>5115</v>
      </c>
      <c r="D933" s="2"/>
    </row>
    <row r="934" spans="1:4" x14ac:dyDescent="0.3">
      <c r="A934" s="2" t="s">
        <v>3675</v>
      </c>
      <c r="B934" s="2" t="s">
        <v>48</v>
      </c>
      <c r="C934" s="2" t="s">
        <v>5115</v>
      </c>
      <c r="D934" s="2"/>
    </row>
    <row r="935" spans="1:4" x14ac:dyDescent="0.3">
      <c r="A935" s="2" t="s">
        <v>3677</v>
      </c>
      <c r="B935" s="2" t="s">
        <v>48</v>
      </c>
      <c r="C935" s="2" t="s">
        <v>5115</v>
      </c>
      <c r="D935" s="2"/>
    </row>
    <row r="936" spans="1:4" x14ac:dyDescent="0.3">
      <c r="A936" s="2" t="s">
        <v>3679</v>
      </c>
      <c r="B936" s="2" t="s">
        <v>48</v>
      </c>
      <c r="C936" s="2" t="s">
        <v>5115</v>
      </c>
      <c r="D936" s="2"/>
    </row>
    <row r="937" spans="1:4" x14ac:dyDescent="0.3">
      <c r="A937" s="2" t="s">
        <v>3680</v>
      </c>
      <c r="B937" s="2" t="s">
        <v>48</v>
      </c>
      <c r="C937" s="2" t="s">
        <v>5115</v>
      </c>
      <c r="D937" s="2"/>
    </row>
    <row r="938" spans="1:4" x14ac:dyDescent="0.3">
      <c r="A938" s="2" t="s">
        <v>3682</v>
      </c>
      <c r="B938" s="2" t="s">
        <v>48</v>
      </c>
      <c r="C938" s="2" t="s">
        <v>5115</v>
      </c>
      <c r="D938" s="2"/>
    </row>
    <row r="939" spans="1:4" x14ac:dyDescent="0.3">
      <c r="A939" s="2" t="s">
        <v>3683</v>
      </c>
      <c r="B939" s="2" t="s">
        <v>48</v>
      </c>
      <c r="C939" s="2" t="s">
        <v>5115</v>
      </c>
      <c r="D939" s="2"/>
    </row>
    <row r="940" spans="1:4" x14ac:dyDescent="0.3">
      <c r="A940" s="2" t="s">
        <v>3684</v>
      </c>
      <c r="B940" s="2" t="s">
        <v>48</v>
      </c>
      <c r="C940" s="2" t="s">
        <v>5115</v>
      </c>
      <c r="D940" s="2"/>
    </row>
    <row r="941" spans="1:4" x14ac:dyDescent="0.3">
      <c r="A941" s="2" t="s">
        <v>3685</v>
      </c>
      <c r="B941" s="2" t="s">
        <v>48</v>
      </c>
      <c r="C941" s="2" t="s">
        <v>5115</v>
      </c>
      <c r="D941" s="2"/>
    </row>
    <row r="942" spans="1:4" x14ac:dyDescent="0.3">
      <c r="A942" s="2" t="s">
        <v>3687</v>
      </c>
      <c r="B942" s="2" t="s">
        <v>48</v>
      </c>
      <c r="C942" s="2" t="s">
        <v>5115</v>
      </c>
      <c r="D942" s="2"/>
    </row>
    <row r="943" spans="1:4" x14ac:dyDescent="0.3">
      <c r="A943" s="2" t="s">
        <v>3688</v>
      </c>
      <c r="B943" s="2" t="s">
        <v>48</v>
      </c>
      <c r="C943" s="2" t="s">
        <v>5115</v>
      </c>
      <c r="D943" s="2"/>
    </row>
    <row r="944" spans="1:4" x14ac:dyDescent="0.3">
      <c r="A944" s="2" t="s">
        <v>3689</v>
      </c>
      <c r="B944" s="2" t="s">
        <v>48</v>
      </c>
      <c r="C944" s="2" t="s">
        <v>5115</v>
      </c>
      <c r="D944" s="2"/>
    </row>
    <row r="945" spans="1:4" x14ac:dyDescent="0.3">
      <c r="A945" s="2" t="s">
        <v>3691</v>
      </c>
      <c r="B945" s="2" t="s">
        <v>48</v>
      </c>
      <c r="C945" s="2" t="s">
        <v>5115</v>
      </c>
      <c r="D945" s="2"/>
    </row>
    <row r="946" spans="1:4" x14ac:dyDescent="0.3">
      <c r="A946" s="2" t="s">
        <v>3693</v>
      </c>
      <c r="B946" s="2" t="s">
        <v>48</v>
      </c>
      <c r="C946" s="2" t="s">
        <v>5115</v>
      </c>
      <c r="D946" s="2"/>
    </row>
    <row r="947" spans="1:4" x14ac:dyDescent="0.3">
      <c r="A947" s="2" t="s">
        <v>3694</v>
      </c>
      <c r="B947" s="2" t="s">
        <v>48</v>
      </c>
      <c r="C947" s="2" t="s">
        <v>5115</v>
      </c>
      <c r="D947" s="2"/>
    </row>
    <row r="948" spans="1:4" x14ac:dyDescent="0.3">
      <c r="A948" s="2" t="s">
        <v>3696</v>
      </c>
      <c r="B948" s="2" t="s">
        <v>48</v>
      </c>
      <c r="C948" s="2" t="s">
        <v>5115</v>
      </c>
      <c r="D948" s="2"/>
    </row>
    <row r="949" spans="1:4" x14ac:dyDescent="0.3">
      <c r="A949" s="2" t="s">
        <v>3698</v>
      </c>
      <c r="B949" s="2" t="s">
        <v>48</v>
      </c>
      <c r="C949" s="2" t="s">
        <v>5115</v>
      </c>
      <c r="D949" s="2"/>
    </row>
    <row r="950" spans="1:4" x14ac:dyDescent="0.3">
      <c r="A950" s="2" t="s">
        <v>3700</v>
      </c>
      <c r="B950" s="2" t="s">
        <v>48</v>
      </c>
      <c r="C950" s="2" t="s">
        <v>5115</v>
      </c>
      <c r="D950" s="2"/>
    </row>
    <row r="951" spans="1:4" x14ac:dyDescent="0.3">
      <c r="A951" s="2" t="s">
        <v>3702</v>
      </c>
      <c r="B951" s="2" t="s">
        <v>48</v>
      </c>
      <c r="C951" s="2" t="s">
        <v>5115</v>
      </c>
      <c r="D951" s="2"/>
    </row>
    <row r="952" spans="1:4" x14ac:dyDescent="0.3">
      <c r="A952" s="2" t="s">
        <v>3704</v>
      </c>
      <c r="B952" s="2" t="s">
        <v>48</v>
      </c>
      <c r="C952" s="2" t="s">
        <v>5115</v>
      </c>
      <c r="D952" s="2"/>
    </row>
    <row r="953" spans="1:4" x14ac:dyDescent="0.3">
      <c r="A953" s="2" t="s">
        <v>3706</v>
      </c>
      <c r="B953" s="2" t="s">
        <v>48</v>
      </c>
      <c r="C953" s="2" t="s">
        <v>5115</v>
      </c>
      <c r="D953" s="2"/>
    </row>
    <row r="954" spans="1:4" x14ac:dyDescent="0.3">
      <c r="A954" s="2" t="s">
        <v>3707</v>
      </c>
      <c r="B954" s="2" t="s">
        <v>48</v>
      </c>
      <c r="C954" s="2" t="s">
        <v>5115</v>
      </c>
      <c r="D954" s="2"/>
    </row>
    <row r="955" spans="1:4" x14ac:dyDescent="0.3">
      <c r="A955" s="2" t="s">
        <v>3709</v>
      </c>
      <c r="B955" s="2" t="s">
        <v>48</v>
      </c>
      <c r="C955" s="2" t="s">
        <v>5115</v>
      </c>
      <c r="D955" s="2"/>
    </row>
    <row r="956" spans="1:4" x14ac:dyDescent="0.3">
      <c r="A956" s="2" t="s">
        <v>3710</v>
      </c>
      <c r="B956" s="2" t="s">
        <v>48</v>
      </c>
      <c r="C956" s="2" t="s">
        <v>5115</v>
      </c>
      <c r="D956" s="2"/>
    </row>
    <row r="957" spans="1:4" x14ac:dyDescent="0.3">
      <c r="A957" s="2" t="s">
        <v>3712</v>
      </c>
      <c r="B957" s="2" t="s">
        <v>48</v>
      </c>
      <c r="C957" s="2" t="s">
        <v>5115</v>
      </c>
      <c r="D957" s="2"/>
    </row>
    <row r="958" spans="1:4" x14ac:dyDescent="0.3">
      <c r="A958" s="2" t="s">
        <v>3714</v>
      </c>
      <c r="B958" s="2" t="s">
        <v>48</v>
      </c>
      <c r="C958" s="2" t="s">
        <v>5115</v>
      </c>
      <c r="D958" s="2"/>
    </row>
    <row r="959" spans="1:4" x14ac:dyDescent="0.3">
      <c r="A959" s="2" t="s">
        <v>3715</v>
      </c>
      <c r="B959" s="2" t="s">
        <v>48</v>
      </c>
      <c r="C959" s="2" t="s">
        <v>5115</v>
      </c>
      <c r="D959" s="2"/>
    </row>
    <row r="960" spans="1:4" x14ac:dyDescent="0.3">
      <c r="A960" s="2" t="s">
        <v>3717</v>
      </c>
      <c r="B960" s="2" t="s">
        <v>48</v>
      </c>
      <c r="C960" s="2" t="s">
        <v>5115</v>
      </c>
      <c r="D960" s="2"/>
    </row>
    <row r="961" spans="1:4" x14ac:dyDescent="0.3">
      <c r="A961" s="2" t="s">
        <v>3719</v>
      </c>
      <c r="B961" s="2" t="s">
        <v>48</v>
      </c>
      <c r="C961" s="2" t="s">
        <v>5115</v>
      </c>
      <c r="D961" s="2"/>
    </row>
    <row r="962" spans="1:4" x14ac:dyDescent="0.3">
      <c r="A962" s="2" t="s">
        <v>3720</v>
      </c>
      <c r="B962" s="2" t="s">
        <v>48</v>
      </c>
      <c r="C962" s="2" t="s">
        <v>5115</v>
      </c>
      <c r="D962" s="2"/>
    </row>
    <row r="963" spans="1:4" x14ac:dyDescent="0.3">
      <c r="A963" s="2" t="s">
        <v>3721</v>
      </c>
      <c r="B963" s="2" t="s">
        <v>48</v>
      </c>
      <c r="C963" s="2" t="s">
        <v>5115</v>
      </c>
      <c r="D963" s="2"/>
    </row>
    <row r="964" spans="1:4" x14ac:dyDescent="0.3">
      <c r="A964" s="2" t="s">
        <v>3722</v>
      </c>
      <c r="B964" s="2" t="s">
        <v>48</v>
      </c>
      <c r="C964" s="2" t="s">
        <v>5115</v>
      </c>
      <c r="D964" s="2"/>
    </row>
    <row r="965" spans="1:4" x14ac:dyDescent="0.3">
      <c r="A965" s="2" t="s">
        <v>3723</v>
      </c>
      <c r="B965" s="2" t="s">
        <v>48</v>
      </c>
      <c r="C965" s="2" t="s">
        <v>5115</v>
      </c>
      <c r="D965" s="2"/>
    </row>
    <row r="966" spans="1:4" x14ac:dyDescent="0.3">
      <c r="A966" s="2" t="s">
        <v>3725</v>
      </c>
      <c r="B966" s="2" t="s">
        <v>48</v>
      </c>
      <c r="C966" s="2" t="s">
        <v>5115</v>
      </c>
      <c r="D966" s="2"/>
    </row>
    <row r="967" spans="1:4" x14ac:dyDescent="0.3">
      <c r="A967" s="2" t="s">
        <v>3727</v>
      </c>
      <c r="B967" s="2" t="s">
        <v>48</v>
      </c>
      <c r="C967" s="2" t="s">
        <v>5115</v>
      </c>
      <c r="D967" s="2"/>
    </row>
    <row r="968" spans="1:4" x14ac:dyDescent="0.3">
      <c r="A968" s="2" t="s">
        <v>3728</v>
      </c>
      <c r="B968" s="2" t="s">
        <v>48</v>
      </c>
      <c r="C968" s="2" t="s">
        <v>5115</v>
      </c>
      <c r="D968" s="2"/>
    </row>
    <row r="969" spans="1:4" x14ac:dyDescent="0.3">
      <c r="A969" s="2" t="s">
        <v>3730</v>
      </c>
      <c r="B969" s="2" t="s">
        <v>48</v>
      </c>
      <c r="C969" s="2" t="s">
        <v>5115</v>
      </c>
      <c r="D969" s="2"/>
    </row>
    <row r="970" spans="1:4" x14ac:dyDescent="0.3">
      <c r="A970" s="2" t="s">
        <v>3731</v>
      </c>
      <c r="B970" s="2" t="s">
        <v>48</v>
      </c>
      <c r="C970" s="2" t="s">
        <v>5115</v>
      </c>
      <c r="D970" s="2"/>
    </row>
    <row r="971" spans="1:4" x14ac:dyDescent="0.3">
      <c r="A971" s="2" t="s">
        <v>3733</v>
      </c>
      <c r="B971" s="2" t="s">
        <v>48</v>
      </c>
      <c r="C971" s="2" t="s">
        <v>5115</v>
      </c>
      <c r="D971" s="2"/>
    </row>
    <row r="972" spans="1:4" x14ac:dyDescent="0.3">
      <c r="A972" s="2" t="s">
        <v>3735</v>
      </c>
      <c r="B972" s="2" t="s">
        <v>48</v>
      </c>
      <c r="C972" s="2" t="s">
        <v>5115</v>
      </c>
      <c r="D972" s="2"/>
    </row>
    <row r="973" spans="1:4" x14ac:dyDescent="0.3">
      <c r="A973" s="2" t="s">
        <v>3737</v>
      </c>
      <c r="B973" s="2" t="s">
        <v>48</v>
      </c>
      <c r="C973" s="2" t="s">
        <v>5115</v>
      </c>
      <c r="D973" s="2"/>
    </row>
    <row r="974" spans="1:4" x14ac:dyDescent="0.3">
      <c r="A974" s="2" t="s">
        <v>3738</v>
      </c>
      <c r="B974" s="2" t="s">
        <v>48</v>
      </c>
      <c r="C974" s="2" t="s">
        <v>5115</v>
      </c>
      <c r="D974" s="2"/>
    </row>
    <row r="975" spans="1:4" x14ac:dyDescent="0.3">
      <c r="A975" s="2" t="s">
        <v>3740</v>
      </c>
      <c r="B975" s="2" t="s">
        <v>48</v>
      </c>
      <c r="C975" s="2" t="s">
        <v>5115</v>
      </c>
      <c r="D975" s="2"/>
    </row>
    <row r="976" spans="1:4" x14ac:dyDescent="0.3">
      <c r="A976" s="2" t="s">
        <v>3741</v>
      </c>
      <c r="B976" s="2" t="s">
        <v>48</v>
      </c>
      <c r="C976" s="2" t="s">
        <v>5115</v>
      </c>
      <c r="D976" s="2"/>
    </row>
    <row r="977" spans="1:4" x14ac:dyDescent="0.3">
      <c r="A977" s="2" t="s">
        <v>3742</v>
      </c>
      <c r="B977" s="2" t="s">
        <v>48</v>
      </c>
      <c r="C977" s="2" t="s">
        <v>5115</v>
      </c>
      <c r="D977" s="2"/>
    </row>
    <row r="978" spans="1:4" x14ac:dyDescent="0.3">
      <c r="A978" s="2" t="s">
        <v>3744</v>
      </c>
      <c r="B978" s="2" t="s">
        <v>48</v>
      </c>
      <c r="C978" s="2" t="s">
        <v>5115</v>
      </c>
      <c r="D978" s="2"/>
    </row>
    <row r="979" spans="1:4" x14ac:dyDescent="0.3">
      <c r="A979" s="2" t="s">
        <v>3745</v>
      </c>
      <c r="B979" s="2" t="s">
        <v>48</v>
      </c>
      <c r="C979" s="2" t="s">
        <v>5115</v>
      </c>
      <c r="D979" s="2"/>
    </row>
    <row r="980" spans="1:4" x14ac:dyDescent="0.3">
      <c r="A980" s="2" t="s">
        <v>3746</v>
      </c>
      <c r="B980" s="2" t="s">
        <v>48</v>
      </c>
      <c r="C980" s="2" t="s">
        <v>5115</v>
      </c>
      <c r="D980" s="2"/>
    </row>
    <row r="981" spans="1:4" x14ac:dyDescent="0.3">
      <c r="A981" s="2" t="s">
        <v>3747</v>
      </c>
      <c r="B981" s="2" t="s">
        <v>48</v>
      </c>
      <c r="C981" s="2" t="s">
        <v>5115</v>
      </c>
      <c r="D981" s="2"/>
    </row>
    <row r="982" spans="1:4" x14ac:dyDescent="0.3">
      <c r="A982" s="2" t="s">
        <v>3749</v>
      </c>
      <c r="B982" s="2" t="s">
        <v>48</v>
      </c>
      <c r="C982" s="2" t="s">
        <v>5115</v>
      </c>
      <c r="D982" s="2"/>
    </row>
    <row r="983" spans="1:4" x14ac:dyDescent="0.3">
      <c r="A983" s="2" t="s">
        <v>3750</v>
      </c>
      <c r="B983" s="2" t="s">
        <v>48</v>
      </c>
      <c r="C983" s="2" t="s">
        <v>5115</v>
      </c>
      <c r="D983" s="2"/>
    </row>
    <row r="984" spans="1:4" x14ac:dyDescent="0.3">
      <c r="A984" s="2" t="s">
        <v>3752</v>
      </c>
      <c r="B984" s="2" t="s">
        <v>48</v>
      </c>
      <c r="C984" s="2" t="s">
        <v>5115</v>
      </c>
      <c r="D984" s="2"/>
    </row>
    <row r="985" spans="1:4" x14ac:dyDescent="0.3">
      <c r="A985" s="2" t="s">
        <v>3753</v>
      </c>
      <c r="B985" s="2" t="s">
        <v>48</v>
      </c>
      <c r="C985" s="2" t="s">
        <v>5115</v>
      </c>
      <c r="D985" s="2"/>
    </row>
    <row r="986" spans="1:4" x14ac:dyDescent="0.3">
      <c r="A986" s="2" t="s">
        <v>3755</v>
      </c>
      <c r="B986" s="2" t="s">
        <v>48</v>
      </c>
      <c r="C986" s="2" t="s">
        <v>5115</v>
      </c>
      <c r="D986" s="2"/>
    </row>
    <row r="987" spans="1:4" x14ac:dyDescent="0.3">
      <c r="A987" s="2" t="s">
        <v>3756</v>
      </c>
      <c r="B987" s="2" t="s">
        <v>48</v>
      </c>
      <c r="C987" s="2" t="s">
        <v>5115</v>
      </c>
      <c r="D987" s="2"/>
    </row>
    <row r="988" spans="1:4" x14ac:dyDescent="0.3">
      <c r="A988" s="2" t="s">
        <v>3757</v>
      </c>
      <c r="B988" s="2" t="s">
        <v>48</v>
      </c>
      <c r="C988" s="2" t="s">
        <v>5115</v>
      </c>
      <c r="D988" s="2"/>
    </row>
    <row r="989" spans="1:4" x14ac:dyDescent="0.3">
      <c r="A989" s="2" t="s">
        <v>3758</v>
      </c>
      <c r="B989" s="2" t="s">
        <v>48</v>
      </c>
      <c r="C989" s="2" t="s">
        <v>5115</v>
      </c>
      <c r="D989" s="2"/>
    </row>
    <row r="990" spans="1:4" x14ac:dyDescent="0.3">
      <c r="A990" s="2" t="s">
        <v>3759</v>
      </c>
      <c r="B990" s="2" t="s">
        <v>48</v>
      </c>
      <c r="C990" s="2" t="s">
        <v>5115</v>
      </c>
      <c r="D990" s="2"/>
    </row>
    <row r="991" spans="1:4" x14ac:dyDescent="0.3">
      <c r="A991" s="2" t="s">
        <v>3761</v>
      </c>
      <c r="B991" s="2" t="s">
        <v>48</v>
      </c>
      <c r="C991" s="2" t="s">
        <v>5115</v>
      </c>
      <c r="D991" s="2"/>
    </row>
    <row r="992" spans="1:4" x14ac:dyDescent="0.3">
      <c r="A992" s="2" t="s">
        <v>3762</v>
      </c>
      <c r="B992" s="2" t="s">
        <v>48</v>
      </c>
      <c r="C992" s="2" t="s">
        <v>5115</v>
      </c>
      <c r="D992" s="2"/>
    </row>
    <row r="993" spans="1:4" x14ac:dyDescent="0.3">
      <c r="A993" s="2" t="s">
        <v>3764</v>
      </c>
      <c r="B993" s="2" t="s">
        <v>48</v>
      </c>
      <c r="C993" s="2" t="s">
        <v>5115</v>
      </c>
      <c r="D993" s="2"/>
    </row>
    <row r="994" spans="1:4" x14ac:dyDescent="0.3">
      <c r="A994" s="2" t="s">
        <v>3765</v>
      </c>
      <c r="B994" s="2" t="s">
        <v>48</v>
      </c>
      <c r="C994" s="2" t="s">
        <v>5115</v>
      </c>
      <c r="D994" s="2"/>
    </row>
    <row r="995" spans="1:4" x14ac:dyDescent="0.3">
      <c r="A995" s="2" t="s">
        <v>3767</v>
      </c>
      <c r="B995" s="2" t="s">
        <v>48</v>
      </c>
      <c r="C995" s="2" t="s">
        <v>5115</v>
      </c>
      <c r="D995" s="2"/>
    </row>
    <row r="996" spans="1:4" x14ac:dyDescent="0.3">
      <c r="A996" s="2" t="s">
        <v>3768</v>
      </c>
      <c r="B996" s="2" t="s">
        <v>48</v>
      </c>
      <c r="C996" s="2" t="s">
        <v>5115</v>
      </c>
      <c r="D996" s="2"/>
    </row>
    <row r="997" spans="1:4" x14ac:dyDescent="0.3">
      <c r="A997" s="2" t="s">
        <v>3769</v>
      </c>
      <c r="B997" s="2" t="s">
        <v>48</v>
      </c>
      <c r="C997" s="2" t="s">
        <v>5115</v>
      </c>
      <c r="D997" s="2"/>
    </row>
    <row r="998" spans="1:4" x14ac:dyDescent="0.3">
      <c r="A998" s="2" t="s">
        <v>3771</v>
      </c>
      <c r="B998" s="2" t="s">
        <v>48</v>
      </c>
      <c r="C998" s="2" t="s">
        <v>5115</v>
      </c>
      <c r="D998" s="2"/>
    </row>
    <row r="999" spans="1:4" x14ac:dyDescent="0.3">
      <c r="A999" s="2" t="s">
        <v>3773</v>
      </c>
      <c r="B999" s="2" t="s">
        <v>48</v>
      </c>
      <c r="C999" s="2" t="s">
        <v>5115</v>
      </c>
      <c r="D999" s="2"/>
    </row>
    <row r="1000" spans="1:4" x14ac:dyDescent="0.3">
      <c r="A1000" s="2" t="s">
        <v>3774</v>
      </c>
      <c r="B1000" s="2" t="s">
        <v>48</v>
      </c>
      <c r="C1000" s="2" t="s">
        <v>5115</v>
      </c>
      <c r="D1000" s="2"/>
    </row>
    <row r="1001" spans="1:4" x14ac:dyDescent="0.3">
      <c r="A1001" s="2" t="s">
        <v>3776</v>
      </c>
      <c r="B1001" s="2" t="s">
        <v>48</v>
      </c>
      <c r="C1001" s="2" t="s">
        <v>5115</v>
      </c>
      <c r="D1001" s="2"/>
    </row>
    <row r="1002" spans="1:4" x14ac:dyDescent="0.3">
      <c r="A1002" s="2" t="s">
        <v>3777</v>
      </c>
      <c r="B1002" s="2" t="s">
        <v>48</v>
      </c>
      <c r="C1002" s="2" t="s">
        <v>5115</v>
      </c>
      <c r="D1002" s="2"/>
    </row>
    <row r="1003" spans="1:4" x14ac:dyDescent="0.3">
      <c r="A1003" s="2" t="s">
        <v>3779</v>
      </c>
      <c r="B1003" s="2" t="s">
        <v>48</v>
      </c>
      <c r="C1003" s="2" t="s">
        <v>5115</v>
      </c>
      <c r="D1003" s="2"/>
    </row>
    <row r="1004" spans="1:4" x14ac:dyDescent="0.3">
      <c r="A1004" s="2" t="s">
        <v>3780</v>
      </c>
      <c r="B1004" s="2" t="s">
        <v>48</v>
      </c>
      <c r="C1004" s="2" t="s">
        <v>5115</v>
      </c>
      <c r="D1004" s="2"/>
    </row>
    <row r="1005" spans="1:4" x14ac:dyDescent="0.3">
      <c r="A1005" s="2" t="s">
        <v>3782</v>
      </c>
      <c r="B1005" s="2" t="s">
        <v>48</v>
      </c>
      <c r="C1005" s="2" t="s">
        <v>5115</v>
      </c>
      <c r="D1005" s="2"/>
    </row>
    <row r="1006" spans="1:4" x14ac:dyDescent="0.3">
      <c r="A1006" s="2" t="s">
        <v>3784</v>
      </c>
      <c r="B1006" s="2" t="s">
        <v>48</v>
      </c>
      <c r="C1006" s="2" t="s">
        <v>5115</v>
      </c>
      <c r="D1006" s="2"/>
    </row>
    <row r="1007" spans="1:4" x14ac:dyDescent="0.3">
      <c r="A1007" s="2" t="s">
        <v>3786</v>
      </c>
      <c r="B1007" s="2" t="s">
        <v>48</v>
      </c>
      <c r="C1007" s="2" t="s">
        <v>5115</v>
      </c>
      <c r="D1007" s="2"/>
    </row>
    <row r="1008" spans="1:4" x14ac:dyDescent="0.3">
      <c r="A1008" s="2" t="s">
        <v>3788</v>
      </c>
      <c r="B1008" s="2" t="s">
        <v>48</v>
      </c>
      <c r="C1008" s="2" t="s">
        <v>5115</v>
      </c>
      <c r="D1008" s="2"/>
    </row>
    <row r="1009" spans="1:4" x14ac:dyDescent="0.3">
      <c r="A1009" s="2" t="s">
        <v>3789</v>
      </c>
      <c r="B1009" s="2" t="s">
        <v>48</v>
      </c>
      <c r="C1009" s="2" t="s">
        <v>5115</v>
      </c>
      <c r="D1009" s="2"/>
    </row>
    <row r="1010" spans="1:4" x14ac:dyDescent="0.3">
      <c r="A1010" s="2" t="s">
        <v>3791</v>
      </c>
      <c r="B1010" s="2" t="s">
        <v>48</v>
      </c>
      <c r="C1010" s="2" t="s">
        <v>5115</v>
      </c>
      <c r="D1010" s="2"/>
    </row>
    <row r="1011" spans="1:4" x14ac:dyDescent="0.3">
      <c r="A1011" s="2" t="s">
        <v>3792</v>
      </c>
      <c r="B1011" s="2" t="s">
        <v>48</v>
      </c>
      <c r="C1011" s="2" t="s">
        <v>5115</v>
      </c>
      <c r="D1011" s="2"/>
    </row>
    <row r="1012" spans="1:4" x14ac:dyDescent="0.3">
      <c r="A1012" s="2" t="s">
        <v>3794</v>
      </c>
      <c r="B1012" s="2" t="s">
        <v>48</v>
      </c>
      <c r="C1012" s="2" t="s">
        <v>5115</v>
      </c>
      <c r="D1012" s="2"/>
    </row>
    <row r="1013" spans="1:4" x14ac:dyDescent="0.3">
      <c r="A1013" s="2" t="s">
        <v>3796</v>
      </c>
      <c r="B1013" s="2" t="s">
        <v>48</v>
      </c>
      <c r="C1013" s="2" t="s">
        <v>5115</v>
      </c>
      <c r="D1013" s="2"/>
    </row>
    <row r="1014" spans="1:4" x14ac:dyDescent="0.3">
      <c r="A1014" s="2" t="s">
        <v>3798</v>
      </c>
      <c r="B1014" s="2" t="s">
        <v>48</v>
      </c>
      <c r="C1014" s="2" t="s">
        <v>5115</v>
      </c>
      <c r="D1014" s="2"/>
    </row>
    <row r="1015" spans="1:4" x14ac:dyDescent="0.3">
      <c r="A1015" s="2" t="s">
        <v>3800</v>
      </c>
      <c r="B1015" s="2" t="s">
        <v>48</v>
      </c>
      <c r="C1015" s="2" t="s">
        <v>5115</v>
      </c>
      <c r="D1015" s="2"/>
    </row>
    <row r="1016" spans="1:4" x14ac:dyDescent="0.3">
      <c r="A1016" s="2" t="s">
        <v>3802</v>
      </c>
      <c r="B1016" s="2" t="s">
        <v>48</v>
      </c>
      <c r="C1016" s="2" t="s">
        <v>5115</v>
      </c>
      <c r="D1016" s="2"/>
    </row>
    <row r="1017" spans="1:4" x14ac:dyDescent="0.3">
      <c r="A1017" s="2" t="s">
        <v>3804</v>
      </c>
      <c r="B1017" s="2" t="s">
        <v>48</v>
      </c>
      <c r="C1017" s="2" t="s">
        <v>5115</v>
      </c>
      <c r="D1017" s="2"/>
    </row>
    <row r="1018" spans="1:4" x14ac:dyDescent="0.3">
      <c r="A1018" s="2" t="s">
        <v>3806</v>
      </c>
      <c r="B1018" s="2" t="s">
        <v>48</v>
      </c>
      <c r="C1018" s="2" t="s">
        <v>5115</v>
      </c>
      <c r="D1018" s="2"/>
    </row>
    <row r="1019" spans="1:4" x14ac:dyDescent="0.3">
      <c r="A1019" s="2" t="s">
        <v>3808</v>
      </c>
      <c r="B1019" s="2" t="s">
        <v>48</v>
      </c>
      <c r="C1019" s="2" t="s">
        <v>5115</v>
      </c>
      <c r="D1019" s="2"/>
    </row>
    <row r="1020" spans="1:4" x14ac:dyDescent="0.3">
      <c r="A1020" s="2" t="s">
        <v>3810</v>
      </c>
      <c r="B1020" s="2" t="s">
        <v>48</v>
      </c>
      <c r="C1020" s="2" t="s">
        <v>5115</v>
      </c>
      <c r="D1020" s="2"/>
    </row>
    <row r="1021" spans="1:4" x14ac:dyDescent="0.3">
      <c r="A1021" s="2" t="s">
        <v>3812</v>
      </c>
      <c r="B1021" s="2" t="s">
        <v>48</v>
      </c>
      <c r="C1021" s="2" t="s">
        <v>5115</v>
      </c>
      <c r="D1021" s="2"/>
    </row>
    <row r="1022" spans="1:4" x14ac:dyDescent="0.3">
      <c r="A1022" s="2" t="s">
        <v>3814</v>
      </c>
      <c r="B1022" s="2" t="s">
        <v>48</v>
      </c>
      <c r="C1022" s="2" t="s">
        <v>5115</v>
      </c>
      <c r="D1022" s="2"/>
    </row>
    <row r="1023" spans="1:4" x14ac:dyDescent="0.3">
      <c r="A1023" s="2" t="s">
        <v>3816</v>
      </c>
      <c r="B1023" s="2" t="s">
        <v>48</v>
      </c>
      <c r="C1023" s="2" t="s">
        <v>5115</v>
      </c>
      <c r="D1023" s="2"/>
    </row>
    <row r="1024" spans="1:4" x14ac:dyDescent="0.3">
      <c r="A1024" s="2" t="s">
        <v>3818</v>
      </c>
      <c r="B1024" s="2" t="s">
        <v>48</v>
      </c>
      <c r="C1024" s="2" t="s">
        <v>5115</v>
      </c>
      <c r="D1024" s="2"/>
    </row>
    <row r="1025" spans="1:4" x14ac:dyDescent="0.3">
      <c r="A1025" s="2" t="s">
        <v>3820</v>
      </c>
      <c r="B1025" s="2" t="s">
        <v>48</v>
      </c>
      <c r="C1025" s="2" t="s">
        <v>5115</v>
      </c>
      <c r="D1025" s="2"/>
    </row>
    <row r="1026" spans="1:4" x14ac:dyDescent="0.3">
      <c r="A1026" s="2" t="s">
        <v>3821</v>
      </c>
      <c r="B1026" s="2" t="s">
        <v>48</v>
      </c>
      <c r="C1026" s="2" t="s">
        <v>5115</v>
      </c>
      <c r="D1026" s="2"/>
    </row>
    <row r="1027" spans="1:4" x14ac:dyDescent="0.3">
      <c r="A1027" s="2" t="s">
        <v>3823</v>
      </c>
      <c r="B1027" s="2" t="s">
        <v>48</v>
      </c>
      <c r="C1027" s="2" t="s">
        <v>5115</v>
      </c>
      <c r="D1027" s="2"/>
    </row>
    <row r="1028" spans="1:4" x14ac:dyDescent="0.3">
      <c r="A1028" s="2" t="s">
        <v>3824</v>
      </c>
      <c r="B1028" s="2" t="s">
        <v>48</v>
      </c>
      <c r="C1028" s="2" t="s">
        <v>5115</v>
      </c>
      <c r="D1028" s="2"/>
    </row>
    <row r="1029" spans="1:4" x14ac:dyDescent="0.3">
      <c r="A1029" s="2" t="s">
        <v>3825</v>
      </c>
      <c r="B1029" s="2" t="s">
        <v>48</v>
      </c>
      <c r="C1029" s="2" t="s">
        <v>5115</v>
      </c>
      <c r="D1029" s="2"/>
    </row>
    <row r="1030" spans="1:4" x14ac:dyDescent="0.3">
      <c r="A1030" s="2" t="s">
        <v>3826</v>
      </c>
      <c r="B1030" s="2" t="s">
        <v>48</v>
      </c>
      <c r="C1030" s="2" t="s">
        <v>5115</v>
      </c>
      <c r="D1030" s="2"/>
    </row>
    <row r="1031" spans="1:4" x14ac:dyDescent="0.3">
      <c r="A1031" s="2" t="s">
        <v>3827</v>
      </c>
      <c r="B1031" s="2" t="s">
        <v>48</v>
      </c>
      <c r="C1031" s="2" t="s">
        <v>5115</v>
      </c>
      <c r="D1031" s="2"/>
    </row>
    <row r="1032" spans="1:4" x14ac:dyDescent="0.3">
      <c r="A1032" s="2" t="s">
        <v>3828</v>
      </c>
      <c r="B1032" s="2" t="s">
        <v>48</v>
      </c>
      <c r="C1032" s="2" t="s">
        <v>5115</v>
      </c>
      <c r="D1032" s="2"/>
    </row>
    <row r="1033" spans="1:4" x14ac:dyDescent="0.3">
      <c r="A1033" s="2" t="s">
        <v>3829</v>
      </c>
      <c r="B1033" s="2" t="s">
        <v>48</v>
      </c>
      <c r="C1033" s="2" t="s">
        <v>5115</v>
      </c>
      <c r="D1033" s="2"/>
    </row>
    <row r="1034" spans="1:4" x14ac:dyDescent="0.3">
      <c r="A1034" s="2" t="s">
        <v>3830</v>
      </c>
      <c r="B1034" s="2" t="s">
        <v>48</v>
      </c>
      <c r="C1034" s="2" t="s">
        <v>5115</v>
      </c>
      <c r="D1034" s="2"/>
    </row>
    <row r="1035" spans="1:4" x14ac:dyDescent="0.3">
      <c r="A1035" s="2" t="s">
        <v>3832</v>
      </c>
      <c r="B1035" s="2" t="s">
        <v>48</v>
      </c>
      <c r="C1035" s="2" t="s">
        <v>5115</v>
      </c>
      <c r="D1035" s="2"/>
    </row>
    <row r="1036" spans="1:4" x14ac:dyDescent="0.3">
      <c r="A1036" s="2" t="s">
        <v>3833</v>
      </c>
      <c r="B1036" s="2" t="s">
        <v>48</v>
      </c>
      <c r="C1036" s="2" t="s">
        <v>5115</v>
      </c>
      <c r="D1036" s="2"/>
    </row>
    <row r="1037" spans="1:4" x14ac:dyDescent="0.3">
      <c r="A1037" s="2" t="s">
        <v>3834</v>
      </c>
      <c r="B1037" s="2" t="s">
        <v>48</v>
      </c>
      <c r="C1037" s="2" t="s">
        <v>5115</v>
      </c>
      <c r="D1037" s="2"/>
    </row>
    <row r="1038" spans="1:4" x14ac:dyDescent="0.3">
      <c r="A1038" s="2" t="s">
        <v>3835</v>
      </c>
      <c r="B1038" s="2" t="s">
        <v>48</v>
      </c>
      <c r="C1038" s="2" t="s">
        <v>5115</v>
      </c>
      <c r="D1038" s="2"/>
    </row>
    <row r="1039" spans="1:4" x14ac:dyDescent="0.3">
      <c r="A1039" s="2" t="s">
        <v>3836</v>
      </c>
      <c r="B1039" s="2" t="s">
        <v>48</v>
      </c>
      <c r="C1039" s="2" t="s">
        <v>5115</v>
      </c>
      <c r="D1039" s="2"/>
    </row>
    <row r="1040" spans="1:4" x14ac:dyDescent="0.3">
      <c r="A1040" s="2" t="s">
        <v>3837</v>
      </c>
      <c r="B1040" s="2" t="s">
        <v>48</v>
      </c>
      <c r="C1040" s="2" t="s">
        <v>5115</v>
      </c>
      <c r="D1040" s="2"/>
    </row>
    <row r="1041" spans="1:4" x14ac:dyDescent="0.3">
      <c r="A1041" s="2" t="s">
        <v>5607</v>
      </c>
      <c r="B1041" s="2" t="s">
        <v>5118</v>
      </c>
      <c r="C1041" s="2" t="s">
        <v>5066</v>
      </c>
      <c r="D1041" s="2"/>
    </row>
    <row r="1042" spans="1:4" x14ac:dyDescent="0.3">
      <c r="A1042" s="2" t="s">
        <v>5608</v>
      </c>
      <c r="B1042" s="2" t="s">
        <v>5118</v>
      </c>
      <c r="C1042" s="2" t="s">
        <v>5066</v>
      </c>
      <c r="D1042" s="2"/>
    </row>
    <row r="1043" spans="1:4" x14ac:dyDescent="0.3">
      <c r="A1043" s="2" t="s">
        <v>5609</v>
      </c>
      <c r="B1043" s="2" t="s">
        <v>5118</v>
      </c>
      <c r="C1043" s="2" t="s">
        <v>5066</v>
      </c>
      <c r="D1043" s="2"/>
    </row>
    <row r="1044" spans="1:4" x14ac:dyDescent="0.3">
      <c r="A1044" s="2" t="s">
        <v>5610</v>
      </c>
      <c r="B1044" s="2" t="s">
        <v>5118</v>
      </c>
      <c r="C1044" s="2" t="s">
        <v>5066</v>
      </c>
      <c r="D1044" s="2"/>
    </row>
    <row r="1045" spans="1:4" x14ac:dyDescent="0.3">
      <c r="A1045" s="2" t="s">
        <v>5611</v>
      </c>
      <c r="B1045" s="2" t="s">
        <v>5118</v>
      </c>
      <c r="C1045" s="2" t="s">
        <v>5066</v>
      </c>
      <c r="D1045" s="2"/>
    </row>
    <row r="1046" spans="1:4" x14ac:dyDescent="0.3">
      <c r="A1046" s="2" t="s">
        <v>5612</v>
      </c>
      <c r="B1046" s="2" t="s">
        <v>5118</v>
      </c>
      <c r="C1046" s="2" t="s">
        <v>5066</v>
      </c>
      <c r="D1046" s="2"/>
    </row>
    <row r="1047" spans="1:4" x14ac:dyDescent="0.3">
      <c r="A1047" s="2" t="s">
        <v>5613</v>
      </c>
      <c r="B1047" s="2" t="s">
        <v>5118</v>
      </c>
      <c r="C1047" s="2" t="s">
        <v>5066</v>
      </c>
      <c r="D1047" s="2"/>
    </row>
    <row r="1048" spans="1:4" x14ac:dyDescent="0.3">
      <c r="A1048" s="2" t="s">
        <v>5614</v>
      </c>
      <c r="B1048" s="2" t="s">
        <v>5063</v>
      </c>
      <c r="C1048" s="2" t="s">
        <v>5225</v>
      </c>
      <c r="D1048" s="2"/>
    </row>
    <row r="1049" spans="1:4" x14ac:dyDescent="0.3">
      <c r="A1049" s="2" t="s">
        <v>5615</v>
      </c>
      <c r="B1049" s="2" t="s">
        <v>5063</v>
      </c>
      <c r="C1049" s="2" t="s">
        <v>5225</v>
      </c>
      <c r="D1049" s="2"/>
    </row>
    <row r="1050" spans="1:4" x14ac:dyDescent="0.3">
      <c r="A1050" s="2" t="s">
        <v>5616</v>
      </c>
      <c r="B1050" s="2" t="s">
        <v>5063</v>
      </c>
      <c r="C1050" s="2" t="s">
        <v>5225</v>
      </c>
      <c r="D1050" s="2"/>
    </row>
    <row r="1051" spans="1:4" x14ac:dyDescent="0.3">
      <c r="A1051" s="2" t="s">
        <v>5617</v>
      </c>
      <c r="B1051" s="2" t="s">
        <v>5063</v>
      </c>
      <c r="C1051" s="2" t="s">
        <v>5225</v>
      </c>
      <c r="D1051" s="2"/>
    </row>
    <row r="1052" spans="1:4" x14ac:dyDescent="0.3">
      <c r="A1052" s="2" t="s">
        <v>5618</v>
      </c>
      <c r="B1052" s="2" t="s">
        <v>5063</v>
      </c>
      <c r="C1052" s="2" t="s">
        <v>5225</v>
      </c>
      <c r="D1052" s="2"/>
    </row>
    <row r="1053" spans="1:4" x14ac:dyDescent="0.3">
      <c r="A1053" s="2" t="s">
        <v>5619</v>
      </c>
      <c r="B1053" s="2" t="s">
        <v>5063</v>
      </c>
      <c r="C1053" s="2" t="s">
        <v>5225</v>
      </c>
      <c r="D1053" s="2"/>
    </row>
    <row r="1054" spans="1:4" x14ac:dyDescent="0.3">
      <c r="A1054" s="2" t="s">
        <v>5620</v>
      </c>
      <c r="B1054" s="2" t="s">
        <v>5063</v>
      </c>
      <c r="C1054" s="2" t="s">
        <v>5225</v>
      </c>
      <c r="D1054" s="2"/>
    </row>
    <row r="1055" spans="1:4" x14ac:dyDescent="0.3">
      <c r="A1055" s="2" t="s">
        <v>5621</v>
      </c>
      <c r="B1055" s="2" t="s">
        <v>5063</v>
      </c>
      <c r="C1055" s="2" t="s">
        <v>5225</v>
      </c>
      <c r="D1055" s="2"/>
    </row>
    <row r="1056" spans="1:4" x14ac:dyDescent="0.3">
      <c r="A1056" s="2" t="s">
        <v>5622</v>
      </c>
      <c r="B1056" s="2" t="s">
        <v>5063</v>
      </c>
      <c r="C1056" s="2" t="s">
        <v>5225</v>
      </c>
      <c r="D1056" s="2"/>
    </row>
    <row r="1057" spans="1:4" x14ac:dyDescent="0.3">
      <c r="A1057" s="2" t="s">
        <v>5623</v>
      </c>
      <c r="B1057" s="2" t="s">
        <v>5073</v>
      </c>
      <c r="C1057" s="2" t="s">
        <v>5073</v>
      </c>
      <c r="D1057" s="2"/>
    </row>
    <row r="1058" spans="1:4" x14ac:dyDescent="0.3">
      <c r="A1058" s="2" t="s">
        <v>5624</v>
      </c>
      <c r="B1058" s="2" t="s">
        <v>5073</v>
      </c>
      <c r="C1058" s="2" t="s">
        <v>5073</v>
      </c>
      <c r="D1058" s="2"/>
    </row>
    <row r="1059" spans="1:4" x14ac:dyDescent="0.3">
      <c r="A1059" s="2" t="s">
        <v>5625</v>
      </c>
      <c r="B1059" s="2" t="s">
        <v>5073</v>
      </c>
      <c r="C1059" s="2" t="s">
        <v>5073</v>
      </c>
      <c r="D1059" s="2"/>
    </row>
    <row r="1060" spans="1:4" x14ac:dyDescent="0.3">
      <c r="A1060" t="s">
        <v>5626</v>
      </c>
      <c r="B1060" s="2" t="s">
        <v>3910</v>
      </c>
      <c r="C1060" s="2" t="s">
        <v>3910</v>
      </c>
    </row>
    <row r="1061" spans="1:4" x14ac:dyDescent="0.3">
      <c r="A1061" t="s">
        <v>5627</v>
      </c>
      <c r="B1061" s="2" t="s">
        <v>3910</v>
      </c>
      <c r="C1061" s="2" t="s">
        <v>3910</v>
      </c>
    </row>
    <row r="1062" spans="1:4" x14ac:dyDescent="0.3">
      <c r="A1062" t="s">
        <v>5628</v>
      </c>
      <c r="B1062" s="2" t="s">
        <v>3910</v>
      </c>
      <c r="C1062" s="2" t="s">
        <v>3910</v>
      </c>
    </row>
    <row r="1063" spans="1:4" x14ac:dyDescent="0.3">
      <c r="A1063" t="s">
        <v>5629</v>
      </c>
      <c r="B1063" s="2" t="s">
        <v>3910</v>
      </c>
      <c r="C1063" s="2" t="s">
        <v>3910</v>
      </c>
    </row>
    <row r="1064" spans="1:4" x14ac:dyDescent="0.3">
      <c r="A1064" t="s">
        <v>5630</v>
      </c>
      <c r="B1064" s="2" t="s">
        <v>3910</v>
      </c>
      <c r="C1064" s="2" t="s">
        <v>3910</v>
      </c>
    </row>
    <row r="1065" spans="1:4" x14ac:dyDescent="0.3">
      <c r="A1065" t="s">
        <v>5631</v>
      </c>
      <c r="B1065" s="2" t="s">
        <v>3910</v>
      </c>
      <c r="C1065" s="2" t="s">
        <v>3910</v>
      </c>
    </row>
    <row r="1066" spans="1:4" x14ac:dyDescent="0.3">
      <c r="A1066" t="s">
        <v>5632</v>
      </c>
      <c r="B1066" s="2" t="s">
        <v>3910</v>
      </c>
      <c r="C1066" s="2" t="s">
        <v>3910</v>
      </c>
    </row>
    <row r="1067" spans="1:4" x14ac:dyDescent="0.3">
      <c r="A1067" t="s">
        <v>5633</v>
      </c>
      <c r="B1067" s="2" t="s">
        <v>3910</v>
      </c>
      <c r="C1067" s="2" t="s">
        <v>3910</v>
      </c>
    </row>
    <row r="1068" spans="1:4" x14ac:dyDescent="0.3">
      <c r="A1068" t="s">
        <v>5634</v>
      </c>
      <c r="B1068" s="2" t="s">
        <v>3910</v>
      </c>
      <c r="C1068" s="2" t="s">
        <v>3910</v>
      </c>
    </row>
    <row r="1069" spans="1:4" x14ac:dyDescent="0.3">
      <c r="A1069" t="s">
        <v>5635</v>
      </c>
      <c r="B1069" s="2" t="s">
        <v>3910</v>
      </c>
      <c r="C1069" s="2" t="s">
        <v>3910</v>
      </c>
    </row>
    <row r="1070" spans="1:4" x14ac:dyDescent="0.3">
      <c r="A1070" t="s">
        <v>5636</v>
      </c>
      <c r="B1070" s="2" t="s">
        <v>3910</v>
      </c>
      <c r="C1070" s="2" t="s">
        <v>3910</v>
      </c>
    </row>
    <row r="1071" spans="1:4" x14ac:dyDescent="0.3">
      <c r="A1071" t="s">
        <v>5637</v>
      </c>
      <c r="B1071" s="2" t="s">
        <v>3910</v>
      </c>
      <c r="C1071" s="2" t="s">
        <v>3910</v>
      </c>
    </row>
    <row r="1072" spans="1:4" x14ac:dyDescent="0.3">
      <c r="A1072" t="s">
        <v>5638</v>
      </c>
      <c r="B1072" s="2" t="s">
        <v>3910</v>
      </c>
      <c r="C1072" s="2" t="s">
        <v>3910</v>
      </c>
    </row>
    <row r="1073" spans="1:3" x14ac:dyDescent="0.3">
      <c r="A1073" t="s">
        <v>5639</v>
      </c>
      <c r="B1073" s="2" t="s">
        <v>3910</v>
      </c>
      <c r="C1073" s="2" t="s">
        <v>3910</v>
      </c>
    </row>
    <row r="1074" spans="1:3" x14ac:dyDescent="0.3">
      <c r="A1074" t="s">
        <v>5640</v>
      </c>
      <c r="B1074" s="2" t="s">
        <v>3910</v>
      </c>
      <c r="C1074" s="2" t="s">
        <v>3910</v>
      </c>
    </row>
    <row r="1075" spans="1:3" x14ac:dyDescent="0.3">
      <c r="A1075" t="s">
        <v>5641</v>
      </c>
      <c r="B1075" s="2" t="s">
        <v>3910</v>
      </c>
      <c r="C1075" s="2" t="s">
        <v>3910</v>
      </c>
    </row>
    <row r="1076" spans="1:3" x14ac:dyDescent="0.3">
      <c r="A1076" t="s">
        <v>5642</v>
      </c>
      <c r="B1076" s="2" t="s">
        <v>3910</v>
      </c>
      <c r="C1076" s="2" t="s">
        <v>3910</v>
      </c>
    </row>
    <row r="1077" spans="1:3" x14ac:dyDescent="0.3">
      <c r="A1077" t="s">
        <v>5643</v>
      </c>
      <c r="B1077" s="2" t="s">
        <v>3910</v>
      </c>
      <c r="C1077" s="2" t="s">
        <v>3910</v>
      </c>
    </row>
    <row r="1078" spans="1:3" x14ac:dyDescent="0.3">
      <c r="A1078" t="s">
        <v>5644</v>
      </c>
      <c r="B1078" s="2" t="s">
        <v>3910</v>
      </c>
      <c r="C1078" s="2" t="s">
        <v>3910</v>
      </c>
    </row>
    <row r="1079" spans="1:3" x14ac:dyDescent="0.3">
      <c r="A1079" t="s">
        <v>5645</v>
      </c>
      <c r="B1079" s="2" t="s">
        <v>3910</v>
      </c>
      <c r="C1079" s="2" t="s">
        <v>3910</v>
      </c>
    </row>
    <row r="1080" spans="1:3" x14ac:dyDescent="0.3">
      <c r="A1080" t="s">
        <v>5646</v>
      </c>
      <c r="B1080" s="2" t="s">
        <v>3910</v>
      </c>
      <c r="C1080" s="2" t="s">
        <v>3910</v>
      </c>
    </row>
    <row r="1081" spans="1:3" x14ac:dyDescent="0.3">
      <c r="A1081" t="s">
        <v>5647</v>
      </c>
      <c r="B1081" s="2" t="s">
        <v>3910</v>
      </c>
      <c r="C1081" s="2" t="s">
        <v>3910</v>
      </c>
    </row>
    <row r="1082" spans="1:3" x14ac:dyDescent="0.3">
      <c r="A1082" t="s">
        <v>5648</v>
      </c>
      <c r="B1082" s="2" t="s">
        <v>3910</v>
      </c>
      <c r="C1082" s="2" t="s">
        <v>3910</v>
      </c>
    </row>
    <row r="1083" spans="1:3" x14ac:dyDescent="0.3">
      <c r="A1083" t="s">
        <v>5649</v>
      </c>
      <c r="B1083" s="2" t="s">
        <v>3910</v>
      </c>
      <c r="C1083" s="2" t="s">
        <v>3910</v>
      </c>
    </row>
    <row r="1084" spans="1:3" x14ac:dyDescent="0.3">
      <c r="A1084" t="s">
        <v>5650</v>
      </c>
      <c r="B1084" s="2" t="s">
        <v>3910</v>
      </c>
      <c r="C1084" s="2" t="s">
        <v>3910</v>
      </c>
    </row>
    <row r="1085" spans="1:3" x14ac:dyDescent="0.3">
      <c r="A1085" t="s">
        <v>5651</v>
      </c>
      <c r="B1085" s="2" t="s">
        <v>3910</v>
      </c>
      <c r="C1085" s="2" t="s">
        <v>3910</v>
      </c>
    </row>
    <row r="1086" spans="1:3" x14ac:dyDescent="0.3">
      <c r="A1086" t="s">
        <v>5652</v>
      </c>
      <c r="B1086" s="2" t="s">
        <v>3910</v>
      </c>
      <c r="C1086" s="2" t="s">
        <v>3910</v>
      </c>
    </row>
    <row r="1087" spans="1:3" x14ac:dyDescent="0.3">
      <c r="A1087" t="s">
        <v>5653</v>
      </c>
      <c r="B1087" s="2" t="s">
        <v>3910</v>
      </c>
      <c r="C1087" s="2" t="s">
        <v>3910</v>
      </c>
    </row>
    <row r="1088" spans="1:3" x14ac:dyDescent="0.3">
      <c r="A1088" t="s">
        <v>5654</v>
      </c>
      <c r="B1088" s="2" t="s">
        <v>3910</v>
      </c>
      <c r="C1088" s="2" t="s">
        <v>3910</v>
      </c>
    </row>
    <row r="1089" spans="1:3" x14ac:dyDescent="0.3">
      <c r="A1089" t="s">
        <v>5655</v>
      </c>
      <c r="B1089" s="2" t="s">
        <v>3910</v>
      </c>
      <c r="C1089" s="2" t="s">
        <v>3910</v>
      </c>
    </row>
    <row r="1090" spans="1:3" x14ac:dyDescent="0.3">
      <c r="A1090" t="s">
        <v>5656</v>
      </c>
      <c r="B1090" s="2" t="s">
        <v>3910</v>
      </c>
      <c r="C1090" s="2" t="s">
        <v>3910</v>
      </c>
    </row>
    <row r="1091" spans="1:3" x14ac:dyDescent="0.3">
      <c r="A1091" t="s">
        <v>5657</v>
      </c>
      <c r="B1091" s="2" t="s">
        <v>3910</v>
      </c>
      <c r="C1091" s="2" t="s">
        <v>3910</v>
      </c>
    </row>
    <row r="1092" spans="1:3" x14ac:dyDescent="0.3">
      <c r="A1092" t="s">
        <v>5658</v>
      </c>
      <c r="B1092" s="2" t="s">
        <v>3910</v>
      </c>
      <c r="C1092" s="2" t="s">
        <v>3910</v>
      </c>
    </row>
    <row r="1093" spans="1:3" x14ac:dyDescent="0.3">
      <c r="A1093" t="s">
        <v>5659</v>
      </c>
      <c r="B1093" s="2" t="s">
        <v>3910</v>
      </c>
      <c r="C1093" s="2" t="s">
        <v>3910</v>
      </c>
    </row>
    <row r="1094" spans="1:3" x14ac:dyDescent="0.3">
      <c r="A1094" t="s">
        <v>5660</v>
      </c>
      <c r="B1094" s="2" t="s">
        <v>3910</v>
      </c>
      <c r="C1094" s="2" t="s">
        <v>3910</v>
      </c>
    </row>
    <row r="1095" spans="1:3" x14ac:dyDescent="0.3">
      <c r="A1095" t="s">
        <v>5661</v>
      </c>
      <c r="B1095" s="2" t="s">
        <v>3910</v>
      </c>
      <c r="C1095" s="2" t="s">
        <v>3910</v>
      </c>
    </row>
    <row r="1096" spans="1:3" x14ac:dyDescent="0.3">
      <c r="A1096" t="s">
        <v>5662</v>
      </c>
      <c r="B1096" s="2" t="s">
        <v>3910</v>
      </c>
      <c r="C1096" s="2" t="s">
        <v>3910</v>
      </c>
    </row>
    <row r="1097" spans="1:3" x14ac:dyDescent="0.3">
      <c r="A1097" t="s">
        <v>5663</v>
      </c>
      <c r="B1097" s="2" t="s">
        <v>3910</v>
      </c>
      <c r="C1097" s="2" t="s">
        <v>3910</v>
      </c>
    </row>
    <row r="1098" spans="1:3" x14ac:dyDescent="0.3">
      <c r="A1098" t="s">
        <v>5664</v>
      </c>
      <c r="B1098" s="2" t="s">
        <v>3910</v>
      </c>
      <c r="C1098" s="2" t="s">
        <v>3910</v>
      </c>
    </row>
    <row r="1099" spans="1:3" x14ac:dyDescent="0.3">
      <c r="A1099" t="s">
        <v>5665</v>
      </c>
      <c r="B1099" s="2" t="s">
        <v>3910</v>
      </c>
      <c r="C1099" s="2" t="s">
        <v>3910</v>
      </c>
    </row>
    <row r="1100" spans="1:3" x14ac:dyDescent="0.3">
      <c r="A1100" t="s">
        <v>5666</v>
      </c>
      <c r="B1100" s="2" t="s">
        <v>3910</v>
      </c>
      <c r="C1100" s="2" t="s">
        <v>3910</v>
      </c>
    </row>
    <row r="1101" spans="1:3" x14ac:dyDescent="0.3">
      <c r="A1101" t="s">
        <v>5667</v>
      </c>
      <c r="B1101" s="2" t="s">
        <v>3910</v>
      </c>
      <c r="C1101" s="2" t="s">
        <v>3910</v>
      </c>
    </row>
    <row r="1102" spans="1:3" x14ac:dyDescent="0.3">
      <c r="A1102" t="s">
        <v>5668</v>
      </c>
      <c r="B1102" s="2" t="s">
        <v>3910</v>
      </c>
      <c r="C1102" s="2" t="s">
        <v>3910</v>
      </c>
    </row>
    <row r="1103" spans="1:3" x14ac:dyDescent="0.3">
      <c r="A1103" t="s">
        <v>5669</v>
      </c>
      <c r="B1103" s="2" t="s">
        <v>3910</v>
      </c>
      <c r="C1103" s="2" t="s">
        <v>3910</v>
      </c>
    </row>
    <row r="1104" spans="1:3" x14ac:dyDescent="0.3">
      <c r="A1104" t="s">
        <v>5670</v>
      </c>
      <c r="B1104" s="2" t="s">
        <v>5446</v>
      </c>
      <c r="C1104" s="2" t="s">
        <v>5446</v>
      </c>
    </row>
    <row r="1105" spans="1:3" x14ac:dyDescent="0.3">
      <c r="A1105" t="s">
        <v>5671</v>
      </c>
      <c r="B1105" s="2" t="s">
        <v>5446</v>
      </c>
      <c r="C1105" s="2" t="s">
        <v>5446</v>
      </c>
    </row>
    <row r="1106" spans="1:3" x14ac:dyDescent="0.3">
      <c r="A1106" t="s">
        <v>5672</v>
      </c>
      <c r="B1106" s="2" t="s">
        <v>5446</v>
      </c>
      <c r="C1106" s="2" t="s">
        <v>5446</v>
      </c>
    </row>
    <row r="1107" spans="1:3" x14ac:dyDescent="0.3">
      <c r="A1107" t="s">
        <v>5673</v>
      </c>
      <c r="B1107" s="2" t="s">
        <v>5446</v>
      </c>
      <c r="C1107" s="2" t="s">
        <v>5446</v>
      </c>
    </row>
    <row r="1108" spans="1:3" x14ac:dyDescent="0.3">
      <c r="A1108" t="s">
        <v>5674</v>
      </c>
      <c r="B1108" s="2" t="s">
        <v>5446</v>
      </c>
      <c r="C1108" s="2" t="s">
        <v>5446</v>
      </c>
    </row>
    <row r="1109" spans="1:3" x14ac:dyDescent="0.3">
      <c r="A1109" t="s">
        <v>5675</v>
      </c>
      <c r="B1109" s="2" t="s">
        <v>5446</v>
      </c>
      <c r="C1109" s="2" t="s">
        <v>5446</v>
      </c>
    </row>
    <row r="1110" spans="1:3" x14ac:dyDescent="0.3">
      <c r="A1110" t="s">
        <v>5676</v>
      </c>
      <c r="B1110" s="2" t="s">
        <v>5446</v>
      </c>
      <c r="C1110" s="2" t="s">
        <v>5446</v>
      </c>
    </row>
    <row r="1111" spans="1:3" x14ac:dyDescent="0.3">
      <c r="A1111" t="s">
        <v>5677</v>
      </c>
      <c r="B1111" s="2" t="s">
        <v>5446</v>
      </c>
      <c r="C1111" s="2" t="s">
        <v>5446</v>
      </c>
    </row>
    <row r="1112" spans="1:3" x14ac:dyDescent="0.3">
      <c r="A1112" t="s">
        <v>5678</v>
      </c>
      <c r="B1112" s="2" t="s">
        <v>5446</v>
      </c>
      <c r="C1112" s="2" t="s">
        <v>5446</v>
      </c>
    </row>
    <row r="1113" spans="1:3" x14ac:dyDescent="0.3">
      <c r="A1113" t="s">
        <v>5679</v>
      </c>
      <c r="B1113" s="2" t="s">
        <v>5446</v>
      </c>
      <c r="C1113" s="2" t="s">
        <v>5446</v>
      </c>
    </row>
    <row r="1114" spans="1:3" x14ac:dyDescent="0.3">
      <c r="A1114" t="s">
        <v>5680</v>
      </c>
      <c r="B1114" s="2" t="s">
        <v>5446</v>
      </c>
      <c r="C1114" s="2" t="s">
        <v>5446</v>
      </c>
    </row>
    <row r="1115" spans="1:3" x14ac:dyDescent="0.3">
      <c r="A1115" t="s">
        <v>5681</v>
      </c>
      <c r="B1115" s="2" t="s">
        <v>5446</v>
      </c>
      <c r="C1115" s="2" t="s">
        <v>5446</v>
      </c>
    </row>
    <row r="1116" spans="1:3" x14ac:dyDescent="0.3">
      <c r="A1116" t="s">
        <v>5682</v>
      </c>
      <c r="B1116" s="2" t="s">
        <v>5446</v>
      </c>
      <c r="C1116" s="2" t="s">
        <v>5446</v>
      </c>
    </row>
    <row r="1117" spans="1:3" x14ac:dyDescent="0.3">
      <c r="A1117" t="s">
        <v>5683</v>
      </c>
      <c r="B1117" s="2" t="s">
        <v>5446</v>
      </c>
      <c r="C1117" s="2" t="s">
        <v>5446</v>
      </c>
    </row>
    <row r="1118" spans="1:3" x14ac:dyDescent="0.3">
      <c r="A1118" t="s">
        <v>5684</v>
      </c>
      <c r="B1118" s="2" t="s">
        <v>5446</v>
      </c>
      <c r="C1118" s="2" t="s">
        <v>5446</v>
      </c>
    </row>
    <row r="1119" spans="1:3" x14ac:dyDescent="0.3">
      <c r="A1119" t="s">
        <v>5685</v>
      </c>
      <c r="B1119" s="2" t="s">
        <v>5446</v>
      </c>
      <c r="C1119" s="2" t="s">
        <v>5446</v>
      </c>
    </row>
    <row r="1120" spans="1:3" x14ac:dyDescent="0.3">
      <c r="A1120" t="s">
        <v>5686</v>
      </c>
      <c r="B1120" s="2" t="s">
        <v>5446</v>
      </c>
      <c r="C1120" s="2" t="s">
        <v>5446</v>
      </c>
    </row>
    <row r="1121" spans="1:3" x14ac:dyDescent="0.3">
      <c r="A1121" t="s">
        <v>5687</v>
      </c>
      <c r="B1121" s="2" t="s">
        <v>5446</v>
      </c>
      <c r="C1121" s="2" t="s">
        <v>5446</v>
      </c>
    </row>
    <row r="1122" spans="1:3" x14ac:dyDescent="0.3">
      <c r="A1122" t="s">
        <v>5688</v>
      </c>
      <c r="B1122" s="2" t="s">
        <v>5446</v>
      </c>
      <c r="C1122" s="2" t="s">
        <v>5446</v>
      </c>
    </row>
    <row r="1123" spans="1:3" x14ac:dyDescent="0.3">
      <c r="A1123" t="s">
        <v>5689</v>
      </c>
      <c r="B1123" s="2" t="s">
        <v>5446</v>
      </c>
      <c r="C1123" s="2" t="s">
        <v>5446</v>
      </c>
    </row>
    <row r="1124" spans="1:3" x14ac:dyDescent="0.3">
      <c r="A1124" t="s">
        <v>5690</v>
      </c>
      <c r="B1124" s="2" t="s">
        <v>5446</v>
      </c>
      <c r="C1124" s="2" t="s">
        <v>5446</v>
      </c>
    </row>
    <row r="1125" spans="1:3" x14ac:dyDescent="0.3">
      <c r="A1125" t="s">
        <v>5691</v>
      </c>
      <c r="B1125" s="2" t="s">
        <v>5446</v>
      </c>
      <c r="C1125" s="2" t="s">
        <v>5446</v>
      </c>
    </row>
    <row r="1126" spans="1:3" x14ac:dyDescent="0.3">
      <c r="A1126" t="s">
        <v>5692</v>
      </c>
      <c r="B1126" s="2" t="s">
        <v>5446</v>
      </c>
      <c r="C1126" s="2" t="s">
        <v>5446</v>
      </c>
    </row>
    <row r="1127" spans="1:3" x14ac:dyDescent="0.3">
      <c r="A1127" t="s">
        <v>5693</v>
      </c>
      <c r="B1127" s="2" t="s">
        <v>5446</v>
      </c>
      <c r="C1127" s="2" t="s">
        <v>5446</v>
      </c>
    </row>
    <row r="1128" spans="1:3" x14ac:dyDescent="0.3">
      <c r="A1128" t="s">
        <v>5694</v>
      </c>
      <c r="B1128" s="2" t="s">
        <v>5446</v>
      </c>
      <c r="C1128" s="2" t="s">
        <v>5446</v>
      </c>
    </row>
    <row r="1129" spans="1:3" x14ac:dyDescent="0.3">
      <c r="A1129" t="s">
        <v>5695</v>
      </c>
      <c r="B1129" s="2" t="s">
        <v>5446</v>
      </c>
      <c r="C1129" s="2" t="s">
        <v>5446</v>
      </c>
    </row>
    <row r="1130" spans="1:3" x14ac:dyDescent="0.3">
      <c r="A1130" t="s">
        <v>5696</v>
      </c>
      <c r="B1130" s="2" t="s">
        <v>5446</v>
      </c>
      <c r="C1130" s="2" t="s">
        <v>5446</v>
      </c>
    </row>
    <row r="1131" spans="1:3" x14ac:dyDescent="0.3">
      <c r="A1131" t="s">
        <v>5697</v>
      </c>
      <c r="B1131" s="2" t="s">
        <v>5446</v>
      </c>
      <c r="C1131" s="2" t="s">
        <v>5446</v>
      </c>
    </row>
    <row r="1132" spans="1:3" x14ac:dyDescent="0.3">
      <c r="A1132" t="s">
        <v>5698</v>
      </c>
      <c r="B1132" s="2" t="s">
        <v>5446</v>
      </c>
      <c r="C1132" s="2" t="s">
        <v>5446</v>
      </c>
    </row>
    <row r="1133" spans="1:3" x14ac:dyDescent="0.3">
      <c r="A1133" t="s">
        <v>5699</v>
      </c>
      <c r="B1133" s="2" t="s">
        <v>5446</v>
      </c>
      <c r="C1133" s="2" t="s">
        <v>5446</v>
      </c>
    </row>
    <row r="1134" spans="1:3" x14ac:dyDescent="0.3">
      <c r="A1134" t="s">
        <v>5700</v>
      </c>
      <c r="B1134" s="2" t="s">
        <v>5446</v>
      </c>
      <c r="C1134" s="2" t="s">
        <v>5446</v>
      </c>
    </row>
    <row r="1135" spans="1:3" x14ac:dyDescent="0.3">
      <c r="A1135" t="s">
        <v>5701</v>
      </c>
      <c r="B1135" s="2" t="s">
        <v>5446</v>
      </c>
      <c r="C1135" s="2" t="s">
        <v>5446</v>
      </c>
    </row>
    <row r="1136" spans="1:3" x14ac:dyDescent="0.3">
      <c r="A1136" t="s">
        <v>5702</v>
      </c>
      <c r="B1136" s="2" t="s">
        <v>5446</v>
      </c>
      <c r="C1136" s="2" t="s">
        <v>5446</v>
      </c>
    </row>
    <row r="1137" spans="1:3" x14ac:dyDescent="0.3">
      <c r="A1137" t="s">
        <v>5703</v>
      </c>
      <c r="B1137" s="2" t="s">
        <v>5446</v>
      </c>
      <c r="C1137" s="2" t="s">
        <v>5446</v>
      </c>
    </row>
    <row r="1138" spans="1:3" x14ac:dyDescent="0.3">
      <c r="A1138" t="s">
        <v>5704</v>
      </c>
      <c r="B1138" s="2" t="s">
        <v>5446</v>
      </c>
      <c r="C1138" s="2" t="s">
        <v>5446</v>
      </c>
    </row>
    <row r="1139" spans="1:3" x14ac:dyDescent="0.3">
      <c r="A1139" t="s">
        <v>5705</v>
      </c>
      <c r="B1139" s="2" t="s">
        <v>5446</v>
      </c>
      <c r="C1139" s="2" t="s">
        <v>5446</v>
      </c>
    </row>
    <row r="1140" spans="1:3" x14ac:dyDescent="0.3">
      <c r="A1140" t="s">
        <v>5706</v>
      </c>
      <c r="B1140" s="2" t="s">
        <v>5446</v>
      </c>
      <c r="C1140" s="2" t="s">
        <v>5446</v>
      </c>
    </row>
    <row r="1141" spans="1:3" x14ac:dyDescent="0.3">
      <c r="A1141" t="s">
        <v>5707</v>
      </c>
      <c r="B1141" s="2" t="s">
        <v>5446</v>
      </c>
      <c r="C1141" s="2" t="s">
        <v>5446</v>
      </c>
    </row>
    <row r="1142" spans="1:3" x14ac:dyDescent="0.3">
      <c r="A1142" t="s">
        <v>5708</v>
      </c>
      <c r="B1142" s="2" t="s">
        <v>5446</v>
      </c>
      <c r="C1142" s="2" t="s">
        <v>5446</v>
      </c>
    </row>
    <row r="1143" spans="1:3" x14ac:dyDescent="0.3">
      <c r="A1143" t="s">
        <v>5709</v>
      </c>
      <c r="B1143" s="2" t="s">
        <v>5446</v>
      </c>
      <c r="C1143" s="2" t="s">
        <v>5446</v>
      </c>
    </row>
    <row r="1144" spans="1:3" x14ac:dyDescent="0.3">
      <c r="A1144" t="s">
        <v>5710</v>
      </c>
      <c r="B1144" s="2" t="s">
        <v>5446</v>
      </c>
      <c r="C1144" s="2" t="s">
        <v>5446</v>
      </c>
    </row>
    <row r="1145" spans="1:3" x14ac:dyDescent="0.3">
      <c r="A1145" t="s">
        <v>5711</v>
      </c>
      <c r="B1145" s="2" t="s">
        <v>5446</v>
      </c>
      <c r="C1145" s="2" t="s">
        <v>5446</v>
      </c>
    </row>
    <row r="1146" spans="1:3" x14ac:dyDescent="0.3">
      <c r="A1146" t="s">
        <v>5712</v>
      </c>
      <c r="B1146" s="2" t="s">
        <v>5446</v>
      </c>
      <c r="C1146" s="2" t="s">
        <v>5446</v>
      </c>
    </row>
    <row r="1147" spans="1:3" x14ac:dyDescent="0.3">
      <c r="A1147" t="s">
        <v>5713</v>
      </c>
      <c r="B1147" s="2" t="s">
        <v>5446</v>
      </c>
      <c r="C1147" s="2" t="s">
        <v>5446</v>
      </c>
    </row>
    <row r="1148" spans="1:3" x14ac:dyDescent="0.3">
      <c r="A1148" t="s">
        <v>5714</v>
      </c>
      <c r="B1148" s="2" t="s">
        <v>5446</v>
      </c>
      <c r="C1148" s="2" t="s">
        <v>5446</v>
      </c>
    </row>
    <row r="1149" spans="1:3" x14ac:dyDescent="0.3">
      <c r="A1149" t="s">
        <v>5715</v>
      </c>
      <c r="B1149" s="2" t="s">
        <v>5446</v>
      </c>
      <c r="C1149" s="2" t="s">
        <v>5446</v>
      </c>
    </row>
    <row r="1150" spans="1:3" x14ac:dyDescent="0.3">
      <c r="A1150" t="s">
        <v>5716</v>
      </c>
      <c r="B1150" s="2" t="s">
        <v>5446</v>
      </c>
      <c r="C1150" s="2" t="s">
        <v>5446</v>
      </c>
    </row>
    <row r="1151" spans="1:3" x14ac:dyDescent="0.3">
      <c r="A1151" t="s">
        <v>5717</v>
      </c>
      <c r="B1151" s="2" t="s">
        <v>5446</v>
      </c>
      <c r="C1151" s="2" t="s">
        <v>5446</v>
      </c>
    </row>
    <row r="1152" spans="1:3" x14ac:dyDescent="0.3">
      <c r="A1152" t="s">
        <v>5718</v>
      </c>
      <c r="B1152" s="2" t="s">
        <v>5446</v>
      </c>
      <c r="C1152" s="2" t="s">
        <v>5446</v>
      </c>
    </row>
    <row r="1153" spans="1:3" x14ac:dyDescent="0.3">
      <c r="A1153" t="s">
        <v>5719</v>
      </c>
      <c r="B1153" s="2" t="s">
        <v>5446</v>
      </c>
      <c r="C1153" s="2" t="s">
        <v>5446</v>
      </c>
    </row>
    <row r="1154" spans="1:3" x14ac:dyDescent="0.3">
      <c r="A1154" t="s">
        <v>5720</v>
      </c>
      <c r="B1154" s="2" t="s">
        <v>5446</v>
      </c>
      <c r="C1154" s="2" t="s">
        <v>5446</v>
      </c>
    </row>
    <row r="1155" spans="1:3" x14ac:dyDescent="0.3">
      <c r="A1155" t="s">
        <v>5721</v>
      </c>
      <c r="B1155" s="2" t="s">
        <v>3912</v>
      </c>
      <c r="C1155" s="2" t="s">
        <v>3912</v>
      </c>
    </row>
    <row r="1156" spans="1:3" x14ac:dyDescent="0.3">
      <c r="A1156" t="s">
        <v>5722</v>
      </c>
      <c r="B1156" s="2" t="s">
        <v>3912</v>
      </c>
      <c r="C1156" s="2" t="s">
        <v>3912</v>
      </c>
    </row>
    <row r="1157" spans="1:3" x14ac:dyDescent="0.3">
      <c r="A1157" t="s">
        <v>5723</v>
      </c>
      <c r="B1157" s="2" t="s">
        <v>3912</v>
      </c>
      <c r="C1157" s="2" t="s">
        <v>3912</v>
      </c>
    </row>
    <row r="1158" spans="1:3" x14ac:dyDescent="0.3">
      <c r="A1158" t="s">
        <v>5724</v>
      </c>
      <c r="B1158" s="2" t="s">
        <v>3912</v>
      </c>
      <c r="C1158" s="2" t="s">
        <v>3912</v>
      </c>
    </row>
    <row r="1159" spans="1:3" x14ac:dyDescent="0.3">
      <c r="A1159" t="s">
        <v>5725</v>
      </c>
      <c r="B1159" s="2" t="s">
        <v>3912</v>
      </c>
      <c r="C1159" s="2" t="s">
        <v>3912</v>
      </c>
    </row>
    <row r="1160" spans="1:3" x14ac:dyDescent="0.3">
      <c r="A1160" t="s">
        <v>5726</v>
      </c>
      <c r="B1160" s="2" t="s">
        <v>3912</v>
      </c>
      <c r="C1160" s="2" t="s">
        <v>3912</v>
      </c>
    </row>
    <row r="1161" spans="1:3" x14ac:dyDescent="0.3">
      <c r="A1161" t="s">
        <v>5727</v>
      </c>
      <c r="B1161" s="2" t="s">
        <v>3912</v>
      </c>
      <c r="C1161" s="2" t="s">
        <v>3912</v>
      </c>
    </row>
    <row r="1162" spans="1:3" x14ac:dyDescent="0.3">
      <c r="A1162" t="s">
        <v>5728</v>
      </c>
      <c r="B1162" s="2" t="s">
        <v>3912</v>
      </c>
      <c r="C1162" s="2" t="s">
        <v>3912</v>
      </c>
    </row>
    <row r="1163" spans="1:3" x14ac:dyDescent="0.3">
      <c r="A1163" t="s">
        <v>5729</v>
      </c>
      <c r="B1163" s="2" t="s">
        <v>3912</v>
      </c>
      <c r="C1163" s="2" t="s">
        <v>3912</v>
      </c>
    </row>
    <row r="1164" spans="1:3" x14ac:dyDescent="0.3">
      <c r="A1164" t="s">
        <v>5730</v>
      </c>
      <c r="B1164" s="2" t="s">
        <v>3912</v>
      </c>
      <c r="C1164" s="2" t="s">
        <v>3912</v>
      </c>
    </row>
    <row r="1165" spans="1:3" x14ac:dyDescent="0.3">
      <c r="A1165" t="s">
        <v>5731</v>
      </c>
      <c r="B1165" s="2" t="s">
        <v>3912</v>
      </c>
      <c r="C1165" s="2" t="s">
        <v>3912</v>
      </c>
    </row>
    <row r="1166" spans="1:3" x14ac:dyDescent="0.3">
      <c r="A1166" t="s">
        <v>5732</v>
      </c>
      <c r="B1166" s="2" t="s">
        <v>3912</v>
      </c>
      <c r="C1166" s="2" t="s">
        <v>3912</v>
      </c>
    </row>
    <row r="1167" spans="1:3" x14ac:dyDescent="0.3">
      <c r="A1167" t="s">
        <v>5733</v>
      </c>
      <c r="B1167" s="2" t="s">
        <v>3912</v>
      </c>
      <c r="C1167" s="2" t="s">
        <v>3912</v>
      </c>
    </row>
    <row r="1168" spans="1:3" x14ac:dyDescent="0.3">
      <c r="A1168" t="s">
        <v>5734</v>
      </c>
      <c r="B1168" s="2" t="s">
        <v>3912</v>
      </c>
      <c r="C1168" s="2" t="s">
        <v>3912</v>
      </c>
    </row>
    <row r="1169" spans="1:3" x14ac:dyDescent="0.3">
      <c r="A1169" t="s">
        <v>5735</v>
      </c>
      <c r="B1169" s="2" t="s">
        <v>3912</v>
      </c>
      <c r="C1169" s="2" t="s">
        <v>3912</v>
      </c>
    </row>
    <row r="1170" spans="1:3" x14ac:dyDescent="0.3">
      <c r="A1170" t="s">
        <v>5736</v>
      </c>
      <c r="B1170" s="2" t="s">
        <v>3912</v>
      </c>
      <c r="C1170" s="2" t="s">
        <v>3912</v>
      </c>
    </row>
    <row r="1171" spans="1:3" x14ac:dyDescent="0.3">
      <c r="A1171" t="s">
        <v>5737</v>
      </c>
      <c r="B1171" s="2" t="s">
        <v>3912</v>
      </c>
      <c r="C1171" s="2" t="s">
        <v>3912</v>
      </c>
    </row>
    <row r="1172" spans="1:3" x14ac:dyDescent="0.3">
      <c r="A1172" t="s">
        <v>5738</v>
      </c>
      <c r="B1172" s="2" t="s">
        <v>3912</v>
      </c>
      <c r="C1172" s="2" t="s">
        <v>3912</v>
      </c>
    </row>
    <row r="1173" spans="1:3" x14ac:dyDescent="0.3">
      <c r="A1173" t="s">
        <v>5739</v>
      </c>
      <c r="B1173" s="2" t="s">
        <v>3912</v>
      </c>
      <c r="C1173" s="2" t="s">
        <v>3912</v>
      </c>
    </row>
    <row r="1174" spans="1:3" x14ac:dyDescent="0.3">
      <c r="A1174" t="s">
        <v>5740</v>
      </c>
      <c r="B1174" s="2" t="s">
        <v>3912</v>
      </c>
      <c r="C1174" s="2" t="s">
        <v>3912</v>
      </c>
    </row>
    <row r="1175" spans="1:3" x14ac:dyDescent="0.3">
      <c r="A1175" t="s">
        <v>5741</v>
      </c>
      <c r="B1175" s="2" t="s">
        <v>3912</v>
      </c>
      <c r="C1175" s="2" t="s">
        <v>3912</v>
      </c>
    </row>
    <row r="1176" spans="1:3" x14ac:dyDescent="0.3">
      <c r="A1176" t="s">
        <v>5742</v>
      </c>
      <c r="B1176" s="2" t="s">
        <v>3912</v>
      </c>
      <c r="C1176" s="2" t="s">
        <v>3912</v>
      </c>
    </row>
    <row r="1177" spans="1:3" x14ac:dyDescent="0.3">
      <c r="A1177" t="s">
        <v>5743</v>
      </c>
      <c r="B1177" s="2" t="s">
        <v>3912</v>
      </c>
      <c r="C1177" s="2" t="s">
        <v>3912</v>
      </c>
    </row>
    <row r="1178" spans="1:3" x14ac:dyDescent="0.3">
      <c r="A1178" t="s">
        <v>5744</v>
      </c>
      <c r="B1178" s="2" t="s">
        <v>3912</v>
      </c>
      <c r="C1178" s="2" t="s">
        <v>3912</v>
      </c>
    </row>
    <row r="1179" spans="1:3" x14ac:dyDescent="0.3">
      <c r="A1179" t="s">
        <v>5745</v>
      </c>
      <c r="B1179" s="2" t="s">
        <v>3912</v>
      </c>
      <c r="C1179" s="2" t="s">
        <v>3912</v>
      </c>
    </row>
    <row r="1180" spans="1:3" x14ac:dyDescent="0.3">
      <c r="A1180" t="s">
        <v>5746</v>
      </c>
      <c r="B1180" s="2" t="s">
        <v>3912</v>
      </c>
      <c r="C1180" s="2" t="s">
        <v>3912</v>
      </c>
    </row>
    <row r="1181" spans="1:3" x14ac:dyDescent="0.3">
      <c r="A1181" t="s">
        <v>5747</v>
      </c>
      <c r="B1181" s="2" t="s">
        <v>3912</v>
      </c>
      <c r="C1181" s="2" t="s">
        <v>3912</v>
      </c>
    </row>
    <row r="1182" spans="1:3" x14ac:dyDescent="0.3">
      <c r="A1182" t="s">
        <v>5748</v>
      </c>
      <c r="B1182" s="2" t="s">
        <v>3912</v>
      </c>
      <c r="C1182" s="2" t="s">
        <v>3912</v>
      </c>
    </row>
    <row r="1183" spans="1:3" x14ac:dyDescent="0.3">
      <c r="A1183" t="s">
        <v>5749</v>
      </c>
      <c r="B1183" s="2" t="s">
        <v>3912</v>
      </c>
      <c r="C1183" s="2" t="s">
        <v>3912</v>
      </c>
    </row>
    <row r="1184" spans="1:3" x14ac:dyDescent="0.3">
      <c r="A1184" t="s">
        <v>5750</v>
      </c>
      <c r="B1184" s="2" t="s">
        <v>3912</v>
      </c>
      <c r="C1184" s="2" t="s">
        <v>3912</v>
      </c>
    </row>
    <row r="1185" spans="1:3" x14ac:dyDescent="0.3">
      <c r="A1185" t="s">
        <v>5751</v>
      </c>
      <c r="B1185" s="2" t="s">
        <v>3912</v>
      </c>
      <c r="C1185" s="2" t="s">
        <v>3912</v>
      </c>
    </row>
    <row r="1186" spans="1:3" x14ac:dyDescent="0.3">
      <c r="A1186" t="s">
        <v>5752</v>
      </c>
      <c r="B1186" s="2" t="s">
        <v>3912</v>
      </c>
      <c r="C1186" s="2" t="s">
        <v>3912</v>
      </c>
    </row>
    <row r="1187" spans="1:3" x14ac:dyDescent="0.3">
      <c r="A1187" t="s">
        <v>5753</v>
      </c>
      <c r="B1187" s="2" t="s">
        <v>3912</v>
      </c>
      <c r="C1187" s="2" t="s">
        <v>3912</v>
      </c>
    </row>
    <row r="1188" spans="1:3" x14ac:dyDescent="0.3">
      <c r="A1188" t="s">
        <v>5754</v>
      </c>
      <c r="B1188" s="2" t="s">
        <v>3912</v>
      </c>
      <c r="C1188" s="2" t="s">
        <v>3912</v>
      </c>
    </row>
    <row r="1189" spans="1:3" x14ac:dyDescent="0.3">
      <c r="A1189" t="s">
        <v>5755</v>
      </c>
      <c r="B1189" s="2" t="s">
        <v>3912</v>
      </c>
      <c r="C1189" s="2" t="s">
        <v>3912</v>
      </c>
    </row>
    <row r="1190" spans="1:3" x14ac:dyDescent="0.3">
      <c r="A1190" t="s">
        <v>5756</v>
      </c>
      <c r="B1190" s="2" t="s">
        <v>3912</v>
      </c>
      <c r="C1190" s="2" t="s">
        <v>3912</v>
      </c>
    </row>
    <row r="1191" spans="1:3" x14ac:dyDescent="0.3">
      <c r="A1191" t="s">
        <v>5757</v>
      </c>
      <c r="B1191" s="2" t="s">
        <v>3912</v>
      </c>
      <c r="C1191" s="2" t="s">
        <v>3912</v>
      </c>
    </row>
    <row r="1192" spans="1:3" x14ac:dyDescent="0.3">
      <c r="A1192" t="s">
        <v>5758</v>
      </c>
      <c r="B1192" s="2" t="s">
        <v>3912</v>
      </c>
      <c r="C1192" s="2" t="s">
        <v>3912</v>
      </c>
    </row>
    <row r="1193" spans="1:3" x14ac:dyDescent="0.3">
      <c r="A1193" t="s">
        <v>5759</v>
      </c>
      <c r="B1193" s="2" t="s">
        <v>3912</v>
      </c>
      <c r="C1193" s="2" t="s">
        <v>3912</v>
      </c>
    </row>
    <row r="1194" spans="1:3" x14ac:dyDescent="0.3">
      <c r="A1194" t="s">
        <v>5760</v>
      </c>
      <c r="B1194" s="2" t="s">
        <v>3912</v>
      </c>
      <c r="C1194" s="2" t="s">
        <v>3912</v>
      </c>
    </row>
    <row r="1195" spans="1:3" x14ac:dyDescent="0.3">
      <c r="A1195" t="s">
        <v>5761</v>
      </c>
      <c r="B1195" s="2" t="s">
        <v>3912</v>
      </c>
      <c r="C1195" s="2" t="s">
        <v>3912</v>
      </c>
    </row>
    <row r="1196" spans="1:3" x14ac:dyDescent="0.3">
      <c r="A1196" t="s">
        <v>5762</v>
      </c>
      <c r="B1196" s="2" t="s">
        <v>3912</v>
      </c>
      <c r="C1196" s="2" t="s">
        <v>3912</v>
      </c>
    </row>
    <row r="1197" spans="1:3" x14ac:dyDescent="0.3">
      <c r="A1197" t="s">
        <v>5763</v>
      </c>
      <c r="B1197" s="2" t="s">
        <v>3912</v>
      </c>
      <c r="C1197" s="2" t="s">
        <v>3912</v>
      </c>
    </row>
    <row r="1198" spans="1:3" x14ac:dyDescent="0.3">
      <c r="A1198" t="s">
        <v>5764</v>
      </c>
      <c r="B1198" s="2" t="s">
        <v>3912</v>
      </c>
      <c r="C1198" s="2" t="s">
        <v>3912</v>
      </c>
    </row>
    <row r="1199" spans="1:3" x14ac:dyDescent="0.3">
      <c r="A1199" t="s">
        <v>5765</v>
      </c>
      <c r="B1199" s="2" t="s">
        <v>3912</v>
      </c>
      <c r="C1199" s="2" t="s">
        <v>3912</v>
      </c>
    </row>
    <row r="1200" spans="1:3" x14ac:dyDescent="0.3">
      <c r="A1200" t="s">
        <v>5766</v>
      </c>
      <c r="B1200" s="2" t="s">
        <v>3912</v>
      </c>
      <c r="C1200" s="2" t="s">
        <v>3912</v>
      </c>
    </row>
    <row r="1201" spans="1:3" x14ac:dyDescent="0.3">
      <c r="A1201" t="s">
        <v>5767</v>
      </c>
      <c r="B1201" s="2" t="s">
        <v>3912</v>
      </c>
      <c r="C1201" s="2" t="s">
        <v>3912</v>
      </c>
    </row>
    <row r="1202" spans="1:3" x14ac:dyDescent="0.3">
      <c r="A1202" t="s">
        <v>5768</v>
      </c>
      <c r="B1202" s="2" t="s">
        <v>3912</v>
      </c>
      <c r="C1202" s="2" t="s">
        <v>3912</v>
      </c>
    </row>
    <row r="1203" spans="1:3" x14ac:dyDescent="0.3">
      <c r="A1203" t="s">
        <v>5769</v>
      </c>
      <c r="B1203" s="2" t="s">
        <v>3912</v>
      </c>
      <c r="C1203" s="2" t="s">
        <v>3912</v>
      </c>
    </row>
    <row r="1204" spans="1:3" x14ac:dyDescent="0.3">
      <c r="A1204" t="s">
        <v>5770</v>
      </c>
      <c r="B1204" s="2" t="s">
        <v>3912</v>
      </c>
      <c r="C1204" s="2" t="s">
        <v>3912</v>
      </c>
    </row>
    <row r="1205" spans="1:3" x14ac:dyDescent="0.3">
      <c r="A1205" t="s">
        <v>5771</v>
      </c>
      <c r="B1205" s="2" t="s">
        <v>3912</v>
      </c>
      <c r="C1205" s="2" t="s">
        <v>3912</v>
      </c>
    </row>
    <row r="1206" spans="1:3" x14ac:dyDescent="0.3">
      <c r="A1206" t="s">
        <v>5772</v>
      </c>
      <c r="B1206" s="2" t="s">
        <v>3912</v>
      </c>
      <c r="C1206" s="2" t="s">
        <v>3912</v>
      </c>
    </row>
    <row r="1207" spans="1:3" x14ac:dyDescent="0.3">
      <c r="A1207" t="s">
        <v>5773</v>
      </c>
      <c r="B1207" s="2" t="s">
        <v>3912</v>
      </c>
      <c r="C1207" s="2" t="s">
        <v>3912</v>
      </c>
    </row>
    <row r="1208" spans="1:3" x14ac:dyDescent="0.3">
      <c r="A1208" t="s">
        <v>5774</v>
      </c>
      <c r="B1208" s="2" t="s">
        <v>3912</v>
      </c>
      <c r="C1208" s="2" t="s">
        <v>3912</v>
      </c>
    </row>
    <row r="1209" spans="1:3" x14ac:dyDescent="0.3">
      <c r="A1209" t="s">
        <v>5775</v>
      </c>
      <c r="B1209" s="2" t="s">
        <v>3912</v>
      </c>
      <c r="C1209" s="2" t="s">
        <v>3912</v>
      </c>
    </row>
    <row r="1210" spans="1:3" x14ac:dyDescent="0.3">
      <c r="A1210" t="s">
        <v>5776</v>
      </c>
      <c r="B1210" s="2" t="s">
        <v>3912</v>
      </c>
      <c r="C1210" s="2" t="s">
        <v>3912</v>
      </c>
    </row>
    <row r="1211" spans="1:3" x14ac:dyDescent="0.3">
      <c r="A1211" t="s">
        <v>5777</v>
      </c>
      <c r="B1211" s="2" t="s">
        <v>3912</v>
      </c>
      <c r="C1211" s="2" t="s">
        <v>3912</v>
      </c>
    </row>
    <row r="1212" spans="1:3" x14ac:dyDescent="0.3">
      <c r="A1212" t="s">
        <v>5778</v>
      </c>
      <c r="B1212" s="2" t="s">
        <v>3912</v>
      </c>
      <c r="C1212" s="2" t="s">
        <v>3912</v>
      </c>
    </row>
    <row r="1213" spans="1:3" x14ac:dyDescent="0.3">
      <c r="A1213" t="s">
        <v>5779</v>
      </c>
      <c r="B1213" s="2" t="s">
        <v>3912</v>
      </c>
      <c r="C1213" s="2" t="s">
        <v>3912</v>
      </c>
    </row>
    <row r="1214" spans="1:3" x14ac:dyDescent="0.3">
      <c r="A1214" t="s">
        <v>5780</v>
      </c>
      <c r="B1214" s="2" t="s">
        <v>3912</v>
      </c>
      <c r="C1214" s="2" t="s">
        <v>3912</v>
      </c>
    </row>
    <row r="1215" spans="1:3" x14ac:dyDescent="0.3">
      <c r="A1215" t="s">
        <v>5781</v>
      </c>
      <c r="B1215" s="2" t="s">
        <v>3912</v>
      </c>
      <c r="C1215" s="2" t="s">
        <v>3912</v>
      </c>
    </row>
    <row r="1216" spans="1:3" x14ac:dyDescent="0.3">
      <c r="A1216" t="s">
        <v>5782</v>
      </c>
      <c r="B1216" s="2" t="s">
        <v>3912</v>
      </c>
      <c r="C1216" s="2" t="s">
        <v>3912</v>
      </c>
    </row>
    <row r="1217" spans="1:3" x14ac:dyDescent="0.3">
      <c r="A1217" t="s">
        <v>5783</v>
      </c>
      <c r="B1217" s="2" t="s">
        <v>3912</v>
      </c>
      <c r="C1217" s="2" t="s">
        <v>3912</v>
      </c>
    </row>
    <row r="1218" spans="1:3" x14ac:dyDescent="0.3">
      <c r="A1218" t="s">
        <v>5784</v>
      </c>
      <c r="B1218" s="2" t="s">
        <v>3912</v>
      </c>
      <c r="C1218" s="2" t="s">
        <v>3912</v>
      </c>
    </row>
    <row r="1219" spans="1:3" x14ac:dyDescent="0.3">
      <c r="A1219" t="s">
        <v>5785</v>
      </c>
      <c r="B1219" s="2" t="s">
        <v>3912</v>
      </c>
      <c r="C1219" s="2" t="s">
        <v>3912</v>
      </c>
    </row>
    <row r="1220" spans="1:3" x14ac:dyDescent="0.3">
      <c r="A1220" t="s">
        <v>5786</v>
      </c>
      <c r="B1220" s="2" t="s">
        <v>3912</v>
      </c>
      <c r="C1220" s="2" t="s">
        <v>3912</v>
      </c>
    </row>
    <row r="1221" spans="1:3" x14ac:dyDescent="0.3">
      <c r="A1221" t="s">
        <v>5787</v>
      </c>
      <c r="B1221" s="2" t="s">
        <v>3912</v>
      </c>
      <c r="C1221" s="2" t="s">
        <v>3912</v>
      </c>
    </row>
    <row r="1222" spans="1:3" x14ac:dyDescent="0.3">
      <c r="A1222" t="s">
        <v>5788</v>
      </c>
      <c r="B1222" s="2" t="s">
        <v>3912</v>
      </c>
      <c r="C1222" s="2" t="s">
        <v>3912</v>
      </c>
    </row>
    <row r="1223" spans="1:3" x14ac:dyDescent="0.3">
      <c r="A1223" t="s">
        <v>5789</v>
      </c>
      <c r="B1223" s="2" t="s">
        <v>3912</v>
      </c>
      <c r="C1223" s="2" t="s">
        <v>3912</v>
      </c>
    </row>
    <row r="1224" spans="1:3" x14ac:dyDescent="0.3">
      <c r="A1224" t="s">
        <v>5790</v>
      </c>
      <c r="B1224" s="2" t="s">
        <v>3912</v>
      </c>
      <c r="C1224" s="2" t="s">
        <v>3912</v>
      </c>
    </row>
    <row r="1225" spans="1:3" x14ac:dyDescent="0.3">
      <c r="A1225" t="s">
        <v>5791</v>
      </c>
      <c r="B1225" s="2" t="s">
        <v>3912</v>
      </c>
      <c r="C1225" s="2" t="s">
        <v>3912</v>
      </c>
    </row>
    <row r="1226" spans="1:3" x14ac:dyDescent="0.3">
      <c r="A1226" t="s">
        <v>5792</v>
      </c>
      <c r="B1226" s="2" t="s">
        <v>3912</v>
      </c>
      <c r="C1226" s="2" t="s">
        <v>3912</v>
      </c>
    </row>
    <row r="1227" spans="1:3" x14ac:dyDescent="0.3">
      <c r="A1227" t="s">
        <v>5793</v>
      </c>
      <c r="B1227" s="2" t="s">
        <v>3912</v>
      </c>
      <c r="C1227" s="2" t="s">
        <v>3912</v>
      </c>
    </row>
    <row r="1228" spans="1:3" x14ac:dyDescent="0.3">
      <c r="A1228" t="s">
        <v>5794</v>
      </c>
      <c r="B1228" s="2" t="s">
        <v>3912</v>
      </c>
      <c r="C1228" s="2" t="s">
        <v>3912</v>
      </c>
    </row>
    <row r="1229" spans="1:3" x14ac:dyDescent="0.3">
      <c r="A1229" t="s">
        <v>5795</v>
      </c>
      <c r="B1229" s="2" t="s">
        <v>3912</v>
      </c>
      <c r="C1229" s="2" t="s">
        <v>3912</v>
      </c>
    </row>
    <row r="1230" spans="1:3" x14ac:dyDescent="0.3">
      <c r="A1230" t="s">
        <v>5796</v>
      </c>
      <c r="B1230" s="2" t="s">
        <v>3912</v>
      </c>
      <c r="C1230" s="2" t="s">
        <v>3912</v>
      </c>
    </row>
  </sheetData>
  <mergeCells count="2">
    <mergeCell ref="A1:D1"/>
    <mergeCell ref="H6:I6"/>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FD3215"/>
  <sheetViews>
    <sheetView topLeftCell="A1306" zoomScale="115" zoomScaleNormal="115" workbookViewId="0">
      <selection activeCell="E1230" sqref="E1230:E1329"/>
    </sheetView>
  </sheetViews>
  <sheetFormatPr defaultColWidth="8.6640625" defaultRowHeight="14.4" outlineLevelRow="2" x14ac:dyDescent="0.3"/>
  <cols>
    <col min="8" max="8" width="46" customWidth="1"/>
    <col min="1" max="1" width="32.5546875" bestFit="1" customWidth="1"/>
    <col min="2" max="2" width="18.109375" bestFit="1" customWidth="1"/>
    <col min="3" max="3" width="13" customWidth="1"/>
    <col min="4" max="4" width="71.5546875" bestFit="1" customWidth="1"/>
    <col min="5" max="5" width="57.44140625" bestFit="1" customWidth="1"/>
    <col min="6" max="6" width="67.6640625" customWidth="1"/>
    <col min="7" max="7" width="20.21875" bestFit="1" customWidth="1"/>
    <col min="8" max="8" width="15.77734375" bestFit="1" customWidth="1"/>
    <col min="9" max="9" width="22.33203125" bestFit="1" customWidth="1"/>
    <col min="10" max="10" width="17.5546875" bestFit="1" customWidth="1"/>
  </cols>
  <sheetData>
    <row r="1" spans="1:5" ht="19.2" customHeight="1" x14ac:dyDescent="0.3">
      <c r="A1" s="29" t="s">
        <v>0</v>
      </c>
      <c r="B1" s="30"/>
      <c r="C1" s="30"/>
      <c r="D1" s="30"/>
    </row>
    <row r="2" spans="1:8" ht="30" customHeight="1" x14ac:dyDescent="0.3">
      <c r="A2" s="14" t="s">
        <v>1</v>
      </c>
      <c r="B2" s="1" t="s">
        <v>2</v>
      </c>
      <c r="C2" s="1" t="s">
        <v>3</v>
      </c>
      <c r="D2" s="12" t="s">
        <v>4</v>
      </c>
      <c r="H2" s="12" t="inlineStr">
        <is>
          <t>ROOM NAME PER VAV / FCU LIST (WHERE DIFFERENT)</t>
        </is>
      </c>
    </row>
    <row r="3" spans="1:5" ht="18" customHeight="1" x14ac:dyDescent="0.3">
      <c r="A3" s="31" t="s">
        <v>5</v>
      </c>
      <c r="B3" s="30"/>
      <c r="C3" s="30"/>
      <c r="D3" s="30"/>
    </row>
    <row r="4" spans="1:5" ht="18" hidden="1" customHeight="1" outlineLevel="1" x14ac:dyDescent="0.3">
      <c r="A4" t="s">
        <v>6</v>
      </c>
      <c r="B4" t="s">
        <v>7</v>
      </c>
      <c r="C4" t="s">
        <v>8</v>
      </c>
      <c r="D4" t="s">
        <v>6037</v>
      </c>
      <c r="E4" t="s">
        <v>8213</v>
      </c>
    </row>
    <row r="5" spans="1:5" ht="18" hidden="1" customHeight="1" outlineLevel="1" x14ac:dyDescent="0.3">
      <c r="A5" t="s">
        <v>9</v>
      </c>
      <c r="B5" t="s">
        <v>7</v>
      </c>
      <c r="C5" t="s">
        <v>10</v>
      </c>
      <c r="D5" t="s">
        <v>6037</v>
      </c>
      <c r="E5" t="s">
        <v>8213</v>
      </c>
    </row>
    <row r="6" spans="1:5" ht="18" hidden="1" customHeight="1" outlineLevel="1" x14ac:dyDescent="0.3">
      <c r="A6" t="s">
        <v>11</v>
      </c>
      <c r="B6" t="s">
        <v>7</v>
      </c>
      <c r="C6" t="s">
        <v>10</v>
      </c>
      <c r="D6" t="s">
        <v>6037</v>
      </c>
      <c r="E6" t="s">
        <v>8213</v>
      </c>
    </row>
    <row r="7" spans="1:5" ht="18" hidden="1" customHeight="1" outlineLevel="1" x14ac:dyDescent="0.3">
      <c r="A7" t="s">
        <v>12</v>
      </c>
      <c r="B7" t="s">
        <v>7</v>
      </c>
      <c r="C7" t="s">
        <v>8</v>
      </c>
      <c r="D7" t="s">
        <v>6037</v>
      </c>
      <c r="E7" t="s">
        <v>8213</v>
      </c>
    </row>
    <row r="8" spans="1:5" ht="18" hidden="1" customHeight="1" outlineLevel="1" x14ac:dyDescent="0.3">
      <c r="A8" t="s">
        <v>13</v>
      </c>
      <c r="B8" t="s">
        <v>7</v>
      </c>
      <c r="C8" t="s">
        <v>8</v>
      </c>
      <c r="D8" t="s">
        <v>6037</v>
      </c>
      <c r="E8" t="s">
        <v>8213</v>
      </c>
    </row>
    <row r="9" spans="1:5" ht="18" hidden="1" customHeight="1" outlineLevel="1" x14ac:dyDescent="0.3">
      <c r="A9" t="s">
        <v>15</v>
      </c>
      <c r="B9" t="s">
        <v>7</v>
      </c>
      <c r="C9" t="s">
        <v>8</v>
      </c>
      <c r="D9" t="s">
        <v>6037</v>
      </c>
      <c r="E9" t="s">
        <v>8213</v>
      </c>
    </row>
    <row r="10" spans="1:5" ht="18" hidden="1" customHeight="1" outlineLevel="1" x14ac:dyDescent="0.3">
      <c r="A10" t="s">
        <v>17</v>
      </c>
      <c r="B10" t="s">
        <v>7</v>
      </c>
      <c r="C10" t="s">
        <v>8</v>
      </c>
      <c r="D10" t="s">
        <v>6037</v>
      </c>
      <c r="E10" t="s">
        <v>8213</v>
      </c>
    </row>
    <row r="11" spans="1:5" ht="18" hidden="1" customHeight="1" outlineLevel="1" x14ac:dyDescent="0.3">
      <c r="A11" t="s">
        <v>18</v>
      </c>
      <c r="B11" t="s">
        <v>7</v>
      </c>
      <c r="C11" t="s">
        <v>8</v>
      </c>
      <c r="D11" t="s">
        <v>6037</v>
      </c>
      <c r="E11" t="s">
        <v>8213</v>
      </c>
    </row>
    <row r="12" spans="1:5" ht="18" hidden="1" customHeight="1" outlineLevel="1" x14ac:dyDescent="0.3">
      <c r="A12" t="s">
        <v>19</v>
      </c>
      <c r="B12" t="s">
        <v>7</v>
      </c>
      <c r="C12" t="s">
        <v>8</v>
      </c>
      <c r="D12" t="s">
        <v>6037</v>
      </c>
      <c r="E12" t="s">
        <v>8213</v>
      </c>
    </row>
    <row r="13" spans="1:5" ht="18" hidden="1" customHeight="1" outlineLevel="1" x14ac:dyDescent="0.3">
      <c r="A13" t="s">
        <v>21</v>
      </c>
      <c r="B13" t="s">
        <v>7</v>
      </c>
      <c r="C13" t="s">
        <v>8</v>
      </c>
      <c r="D13" t="s">
        <v>22</v>
      </c>
      <c r="E13" t="s">
        <v>6047</v>
      </c>
    </row>
    <row r="14" spans="1:5" ht="18" hidden="1" customHeight="1" outlineLevel="1" x14ac:dyDescent="0.3">
      <c r="A14" t="s">
        <v>23</v>
      </c>
      <c r="B14" t="s">
        <v>7</v>
      </c>
      <c r="C14" t="s">
        <v>8</v>
      </c>
      <c r="D14" t="s">
        <v>24</v>
      </c>
      <c r="E14" t="s">
        <v>6048</v>
      </c>
    </row>
    <row r="15" spans="1:5" hidden="1" outlineLevel="1" x14ac:dyDescent="0.3">
      <c r="A15" t="s">
        <v>25</v>
      </c>
      <c r="B15" t="s">
        <v>7</v>
      </c>
      <c r="C15" t="s">
        <v>8</v>
      </c>
      <c r="D15" t="s">
        <v>24</v>
      </c>
      <c r="E15" t="s">
        <v>6048</v>
      </c>
    </row>
    <row r="16" spans="1:5" ht="18" hidden="1" customHeight="1" outlineLevel="1" x14ac:dyDescent="0.3">
      <c r="A16" t="s">
        <v>26</v>
      </c>
      <c r="B16" t="s">
        <v>7</v>
      </c>
      <c r="C16" t="s">
        <v>8</v>
      </c>
      <c r="D16" t="s">
        <v>27</v>
      </c>
      <c r="E16" t="s">
        <v>6049</v>
      </c>
    </row>
    <row r="17" spans="1:5" ht="18" hidden="1" customHeight="1" outlineLevel="1" x14ac:dyDescent="0.3">
      <c r="A17" t="s">
        <v>28</v>
      </c>
      <c r="B17" t="s">
        <v>7</v>
      </c>
      <c r="C17" t="s">
        <v>8</v>
      </c>
      <c r="D17" t="s">
        <v>27</v>
      </c>
      <c r="E17" t="s">
        <v>6049</v>
      </c>
    </row>
    <row r="18" spans="1:5" ht="18" hidden="1" customHeight="1" outlineLevel="1" x14ac:dyDescent="0.3">
      <c r="A18" t="s">
        <v>29</v>
      </c>
      <c r="B18" t="s">
        <v>7</v>
      </c>
      <c r="C18" t="s">
        <v>8</v>
      </c>
      <c r="D18" t="s">
        <v>30</v>
      </c>
      <c r="E18" t="s">
        <v>6050</v>
      </c>
    </row>
    <row r="19" spans="1:5" ht="18" hidden="1" customHeight="1" outlineLevel="1" x14ac:dyDescent="0.3">
      <c r="A19" t="s">
        <v>31</v>
      </c>
      <c r="B19" t="s">
        <v>7</v>
      </c>
      <c r="C19" t="s">
        <v>10</v>
      </c>
      <c r="D19" t="s">
        <v>32</v>
      </c>
      <c r="E19" t="s">
        <v>6051</v>
      </c>
    </row>
    <row r="20" spans="1:5" ht="18" hidden="1" customHeight="1" outlineLevel="1" x14ac:dyDescent="0.3">
      <c r="A20" t="s">
        <v>33</v>
      </c>
      <c r="B20" t="s">
        <v>7</v>
      </c>
      <c r="C20" t="s">
        <v>10</v>
      </c>
      <c r="D20" t="s">
        <v>32</v>
      </c>
      <c r="E20" t="s">
        <v>6051</v>
      </c>
    </row>
    <row r="21" spans="1:5" ht="18" hidden="1" customHeight="1" outlineLevel="1" x14ac:dyDescent="0.3">
      <c r="A21" t="s">
        <v>34</v>
      </c>
      <c r="B21" t="s">
        <v>7</v>
      </c>
      <c r="C21" t="s">
        <v>10</v>
      </c>
      <c r="D21" t="s">
        <v>35</v>
      </c>
      <c r="E21" t="s">
        <v>6052</v>
      </c>
    </row>
    <row r="22" spans="1:5" ht="18" hidden="1" customHeight="1" outlineLevel="1" x14ac:dyDescent="0.3">
      <c r="A22" t="s">
        <v>36</v>
      </c>
      <c r="B22" t="s">
        <v>7</v>
      </c>
      <c r="C22" t="s">
        <v>10</v>
      </c>
      <c r="D22" t="s">
        <v>35</v>
      </c>
      <c r="E22" t="s">
        <v>6052</v>
      </c>
    </row>
    <row r="23" spans="1:5" ht="18" hidden="1" customHeight="1" outlineLevel="1" x14ac:dyDescent="0.3">
      <c r="A23" t="s">
        <v>37</v>
      </c>
      <c r="B23" t="s">
        <v>7</v>
      </c>
      <c r="C23" t="s">
        <v>10</v>
      </c>
      <c r="D23" t="s">
        <v>38</v>
      </c>
      <c r="E23" t="s">
        <v>6053</v>
      </c>
    </row>
    <row r="24" spans="1:5" ht="18" hidden="1" customHeight="1" outlineLevel="1" x14ac:dyDescent="0.3">
      <c r="A24" t="s">
        <v>39</v>
      </c>
      <c r="B24" t="s">
        <v>7</v>
      </c>
      <c r="C24" t="s">
        <v>10</v>
      </c>
      <c r="D24" t="s">
        <v>38</v>
      </c>
      <c r="E24" t="s">
        <v>6053</v>
      </c>
    </row>
    <row r="25" spans="1:5" ht="18" hidden="1" customHeight="1" outlineLevel="1" x14ac:dyDescent="0.3">
      <c r="A25" t="s">
        <v>40</v>
      </c>
      <c r="B25" t="s">
        <v>7</v>
      </c>
      <c r="C25" t="s">
        <v>10</v>
      </c>
      <c r="D25" t="s">
        <v>41</v>
      </c>
      <c r="E25" t="s">
        <v>6054</v>
      </c>
    </row>
    <row r="26" spans="1:5" ht="18" hidden="1" customHeight="1" outlineLevel="1" x14ac:dyDescent="0.3">
      <c r="A26" t="s">
        <v>42</v>
      </c>
      <c r="B26" t="s">
        <v>7</v>
      </c>
      <c r="C26" t="s">
        <v>10</v>
      </c>
      <c r="D26" t="s">
        <v>32</v>
      </c>
      <c r="E26" t="s">
        <v>6051</v>
      </c>
    </row>
    <row r="27" spans="1:5" ht="18" hidden="1" customHeight="1" outlineLevel="1" x14ac:dyDescent="0.3">
      <c r="A27" t="s">
        <v>43</v>
      </c>
      <c r="B27" t="s">
        <v>7</v>
      </c>
      <c r="C27" t="s">
        <v>10</v>
      </c>
      <c r="D27" t="s">
        <v>44</v>
      </c>
      <c r="E27" t="s">
        <v>6055</v>
      </c>
    </row>
    <row r="28" spans="1:5" ht="18" hidden="1" customHeight="1" outlineLevel="1" x14ac:dyDescent="0.3">
      <c r="A28" t="s">
        <v>45</v>
      </c>
      <c r="B28" t="s">
        <v>7</v>
      </c>
      <c r="C28" t="s">
        <v>10</v>
      </c>
      <c r="D28" t="s">
        <v>44</v>
      </c>
      <c r="E28" t="s">
        <v>6055</v>
      </c>
    </row>
    <row r="29" spans="1:5" ht="18" hidden="1" customHeight="1" outlineLevel="1" x14ac:dyDescent="0.3">
      <c r="A29" t="s">
        <v>46</v>
      </c>
      <c r="B29" t="s">
        <v>7</v>
      </c>
      <c r="C29" t="s">
        <v>10</v>
      </c>
      <c r="D29" t="s">
        <v>44</v>
      </c>
      <c r="E29" t="s">
        <v>6055</v>
      </c>
    </row>
    <row r="30" spans="1:5" ht="18" hidden="1" customHeight="1" outlineLevel="1" x14ac:dyDescent="0.3">
      <c r="A30" t="s">
        <v>47</v>
      </c>
      <c r="B30" t="s">
        <v>48</v>
      </c>
      <c r="C30" t="s">
        <v>8</v>
      </c>
      <c r="D30" t="s">
        <v>49</v>
      </c>
      <c r="E30" t="s">
        <v>6056</v>
      </c>
    </row>
    <row r="31" spans="1:8" ht="18" hidden="1" customHeight="1" outlineLevel="1" x14ac:dyDescent="0.3">
      <c r="A31" t="s">
        <v>50</v>
      </c>
      <c r="B31" t="s">
        <v>48</v>
      </c>
      <c r="C31" t="s">
        <v>8</v>
      </c>
      <c r="D31" t="s">
        <v>51</v>
      </c>
      <c r="E31" t="s">
        <v>6057</v>
      </c>
      <c r="H31" t="inlineStr">
        <is>
          <t>SECURITY CONTROL RM B.003</t>
        </is>
      </c>
    </row>
    <row r="32" spans="1:8" ht="18" hidden="1" customHeight="1" outlineLevel="1" x14ac:dyDescent="0.3">
      <c r="A32" t="s">
        <v>52</v>
      </c>
      <c r="B32" t="s">
        <v>48</v>
      </c>
      <c r="C32" t="s">
        <v>10</v>
      </c>
      <c r="D32" t="s">
        <v>53</v>
      </c>
      <c r="E32" t="s">
        <v>6058</v>
      </c>
      <c r="H32" t="inlineStr">
        <is>
          <t>DOCKMASTER B.107</t>
        </is>
      </c>
    </row>
    <row r="33" spans="1:8" ht="18" hidden="1" customHeight="1" outlineLevel="1" x14ac:dyDescent="0.3">
      <c r="A33" t="s">
        <v>54</v>
      </c>
      <c r="B33" t="s">
        <v>48</v>
      </c>
      <c r="C33" t="s">
        <v>8</v>
      </c>
      <c r="D33" t="s">
        <v>55</v>
      </c>
      <c r="E33" t="s">
        <v>6059</v>
      </c>
      <c r="H33" t="inlineStr">
        <is>
          <t>HH SECURITY ROOM B.113</t>
        </is>
      </c>
    </row>
    <row r="34" spans="1:8" ht="18" hidden="1" customHeight="1" outlineLevel="1" x14ac:dyDescent="0.3">
      <c r="A34" t="s">
        <v>56</v>
      </c>
      <c r="B34" t="s">
        <v>48</v>
      </c>
      <c r="C34" t="s">
        <v>8</v>
      </c>
      <c r="D34" t="s">
        <v>57</v>
      </c>
      <c r="E34" t="s">
        <v>6060</v>
      </c>
      <c r="H34" t="inlineStr">
        <is>
          <t>SECURITY CONTROL RM B.003</t>
        </is>
      </c>
    </row>
    <row r="35" spans="1:8" ht="18" hidden="1" customHeight="1" outlineLevel="1" x14ac:dyDescent="0.3">
      <c r="A35" t="s">
        <v>58</v>
      </c>
      <c r="B35" t="s">
        <v>48</v>
      </c>
      <c r="C35" t="s">
        <v>10</v>
      </c>
      <c r="D35" t="s">
        <v>59</v>
      </c>
      <c r="E35" t="s">
        <v>6061</v>
      </c>
      <c r="H35" t="inlineStr">
        <is>
          <t>FOOD STORAGE B.122</t>
        </is>
      </c>
    </row>
    <row r="36" spans="1:8" ht="18" hidden="1" customHeight="1" outlineLevel="1" x14ac:dyDescent="0.3">
      <c r="A36" t="s">
        <v>60</v>
      </c>
      <c r="B36" t="s">
        <v>48</v>
      </c>
      <c r="C36" t="s">
        <v>10</v>
      </c>
      <c r="D36" t="s">
        <v>61</v>
      </c>
      <c r="E36" t="s">
        <v>6062</v>
      </c>
      <c r="H36" t="inlineStr">
        <is>
          <t>FOOD STORAGE B.123</t>
        </is>
      </c>
    </row>
    <row r="37" spans="1:8" ht="18" hidden="1" customHeight="1" outlineLevel="1" x14ac:dyDescent="0.3">
      <c r="A37" t="s">
        <v>62</v>
      </c>
      <c r="B37" t="s">
        <v>48</v>
      </c>
      <c r="C37" t="s">
        <v>10</v>
      </c>
      <c r="D37" t="s">
        <v>63</v>
      </c>
      <c r="E37" t="s">
        <v>6063</v>
      </c>
      <c r="H37" t="inlineStr">
        <is>
          <t>SUPPORT SPACE LOADING B.015</t>
        </is>
      </c>
    </row>
    <row r="38" spans="1:8" ht="18" hidden="1" customHeight="1" outlineLevel="1" x14ac:dyDescent="0.3">
      <c r="A38" t="s">
        <v>64</v>
      </c>
      <c r="B38" t="s">
        <v>48</v>
      </c>
      <c r="C38" t="s">
        <v>10</v>
      </c>
      <c r="D38" t="s">
        <v>63</v>
      </c>
      <c r="E38" t="s">
        <v>6063</v>
      </c>
      <c r="H38" t="inlineStr">
        <is>
          <t>DRY WASTE STORAGE B.014</t>
        </is>
      </c>
    </row>
    <row r="39" spans="1:8" ht="18" hidden="1" customHeight="1" outlineLevel="1" x14ac:dyDescent="0.3">
      <c r="A39" t="s">
        <v>65</v>
      </c>
      <c r="B39" t="s">
        <v>48</v>
      </c>
      <c r="C39" t="s">
        <v>10</v>
      </c>
      <c r="D39" t="s">
        <v>66</v>
      </c>
      <c r="E39" t="s">
        <v>6064</v>
      </c>
      <c r="H39" t="inlineStr">
        <is>
          <t>WASTE BIN WASH UP B.124</t>
        </is>
      </c>
    </row>
    <row r="40" spans="1:5" ht="18" hidden="1" customHeight="1" outlineLevel="1" x14ac:dyDescent="0.3">
      <c r="A40" t="s">
        <v>67</v>
      </c>
      <c r="B40" t="s">
        <v>48</v>
      </c>
      <c r="C40" t="s">
        <v>10</v>
      </c>
      <c r="D40" t="s">
        <v>68</v>
      </c>
      <c r="E40" t="s">
        <v>6065</v>
      </c>
    </row>
    <row r="41" spans="1:5" ht="18" hidden="1" customHeight="1" outlineLevel="1" x14ac:dyDescent="0.3">
      <c r="A41" t="s">
        <v>69</v>
      </c>
      <c r="B41" t="s">
        <v>48</v>
      </c>
      <c r="C41" t="s">
        <v>8</v>
      </c>
      <c r="D41" t="s">
        <v>70</v>
      </c>
      <c r="E41" t="s">
        <v>6066</v>
      </c>
    </row>
    <row r="42" spans="1:5" ht="18" hidden="1" customHeight="1" outlineLevel="1" x14ac:dyDescent="0.3">
      <c r="A42" t="s">
        <v>71</v>
      </c>
      <c r="B42" t="s">
        <v>48</v>
      </c>
      <c r="C42" t="s">
        <v>8</v>
      </c>
      <c r="D42" t="s">
        <v>70</v>
      </c>
      <c r="E42" t="s">
        <v>6066</v>
      </c>
    </row>
    <row r="43" spans="1:5" ht="18" hidden="1" customHeight="1" outlineLevel="1" x14ac:dyDescent="0.3">
      <c r="A43" t="s">
        <v>72</v>
      </c>
      <c r="B43" t="s">
        <v>48</v>
      </c>
      <c r="C43" t="s">
        <v>8</v>
      </c>
      <c r="D43" t="s">
        <v>73</v>
      </c>
      <c r="E43" t="s">
        <v>6067</v>
      </c>
    </row>
    <row r="44" spans="1:8" ht="18" hidden="1" customHeight="1" outlineLevel="1" x14ac:dyDescent="0.3">
      <c r="A44" t="s">
        <v>74</v>
      </c>
      <c r="B44" t="s">
        <v>48</v>
      </c>
      <c r="C44" t="s">
        <v>8</v>
      </c>
      <c r="D44" t="s">
        <v>75</v>
      </c>
      <c r="E44" t="s">
        <v>6068</v>
      </c>
      <c r="H44" t="inlineStr">
        <is>
          <t>PRINT COPY ROOM G.031</t>
        </is>
      </c>
    </row>
    <row r="45" spans="1:8" ht="18" hidden="1" customHeight="1" outlineLevel="1" x14ac:dyDescent="0.3">
      <c r="A45" t="s">
        <v>76</v>
      </c>
      <c r="B45" t="s">
        <v>48</v>
      </c>
      <c r="C45" t="s">
        <v>10</v>
      </c>
      <c r="D45" t="s">
        <v>77</v>
      </c>
      <c r="E45" t="s">
        <v>6069</v>
      </c>
      <c r="H45" t="inlineStr">
        <is>
          <t>PRINT COPY ROOM G.017</t>
        </is>
      </c>
    </row>
    <row r="46" spans="1:8" ht="18" hidden="1" customHeight="1" outlineLevel="1" x14ac:dyDescent="0.3">
      <c r="A46" t="s">
        <v>78</v>
      </c>
      <c r="B46" t="s">
        <v>48</v>
      </c>
      <c r="C46" t="s">
        <v>8</v>
      </c>
      <c r="D46" t="s">
        <v>79</v>
      </c>
      <c r="E46" t="s">
        <v>6070</v>
      </c>
      <c r="H46" t="inlineStr">
        <is>
          <t>ESCAPE VESTIBULE 0.544</t>
        </is>
      </c>
    </row>
    <row r="47" spans="1:8" ht="18" hidden="1" customHeight="1" outlineLevel="1" x14ac:dyDescent="0.3">
      <c r="A47" t="s">
        <v>80</v>
      </c>
      <c r="B47" t="s">
        <v>48</v>
      </c>
      <c r="C47" t="s">
        <v>8</v>
      </c>
      <c r="D47" t="s">
        <v>81</v>
      </c>
      <c r="E47" t="s">
        <v>6071</v>
      </c>
      <c r="H47" t="inlineStr">
        <is>
          <t>ESCAPE VESTIBULE G.511</t>
        </is>
      </c>
    </row>
    <row r="48" spans="1:5" ht="18" hidden="1" customHeight="1" outlineLevel="1" x14ac:dyDescent="0.3">
      <c r="A48" t="s">
        <v>82</v>
      </c>
      <c r="B48" t="s">
        <v>48</v>
      </c>
      <c r="C48" t="s">
        <v>8</v>
      </c>
      <c r="D48" t="s">
        <v>83</v>
      </c>
      <c r="E48" t="s">
        <v>6072</v>
      </c>
    </row>
    <row r="49" spans="1:5" ht="18" hidden="1" customHeight="1" outlineLevel="1" x14ac:dyDescent="0.3">
      <c r="A49" t="s">
        <v>84</v>
      </c>
      <c r="B49" t="s">
        <v>48</v>
      </c>
      <c r="C49" t="s">
        <v>8</v>
      </c>
      <c r="D49" t="s">
        <v>83</v>
      </c>
      <c r="E49" t="s">
        <v>6072</v>
      </c>
    </row>
    <row r="50" spans="1:5" ht="18" hidden="1" customHeight="1" outlineLevel="1" x14ac:dyDescent="0.3">
      <c r="A50" t="s">
        <v>85</v>
      </c>
      <c r="B50" t="s">
        <v>48</v>
      </c>
      <c r="C50" t="s">
        <v>8</v>
      </c>
      <c r="D50" t="s">
        <v>86</v>
      </c>
      <c r="E50" t="s">
        <v>6073</v>
      </c>
    </row>
    <row r="51" spans="1:8" ht="18" hidden="1" customHeight="1" outlineLevel="1" x14ac:dyDescent="0.3">
      <c r="A51" t="s">
        <v>87</v>
      </c>
      <c r="B51" t="s">
        <v>48</v>
      </c>
      <c r="C51" t="s">
        <v>10</v>
      </c>
      <c r="D51" t="s">
        <v>88</v>
      </c>
      <c r="E51" t="s">
        <v>6074</v>
      </c>
      <c r="H51" t="inlineStr">
        <is>
          <t>PRINT COPY ROOM 1.112</t>
        </is>
      </c>
    </row>
    <row r="52" spans="1:5" ht="18" hidden="1" customHeight="1" outlineLevel="1" x14ac:dyDescent="0.3">
      <c r="A52" t="s">
        <v>89</v>
      </c>
      <c r="B52" t="s">
        <v>48</v>
      </c>
      <c r="C52" t="s">
        <v>8</v>
      </c>
      <c r="D52" t="s">
        <v>90</v>
      </c>
      <c r="E52" t="s">
        <v>6075</v>
      </c>
    </row>
    <row r="53" spans="1:5" ht="18" hidden="1" customHeight="1" outlineLevel="1" x14ac:dyDescent="0.3">
      <c r="A53" t="s">
        <v>91</v>
      </c>
      <c r="B53" t="s">
        <v>48</v>
      </c>
      <c r="C53" t="s">
        <v>8</v>
      </c>
      <c r="D53" t="s">
        <v>90</v>
      </c>
      <c r="E53" t="s">
        <v>6075</v>
      </c>
    </row>
    <row r="54" spans="1:8" ht="18" hidden="1" customHeight="1" outlineLevel="1" x14ac:dyDescent="0.3">
      <c r="A54" t="s">
        <v>92</v>
      </c>
      <c r="B54" t="s">
        <v>48</v>
      </c>
      <c r="C54" t="s">
        <v>8</v>
      </c>
      <c r="D54" t="s">
        <v>93</v>
      </c>
      <c r="E54" t="s">
        <v>6076</v>
      </c>
      <c r="H54" t="inlineStr">
        <is>
          <t>BRIDGE BR-2 2.701</t>
        </is>
      </c>
    </row>
    <row r="55" spans="1:8" ht="18" hidden="1" customHeight="1" outlineLevel="1" x14ac:dyDescent="0.3">
      <c r="A55" t="s">
        <v>94</v>
      </c>
      <c r="B55" t="s">
        <v>48</v>
      </c>
      <c r="C55" t="s">
        <v>8</v>
      </c>
      <c r="D55" t="s">
        <v>93</v>
      </c>
      <c r="E55" t="s">
        <v>6076</v>
      </c>
      <c r="H55" t="inlineStr">
        <is>
          <t>BRIDGE BR-2 2.701</t>
        </is>
      </c>
    </row>
    <row r="56" spans="1:8" ht="18" hidden="1" customHeight="1" outlineLevel="1" x14ac:dyDescent="0.3">
      <c r="A56" t="s">
        <v>95</v>
      </c>
      <c r="B56" t="s">
        <v>48</v>
      </c>
      <c r="C56" t="s">
        <v>8</v>
      </c>
      <c r="D56" t="s">
        <v>93</v>
      </c>
      <c r="E56" t="s">
        <v>6076</v>
      </c>
      <c r="H56" t="inlineStr">
        <is>
          <t>BRIDGE BR-2 2.701</t>
        </is>
      </c>
    </row>
    <row r="57" spans="1:8" ht="18" hidden="1" customHeight="1" outlineLevel="1" x14ac:dyDescent="0.3">
      <c r="A57" t="s">
        <v>96</v>
      </c>
      <c r="B57" t="s">
        <v>48</v>
      </c>
      <c r="C57" t="s">
        <v>10</v>
      </c>
      <c r="D57" t="s">
        <v>97</v>
      </c>
      <c r="E57" t="s">
        <v>6077</v>
      </c>
      <c r="H57" t="inlineStr">
        <is>
          <t>PRINT COPY ROOM 2.103</t>
        </is>
      </c>
    </row>
    <row r="58" spans="1:8" ht="18" hidden="1" customHeight="1" outlineLevel="1" x14ac:dyDescent="0.3">
      <c r="A58" t="s">
        <v>98</v>
      </c>
      <c r="B58" t="s">
        <v>48</v>
      </c>
      <c r="C58" t="s">
        <v>8</v>
      </c>
      <c r="D58" t="s">
        <v>99</v>
      </c>
      <c r="E58" t="s">
        <v>6078</v>
      </c>
      <c r="H58" t="inlineStr">
        <is>
          <t>LOUNGE 2.207</t>
        </is>
      </c>
    </row>
    <row r="59" spans="1:5" ht="18" hidden="1" customHeight="1" outlineLevel="1" x14ac:dyDescent="0.3">
      <c r="A59" t="s">
        <v>100</v>
      </c>
      <c r="B59" t="s">
        <v>48</v>
      </c>
      <c r="C59" t="s">
        <v>8</v>
      </c>
      <c r="D59" t="s">
        <v>99</v>
      </c>
      <c r="E59" t="s">
        <v>6078</v>
      </c>
    </row>
    <row r="60" spans="1:8" ht="18" hidden="1" customHeight="1" outlineLevel="1" x14ac:dyDescent="0.3">
      <c r="A60" t="s">
        <v>101</v>
      </c>
      <c r="B60" t="s">
        <v>48</v>
      </c>
      <c r="C60" t="s">
        <v>8</v>
      </c>
      <c r="D60" t="s">
        <v>102</v>
      </c>
      <c r="E60" t="s">
        <v>6079</v>
      </c>
      <c r="H60" t="inlineStr">
        <is>
          <t>FITNESS STUDIO 2.208</t>
        </is>
      </c>
    </row>
    <row r="61" spans="1:5" ht="18" hidden="1" customHeight="1" outlineLevel="1" x14ac:dyDescent="0.3">
      <c r="A61" t="s">
        <v>103</v>
      </c>
      <c r="B61" t="s">
        <v>48</v>
      </c>
      <c r="C61" t="s">
        <v>8</v>
      </c>
      <c r="D61" t="s">
        <v>102</v>
      </c>
      <c r="E61" t="s">
        <v>6079</v>
      </c>
    </row>
    <row r="62" spans="1:5" ht="18" hidden="1" customHeight="1" outlineLevel="1" x14ac:dyDescent="0.3">
      <c r="A62" t="s">
        <v>104</v>
      </c>
      <c r="B62" t="s">
        <v>48</v>
      </c>
      <c r="C62" t="s">
        <v>8</v>
      </c>
      <c r="D62" t="s">
        <v>102</v>
      </c>
      <c r="E62" t="s">
        <v>6079</v>
      </c>
    </row>
    <row r="63" spans="1:8" ht="18" hidden="1" customHeight="1" outlineLevel="1" x14ac:dyDescent="0.3">
      <c r="A63" t="s">
        <v>105</v>
      </c>
      <c r="B63" t="s">
        <v>48</v>
      </c>
      <c r="C63" t="s">
        <v>8</v>
      </c>
      <c r="D63" t="s">
        <v>106</v>
      </c>
      <c r="E63" t="s">
        <v>6080</v>
      </c>
      <c r="H63" t="inlineStr">
        <is>
          <t>OFFICE 2.209</t>
        </is>
      </c>
    </row>
    <row r="64" spans="1:8" ht="18" hidden="1" customHeight="1" outlineLevel="1" x14ac:dyDescent="0.3">
      <c r="A64" t="s">
        <v>107</v>
      </c>
      <c r="B64" t="s">
        <v>48</v>
      </c>
      <c r="C64" t="s">
        <v>8</v>
      </c>
      <c r="D64" t="s">
        <v>108</v>
      </c>
      <c r="E64" t="s">
        <v>6081</v>
      </c>
      <c r="H64" t="inlineStr">
        <is>
          <t>STAFF WAFTING ROOM 2.210</t>
        </is>
      </c>
    </row>
    <row r="65" spans="1:8" ht="18" hidden="1" customHeight="1" outlineLevel="1" x14ac:dyDescent="0.3">
      <c r="A65" t="s">
        <v>109</v>
      </c>
      <c r="B65" t="s">
        <v>48</v>
      </c>
      <c r="C65" t="s">
        <v>8</v>
      </c>
      <c r="D65" t="s">
        <v>110</v>
      </c>
      <c r="E65" t="s">
        <v>6082</v>
      </c>
      <c r="H65" t="inlineStr">
        <is>
          <t>BEAUTY SALON 2.211</t>
        </is>
      </c>
    </row>
    <row r="66" spans="1:5" ht="18" hidden="1" customHeight="1" outlineLevel="1" x14ac:dyDescent="0.3">
      <c r="A66" t="s">
        <v>111</v>
      </c>
      <c r="B66" t="s">
        <v>48</v>
      </c>
      <c r="C66" t="s">
        <v>8</v>
      </c>
      <c r="D66" t="s">
        <v>110</v>
      </c>
      <c r="E66" t="s">
        <v>6082</v>
      </c>
    </row>
    <row r="67" spans="1:8" ht="18" hidden="1" customHeight="1" outlineLevel="1" x14ac:dyDescent="0.3">
      <c r="A67" t="s">
        <v>112</v>
      </c>
      <c r="B67" t="s">
        <v>48</v>
      </c>
      <c r="C67" t="s">
        <v>8</v>
      </c>
      <c r="D67" t="s">
        <v>113</v>
      </c>
      <c r="E67" t="s">
        <v>6083</v>
      </c>
      <c r="H67" t="inlineStr">
        <is>
          <t>TREATMENT ROOM 2.212</t>
        </is>
      </c>
    </row>
    <row r="68" spans="1:8" ht="18" hidden="1" customHeight="1" outlineLevel="1" x14ac:dyDescent="0.3">
      <c r="A68" t="s">
        <v>114</v>
      </c>
      <c r="B68" t="s">
        <v>48</v>
      </c>
      <c r="C68" t="s">
        <v>8</v>
      </c>
      <c r="D68" t="s">
        <v>115</v>
      </c>
      <c r="E68" t="s">
        <v>6084</v>
      </c>
      <c r="H68" t="inlineStr">
        <is>
          <t>CHANGING ROOM 2.213</t>
        </is>
      </c>
    </row>
    <row r="69" spans="1:5" ht="18" hidden="1" customHeight="1" outlineLevel="1" x14ac:dyDescent="0.3">
      <c r="A69" t="s">
        <v>116</v>
      </c>
      <c r="B69" t="s">
        <v>48</v>
      </c>
      <c r="C69" t="s">
        <v>8</v>
      </c>
      <c r="D69" t="s">
        <v>115</v>
      </c>
      <c r="E69" t="s">
        <v>6084</v>
      </c>
    </row>
    <row r="70" spans="1:8" ht="18" hidden="1" customHeight="1" outlineLevel="1" x14ac:dyDescent="0.3">
      <c r="A70" t="s">
        <v>117</v>
      </c>
      <c r="B70" t="s">
        <v>48</v>
      </c>
      <c r="C70" t="s">
        <v>8</v>
      </c>
      <c r="D70" t="s">
        <v>118</v>
      </c>
      <c r="E70" t="s">
        <v>6085</v>
      </c>
      <c r="H70" t="inlineStr">
        <is>
          <t>TREATMENT ROOM 2.214</t>
        </is>
      </c>
    </row>
    <row r="71" spans="1:8" ht="18" hidden="1" customHeight="1" outlineLevel="1" x14ac:dyDescent="0.3">
      <c r="A71" t="s">
        <v>119</v>
      </c>
      <c r="B71" t="s">
        <v>48</v>
      </c>
      <c r="C71" t="s">
        <v>8</v>
      </c>
      <c r="D71" t="s">
        <v>120</v>
      </c>
      <c r="E71" t="s">
        <v>6086</v>
      </c>
      <c r="H71" t="inlineStr">
        <is>
          <t>TREATMENT ROOM 2.215</t>
        </is>
      </c>
    </row>
    <row r="72" spans="1:8" ht="18" hidden="1" customHeight="1" outlineLevel="1" x14ac:dyDescent="0.3">
      <c r="A72" t="s">
        <v>121</v>
      </c>
      <c r="B72" t="s">
        <v>48</v>
      </c>
      <c r="C72" t="s">
        <v>8</v>
      </c>
      <c r="D72" t="s">
        <v>122</v>
      </c>
      <c r="E72" t="s">
        <v>6087</v>
      </c>
      <c r="H72" t="inlineStr">
        <is>
          <t>RELAXATION 2.216</t>
        </is>
      </c>
    </row>
    <row r="73" spans="1:5" ht="18" hidden="1" customHeight="1" outlineLevel="1" x14ac:dyDescent="0.3">
      <c r="A73" t="s">
        <v>123</v>
      </c>
      <c r="B73" t="s">
        <v>48</v>
      </c>
      <c r="C73" t="s">
        <v>8</v>
      </c>
      <c r="D73" t="s">
        <v>122</v>
      </c>
      <c r="E73" t="s">
        <v>6087</v>
      </c>
    </row>
    <row r="74" spans="1:8" ht="18" hidden="1" customHeight="1" outlineLevel="1" x14ac:dyDescent="0.3">
      <c r="A74" t="s">
        <v>124</v>
      </c>
      <c r="B74" t="s">
        <v>48</v>
      </c>
      <c r="C74" t="s">
        <v>8</v>
      </c>
      <c r="D74" t="s">
        <v>125</v>
      </c>
      <c r="E74" t="s">
        <v>6088</v>
      </c>
      <c r="H74" t="inlineStr">
        <is>
          <t>RELAXATION 2.201</t>
        </is>
      </c>
    </row>
    <row r="75" spans="1:5" ht="18" hidden="1" customHeight="1" outlineLevel="1" x14ac:dyDescent="0.3">
      <c r="A75" t="s">
        <v>126</v>
      </c>
      <c r="B75" t="s">
        <v>48</v>
      </c>
      <c r="C75" t="s">
        <v>8</v>
      </c>
      <c r="D75" t="s">
        <v>125</v>
      </c>
      <c r="E75" t="s">
        <v>6088</v>
      </c>
    </row>
    <row r="76" spans="1:5" ht="18" hidden="1" customHeight="1" outlineLevel="1" x14ac:dyDescent="0.3">
      <c r="A76" t="s">
        <v>127</v>
      </c>
      <c r="B76" t="s">
        <v>48</v>
      </c>
      <c r="C76" t="s">
        <v>8</v>
      </c>
      <c r="D76" t="s">
        <v>125</v>
      </c>
      <c r="E76" t="s">
        <v>6088</v>
      </c>
    </row>
    <row r="77" spans="1:8" ht="18" hidden="1" customHeight="1" outlineLevel="1" x14ac:dyDescent="0.3">
      <c r="A77" t="s">
        <v>128</v>
      </c>
      <c r="B77" t="s">
        <v>48</v>
      </c>
      <c r="C77" t="s">
        <v>8</v>
      </c>
      <c r="D77" t="s">
        <v>129</v>
      </c>
      <c r="E77" t="s">
        <v>6089</v>
      </c>
      <c r="H77" t="inlineStr">
        <is>
          <t>TREATMENT ROOM 2.202</t>
        </is>
      </c>
    </row>
    <row r="78" spans="1:8" ht="18" hidden="1" customHeight="1" outlineLevel="1" x14ac:dyDescent="0.3">
      <c r="A78" t="s">
        <v>130</v>
      </c>
      <c r="B78" t="s">
        <v>48</v>
      </c>
      <c r="C78" t="s">
        <v>8</v>
      </c>
      <c r="D78" t="s">
        <v>131</v>
      </c>
      <c r="E78" t="s">
        <v>6090</v>
      </c>
      <c r="H78" t="inlineStr">
        <is>
          <t>TREATMENT ROOM 2.203</t>
        </is>
      </c>
    </row>
    <row r="79" spans="1:8" ht="18" hidden="1" customHeight="1" outlineLevel="1" x14ac:dyDescent="0.3">
      <c r="A79" t="s">
        <v>132</v>
      </c>
      <c r="B79" t="s">
        <v>48</v>
      </c>
      <c r="C79" t="s">
        <v>8</v>
      </c>
      <c r="D79" t="s">
        <v>133</v>
      </c>
      <c r="E79" t="s">
        <v>6091</v>
      </c>
      <c r="H79" t="inlineStr">
        <is>
          <t>TREATMENT ROOM 2.204</t>
        </is>
      </c>
    </row>
    <row r="80" spans="1:8" ht="18" hidden="1" customHeight="1" outlineLevel="1" x14ac:dyDescent="0.3">
      <c r="A80" t="s">
        <v>134</v>
      </c>
      <c r="B80" t="s">
        <v>48</v>
      </c>
      <c r="C80" t="s">
        <v>8</v>
      </c>
      <c r="D80" t="s">
        <v>135</v>
      </c>
      <c r="E80" t="s">
        <v>6092</v>
      </c>
      <c r="H80" t="inlineStr">
        <is>
          <t>CHANGING ROOM 2.205</t>
        </is>
      </c>
    </row>
    <row r="81" spans="1:5" ht="18" hidden="1" customHeight="1" outlineLevel="1" x14ac:dyDescent="0.3">
      <c r="A81" t="s">
        <v>136</v>
      </c>
      <c r="B81" t="s">
        <v>48</v>
      </c>
      <c r="C81" t="s">
        <v>8</v>
      </c>
      <c r="D81" t="s">
        <v>135</v>
      </c>
      <c r="E81" t="s">
        <v>6092</v>
      </c>
    </row>
    <row r="82" spans="1:8" ht="18" hidden="1" customHeight="1" outlineLevel="1" x14ac:dyDescent="0.3">
      <c r="A82" t="s">
        <v>137</v>
      </c>
      <c r="B82" t="s">
        <v>48</v>
      </c>
      <c r="C82" t="s">
        <v>8</v>
      </c>
      <c r="D82" t="s">
        <v>138</v>
      </c>
      <c r="E82" t="s">
        <v>6093</v>
      </c>
      <c r="H82" t="inlineStr">
        <is>
          <t>ENTRANCE 2.206</t>
        </is>
      </c>
    </row>
    <row r="83" spans="1:8" ht="18" hidden="1" customHeight="1" outlineLevel="1" x14ac:dyDescent="0.3">
      <c r="A83" t="s">
        <v>139</v>
      </c>
      <c r="B83" t="s">
        <v>48</v>
      </c>
      <c r="C83" t="s">
        <v>8</v>
      </c>
      <c r="D83" t="s">
        <v>140</v>
      </c>
      <c r="E83" t="s">
        <v>6094</v>
      </c>
      <c r="H83" t="inlineStr">
        <is>
          <t>LOBBY 2.603</t>
        </is>
      </c>
    </row>
    <row r="84" spans="1:5" ht="18" hidden="1" customHeight="1" outlineLevel="1" x14ac:dyDescent="0.3">
      <c r="A84" t="s">
        <v>141</v>
      </c>
      <c r="B84" t="s">
        <v>48</v>
      </c>
      <c r="C84" t="s">
        <v>8</v>
      </c>
      <c r="D84" t="s">
        <v>140</v>
      </c>
      <c r="E84" t="s">
        <v>6094</v>
      </c>
    </row>
    <row r="85" spans="1:5" ht="18" hidden="1" customHeight="1" outlineLevel="1" x14ac:dyDescent="0.3">
      <c r="A85" t="s">
        <v>142</v>
      </c>
      <c r="B85" t="s">
        <v>48</v>
      </c>
      <c r="C85" t="s">
        <v>8</v>
      </c>
      <c r="D85" t="s">
        <v>143</v>
      </c>
      <c r="E85" t="s">
        <v>6095</v>
      </c>
    </row>
    <row r="86" spans="1:8" ht="18" hidden="1" customHeight="1" outlineLevel="1" x14ac:dyDescent="0.3">
      <c r="A86" t="s">
        <v>144</v>
      </c>
      <c r="B86" t="s">
        <v>48</v>
      </c>
      <c r="C86" t="s">
        <v>8</v>
      </c>
      <c r="D86" t="s">
        <v>22</v>
      </c>
      <c r="E86" t="s">
        <v>6047</v>
      </c>
      <c r="H86" t="inlineStr">
        <is>
          <t>PLANT ROOM SE</t>
        </is>
      </c>
    </row>
    <row r="87" spans="1:8" ht="18" hidden="1" customHeight="1" outlineLevel="1" x14ac:dyDescent="0.3">
      <c r="A87" t="s">
        <v>145</v>
      </c>
      <c r="B87" t="s">
        <v>48</v>
      </c>
      <c r="C87" t="s">
        <v>8</v>
      </c>
      <c r="D87" t="s">
        <v>22</v>
      </c>
      <c r="E87" t="s">
        <v>6047</v>
      </c>
      <c r="H87" t="inlineStr">
        <is>
          <t>PLANT ROOM SE</t>
        </is>
      </c>
    </row>
    <row r="88" spans="1:5" ht="18" hidden="1" customHeight="1" outlineLevel="1" x14ac:dyDescent="0.3">
      <c r="A88" t="s">
        <v>146</v>
      </c>
      <c r="B88" t="s">
        <v>48</v>
      </c>
      <c r="C88" t="s">
        <v>8</v>
      </c>
      <c r="D88" t="s">
        <v>147</v>
      </c>
      <c r="E88" t="s">
        <v>6096</v>
      </c>
    </row>
    <row r="89" spans="1:5" ht="18" hidden="1" customHeight="1" outlineLevel="1" x14ac:dyDescent="0.3">
      <c r="A89" t="s">
        <v>148</v>
      </c>
      <c r="B89" t="s">
        <v>48</v>
      </c>
      <c r="C89" t="s">
        <v>8</v>
      </c>
      <c r="D89" t="s">
        <v>147</v>
      </c>
      <c r="E89" t="s">
        <v>6096</v>
      </c>
    </row>
    <row r="90" spans="1:5" ht="18" hidden="1" customHeight="1" outlineLevel="1" x14ac:dyDescent="0.3">
      <c r="A90" t="s">
        <v>149</v>
      </c>
      <c r="B90" t="s">
        <v>48</v>
      </c>
      <c r="C90" t="s">
        <v>8</v>
      </c>
      <c r="D90" t="s">
        <v>150</v>
      </c>
      <c r="E90" t="s">
        <v>6097</v>
      </c>
    </row>
    <row r="91" spans="1:8" ht="18" hidden="1" customHeight="1" outlineLevel="1" x14ac:dyDescent="0.3">
      <c r="A91" t="s">
        <v>151</v>
      </c>
      <c r="B91" t="s">
        <v>48</v>
      </c>
      <c r="C91" t="s">
        <v>10</v>
      </c>
      <c r="D91" t="s">
        <v>152</v>
      </c>
      <c r="E91" t="s">
        <v>6098</v>
      </c>
      <c r="H91" t="inlineStr">
        <is>
          <t>PRINT COPY ROOM 3.203</t>
        </is>
      </c>
    </row>
    <row r="92" spans="1:8" ht="18" hidden="1" customHeight="1" outlineLevel="1" x14ac:dyDescent="0.3">
      <c r="A92" t="s">
        <v>153</v>
      </c>
      <c r="B92" t="s">
        <v>48</v>
      </c>
      <c r="C92" t="s">
        <v>10</v>
      </c>
      <c r="D92" t="s">
        <v>154</v>
      </c>
      <c r="E92" t="s">
        <v>6099</v>
      </c>
      <c r="H92" t="inlineStr">
        <is>
          <t>PRINT COPY ROOM 3.103</t>
        </is>
      </c>
    </row>
    <row r="93" spans="1:8" ht="18" hidden="1" customHeight="1" outlineLevel="1" x14ac:dyDescent="0.3">
      <c r="A93" t="s">
        <v>155</v>
      </c>
      <c r="B93" t="s">
        <v>48</v>
      </c>
      <c r="C93" t="s">
        <v>8</v>
      </c>
      <c r="D93" t="s">
        <v>156</v>
      </c>
      <c r="E93" t="s">
        <v>6100</v>
      </c>
      <c r="H93" t="inlineStr">
        <is>
          <t>BRIDGE BR-3B 3.63</t>
        </is>
      </c>
    </row>
    <row r="94" spans="1:8" ht="18" hidden="1" customHeight="1" outlineLevel="1" x14ac:dyDescent="0.3">
      <c r="A94" t="s">
        <v>157</v>
      </c>
      <c r="B94" t="s">
        <v>48</v>
      </c>
      <c r="C94" t="s">
        <v>8</v>
      </c>
      <c r="D94" t="s">
        <v>156</v>
      </c>
      <c r="E94" t="s">
        <v>6100</v>
      </c>
      <c r="H94" t="inlineStr">
        <is>
          <t>BRIDGE BR-3B 3.63</t>
        </is>
      </c>
    </row>
    <row r="95" spans="1:8" ht="18" hidden="1" customHeight="1" outlineLevel="1" x14ac:dyDescent="0.3">
      <c r="A95" t="s">
        <v>158</v>
      </c>
      <c r="B95" t="s">
        <v>48</v>
      </c>
      <c r="C95" t="s">
        <v>8</v>
      </c>
      <c r="D95" t="s">
        <v>156</v>
      </c>
      <c r="E95" t="s">
        <v>6100</v>
      </c>
      <c r="H95" t="inlineStr">
        <is>
          <t>BRIDGE BR-3B 3.63</t>
        </is>
      </c>
    </row>
    <row r="96" spans="1:8" ht="18" hidden="1" customHeight="1" outlineLevel="1" x14ac:dyDescent="0.3">
      <c r="A96" t="s">
        <v>159</v>
      </c>
      <c r="B96" t="s">
        <v>48</v>
      </c>
      <c r="C96" t="s">
        <v>10</v>
      </c>
      <c r="D96" t="s">
        <v>160</v>
      </c>
      <c r="E96" t="s">
        <v>6101</v>
      </c>
      <c r="H96" t="inlineStr">
        <is>
          <t>BRIDGE BR-3</t>
        </is>
      </c>
    </row>
    <row r="97" spans="1:8" ht="18" hidden="1" customHeight="1" outlineLevel="1" x14ac:dyDescent="0.3">
      <c r="A97" t="s">
        <v>161</v>
      </c>
      <c r="B97" t="s">
        <v>48</v>
      </c>
      <c r="C97" t="s">
        <v>10</v>
      </c>
      <c r="D97" t="s">
        <v>160</v>
      </c>
      <c r="E97" t="s">
        <v>6101</v>
      </c>
      <c r="H97" t="inlineStr">
        <is>
          <t>BRIDGE BR-3</t>
        </is>
      </c>
    </row>
    <row r="98" spans="1:8" ht="18" hidden="1" customHeight="1" outlineLevel="1" x14ac:dyDescent="0.3">
      <c r="A98" t="s">
        <v>162</v>
      </c>
      <c r="B98" t="s">
        <v>48</v>
      </c>
      <c r="C98" t="s">
        <v>10</v>
      </c>
      <c r="D98" t="s">
        <v>160</v>
      </c>
      <c r="E98" t="s">
        <v>6101</v>
      </c>
      <c r="H98" t="inlineStr">
        <is>
          <t>BRIDGE BR-3</t>
        </is>
      </c>
    </row>
    <row r="99" spans="1:8" ht="18" hidden="1" customHeight="1" outlineLevel="1" x14ac:dyDescent="0.3">
      <c r="A99" t="s">
        <v>163</v>
      </c>
      <c r="B99" t="s">
        <v>48</v>
      </c>
      <c r="C99" t="s">
        <v>10</v>
      </c>
      <c r="D99" t="s">
        <v>160</v>
      </c>
      <c r="E99" t="s">
        <v>6101</v>
      </c>
      <c r="H99" t="inlineStr">
        <is>
          <t>BRIDGE BR-3</t>
        </is>
      </c>
    </row>
    <row r="100" spans="1:5" ht="18" hidden="1" customHeight="1" outlineLevel="1" x14ac:dyDescent="0.3">
      <c r="A100" t="s">
        <v>164</v>
      </c>
      <c r="B100" t="s">
        <v>48</v>
      </c>
      <c r="C100" t="s">
        <v>8</v>
      </c>
      <c r="D100" t="s">
        <v>165</v>
      </c>
      <c r="E100" t="s">
        <v>6102</v>
      </c>
    </row>
    <row r="101" spans="1:5" ht="18" hidden="1" customHeight="1" outlineLevel="1" x14ac:dyDescent="0.3">
      <c r="A101" t="s">
        <v>166</v>
      </c>
      <c r="B101" t="s">
        <v>48</v>
      </c>
      <c r="C101" t="s">
        <v>8</v>
      </c>
      <c r="D101" t="s">
        <v>165</v>
      </c>
      <c r="E101" t="s">
        <v>6102</v>
      </c>
    </row>
    <row r="102" spans="1:5" ht="18" hidden="1" customHeight="1" outlineLevel="1" x14ac:dyDescent="0.3">
      <c r="A102" t="s">
        <v>167</v>
      </c>
      <c r="B102" t="s">
        <v>48</v>
      </c>
      <c r="C102" t="s">
        <v>8</v>
      </c>
      <c r="D102" t="s">
        <v>168</v>
      </c>
      <c r="E102" t="s">
        <v>6103</v>
      </c>
    </row>
    <row r="103" spans="1:8" ht="18" hidden="1" customHeight="1" outlineLevel="1" x14ac:dyDescent="0.3">
      <c r="A103" t="s">
        <v>169</v>
      </c>
      <c r="B103" t="s">
        <v>48</v>
      </c>
      <c r="C103" t="s">
        <v>10</v>
      </c>
      <c r="D103" t="s">
        <v>170</v>
      </c>
      <c r="E103" t="s">
        <v>6104</v>
      </c>
      <c r="H103" t="inlineStr">
        <is>
          <t>PRINT COPY ROOM 04.202</t>
        </is>
      </c>
    </row>
    <row r="104" spans="1:8" ht="18" hidden="1" customHeight="1" outlineLevel="1" x14ac:dyDescent="0.3">
      <c r="A104" t="s">
        <v>171</v>
      </c>
      <c r="B104" t="s">
        <v>48</v>
      </c>
      <c r="C104" t="s">
        <v>8</v>
      </c>
      <c r="D104" t="s">
        <v>172</v>
      </c>
      <c r="E104" t="s">
        <v>8214</v>
      </c>
      <c r="H104" t="inlineStr">
        <is>
          <t>GSM ROOM 04.214</t>
        </is>
      </c>
    </row>
    <row r="105" spans="1:8" ht="18" hidden="1" customHeight="1" outlineLevel="1" x14ac:dyDescent="0.3">
      <c r="A105" t="s">
        <v>173</v>
      </c>
      <c r="B105" t="s">
        <v>48</v>
      </c>
      <c r="C105" t="s">
        <v>8</v>
      </c>
      <c r="D105" t="s">
        <v>172</v>
      </c>
      <c r="E105" t="s">
        <v>8214</v>
      </c>
      <c r="H105" t="inlineStr">
        <is>
          <t>GSM ROOM 04.214</t>
        </is>
      </c>
    </row>
    <row r="106" spans="1:8" ht="18" hidden="1" customHeight="1" outlineLevel="1" x14ac:dyDescent="0.3">
      <c r="A106" t="s">
        <v>174</v>
      </c>
      <c r="B106" t="s">
        <v>48</v>
      </c>
      <c r="C106" t="s">
        <v>10</v>
      </c>
      <c r="D106" t="s">
        <v>6036</v>
      </c>
      <c r="E106" t="s">
        <v>6105</v>
      </c>
      <c r="H106" t="inlineStr">
        <is>
          <t>BRIDGE BR-5 04.701</t>
        </is>
      </c>
    </row>
    <row r="107" spans="1:8" hidden="1" outlineLevel="1" x14ac:dyDescent="0.3">
      <c r="A107" t="s">
        <v>175</v>
      </c>
      <c r="B107" t="s">
        <v>48</v>
      </c>
      <c r="C107" t="s">
        <v>10</v>
      </c>
      <c r="D107" t="s">
        <v>6036</v>
      </c>
      <c r="E107" t="s">
        <v>6105</v>
      </c>
      <c r="H107" t="inlineStr">
        <is>
          <t>BRIDGE BR-5 04.701</t>
        </is>
      </c>
    </row>
    <row r="108" spans="1:8" hidden="1" outlineLevel="1" x14ac:dyDescent="0.3">
      <c r="A108" t="s">
        <v>176</v>
      </c>
      <c r="B108" t="s">
        <v>48</v>
      </c>
      <c r="C108" t="s">
        <v>10</v>
      </c>
      <c r="D108" t="s">
        <v>6036</v>
      </c>
      <c r="E108" t="s">
        <v>6105</v>
      </c>
      <c r="H108" t="inlineStr">
        <is>
          <t>BRIDGE BR-5 04.701</t>
        </is>
      </c>
    </row>
    <row r="109" spans="1:8" ht="18" hidden="1" customHeight="1" outlineLevel="1" x14ac:dyDescent="0.3">
      <c r="A109" t="s">
        <v>177</v>
      </c>
      <c r="B109" t="s">
        <v>48</v>
      </c>
      <c r="C109" t="s">
        <v>10</v>
      </c>
      <c r="D109" t="s">
        <v>6036</v>
      </c>
      <c r="E109" t="s">
        <v>6105</v>
      </c>
      <c r="H109" t="inlineStr">
        <is>
          <t>BRIDGE BR-5 04.701</t>
        </is>
      </c>
    </row>
    <row r="110" spans="1:8" ht="18" hidden="1" customHeight="1" outlineLevel="1" x14ac:dyDescent="0.3">
      <c r="A110" t="s">
        <v>178</v>
      </c>
      <c r="B110" t="s">
        <v>48</v>
      </c>
      <c r="C110" t="s">
        <v>8</v>
      </c>
      <c r="D110" t="s">
        <v>179</v>
      </c>
      <c r="E110" t="s">
        <v>6106</v>
      </c>
      <c r="H110" t="inlineStr">
        <is>
          <t>BRIDGE BR-4 04.702</t>
        </is>
      </c>
    </row>
    <row r="111" spans="1:8" ht="18" hidden="1" customHeight="1" outlineLevel="1" x14ac:dyDescent="0.3">
      <c r="A111" t="s">
        <v>180</v>
      </c>
      <c r="B111" t="s">
        <v>48</v>
      </c>
      <c r="C111" t="s">
        <v>8</v>
      </c>
      <c r="D111" t="s">
        <v>181</v>
      </c>
      <c r="E111" t="s">
        <v>6107</v>
      </c>
      <c r="H111" t="inlineStr">
        <is>
          <t>BRIDGE BR-4 04.703</t>
        </is>
      </c>
    </row>
    <row r="112" spans="1:8" ht="18" hidden="1" customHeight="1" outlineLevel="1" x14ac:dyDescent="0.3">
      <c r="A112" t="s">
        <v>182</v>
      </c>
      <c r="B112" t="s">
        <v>48</v>
      </c>
      <c r="C112" t="s">
        <v>8</v>
      </c>
      <c r="D112" t="s">
        <v>179</v>
      </c>
      <c r="E112" t="s">
        <v>6106</v>
      </c>
      <c r="H112" t="inlineStr">
        <is>
          <t>BRIDGE BR-4 04.702</t>
        </is>
      </c>
    </row>
    <row r="113" spans="1:8" ht="18" hidden="1" customHeight="1" outlineLevel="1" x14ac:dyDescent="0.3">
      <c r="A113" t="s">
        <v>183</v>
      </c>
      <c r="B113" t="s">
        <v>48</v>
      </c>
      <c r="C113" t="s">
        <v>10</v>
      </c>
      <c r="D113" t="s">
        <v>184</v>
      </c>
      <c r="E113" t="s">
        <v>8215</v>
      </c>
      <c r="H113" t="inlineStr">
        <is>
          <t>PRINT COPY ROOM 04.110</t>
        </is>
      </c>
    </row>
    <row r="114" spans="1:5" ht="18" hidden="1" customHeight="1" outlineLevel="1" x14ac:dyDescent="0.3">
      <c r="A114" t="s">
        <v>185</v>
      </c>
      <c r="B114" t="s">
        <v>48</v>
      </c>
      <c r="C114" t="s">
        <v>8</v>
      </c>
      <c r="D114" t="s">
        <v>186</v>
      </c>
      <c r="E114" t="s">
        <v>6108</v>
      </c>
    </row>
    <row r="115" spans="1:5" ht="18" hidden="1" customHeight="1" outlineLevel="1" x14ac:dyDescent="0.3">
      <c r="A115" t="s">
        <v>187</v>
      </c>
      <c r="B115" t="s">
        <v>48</v>
      </c>
      <c r="C115" t="s">
        <v>8</v>
      </c>
      <c r="D115" t="s">
        <v>186</v>
      </c>
      <c r="E115" t="s">
        <v>6108</v>
      </c>
    </row>
    <row r="116" spans="1:5" ht="18" hidden="1" customHeight="1" outlineLevel="1" x14ac:dyDescent="0.3">
      <c r="A116" t="s">
        <v>188</v>
      </c>
      <c r="B116" t="s">
        <v>48</v>
      </c>
      <c r="C116" t="s">
        <v>8</v>
      </c>
      <c r="D116" t="s">
        <v>189</v>
      </c>
      <c r="E116" t="s">
        <v>6109</v>
      </c>
    </row>
    <row r="117" spans="1:8" ht="18" hidden="1" customHeight="1" outlineLevel="1" x14ac:dyDescent="0.3">
      <c r="A117" t="s">
        <v>190</v>
      </c>
      <c r="B117" t="s">
        <v>48</v>
      </c>
      <c r="C117" t="s">
        <v>10</v>
      </c>
      <c r="D117" t="s">
        <v>191</v>
      </c>
      <c r="E117" t="s">
        <v>6110</v>
      </c>
      <c r="H117" t="inlineStr">
        <is>
          <t>PRINT COPY ROOM 5.103</t>
        </is>
      </c>
    </row>
    <row r="118" spans="1:8" hidden="1" outlineLevel="1" x14ac:dyDescent="0.3">
      <c r="A118" t="s">
        <v>192</v>
      </c>
      <c r="B118" t="s">
        <v>48</v>
      </c>
      <c r="C118" t="s">
        <v>8</v>
      </c>
      <c r="D118" t="s">
        <v>193</v>
      </c>
      <c r="E118" t="s">
        <v>6111</v>
      </c>
      <c r="H118" t="inlineStr">
        <is>
          <t>BRIDGE BR-6 06.604</t>
        </is>
      </c>
    </row>
    <row r="119" spans="1:8" ht="18" hidden="1" customHeight="1" outlineLevel="1" x14ac:dyDescent="0.3">
      <c r="A119" t="s">
        <v>194</v>
      </c>
      <c r="B119" t="s">
        <v>48</v>
      </c>
      <c r="C119" t="s">
        <v>8</v>
      </c>
      <c r="D119" t="s">
        <v>193</v>
      </c>
      <c r="E119" t="s">
        <v>6111</v>
      </c>
      <c r="H119" t="inlineStr">
        <is>
          <t>BRIDGE BR-6 06.604</t>
        </is>
      </c>
    </row>
    <row r="120" spans="1:8" ht="18" hidden="1" customHeight="1" outlineLevel="1" x14ac:dyDescent="0.3">
      <c r="A120" t="s">
        <v>195</v>
      </c>
      <c r="B120" t="s">
        <v>48</v>
      </c>
      <c r="C120" t="s">
        <v>8</v>
      </c>
      <c r="D120" t="s">
        <v>193</v>
      </c>
      <c r="E120" t="s">
        <v>6111</v>
      </c>
      <c r="H120" t="inlineStr">
        <is>
          <t>BRIDGE BR-6 06.604</t>
        </is>
      </c>
    </row>
    <row r="121" spans="1:8" ht="18" hidden="1" customHeight="1" outlineLevel="1" x14ac:dyDescent="0.3">
      <c r="A121" t="s">
        <v>196</v>
      </c>
      <c r="B121" t="s">
        <v>48</v>
      </c>
      <c r="C121" t="s">
        <v>8</v>
      </c>
      <c r="D121" t="s">
        <v>197</v>
      </c>
      <c r="E121" t="s">
        <v>6101</v>
      </c>
      <c r="H121" t="inlineStr">
        <is>
          <t>BRIDGE BR-7 5.602</t>
        </is>
      </c>
    </row>
    <row r="122" spans="1:8" ht="18" hidden="1" customHeight="1" outlineLevel="1" x14ac:dyDescent="0.3">
      <c r="A122" t="s">
        <v>198</v>
      </c>
      <c r="B122" t="s">
        <v>48</v>
      </c>
      <c r="C122" t="s">
        <v>8</v>
      </c>
      <c r="D122" t="s">
        <v>197</v>
      </c>
      <c r="E122" t="s">
        <v>6101</v>
      </c>
      <c r="H122" t="inlineStr">
        <is>
          <t>BRIDGE BR-7 5.602</t>
        </is>
      </c>
    </row>
    <row r="123" spans="1:8" ht="18" hidden="1" customHeight="1" outlineLevel="1" x14ac:dyDescent="0.3">
      <c r="A123" t="s">
        <v>199</v>
      </c>
      <c r="B123" t="s">
        <v>48</v>
      </c>
      <c r="C123" t="s">
        <v>8</v>
      </c>
      <c r="D123" t="s">
        <v>197</v>
      </c>
      <c r="E123" t="s">
        <v>6101</v>
      </c>
      <c r="H123" t="inlineStr">
        <is>
          <t>BRIDGE BR-7 5.602</t>
        </is>
      </c>
    </row>
    <row r="124" spans="1:8" ht="18" hidden="1" customHeight="1" outlineLevel="1" x14ac:dyDescent="0.3">
      <c r="A124" t="s">
        <v>200</v>
      </c>
      <c r="B124" t="s">
        <v>48</v>
      </c>
      <c r="C124" t="s">
        <v>8</v>
      </c>
      <c r="D124" t="s">
        <v>197</v>
      </c>
      <c r="E124" t="s">
        <v>6101</v>
      </c>
      <c r="H124" t="inlineStr">
        <is>
          <t>BRIDGE BR-7 5.602</t>
        </is>
      </c>
    </row>
    <row r="125" spans="1:5" ht="18" hidden="1" customHeight="1" outlineLevel="1" x14ac:dyDescent="0.3">
      <c r="A125" t="s">
        <v>201</v>
      </c>
      <c r="B125" t="s">
        <v>48</v>
      </c>
      <c r="C125" t="s">
        <v>8</v>
      </c>
      <c r="D125" t="s">
        <v>202</v>
      </c>
      <c r="E125" t="s">
        <v>6112</v>
      </c>
    </row>
    <row r="126" spans="1:8" ht="18" hidden="1" customHeight="1" outlineLevel="1" x14ac:dyDescent="0.3">
      <c r="A126" t="s">
        <v>203</v>
      </c>
      <c r="B126" t="s">
        <v>48</v>
      </c>
      <c r="C126" s="26"/>
      <c r="D126" s="11" t="s">
        <v>204</v>
      </c>
      <c r="H126" t="inlineStr">
        <is>
          <t>IDF ROOM B.512</t>
        </is>
      </c>
    </row>
    <row r="127" spans="1:5" ht="18" hidden="1" customHeight="1" outlineLevel="1" x14ac:dyDescent="0.3">
      <c r="A127" t="s">
        <v>205</v>
      </c>
      <c r="B127" t="s">
        <v>48</v>
      </c>
      <c r="C127" t="s">
        <v>8</v>
      </c>
      <c r="D127" t="s">
        <v>206</v>
      </c>
      <c r="E127" t="s">
        <v>6113</v>
      </c>
    </row>
    <row r="128" spans="1:8" ht="18" hidden="1" customHeight="1" outlineLevel="1" x14ac:dyDescent="0.3">
      <c r="A128" t="s">
        <v>207</v>
      </c>
      <c r="B128" t="s">
        <v>48</v>
      </c>
      <c r="C128" t="s">
        <v>8</v>
      </c>
      <c r="D128" t="s">
        <v>208</v>
      </c>
      <c r="E128" t="s">
        <v>6114</v>
      </c>
      <c r="H128" t="inlineStr">
        <is>
          <t>BRIDGE BR-8 07.602</t>
        </is>
      </c>
    </row>
    <row r="129" spans="1:8" ht="18" hidden="1" customHeight="1" outlineLevel="1" x14ac:dyDescent="0.3">
      <c r="A129" t="s">
        <v>209</v>
      </c>
      <c r="B129" t="s">
        <v>48</v>
      </c>
      <c r="C129" t="s">
        <v>8</v>
      </c>
      <c r="D129" t="s">
        <v>208</v>
      </c>
      <c r="E129" t="s">
        <v>6114</v>
      </c>
      <c r="H129" t="inlineStr">
        <is>
          <t>BRIDGE BR-8 07.602</t>
        </is>
      </c>
    </row>
    <row r="130" spans="1:8" ht="18" hidden="1" customHeight="1" outlineLevel="1" x14ac:dyDescent="0.3">
      <c r="A130" t="s">
        <v>210</v>
      </c>
      <c r="B130" t="s">
        <v>48</v>
      </c>
      <c r="C130" t="s">
        <v>8</v>
      </c>
      <c r="D130" t="s">
        <v>208</v>
      </c>
      <c r="E130" t="s">
        <v>6114</v>
      </c>
      <c r="H130" t="inlineStr">
        <is>
          <t>BRIDGE BR-8 07.602</t>
        </is>
      </c>
    </row>
    <row r="131" spans="1:8" ht="18" hidden="1" customHeight="1" outlineLevel="1" x14ac:dyDescent="0.3">
      <c r="A131" t="s">
        <v>211</v>
      </c>
      <c r="B131" t="s">
        <v>48</v>
      </c>
      <c r="C131" t="s">
        <v>10</v>
      </c>
      <c r="D131" t="s">
        <v>212</v>
      </c>
      <c r="E131" t="s">
        <v>6115</v>
      </c>
      <c r="H131" t="inlineStr">
        <is>
          <t>PRINT COPY ROOM 06.104</t>
        </is>
      </c>
    </row>
    <row r="132" spans="1:8" ht="18" hidden="1" customHeight="1" outlineLevel="1" x14ac:dyDescent="0.3">
      <c r="A132" t="s">
        <v>213</v>
      </c>
      <c r="B132" t="s">
        <v>48</v>
      </c>
      <c r="C132" t="s">
        <v>10</v>
      </c>
      <c r="D132" t="s">
        <v>214</v>
      </c>
      <c r="E132" t="s">
        <v>6116</v>
      </c>
      <c r="H132" t="inlineStr">
        <is>
          <t>PRINT COPY ROOM 06.208</t>
        </is>
      </c>
    </row>
    <row r="133" spans="1:5" ht="18" hidden="1" customHeight="1" outlineLevel="1" x14ac:dyDescent="0.3">
      <c r="A133" t="s">
        <v>215</v>
      </c>
      <c r="B133" t="s">
        <v>48</v>
      </c>
      <c r="C133" t="s">
        <v>8</v>
      </c>
      <c r="D133" t="s">
        <v>216</v>
      </c>
      <c r="E133" t="s">
        <v>6117</v>
      </c>
    </row>
    <row r="134" spans="1:5" ht="18" hidden="1" customHeight="1" outlineLevel="1" x14ac:dyDescent="0.3">
      <c r="A134" t="s">
        <v>217</v>
      </c>
      <c r="B134" t="s">
        <v>48</v>
      </c>
      <c r="C134" t="s">
        <v>8</v>
      </c>
      <c r="D134" t="s">
        <v>216</v>
      </c>
      <c r="E134" t="s">
        <v>6117</v>
      </c>
    </row>
    <row r="135" spans="1:5" ht="18" hidden="1" customHeight="1" outlineLevel="1" x14ac:dyDescent="0.3">
      <c r="A135" t="s">
        <v>218</v>
      </c>
      <c r="B135" t="s">
        <v>48</v>
      </c>
      <c r="C135" t="s">
        <v>8</v>
      </c>
      <c r="D135" t="s">
        <v>219</v>
      </c>
      <c r="E135" t="s">
        <v>6118</v>
      </c>
    </row>
    <row r="136" spans="1:8" ht="18" hidden="1" customHeight="1" outlineLevel="1" x14ac:dyDescent="0.3">
      <c r="A136" t="s">
        <v>220</v>
      </c>
      <c r="B136" t="s">
        <v>48</v>
      </c>
      <c r="C136" t="s">
        <v>10</v>
      </c>
      <c r="D136" t="s">
        <v>221</v>
      </c>
      <c r="E136" t="s">
        <v>6119</v>
      </c>
      <c r="H136" t="inlineStr">
        <is>
          <t>PRINT COPY ROOM 7.101</t>
        </is>
      </c>
    </row>
    <row r="137" spans="1:8" ht="18" hidden="1" customHeight="1" outlineLevel="1" x14ac:dyDescent="0.3">
      <c r="A137" t="s">
        <v>222</v>
      </c>
      <c r="B137" t="s">
        <v>48</v>
      </c>
      <c r="C137" t="s">
        <v>10</v>
      </c>
      <c r="D137" t="s">
        <v>223</v>
      </c>
      <c r="E137" t="s">
        <v>6120</v>
      </c>
      <c r="H137" t="inlineStr">
        <is>
          <t>PRINT COPY ROOM 7.104</t>
        </is>
      </c>
    </row>
    <row r="138" spans="1:5" ht="18" hidden="1" customHeight="1" outlineLevel="1" x14ac:dyDescent="0.3">
      <c r="A138" t="s">
        <v>224</v>
      </c>
      <c r="B138" t="s">
        <v>48</v>
      </c>
      <c r="C138" t="s">
        <v>8</v>
      </c>
      <c r="D138" t="s">
        <v>225</v>
      </c>
      <c r="E138" t="s">
        <v>6121</v>
      </c>
    </row>
    <row r="139" spans="1:5" ht="18" hidden="1" customHeight="1" outlineLevel="1" x14ac:dyDescent="0.3">
      <c r="A139" t="s">
        <v>226</v>
      </c>
      <c r="B139" t="s">
        <v>48</v>
      </c>
      <c r="C139" t="s">
        <v>8</v>
      </c>
      <c r="D139" t="s">
        <v>227</v>
      </c>
      <c r="E139" t="s">
        <v>6122</v>
      </c>
    </row>
    <row r="140" spans="1:5" ht="18" hidden="1" customHeight="1" outlineLevel="1" x14ac:dyDescent="0.3">
      <c r="A140" t="s">
        <v>228</v>
      </c>
      <c r="B140" t="s">
        <v>48</v>
      </c>
      <c r="C140" t="s">
        <v>8</v>
      </c>
      <c r="D140" t="s">
        <v>73</v>
      </c>
      <c r="E140" t="s">
        <v>6067</v>
      </c>
    </row>
    <row r="141" spans="1:5" ht="18" hidden="1" customHeight="1" outlineLevel="1" x14ac:dyDescent="0.3">
      <c r="A141" t="s">
        <v>229</v>
      </c>
      <c r="B141" t="s">
        <v>48</v>
      </c>
      <c r="C141" t="s">
        <v>8</v>
      </c>
      <c r="D141" t="s">
        <v>230</v>
      </c>
      <c r="E141" t="s">
        <v>6123</v>
      </c>
    </row>
    <row r="142" spans="1:5" ht="18" hidden="1" customHeight="1" outlineLevel="1" x14ac:dyDescent="0.3">
      <c r="A142" t="s">
        <v>231</v>
      </c>
      <c r="B142" t="s">
        <v>48</v>
      </c>
      <c r="C142" t="s">
        <v>8</v>
      </c>
      <c r="D142" t="s">
        <v>232</v>
      </c>
      <c r="E142" t="s">
        <v>6124</v>
      </c>
    </row>
    <row r="143" spans="1:8" ht="18" hidden="1" customHeight="1" outlineLevel="1" x14ac:dyDescent="0.3">
      <c r="A143" t="s">
        <v>233</v>
      </c>
      <c r="B143" t="s">
        <v>48</v>
      </c>
      <c r="C143" t="s">
        <v>8</v>
      </c>
      <c r="D143" t="s">
        <v>234</v>
      </c>
      <c r="E143" t="s">
        <v>6125</v>
      </c>
      <c r="H143" t="inlineStr">
        <is>
          <t>IDF ROOM 01.512</t>
        </is>
      </c>
    </row>
    <row r="144" spans="1:5" ht="18" hidden="1" customHeight="1" outlineLevel="1" x14ac:dyDescent="0.3">
      <c r="A144" t="s">
        <v>235</v>
      </c>
      <c r="B144" t="s">
        <v>48</v>
      </c>
      <c r="C144" t="s">
        <v>8</v>
      </c>
      <c r="D144" t="s">
        <v>236</v>
      </c>
      <c r="E144" t="s">
        <v>6126</v>
      </c>
    </row>
    <row r="145" spans="1:8" ht="18" hidden="1" customHeight="1" outlineLevel="1" x14ac:dyDescent="0.3">
      <c r="A145" t="s">
        <v>237</v>
      </c>
      <c r="B145" t="s">
        <v>48</v>
      </c>
      <c r="C145" t="s">
        <v>10</v>
      </c>
      <c r="D145" t="s">
        <v>238</v>
      </c>
      <c r="E145" t="s">
        <v>6127</v>
      </c>
      <c r="H145" t="inlineStr">
        <is>
          <t>PRINT COPY ROOM 10.038</t>
        </is>
      </c>
    </row>
    <row r="146" spans="1:8" ht="18" hidden="1" customHeight="1" outlineLevel="1" x14ac:dyDescent="0.3">
      <c r="A146" t="s">
        <v>239</v>
      </c>
      <c r="B146" t="s">
        <v>48</v>
      </c>
      <c r="C146" t="s">
        <v>10</v>
      </c>
      <c r="D146" t="s">
        <v>240</v>
      </c>
      <c r="E146" t="s">
        <v>6128</v>
      </c>
      <c r="H146" t="inlineStr">
        <is>
          <t>PRINT COPY ROOM 10.014</t>
        </is>
      </c>
    </row>
    <row r="147" spans="1:8" ht="18" hidden="1" customHeight="1" outlineLevel="1" x14ac:dyDescent="0.3">
      <c r="A147" t="s">
        <v>241</v>
      </c>
      <c r="B147" t="s">
        <v>48</v>
      </c>
      <c r="C147" t="s">
        <v>10</v>
      </c>
      <c r="D147" t="s">
        <v>242</v>
      </c>
      <c r="E147" t="s">
        <v>6129</v>
      </c>
      <c r="H147" t="inlineStr">
        <is>
          <t>AV ROOM 10.111</t>
        </is>
      </c>
    </row>
    <row r="148" spans="1:5" ht="18" hidden="1" customHeight="1" outlineLevel="1" x14ac:dyDescent="0.3">
      <c r="A148" t="s">
        <v>243</v>
      </c>
      <c r="B148" t="s">
        <v>48</v>
      </c>
      <c r="C148" t="s">
        <v>8</v>
      </c>
      <c r="D148" t="s">
        <v>244</v>
      </c>
      <c r="E148" t="s">
        <v>6130</v>
      </c>
    </row>
    <row r="149" spans="1:5" ht="18" hidden="1" customHeight="1" outlineLevel="1" x14ac:dyDescent="0.3">
      <c r="A149" t="s">
        <v>245</v>
      </c>
      <c r="B149" t="s">
        <v>48</v>
      </c>
      <c r="C149" t="s">
        <v>8</v>
      </c>
      <c r="D149" t="s">
        <v>244</v>
      </c>
      <c r="E149" t="s">
        <v>6130</v>
      </c>
    </row>
    <row r="150" spans="1:8" ht="18" hidden="1" customHeight="1" outlineLevel="1" x14ac:dyDescent="0.3">
      <c r="A150" t="s">
        <v>246</v>
      </c>
      <c r="B150" t="s">
        <v>48</v>
      </c>
      <c r="C150" t="s">
        <v>10</v>
      </c>
      <c r="D150" t="s">
        <v>247</v>
      </c>
      <c r="E150" t="s">
        <v>6131</v>
      </c>
      <c r="H150" t="inlineStr">
        <is>
          <t>AV ROOM 11.101</t>
        </is>
      </c>
    </row>
    <row r="151" spans="1:5" ht="18" hidden="1" customHeight="1" outlineLevel="1" x14ac:dyDescent="0.3">
      <c r="A151" t="s">
        <v>248</v>
      </c>
      <c r="B151" t="s">
        <v>48</v>
      </c>
      <c r="C151" t="s">
        <v>8</v>
      </c>
      <c r="D151" t="s">
        <v>249</v>
      </c>
      <c r="E151" t="s">
        <v>6132</v>
      </c>
    </row>
    <row r="152" spans="1:5" ht="18" hidden="1" customHeight="1" outlineLevel="1" x14ac:dyDescent="0.3">
      <c r="A152" t="s">
        <v>250</v>
      </c>
      <c r="B152" t="s">
        <v>48</v>
      </c>
      <c r="C152" t="s">
        <v>10</v>
      </c>
      <c r="D152" t="s">
        <v>251</v>
      </c>
      <c r="E152" t="s">
        <v>6133</v>
      </c>
    </row>
    <row r="153" spans="1:5" ht="18" hidden="1" customHeight="1" outlineLevel="1" x14ac:dyDescent="0.3">
      <c r="A153" t="s">
        <v>252</v>
      </c>
      <c r="B153" t="s">
        <v>48</v>
      </c>
      <c r="C153" t="s">
        <v>8</v>
      </c>
      <c r="D153" t="s">
        <v>253</v>
      </c>
      <c r="E153" t="s">
        <v>6134</v>
      </c>
    </row>
    <row r="154" spans="1:5" ht="18" hidden="1" customHeight="1" outlineLevel="1" x14ac:dyDescent="0.3">
      <c r="A154" t="s">
        <v>254</v>
      </c>
      <c r="B154" t="s">
        <v>48</v>
      </c>
      <c r="C154" t="s">
        <v>8</v>
      </c>
      <c r="D154" t="s">
        <v>255</v>
      </c>
      <c r="E154" t="s">
        <v>6135</v>
      </c>
    </row>
    <row r="155" spans="1:8" ht="18" hidden="1" customHeight="1" outlineLevel="1" x14ac:dyDescent="0.3">
      <c r="A155" t="s">
        <v>256</v>
      </c>
      <c r="B155" t="s">
        <v>48</v>
      </c>
      <c r="C155" t="s">
        <v>8</v>
      </c>
      <c r="D155" t="s">
        <v>257</v>
      </c>
      <c r="E155" t="s">
        <v>6136</v>
      </c>
      <c r="H155" t="inlineStr">
        <is>
          <t>MCC HOUSING 01 12.002</t>
        </is>
      </c>
    </row>
    <row r="156" spans="1:8" ht="18" hidden="1" customHeight="1" outlineLevel="1" x14ac:dyDescent="0.3">
      <c r="A156" t="s">
        <v>258</v>
      </c>
      <c r="B156" t="s">
        <v>48</v>
      </c>
      <c r="C156" t="s">
        <v>8</v>
      </c>
      <c r="D156" t="s">
        <v>257</v>
      </c>
      <c r="E156" t="s">
        <v>6136</v>
      </c>
      <c r="H156" t="inlineStr">
        <is>
          <t>MCC HOUSING 02 12.002</t>
        </is>
      </c>
    </row>
    <row r="157" spans="1:8" ht="18" hidden="1" customHeight="1" outlineLevel="1" x14ac:dyDescent="0.3">
      <c r="A157" t="s">
        <v>259</v>
      </c>
      <c r="B157" t="s">
        <v>48</v>
      </c>
      <c r="C157" t="s">
        <v>8</v>
      </c>
      <c r="D157" t="s">
        <v>260</v>
      </c>
      <c r="E157" t="s">
        <v>6137</v>
      </c>
      <c r="H157" t="inlineStr">
        <is>
          <t>MCC HOUSING 03 12.003</t>
        </is>
      </c>
    </row>
    <row r="158" spans="1:8" ht="18" hidden="1" customHeight="1" outlineLevel="1" x14ac:dyDescent="0.3">
      <c r="A158" t="s">
        <v>261</v>
      </c>
      <c r="B158" t="s">
        <v>48</v>
      </c>
      <c r="C158" t="s">
        <v>8</v>
      </c>
      <c r="D158" t="s">
        <v>260</v>
      </c>
      <c r="E158" t="s">
        <v>6137</v>
      </c>
      <c r="H158" t="inlineStr">
        <is>
          <t>MCC HOUSING 04 12.003</t>
        </is>
      </c>
    </row>
    <row r="159" spans="1:8" ht="18" hidden="1" customHeight="1" outlineLevel="1" x14ac:dyDescent="0.3">
      <c r="A159" t="s">
        <v>262</v>
      </c>
      <c r="B159" t="s">
        <v>48</v>
      </c>
      <c r="C159" t="s">
        <v>8</v>
      </c>
      <c r="D159" t="s">
        <v>263</v>
      </c>
      <c r="E159" t="s">
        <v>6138</v>
      </c>
      <c r="H159" t="inlineStr">
        <is>
          <t>MCC HOUSING 05 12.004</t>
        </is>
      </c>
    </row>
    <row r="160" spans="1:8" ht="18" hidden="1" customHeight="1" outlineLevel="1" x14ac:dyDescent="0.3">
      <c r="A160" t="s">
        <v>264</v>
      </c>
      <c r="B160" t="s">
        <v>48</v>
      </c>
      <c r="C160" t="s">
        <v>8</v>
      </c>
      <c r="D160" t="s">
        <v>265</v>
      </c>
      <c r="E160" t="s">
        <v>8216</v>
      </c>
      <c r="H160" t="inlineStr">
        <is>
          <t>CSRR &amp; VSD ROOM 12</t>
        </is>
      </c>
    </row>
    <row r="161" spans="1:8" ht="18" hidden="1" customHeight="1" outlineLevel="1" x14ac:dyDescent="0.3">
      <c r="A161" t="s">
        <v>266</v>
      </c>
      <c r="B161" t="s">
        <v>48</v>
      </c>
      <c r="C161" t="s">
        <v>8</v>
      </c>
      <c r="D161" t="s">
        <v>267</v>
      </c>
      <c r="E161" t="s">
        <v>6139</v>
      </c>
      <c r="H161" t="inlineStr">
        <is>
          <t>AV ROOM IN VISITOR CENTER 09.112</t>
        </is>
      </c>
    </row>
    <row r="162" spans="1:8" ht="18" hidden="1" customHeight="1" outlineLevel="1" x14ac:dyDescent="0.3">
      <c r="A162" t="s">
        <v>268</v>
      </c>
      <c r="B162" t="s">
        <v>269</v>
      </c>
      <c r="C162" t="s">
        <v>8</v>
      </c>
      <c r="D162" t="s">
        <v>270</v>
      </c>
      <c r="E162" t="s">
        <v>6140</v>
      </c>
      <c r="H162" t="inlineStr">
        <is>
          <t>LOBBY B.103</t>
        </is>
      </c>
    </row>
    <row r="163" spans="1:5" ht="18" hidden="1" customHeight="1" outlineLevel="1" x14ac:dyDescent="0.3">
      <c r="A163" t="s">
        <v>271</v>
      </c>
      <c r="B163" t="s">
        <v>269</v>
      </c>
      <c r="C163" t="s">
        <v>8</v>
      </c>
      <c r="D163" t="s">
        <v>272</v>
      </c>
      <c r="E163" t="s">
        <v>6141</v>
      </c>
    </row>
    <row r="164" spans="1:5" ht="18" hidden="1" customHeight="1" outlineLevel="1" x14ac:dyDescent="0.3">
      <c r="A164" t="s">
        <v>273</v>
      </c>
      <c r="B164" t="s">
        <v>269</v>
      </c>
      <c r="C164" t="s">
        <v>8</v>
      </c>
      <c r="D164" t="s">
        <v>272</v>
      </c>
      <c r="E164" t="s">
        <v>6141</v>
      </c>
    </row>
    <row r="165" spans="1:8" ht="18" hidden="1" customHeight="1" outlineLevel="1" x14ac:dyDescent="0.3">
      <c r="A165" t="s">
        <v>274</v>
      </c>
      <c r="B165" t="s">
        <v>269</v>
      </c>
      <c r="C165" t="s">
        <v>10</v>
      </c>
      <c r="D165" t="s">
        <v>275</v>
      </c>
      <c r="E165" t="s">
        <v>6142</v>
      </c>
      <c r="H165" t="inlineStr">
        <is>
          <t>MALE BREAK ROOM B.110</t>
        </is>
      </c>
    </row>
    <row r="166" spans="1:8" ht="18" hidden="1" customHeight="1" outlineLevel="1" x14ac:dyDescent="0.3">
      <c r="A166" t="s">
        <v>276</v>
      </c>
      <c r="B166" t="s">
        <v>269</v>
      </c>
      <c r="C166" t="s">
        <v>8</v>
      </c>
      <c r="D166" t="s">
        <v>277</v>
      </c>
      <c r="E166" t="s">
        <v>6143</v>
      </c>
      <c r="H166" t="inlineStr">
        <is>
          <t>HH LOBBY B.116</t>
        </is>
      </c>
    </row>
    <row r="167" spans="1:5" ht="18" hidden="1" customHeight="1" outlineLevel="1" x14ac:dyDescent="0.3">
      <c r="A167" t="s">
        <v>278</v>
      </c>
      <c r="B167" t="s">
        <v>269</v>
      </c>
      <c r="C167" t="s">
        <v>8</v>
      </c>
      <c r="D167" t="s">
        <v>277</v>
      </c>
      <c r="E167" t="s">
        <v>6143</v>
      </c>
    </row>
    <row r="168" spans="1:5" ht="18" hidden="1" customHeight="1" outlineLevel="1" x14ac:dyDescent="0.3">
      <c r="A168" t="s">
        <v>279</v>
      </c>
      <c r="B168" t="s">
        <v>269</v>
      </c>
      <c r="C168" t="s">
        <v>8</v>
      </c>
      <c r="D168" t="s">
        <v>280</v>
      </c>
      <c r="E168" t="s">
        <v>6144</v>
      </c>
    </row>
    <row r="169" spans="1:5" ht="18" hidden="1" customHeight="1" outlineLevel="1" x14ac:dyDescent="0.3">
      <c r="A169" t="s">
        <v>281</v>
      </c>
      <c r="B169" t="s">
        <v>269</v>
      </c>
      <c r="C169" t="s">
        <v>8</v>
      </c>
      <c r="D169" t="s">
        <v>282</v>
      </c>
      <c r="E169" t="s">
        <v>6145</v>
      </c>
    </row>
    <row r="170" spans="1:5" ht="18" hidden="1" customHeight="1" outlineLevel="1" x14ac:dyDescent="0.3">
      <c r="A170" t="s">
        <v>283</v>
      </c>
      <c r="B170" t="s">
        <v>269</v>
      </c>
      <c r="C170" t="s">
        <v>10</v>
      </c>
      <c r="D170" t="s">
        <v>284</v>
      </c>
      <c r="E170" t="s">
        <v>6146</v>
      </c>
    </row>
    <row r="171" spans="1:8" ht="18" hidden="1" customHeight="1" outlineLevel="1" x14ac:dyDescent="0.3">
      <c r="A171" t="s">
        <v>285</v>
      </c>
      <c r="B171" t="s">
        <v>269</v>
      </c>
      <c r="C171" t="s">
        <v>10</v>
      </c>
      <c r="D171" t="s">
        <v>286</v>
      </c>
      <c r="E171" t="s">
        <v>6147</v>
      </c>
      <c r="H171" t="inlineStr">
        <is>
          <t>PR &amp; MARKET MANAGER G.011</t>
        </is>
      </c>
    </row>
    <row r="172" spans="1:5" ht="18" hidden="1" customHeight="1" outlineLevel="1" x14ac:dyDescent="0.3">
      <c r="A172" t="s">
        <v>287</v>
      </c>
      <c r="B172" t="s">
        <v>269</v>
      </c>
      <c r="C172" t="s">
        <v>10</v>
      </c>
      <c r="D172" t="s">
        <v>288</v>
      </c>
      <c r="E172" t="s">
        <v>6148</v>
      </c>
    </row>
    <row r="173" spans="1:8" ht="18" hidden="1" customHeight="1" outlineLevel="1" x14ac:dyDescent="0.3">
      <c r="A173" t="s">
        <v>289</v>
      </c>
      <c r="B173" t="s">
        <v>269</v>
      </c>
      <c r="C173" t="s">
        <v>8</v>
      </c>
      <c r="D173" t="s">
        <v>290</v>
      </c>
      <c r="E173" t="s">
        <v>6149</v>
      </c>
      <c r="H173" t="inlineStr">
        <is>
          <t>VISITORS CENT OFFICE G.014</t>
        </is>
      </c>
    </row>
    <row r="174" spans="1:5" ht="18" hidden="1" customHeight="1" outlineLevel="1" x14ac:dyDescent="0.3">
      <c r="A174" t="s">
        <v>291</v>
      </c>
      <c r="B174" t="s">
        <v>269</v>
      </c>
      <c r="C174" t="s">
        <v>10</v>
      </c>
      <c r="D174" t="s">
        <v>292</v>
      </c>
      <c r="E174" t="s">
        <v>6150</v>
      </c>
    </row>
    <row r="175" spans="1:8" ht="18" hidden="1" customHeight="1" outlineLevel="1" x14ac:dyDescent="0.3">
      <c r="A175" t="s">
        <v>293</v>
      </c>
      <c r="B175" t="s">
        <v>269</v>
      </c>
      <c r="C175" t="s">
        <v>10</v>
      </c>
      <c r="D175" t="s">
        <v>294</v>
      </c>
      <c r="E175" t="s">
        <v>6151</v>
      </c>
      <c r="H175" t="inlineStr">
        <is>
          <t>PR &amp; MARKET STAFF G.018</t>
        </is>
      </c>
    </row>
    <row r="176" spans="1:8" ht="18" hidden="1" customHeight="1" outlineLevel="1" x14ac:dyDescent="0.3">
      <c r="A176" t="s">
        <v>295</v>
      </c>
      <c r="B176" t="s">
        <v>269</v>
      </c>
      <c r="C176" t="s">
        <v>10</v>
      </c>
      <c r="D176" t="s">
        <v>296</v>
      </c>
      <c r="E176" t="s">
        <v>6152</v>
      </c>
      <c r="H176" t="inlineStr">
        <is>
          <t>PR &amp; MARKET STAFF G.019</t>
        </is>
      </c>
    </row>
    <row r="177" spans="1:8" ht="18" hidden="1" customHeight="1" outlineLevel="1" x14ac:dyDescent="0.3">
      <c r="A177" t="s">
        <v>297</v>
      </c>
      <c r="B177" t="s">
        <v>269</v>
      </c>
      <c r="C177" t="s">
        <v>10</v>
      </c>
      <c r="D177" t="s">
        <v>298</v>
      </c>
      <c r="E177" t="s">
        <v>6153</v>
      </c>
      <c r="H177" t="inlineStr">
        <is>
          <t>PR &amp; MARKET STAFF G.020</t>
        </is>
      </c>
    </row>
    <row r="178" spans="1:8" ht="18" hidden="1" customHeight="1" outlineLevel="1" x14ac:dyDescent="0.3">
      <c r="A178" t="s">
        <v>299</v>
      </c>
      <c r="B178" t="s">
        <v>269</v>
      </c>
      <c r="C178" t="s">
        <v>10</v>
      </c>
      <c r="D178" t="s">
        <v>300</v>
      </c>
      <c r="E178" t="s">
        <v>6154</v>
      </c>
      <c r="H178" t="inlineStr">
        <is>
          <t>PR &amp; MARKET STAFF G.021</t>
        </is>
      </c>
    </row>
    <row r="179" spans="1:8" ht="18" hidden="1" customHeight="1" outlineLevel="1" x14ac:dyDescent="0.3">
      <c r="A179" t="s">
        <v>301</v>
      </c>
      <c r="B179" t="s">
        <v>269</v>
      </c>
      <c r="C179" t="s">
        <v>10</v>
      </c>
      <c r="D179" t="s">
        <v>302</v>
      </c>
      <c r="E179" t="s">
        <v>6155</v>
      </c>
      <c r="H179" t="inlineStr">
        <is>
          <t>PR &amp; MARKET SECRETARY G.022</t>
        </is>
      </c>
    </row>
    <row r="180" spans="1:5" ht="18" hidden="1" customHeight="1" outlineLevel="1" x14ac:dyDescent="0.3">
      <c r="A180" t="s">
        <v>303</v>
      </c>
      <c r="B180" t="s">
        <v>269</v>
      </c>
      <c r="C180" t="s">
        <v>10</v>
      </c>
      <c r="D180" t="s">
        <v>304</v>
      </c>
      <c r="E180" t="s">
        <v>6156</v>
      </c>
    </row>
    <row r="181" spans="1:8" ht="18" hidden="1" customHeight="1" outlineLevel="1" x14ac:dyDescent="0.3">
      <c r="A181" t="s">
        <v>305</v>
      </c>
      <c r="B181" t="s">
        <v>269</v>
      </c>
      <c r="C181" t="s">
        <v>8</v>
      </c>
      <c r="D181" t="s">
        <v>306</v>
      </c>
      <c r="E181" t="s">
        <v>6157</v>
      </c>
      <c r="H181" t="inlineStr">
        <is>
          <t>CORRIDOR NE</t>
        </is>
      </c>
    </row>
    <row r="182" spans="1:5" ht="18" hidden="1" customHeight="1" outlineLevel="1" x14ac:dyDescent="0.3">
      <c r="A182" t="s">
        <v>307</v>
      </c>
      <c r="B182" t="s">
        <v>269</v>
      </c>
      <c r="C182" t="s">
        <v>8</v>
      </c>
      <c r="D182" t="s">
        <v>306</v>
      </c>
      <c r="E182" t="s">
        <v>6157</v>
      </c>
    </row>
    <row r="183" spans="1:5" ht="18" hidden="1" customHeight="1" outlineLevel="1" x14ac:dyDescent="0.3">
      <c r="A183" t="s">
        <v>308</v>
      </c>
      <c r="B183" t="s">
        <v>269</v>
      </c>
      <c r="C183" t="s">
        <v>10</v>
      </c>
      <c r="D183" t="s">
        <v>309</v>
      </c>
      <c r="E183" t="s">
        <v>6158</v>
      </c>
    </row>
    <row r="184" spans="1:8" ht="18" hidden="1" customHeight="1" outlineLevel="1" x14ac:dyDescent="0.3">
      <c r="A184" t="s">
        <v>310</v>
      </c>
      <c r="B184" t="s">
        <v>269</v>
      </c>
      <c r="C184" t="s">
        <v>8</v>
      </c>
      <c r="D184" t="s">
        <v>311</v>
      </c>
      <c r="E184" t="s">
        <v>6159</v>
      </c>
      <c r="H184" t="inlineStr">
        <is>
          <t>LOBBY NW</t>
        </is>
      </c>
    </row>
    <row r="185" spans="1:8" ht="18" hidden="1" customHeight="1" outlineLevel="1" x14ac:dyDescent="0.3">
      <c r="A185" t="s">
        <v>312</v>
      </c>
      <c r="B185" t="s">
        <v>269</v>
      </c>
      <c r="C185" t="s">
        <v>8</v>
      </c>
      <c r="D185" t="s">
        <v>311</v>
      </c>
      <c r="E185" t="s">
        <v>6159</v>
      </c>
      <c r="H185" t="inlineStr">
        <is>
          <t>AUDITORIUM STAIRS LOBBY G.006</t>
        </is>
      </c>
    </row>
    <row r="186" spans="1:5" ht="18" hidden="1" customHeight="1" outlineLevel="1" x14ac:dyDescent="0.3">
      <c r="A186" t="s">
        <v>313</v>
      </c>
      <c r="B186" t="s">
        <v>269</v>
      </c>
      <c r="C186" t="s">
        <v>8</v>
      </c>
      <c r="D186" t="s">
        <v>314</v>
      </c>
      <c r="E186" t="s">
        <v>6160</v>
      </c>
    </row>
    <row r="187" spans="1:5" ht="18" hidden="1" customHeight="1" outlineLevel="1" x14ac:dyDescent="0.3">
      <c r="A187" t="s">
        <v>315</v>
      </c>
      <c r="B187" t="s">
        <v>269</v>
      </c>
      <c r="C187" t="s">
        <v>8</v>
      </c>
      <c r="D187" t="s">
        <v>316</v>
      </c>
      <c r="E187" t="s">
        <v>6161</v>
      </c>
    </row>
    <row r="188" spans="1:5" ht="18" hidden="1" customHeight="1" outlineLevel="1" x14ac:dyDescent="0.3">
      <c r="A188" t="s">
        <v>317</v>
      </c>
      <c r="B188" t="s">
        <v>269</v>
      </c>
      <c r="C188" t="s">
        <v>8</v>
      </c>
      <c r="D188" t="s">
        <v>318</v>
      </c>
      <c r="E188" t="s">
        <v>6162</v>
      </c>
    </row>
    <row r="189" spans="1:5" ht="18" hidden="1" customHeight="1" outlineLevel="1" x14ac:dyDescent="0.3">
      <c r="A189" t="s">
        <v>319</v>
      </c>
      <c r="B189" t="s">
        <v>269</v>
      </c>
      <c r="C189" t="s">
        <v>8</v>
      </c>
      <c r="D189" t="s">
        <v>320</v>
      </c>
      <c r="E189" t="s">
        <v>6163</v>
      </c>
    </row>
    <row r="190" spans="1:8" ht="18" hidden="1" customHeight="1" outlineLevel="1" x14ac:dyDescent="0.3">
      <c r="A190" t="s">
        <v>321</v>
      </c>
      <c r="B190" t="s">
        <v>269</v>
      </c>
      <c r="C190" t="s">
        <v>8</v>
      </c>
      <c r="D190" t="s">
        <v>322</v>
      </c>
      <c r="E190" t="s">
        <v>8217</v>
      </c>
      <c r="H190" t="inlineStr">
        <is>
          <t>CORRIDOR SOUTH WEST SW</t>
        </is>
      </c>
    </row>
    <row r="191" spans="1:5" ht="18" hidden="1" customHeight="1" outlineLevel="1" x14ac:dyDescent="0.3">
      <c r="A191" t="s">
        <v>323</v>
      </c>
      <c r="B191" t="s">
        <v>269</v>
      </c>
      <c r="C191" t="s">
        <v>10</v>
      </c>
      <c r="D191" t="s">
        <v>324</v>
      </c>
      <c r="E191" t="s">
        <v>6164</v>
      </c>
    </row>
    <row r="192" spans="1:5" ht="18" hidden="1" customHeight="1" outlineLevel="1" x14ac:dyDescent="0.3">
      <c r="A192" t="s">
        <v>325</v>
      </c>
      <c r="B192" t="s">
        <v>269</v>
      </c>
      <c r="C192" t="s">
        <v>10</v>
      </c>
      <c r="D192" t="s">
        <v>326</v>
      </c>
      <c r="E192" t="s">
        <v>6165</v>
      </c>
    </row>
    <row r="193" spans="1:5" ht="18" hidden="1" customHeight="1" outlineLevel="1" x14ac:dyDescent="0.3">
      <c r="A193" t="s">
        <v>327</v>
      </c>
      <c r="B193" t="s">
        <v>269</v>
      </c>
      <c r="C193" t="s">
        <v>10</v>
      </c>
      <c r="D193" t="s">
        <v>328</v>
      </c>
      <c r="E193" t="s">
        <v>6166</v>
      </c>
    </row>
    <row r="194" spans="1:5" ht="18" hidden="1" customHeight="1" outlineLevel="1" x14ac:dyDescent="0.3">
      <c r="A194" t="s">
        <v>329</v>
      </c>
      <c r="B194" t="s">
        <v>269</v>
      </c>
      <c r="C194" t="s">
        <v>10</v>
      </c>
      <c r="D194" t="s">
        <v>330</v>
      </c>
      <c r="E194" t="s">
        <v>6167</v>
      </c>
    </row>
    <row r="195" spans="1:5" ht="18" hidden="1" customHeight="1" outlineLevel="1" x14ac:dyDescent="0.3">
      <c r="A195" t="s">
        <v>331</v>
      </c>
      <c r="B195" t="s">
        <v>269</v>
      </c>
      <c r="C195" t="s">
        <v>10</v>
      </c>
      <c r="D195" t="s">
        <v>332</v>
      </c>
      <c r="E195" t="s">
        <v>6168</v>
      </c>
    </row>
    <row r="196" spans="1:5" ht="18" hidden="1" customHeight="1" outlineLevel="1" x14ac:dyDescent="0.3">
      <c r="A196" t="s">
        <v>333</v>
      </c>
      <c r="B196" t="s">
        <v>269</v>
      </c>
      <c r="C196" t="s">
        <v>10</v>
      </c>
      <c r="D196" t="s">
        <v>334</v>
      </c>
      <c r="E196" t="s">
        <v>6169</v>
      </c>
    </row>
    <row r="197" spans="1:5" ht="18" hidden="1" customHeight="1" outlineLevel="1" x14ac:dyDescent="0.3">
      <c r="A197" t="s">
        <v>335</v>
      </c>
      <c r="B197" t="s">
        <v>269</v>
      </c>
      <c r="C197" t="s">
        <v>10</v>
      </c>
      <c r="D197" t="s">
        <v>336</v>
      </c>
      <c r="E197" t="s">
        <v>6170</v>
      </c>
    </row>
    <row r="198" spans="1:5" ht="18" hidden="1" customHeight="1" outlineLevel="1" x14ac:dyDescent="0.3">
      <c r="A198" t="s">
        <v>337</v>
      </c>
      <c r="B198" t="s">
        <v>269</v>
      </c>
      <c r="C198" t="s">
        <v>10</v>
      </c>
      <c r="D198" t="s">
        <v>338</v>
      </c>
      <c r="E198" t="s">
        <v>6171</v>
      </c>
    </row>
    <row r="199" spans="1:8" ht="18" hidden="1" customHeight="1" outlineLevel="1" x14ac:dyDescent="0.3">
      <c r="A199" t="s">
        <v>339</v>
      </c>
      <c r="B199" t="s">
        <v>269</v>
      </c>
      <c r="C199" t="s">
        <v>10</v>
      </c>
      <c r="D199" t="s">
        <v>340</v>
      </c>
      <c r="E199" t="s">
        <v>6172</v>
      </c>
      <c r="H199" t="inlineStr">
        <is>
          <t>PR &amp; MARKET STAFF G.030</t>
        </is>
      </c>
    </row>
    <row r="200" spans="1:8" ht="18" hidden="1" customHeight="1" outlineLevel="1" x14ac:dyDescent="0.3">
      <c r="A200" t="s">
        <v>341</v>
      </c>
      <c r="B200" t="s">
        <v>269</v>
      </c>
      <c r="C200" t="s">
        <v>10</v>
      </c>
      <c r="D200" t="s">
        <v>342</v>
      </c>
      <c r="E200" t="s">
        <v>6173</v>
      </c>
      <c r="H200" t="inlineStr">
        <is>
          <t>PR &amp; MARKET STAFF G.029</t>
        </is>
      </c>
    </row>
    <row r="201" spans="1:5" ht="18" hidden="1" customHeight="1" outlineLevel="1" x14ac:dyDescent="0.3">
      <c r="A201" t="s">
        <v>343</v>
      </c>
      <c r="B201" t="s">
        <v>269</v>
      </c>
      <c r="C201" t="s">
        <v>10</v>
      </c>
      <c r="D201" t="s">
        <v>342</v>
      </c>
      <c r="E201" t="s">
        <v>6173</v>
      </c>
    </row>
    <row r="202" spans="1:8" ht="18" hidden="1" customHeight="1" outlineLevel="1" x14ac:dyDescent="0.3">
      <c r="A202" t="s">
        <v>344</v>
      </c>
      <c r="B202" t="s">
        <v>269</v>
      </c>
      <c r="C202" t="s">
        <v>8</v>
      </c>
      <c r="D202" t="s">
        <v>345</v>
      </c>
      <c r="E202" t="s">
        <v>6174</v>
      </c>
      <c r="H202" t="inlineStr">
        <is>
          <t>PR &amp; MARKET DIR ENSUIT G.028</t>
        </is>
      </c>
    </row>
    <row r="203" spans="1:5" ht="18" hidden="1" customHeight="1" outlineLevel="1" x14ac:dyDescent="0.3">
      <c r="A203" t="s">
        <v>346</v>
      </c>
      <c r="B203" t="s">
        <v>269</v>
      </c>
      <c r="C203" t="s">
        <v>10</v>
      </c>
      <c r="D203" t="s">
        <v>347</v>
      </c>
      <c r="E203" t="s">
        <v>6175</v>
      </c>
    </row>
    <row r="204" spans="1:5" ht="18" hidden="1" customHeight="1" outlineLevel="1" x14ac:dyDescent="0.3">
      <c r="A204" t="s">
        <v>348</v>
      </c>
      <c r="B204" t="s">
        <v>269</v>
      </c>
      <c r="C204" t="s">
        <v>8</v>
      </c>
      <c r="D204" t="s">
        <v>349</v>
      </c>
      <c r="E204" t="s">
        <v>6176</v>
      </c>
    </row>
    <row r="205" spans="1:8" ht="18" hidden="1" customHeight="1" outlineLevel="1" x14ac:dyDescent="0.3">
      <c r="A205" t="s">
        <v>350</v>
      </c>
      <c r="B205" t="s">
        <v>269</v>
      </c>
      <c r="C205" t="s">
        <v>8</v>
      </c>
      <c r="D205" t="s">
        <v>351</v>
      </c>
      <c r="E205" t="s">
        <v>6177</v>
      </c>
      <c r="H205" t="inlineStr">
        <is>
          <t>E-TOWER LOBBY SE</t>
        </is>
      </c>
    </row>
    <row r="206" spans="1:5" ht="18" hidden="1" customHeight="1" outlineLevel="1" x14ac:dyDescent="0.3">
      <c r="A206" t="s">
        <v>352</v>
      </c>
      <c r="B206" t="s">
        <v>269</v>
      </c>
      <c r="C206" t="s">
        <v>8</v>
      </c>
      <c r="D206" t="s">
        <v>353</v>
      </c>
      <c r="E206" t="s">
        <v>6178</v>
      </c>
    </row>
    <row r="207" spans="1:5" ht="18" hidden="1" customHeight="1" outlineLevel="1" x14ac:dyDescent="0.3">
      <c r="A207" t="s">
        <v>354</v>
      </c>
      <c r="B207" t="s">
        <v>269</v>
      </c>
      <c r="C207" t="s">
        <v>8</v>
      </c>
      <c r="D207" t="s">
        <v>355</v>
      </c>
      <c r="E207" t="s">
        <v>6179</v>
      </c>
    </row>
    <row r="208" spans="1:5" ht="18" hidden="1" customHeight="1" outlineLevel="1" x14ac:dyDescent="0.3">
      <c r="A208" t="s">
        <v>356</v>
      </c>
      <c r="B208" t="s">
        <v>269</v>
      </c>
      <c r="C208" t="s">
        <v>10</v>
      </c>
      <c r="D208" t="s">
        <v>357</v>
      </c>
      <c r="E208" t="s">
        <v>6180</v>
      </c>
    </row>
    <row r="209" spans="1:5" ht="18" hidden="1" customHeight="1" outlineLevel="1" x14ac:dyDescent="0.3">
      <c r="A209" t="s">
        <v>358</v>
      </c>
      <c r="B209" t="s">
        <v>269</v>
      </c>
      <c r="C209" t="s">
        <v>10</v>
      </c>
      <c r="D209" t="s">
        <v>357</v>
      </c>
      <c r="E209" t="s">
        <v>6180</v>
      </c>
    </row>
    <row r="210" spans="1:5" ht="18" hidden="1" customHeight="1" outlineLevel="1" x14ac:dyDescent="0.3">
      <c r="A210" t="s">
        <v>359</v>
      </c>
      <c r="B210" t="s">
        <v>269</v>
      </c>
      <c r="C210" t="s">
        <v>10</v>
      </c>
      <c r="D210" t="s">
        <v>357</v>
      </c>
      <c r="E210" t="s">
        <v>6180</v>
      </c>
    </row>
    <row r="211" spans="1:5" ht="18" hidden="1" customHeight="1" outlineLevel="1" x14ac:dyDescent="0.3">
      <c r="A211" t="s">
        <v>360</v>
      </c>
      <c r="B211" t="s">
        <v>269</v>
      </c>
      <c r="C211" t="s">
        <v>10</v>
      </c>
      <c r="D211" t="s">
        <v>357</v>
      </c>
      <c r="E211" t="s">
        <v>6180</v>
      </c>
    </row>
    <row r="212" spans="1:8" ht="18" hidden="1" customHeight="1" outlineLevel="1" x14ac:dyDescent="0.3">
      <c r="A212" t="s">
        <v>361</v>
      </c>
      <c r="B212" t="s">
        <v>269</v>
      </c>
      <c r="C212" t="s">
        <v>10</v>
      </c>
      <c r="D212" t="s">
        <v>362</v>
      </c>
      <c r="E212" t="s">
        <v>6181</v>
      </c>
      <c r="H212" t="inlineStr">
        <is>
          <t>CONSULTANT SPACE TRAINEES G.108</t>
        </is>
      </c>
    </row>
    <row r="213" spans="1:5" ht="18" hidden="1" customHeight="1" outlineLevel="1" x14ac:dyDescent="0.3">
      <c r="A213" t="s">
        <v>363</v>
      </c>
      <c r="B213" t="s">
        <v>269</v>
      </c>
      <c r="C213" t="s">
        <v>10</v>
      </c>
      <c r="D213" t="s">
        <v>362</v>
      </c>
      <c r="E213" t="s">
        <v>6181</v>
      </c>
    </row>
    <row r="214" spans="1:5" ht="18" hidden="1" customHeight="1" outlineLevel="1" x14ac:dyDescent="0.3">
      <c r="A214" t="s">
        <v>364</v>
      </c>
      <c r="B214" t="s">
        <v>269</v>
      </c>
      <c r="C214" t="s">
        <v>8</v>
      </c>
      <c r="D214" t="s">
        <v>365</v>
      </c>
      <c r="E214" t="s">
        <v>6182</v>
      </c>
    </row>
    <row r="215" spans="1:5" ht="18" hidden="1" customHeight="1" outlineLevel="1" x14ac:dyDescent="0.3">
      <c r="A215" t="s">
        <v>366</v>
      </c>
      <c r="B215" t="s">
        <v>269</v>
      </c>
      <c r="C215" t="s">
        <v>8</v>
      </c>
      <c r="D215" t="s">
        <v>367</v>
      </c>
      <c r="E215" t="s">
        <v>6183</v>
      </c>
    </row>
    <row r="216" spans="1:5" ht="18" hidden="1" customHeight="1" outlineLevel="1" x14ac:dyDescent="0.3">
      <c r="A216" t="s">
        <v>368</v>
      </c>
      <c r="B216" t="s">
        <v>269</v>
      </c>
      <c r="C216" t="s">
        <v>8</v>
      </c>
      <c r="D216" t="s">
        <v>369</v>
      </c>
      <c r="E216" t="s">
        <v>6184</v>
      </c>
    </row>
    <row r="217" spans="1:8" ht="18" hidden="1" customHeight="1" outlineLevel="1" x14ac:dyDescent="0.3">
      <c r="A217" t="s">
        <v>370</v>
      </c>
      <c r="B217" t="s">
        <v>269</v>
      </c>
      <c r="C217" t="s">
        <v>10</v>
      </c>
      <c r="D217" t="s">
        <v>371</v>
      </c>
      <c r="E217" t="s">
        <v>6185</v>
      </c>
      <c r="H217" t="inlineStr">
        <is>
          <t>FINANCE PROFSTAFF 1.014</t>
        </is>
      </c>
    </row>
    <row r="218" spans="1:8" ht="18" hidden="1" customHeight="1" outlineLevel="1" x14ac:dyDescent="0.3">
      <c r="A218" t="s">
        <v>372</v>
      </c>
      <c r="B218" t="s">
        <v>269</v>
      </c>
      <c r="C218" t="s">
        <v>10</v>
      </c>
      <c r="D218" t="s">
        <v>373</v>
      </c>
      <c r="E218" t="s">
        <v>6186</v>
      </c>
      <c r="H218" t="inlineStr">
        <is>
          <t>FINANCE PROFSTAFF 1.015</t>
        </is>
      </c>
    </row>
    <row r="219" spans="1:5" ht="18" hidden="1" customHeight="1" outlineLevel="1" x14ac:dyDescent="0.3">
      <c r="A219" t="s">
        <v>374</v>
      </c>
      <c r="B219" t="s">
        <v>269</v>
      </c>
      <c r="C219" t="s">
        <v>10</v>
      </c>
      <c r="D219" t="s">
        <v>375</v>
      </c>
      <c r="E219" t="s">
        <v>6187</v>
      </c>
    </row>
    <row r="220" spans="1:8" ht="18" hidden="1" customHeight="1" outlineLevel="1" x14ac:dyDescent="0.3">
      <c r="A220" t="s">
        <v>376</v>
      </c>
      <c r="B220" t="s">
        <v>269</v>
      </c>
      <c r="C220" t="s">
        <v>8</v>
      </c>
      <c r="D220" t="s">
        <v>377</v>
      </c>
      <c r="E220" t="s">
        <v>6188</v>
      </c>
      <c r="H220" t="inlineStr">
        <is>
          <t>FINANCE DIRENSUIT 1.017</t>
        </is>
      </c>
    </row>
    <row r="221" spans="1:5" ht="18" hidden="1" customHeight="1" outlineLevel="1" x14ac:dyDescent="0.3">
      <c r="A221" t="s">
        <v>378</v>
      </c>
      <c r="B221" t="s">
        <v>269</v>
      </c>
      <c r="C221" t="s">
        <v>8</v>
      </c>
      <c r="D221" t="s">
        <v>379</v>
      </c>
      <c r="E221" t="s">
        <v>6189</v>
      </c>
    </row>
    <row r="222" spans="1:5" ht="18" hidden="1" customHeight="1" outlineLevel="1" x14ac:dyDescent="0.3">
      <c r="A222" t="s">
        <v>380</v>
      </c>
      <c r="B222" t="s">
        <v>269</v>
      </c>
      <c r="C222" t="s">
        <v>8</v>
      </c>
      <c r="D222" t="s">
        <v>381</v>
      </c>
      <c r="E222" t="s">
        <v>6190</v>
      </c>
    </row>
    <row r="223" spans="1:5" ht="18" hidden="1" customHeight="1" outlineLevel="1" x14ac:dyDescent="0.3">
      <c r="A223" t="s">
        <v>382</v>
      </c>
      <c r="B223" t="s">
        <v>269</v>
      </c>
      <c r="C223" t="s">
        <v>8</v>
      </c>
      <c r="D223" t="s">
        <v>383</v>
      </c>
      <c r="E223" t="s">
        <v>6191</v>
      </c>
    </row>
    <row r="224" spans="1:8" ht="18" hidden="1" customHeight="1" outlineLevel="1" x14ac:dyDescent="0.3">
      <c r="A224" t="s">
        <v>384</v>
      </c>
      <c r="B224" t="s">
        <v>269</v>
      </c>
      <c r="C224" t="s">
        <v>10</v>
      </c>
      <c r="D224" t="s">
        <v>385</v>
      </c>
      <c r="E224" t="s">
        <v>6192</v>
      </c>
      <c r="H224" t="inlineStr">
        <is>
          <t>FINANCE SECRETARY 1.021</t>
        </is>
      </c>
    </row>
    <row r="225" spans="1:8" ht="18" hidden="1" customHeight="1" outlineLevel="1" x14ac:dyDescent="0.3">
      <c r="A225" t="s">
        <v>386</v>
      </c>
      <c r="B225" t="s">
        <v>269</v>
      </c>
      <c r="C225" t="s">
        <v>10</v>
      </c>
      <c r="D225" t="s">
        <v>387</v>
      </c>
      <c r="E225" t="s">
        <v>6193</v>
      </c>
      <c r="H225" t="inlineStr">
        <is>
          <t>FINANCE SECRETARY 1.022</t>
        </is>
      </c>
    </row>
    <row r="226" spans="1:8" ht="18" hidden="1" customHeight="1" outlineLevel="1" x14ac:dyDescent="0.3">
      <c r="A226" t="s">
        <v>388</v>
      </c>
      <c r="B226" t="s">
        <v>269</v>
      </c>
      <c r="C226" t="s">
        <v>10</v>
      </c>
      <c r="D226" t="s">
        <v>389</v>
      </c>
      <c r="E226" t="s">
        <v>6194</v>
      </c>
      <c r="H226" t="inlineStr">
        <is>
          <t>FINANCE AUDITOR 1.023</t>
        </is>
      </c>
    </row>
    <row r="227" spans="1:8" ht="18" hidden="1" customHeight="1" outlineLevel="1" x14ac:dyDescent="0.3">
      <c r="A227" t="s">
        <v>390</v>
      </c>
      <c r="B227" t="s">
        <v>269</v>
      </c>
      <c r="C227" t="s">
        <v>10</v>
      </c>
      <c r="D227" t="s">
        <v>391</v>
      </c>
      <c r="E227" t="s">
        <v>6195</v>
      </c>
      <c r="H227" t="inlineStr">
        <is>
          <t>FINANCE AUDITOR 1.024</t>
        </is>
      </c>
    </row>
    <row r="228" spans="1:8" ht="18" hidden="1" customHeight="1" outlineLevel="1" x14ac:dyDescent="0.3">
      <c r="A228" t="s">
        <v>392</v>
      </c>
      <c r="B228" t="s">
        <v>269</v>
      </c>
      <c r="C228" t="s">
        <v>10</v>
      </c>
      <c r="D228" t="s">
        <v>393</v>
      </c>
      <c r="E228" t="s">
        <v>6196</v>
      </c>
      <c r="H228" t="inlineStr">
        <is>
          <t>FINANCE PROFSTAFF 1.025</t>
        </is>
      </c>
    </row>
    <row r="229" spans="1:8" ht="18" hidden="1" customHeight="1" outlineLevel="1" x14ac:dyDescent="0.3">
      <c r="A229" t="s">
        <v>394</v>
      </c>
      <c r="B229" t="s">
        <v>269</v>
      </c>
      <c r="C229" t="s">
        <v>10</v>
      </c>
      <c r="D229" t="s">
        <v>395</v>
      </c>
      <c r="E229" t="s">
        <v>6197</v>
      </c>
      <c r="H229" t="inlineStr">
        <is>
          <t>FINANCE PROFSTAFF 1.026</t>
        </is>
      </c>
    </row>
    <row r="230" spans="1:8" ht="18" hidden="1" customHeight="1" outlineLevel="1" x14ac:dyDescent="0.3">
      <c r="A230" t="s">
        <v>396</v>
      </c>
      <c r="B230" t="s">
        <v>269</v>
      </c>
      <c r="C230" t="s">
        <v>8</v>
      </c>
      <c r="D230" t="s">
        <v>397</v>
      </c>
      <c r="E230" t="s">
        <v>6198</v>
      </c>
      <c r="H230" t="inlineStr">
        <is>
          <t>FINANCE AUDITOR 1.027</t>
        </is>
      </c>
    </row>
    <row r="231" spans="1:5" ht="18" hidden="1" customHeight="1" outlineLevel="1" x14ac:dyDescent="0.3">
      <c r="A231" t="s">
        <v>398</v>
      </c>
      <c r="B231" t="s">
        <v>269</v>
      </c>
      <c r="C231" t="s">
        <v>8</v>
      </c>
      <c r="D231" t="s">
        <v>399</v>
      </c>
      <c r="E231" t="s">
        <v>6199</v>
      </c>
    </row>
    <row r="232" spans="1:5" ht="18" hidden="1" customHeight="1" outlineLevel="1" x14ac:dyDescent="0.3">
      <c r="A232" t="s">
        <v>400</v>
      </c>
      <c r="B232" t="s">
        <v>269</v>
      </c>
      <c r="C232" t="s">
        <v>8</v>
      </c>
      <c r="D232" t="s">
        <v>401</v>
      </c>
      <c r="E232" t="s">
        <v>6200</v>
      </c>
    </row>
    <row r="233" spans="1:8" ht="18" hidden="1" customHeight="1" outlineLevel="1" x14ac:dyDescent="0.3">
      <c r="A233" t="s">
        <v>402</v>
      </c>
      <c r="B233" t="s">
        <v>269</v>
      </c>
      <c r="C233" t="s">
        <v>10</v>
      </c>
      <c r="D233" t="s">
        <v>403</v>
      </c>
      <c r="E233" t="s">
        <v>6201</v>
      </c>
      <c r="H233" t="inlineStr">
        <is>
          <t>FINANCE CLERICAL SEC 1.001</t>
        </is>
      </c>
    </row>
    <row r="234" spans="1:8" ht="18" hidden="1" customHeight="1" outlineLevel="1" x14ac:dyDescent="0.3">
      <c r="A234" t="s">
        <v>404</v>
      </c>
      <c r="B234" t="s">
        <v>269</v>
      </c>
      <c r="C234" t="s">
        <v>8</v>
      </c>
      <c r="D234" t="s">
        <v>405</v>
      </c>
      <c r="E234" t="s">
        <v>6202</v>
      </c>
      <c r="H234" t="inlineStr">
        <is>
          <t>FINANCE MANAGERS 1.002</t>
        </is>
      </c>
    </row>
    <row r="235" spans="1:5" ht="18" hidden="1" customHeight="1" outlineLevel="1" x14ac:dyDescent="0.3">
      <c r="A235" t="s">
        <v>406</v>
      </c>
      <c r="B235" t="s">
        <v>269</v>
      </c>
      <c r="C235" t="s">
        <v>8</v>
      </c>
      <c r="D235" t="s">
        <v>407</v>
      </c>
      <c r="E235" t="s">
        <v>6203</v>
      </c>
    </row>
    <row r="236" spans="1:5" ht="18" hidden="1" customHeight="1" outlineLevel="1" x14ac:dyDescent="0.3">
      <c r="A236" t="s">
        <v>408</v>
      </c>
      <c r="B236" t="s">
        <v>269</v>
      </c>
      <c r="C236" t="s">
        <v>8</v>
      </c>
      <c r="D236" t="s">
        <v>409</v>
      </c>
      <c r="E236" t="s">
        <v>6204</v>
      </c>
    </row>
    <row r="237" spans="1:5" ht="18" hidden="1" customHeight="1" outlineLevel="1" x14ac:dyDescent="0.3">
      <c r="A237" t="s">
        <v>410</v>
      </c>
      <c r="B237" t="s">
        <v>269</v>
      </c>
      <c r="C237" t="s">
        <v>10</v>
      </c>
      <c r="D237" t="s">
        <v>411</v>
      </c>
      <c r="E237" t="s">
        <v>6205</v>
      </c>
    </row>
    <row r="238" spans="1:8" ht="18" hidden="1" customHeight="1" outlineLevel="1" x14ac:dyDescent="0.3">
      <c r="A238" t="s">
        <v>412</v>
      </c>
      <c r="B238" t="s">
        <v>269</v>
      </c>
      <c r="C238" t="s">
        <v>10</v>
      </c>
      <c r="D238" t="s">
        <v>413</v>
      </c>
      <c r="E238" t="s">
        <v>6206</v>
      </c>
      <c r="H238" t="inlineStr">
        <is>
          <t>FINANCE PROFSTAFF 1.006</t>
        </is>
      </c>
    </row>
    <row r="239" spans="1:8" ht="18" hidden="1" customHeight="1" outlineLevel="1" x14ac:dyDescent="0.3">
      <c r="A239" t="s">
        <v>414</v>
      </c>
      <c r="B239" t="s">
        <v>269</v>
      </c>
      <c r="C239" t="s">
        <v>10</v>
      </c>
      <c r="D239" t="s">
        <v>415</v>
      </c>
      <c r="E239" t="s">
        <v>6207</v>
      </c>
      <c r="H239" t="inlineStr">
        <is>
          <t>FINANCE CLERICAL PROFSTAFF 1.007</t>
        </is>
      </c>
    </row>
    <row r="240" spans="1:8" ht="18" hidden="1" customHeight="1" outlineLevel="1" x14ac:dyDescent="0.3">
      <c r="A240" t="s">
        <v>416</v>
      </c>
      <c r="B240" t="s">
        <v>269</v>
      </c>
      <c r="C240" t="s">
        <v>8</v>
      </c>
      <c r="D240" t="s">
        <v>417</v>
      </c>
      <c r="E240" t="s">
        <v>6208</v>
      </c>
      <c r="H240" t="inlineStr">
        <is>
          <t>VOID AREA, ROOM UNIT LOCATED @LVL 1 NORTH WEST AREA G.401</t>
        </is>
      </c>
    </row>
    <row r="241" spans="1:5" ht="18" hidden="1" customHeight="1" outlineLevel="1" x14ac:dyDescent="0.3">
      <c r="A241" t="s">
        <v>418</v>
      </c>
      <c r="B241" t="s">
        <v>269</v>
      </c>
      <c r="C241" t="s">
        <v>8</v>
      </c>
      <c r="D241" t="s">
        <v>417</v>
      </c>
      <c r="E241" t="s">
        <v>6208</v>
      </c>
    </row>
    <row r="242" spans="1:5" ht="18" hidden="1" customHeight="1" outlineLevel="1" x14ac:dyDescent="0.3">
      <c r="A242" t="s">
        <v>419</v>
      </c>
      <c r="B242" t="s">
        <v>269</v>
      </c>
      <c r="C242" t="s">
        <v>8</v>
      </c>
      <c r="D242" t="s">
        <v>417</v>
      </c>
      <c r="E242" t="s">
        <v>6208</v>
      </c>
    </row>
    <row r="243" spans="1:5" ht="18" hidden="1" customHeight="1" outlineLevel="1" x14ac:dyDescent="0.3">
      <c r="A243" t="s">
        <v>420</v>
      </c>
      <c r="B243" t="s">
        <v>269</v>
      </c>
      <c r="C243" t="s">
        <v>8</v>
      </c>
      <c r="D243" t="s">
        <v>421</v>
      </c>
      <c r="E243" t="s">
        <v>6209</v>
      </c>
    </row>
    <row r="244" spans="1:5" ht="18" hidden="1" customHeight="1" outlineLevel="1" x14ac:dyDescent="0.3">
      <c r="A244" t="s">
        <v>422</v>
      </c>
      <c r="B244" t="s">
        <v>269</v>
      </c>
      <c r="C244" t="s">
        <v>8</v>
      </c>
      <c r="D244" t="s">
        <v>421</v>
      </c>
      <c r="E244" t="s">
        <v>6209</v>
      </c>
    </row>
    <row r="245" spans="1:5" ht="18" hidden="1" customHeight="1" outlineLevel="1" x14ac:dyDescent="0.3">
      <c r="A245" t="s">
        <v>423</v>
      </c>
      <c r="B245" t="s">
        <v>269</v>
      </c>
      <c r="C245" t="s">
        <v>8</v>
      </c>
      <c r="D245" t="s">
        <v>421</v>
      </c>
      <c r="E245" t="s">
        <v>6209</v>
      </c>
    </row>
    <row r="246" spans="1:5" ht="18" hidden="1" customHeight="1" outlineLevel="1" x14ac:dyDescent="0.3">
      <c r="A246" t="s">
        <v>424</v>
      </c>
      <c r="B246" t="s">
        <v>269</v>
      </c>
      <c r="C246" t="s">
        <v>8</v>
      </c>
      <c r="D246" t="s">
        <v>421</v>
      </c>
      <c r="E246" t="s">
        <v>6209</v>
      </c>
    </row>
    <row r="247" spans="1:8" ht="18" hidden="1" customHeight="1" outlineLevel="1" x14ac:dyDescent="0.3">
      <c r="A247" t="s">
        <v>425</v>
      </c>
      <c r="B247" t="s">
        <v>269</v>
      </c>
      <c r="C247" t="s">
        <v>10</v>
      </c>
      <c r="D247" t="s">
        <v>426</v>
      </c>
      <c r="E247" t="s">
        <v>6210</v>
      </c>
      <c r="H247" t="inlineStr">
        <is>
          <t>FINANCE METTING ROOM 1.108</t>
        </is>
      </c>
    </row>
    <row r="248" spans="1:8" ht="18" hidden="1" customHeight="1" outlineLevel="1" x14ac:dyDescent="0.3">
      <c r="A248" t="s">
        <v>427</v>
      </c>
      <c r="B248" t="s">
        <v>269</v>
      </c>
      <c r="C248" t="s">
        <v>10</v>
      </c>
      <c r="D248" t="s">
        <v>428</v>
      </c>
      <c r="E248" t="s">
        <v>6211</v>
      </c>
      <c r="H248" t="inlineStr">
        <is>
          <t>COLSULTANT SPACE TRAINEES 1.109</t>
        </is>
      </c>
    </row>
    <row r="249" spans="1:5" ht="18" hidden="1" customHeight="1" outlineLevel="1" x14ac:dyDescent="0.3">
      <c r="A249" t="s">
        <v>429</v>
      </c>
      <c r="B249" t="s">
        <v>269</v>
      </c>
      <c r="C249" t="s">
        <v>10</v>
      </c>
      <c r="D249" t="s">
        <v>428</v>
      </c>
      <c r="E249" t="s">
        <v>6211</v>
      </c>
    </row>
    <row r="250" spans="1:5" ht="18" hidden="1" customHeight="1" outlineLevel="1" x14ac:dyDescent="0.3">
      <c r="A250" t="s">
        <v>430</v>
      </c>
      <c r="B250" t="s">
        <v>269</v>
      </c>
      <c r="C250" t="s">
        <v>10</v>
      </c>
      <c r="D250" t="s">
        <v>431</v>
      </c>
      <c r="E250" t="s">
        <v>6212</v>
      </c>
    </row>
    <row r="251" spans="1:8" ht="18" hidden="1" customHeight="1" outlineLevel="1" x14ac:dyDescent="0.3">
      <c r="A251" t="s">
        <v>432</v>
      </c>
      <c r="B251" t="s">
        <v>269</v>
      </c>
      <c r="C251" t="s">
        <v>8</v>
      </c>
      <c r="D251" t="s">
        <v>433</v>
      </c>
      <c r="E251" t="s">
        <v>6213</v>
      </c>
      <c r="H251" t="inlineStr">
        <is>
          <t>PRAYERS ROOM 1.105</t>
        </is>
      </c>
    </row>
    <row r="252" spans="1:5" ht="18" hidden="1" customHeight="1" outlineLevel="1" x14ac:dyDescent="0.3">
      <c r="A252" t="s">
        <v>434</v>
      </c>
      <c r="B252" t="s">
        <v>269</v>
      </c>
      <c r="C252" t="s">
        <v>10</v>
      </c>
      <c r="D252" t="s">
        <v>435</v>
      </c>
      <c r="E252" t="s">
        <v>6214</v>
      </c>
    </row>
    <row r="253" spans="1:8" ht="18" hidden="1" customHeight="1" outlineLevel="1" x14ac:dyDescent="0.3">
      <c r="A253" t="s">
        <v>436</v>
      </c>
      <c r="B253" t="s">
        <v>269</v>
      </c>
      <c r="C253" t="s">
        <v>10</v>
      </c>
      <c r="D253" t="s">
        <v>437</v>
      </c>
      <c r="E253" t="s">
        <v>6215</v>
      </c>
      <c r="H253" t="inlineStr">
        <is>
          <t>FINANCE SECURE ROOM 1.116</t>
        </is>
      </c>
    </row>
    <row r="254" spans="1:5" ht="18" hidden="1" customHeight="1" outlineLevel="1" x14ac:dyDescent="0.3">
      <c r="A254" t="s">
        <v>438</v>
      </c>
      <c r="B254" t="s">
        <v>269</v>
      </c>
      <c r="C254" t="s">
        <v>10</v>
      </c>
      <c r="D254" t="s">
        <v>439</v>
      </c>
      <c r="E254" t="s">
        <v>6216</v>
      </c>
    </row>
    <row r="255" spans="1:5" ht="18" hidden="1" customHeight="1" outlineLevel="1" x14ac:dyDescent="0.3">
      <c r="A255" t="s">
        <v>440</v>
      </c>
      <c r="B255" t="s">
        <v>269</v>
      </c>
      <c r="C255" t="s">
        <v>10</v>
      </c>
      <c r="D255" t="s">
        <v>441</v>
      </c>
      <c r="E255" t="s">
        <v>6217</v>
      </c>
    </row>
    <row r="256" spans="1:8" ht="18" hidden="1" customHeight="1" outlineLevel="1" x14ac:dyDescent="0.3">
      <c r="A256" t="s">
        <v>442</v>
      </c>
      <c r="B256" t="s">
        <v>269</v>
      </c>
      <c r="C256" t="s">
        <v>8</v>
      </c>
      <c r="D256" t="s">
        <v>421</v>
      </c>
      <c r="E256" t="s">
        <v>6209</v>
      </c>
      <c r="H256" t="inlineStr">
        <is>
          <t>CORRIDOR SOUTH WEST SW</t>
        </is>
      </c>
    </row>
    <row r="257" spans="1:8" ht="18" hidden="1" customHeight="1" outlineLevel="1" x14ac:dyDescent="0.3">
      <c r="A257" t="s">
        <v>443</v>
      </c>
      <c r="B257" t="s">
        <v>269</v>
      </c>
      <c r="C257" t="s">
        <v>8</v>
      </c>
      <c r="D257" t="s">
        <v>444</v>
      </c>
      <c r="E257" t="s">
        <v>6218</v>
      </c>
      <c r="H257" t="inlineStr">
        <is>
          <t>CORRIDOR SOUTH WEST 1.602</t>
        </is>
      </c>
    </row>
    <row r="258" spans="1:8" ht="18" hidden="1" customHeight="1" outlineLevel="1" x14ac:dyDescent="0.3">
      <c r="A258" t="s">
        <v>445</v>
      </c>
      <c r="B258" t="s">
        <v>269</v>
      </c>
      <c r="C258" t="s">
        <v>8</v>
      </c>
      <c r="D258" t="s">
        <v>444</v>
      </c>
      <c r="E258" t="s">
        <v>6218</v>
      </c>
      <c r="H258" t="inlineStr">
        <is>
          <t>CORRIDOR SOUTH EAST SE</t>
        </is>
      </c>
    </row>
    <row r="259" spans="1:8" ht="18" hidden="1" customHeight="1" outlineLevel="1" x14ac:dyDescent="0.3">
      <c r="A259" t="s">
        <v>446</v>
      </c>
      <c r="B259" t="s">
        <v>269</v>
      </c>
      <c r="C259" t="s">
        <v>10</v>
      </c>
      <c r="D259" t="s">
        <v>447</v>
      </c>
      <c r="E259" t="s">
        <v>6219</v>
      </c>
      <c r="H259" t="inlineStr">
        <is>
          <t>CORRIDOR SOUTH EAST</t>
        </is>
      </c>
    </row>
    <row r="260" spans="1:8" ht="18" hidden="1" customHeight="1" outlineLevel="1" x14ac:dyDescent="0.3">
      <c r="A260" t="s">
        <v>448</v>
      </c>
      <c r="B260" t="s">
        <v>269</v>
      </c>
      <c r="C260" t="s">
        <v>10</v>
      </c>
      <c r="D260" t="s">
        <v>449</v>
      </c>
      <c r="E260" t="s">
        <v>6220</v>
      </c>
      <c r="H260" t="inlineStr">
        <is>
          <t>FINANCE SECURE STO 1.111</t>
        </is>
      </c>
    </row>
    <row r="261" spans="1:5" ht="18" hidden="1" customHeight="1" outlineLevel="1" x14ac:dyDescent="0.3">
      <c r="A261" t="s">
        <v>450</v>
      </c>
      <c r="B261" t="s">
        <v>269</v>
      </c>
      <c r="C261" t="s">
        <v>10</v>
      </c>
      <c r="D261" t="s">
        <v>451</v>
      </c>
      <c r="E261" t="s">
        <v>6221</v>
      </c>
    </row>
    <row r="262" spans="1:8" ht="18" hidden="1" customHeight="1" outlineLevel="1" x14ac:dyDescent="0.3">
      <c r="A262" t="s">
        <v>452</v>
      </c>
      <c r="B262" t="s">
        <v>269</v>
      </c>
      <c r="C262" t="s">
        <v>10</v>
      </c>
      <c r="D262" t="s">
        <v>453</v>
      </c>
      <c r="E262" t="s">
        <v>6222</v>
      </c>
      <c r="H262" t="inlineStr">
        <is>
          <t>STAFF CAFETERIA (WASHING ROOM) 01.705</t>
        </is>
      </c>
    </row>
    <row r="263" spans="1:8" ht="18" hidden="1" customHeight="1" outlineLevel="1" x14ac:dyDescent="0.3">
      <c r="A263" t="s">
        <v>454</v>
      </c>
      <c r="B263" t="s">
        <v>269</v>
      </c>
      <c r="C263" t="s">
        <v>8</v>
      </c>
      <c r="D263" t="s">
        <v>455</v>
      </c>
      <c r="E263" t="s">
        <v>6159</v>
      </c>
      <c r="H263" t="inlineStr">
        <is>
          <t>VOID AREA, ROOM UNIT LOCATED @LVL 1 NORTH EAST AREA NE CORE</t>
        </is>
      </c>
    </row>
    <row r="264" spans="1:5" ht="18" hidden="1" customHeight="1" outlineLevel="1" x14ac:dyDescent="0.3">
      <c r="A264" t="s">
        <v>456</v>
      </c>
      <c r="B264" t="s">
        <v>269</v>
      </c>
      <c r="C264" t="s">
        <v>8</v>
      </c>
      <c r="D264" t="s">
        <v>455</v>
      </c>
      <c r="E264" t="s">
        <v>6159</v>
      </c>
    </row>
    <row r="265" spans="1:5" ht="18" hidden="1" customHeight="1" outlineLevel="1" x14ac:dyDescent="0.3">
      <c r="A265" t="s">
        <v>457</v>
      </c>
      <c r="B265" t="s">
        <v>269</v>
      </c>
      <c r="C265" t="s">
        <v>8</v>
      </c>
      <c r="D265" t="s">
        <v>455</v>
      </c>
      <c r="E265" t="s">
        <v>6159</v>
      </c>
    </row>
    <row r="266" spans="1:5" ht="18" hidden="1" customHeight="1" outlineLevel="1" x14ac:dyDescent="0.3">
      <c r="A266" t="s">
        <v>458</v>
      </c>
      <c r="B266" t="s">
        <v>269</v>
      </c>
      <c r="C266" t="s">
        <v>8</v>
      </c>
      <c r="D266" t="s">
        <v>455</v>
      </c>
      <c r="E266" t="s">
        <v>6159</v>
      </c>
    </row>
    <row r="267" spans="1:5" ht="18" hidden="1" customHeight="1" outlineLevel="1" x14ac:dyDescent="0.3">
      <c r="A267" t="s">
        <v>459</v>
      </c>
      <c r="B267" t="s">
        <v>269</v>
      </c>
      <c r="C267" t="s">
        <v>8</v>
      </c>
      <c r="D267" t="s">
        <v>460</v>
      </c>
      <c r="E267" t="s">
        <v>6223</v>
      </c>
    </row>
    <row r="268" spans="1:5" ht="18" hidden="1" customHeight="1" outlineLevel="1" x14ac:dyDescent="0.3">
      <c r="A268" t="s">
        <v>461</v>
      </c>
      <c r="B268" t="s">
        <v>269</v>
      </c>
      <c r="C268" t="s">
        <v>8</v>
      </c>
      <c r="D268" t="s">
        <v>460</v>
      </c>
      <c r="E268" t="s">
        <v>6223</v>
      </c>
    </row>
    <row r="269" spans="1:8" ht="18" hidden="1" customHeight="1" outlineLevel="1" x14ac:dyDescent="0.3">
      <c r="A269" t="s">
        <v>462</v>
      </c>
      <c r="B269" t="s">
        <v>269</v>
      </c>
      <c r="C269" t="s">
        <v>8</v>
      </c>
      <c r="D269" t="s">
        <v>463</v>
      </c>
      <c r="E269" t="s">
        <v>6224</v>
      </c>
      <c r="H269" t="inlineStr">
        <is>
          <t>SUPP SERVICEDIR ENSUIT 2.018</t>
        </is>
      </c>
    </row>
    <row r="270" spans="1:8" ht="18" hidden="1" customHeight="1" outlineLevel="1" x14ac:dyDescent="0.3">
      <c r="A270" t="s">
        <v>464</v>
      </c>
      <c r="B270" t="s">
        <v>269</v>
      </c>
      <c r="C270" t="s">
        <v>10</v>
      </c>
      <c r="D270" t="s">
        <v>465</v>
      </c>
      <c r="E270" t="s">
        <v>6225</v>
      </c>
      <c r="H270" t="inlineStr">
        <is>
          <t>SUPP SERVICEADMINIST 2.019</t>
        </is>
      </c>
    </row>
    <row r="271" spans="1:8" ht="18" hidden="1" customHeight="1" outlineLevel="1" x14ac:dyDescent="0.3">
      <c r="A271" t="s">
        <v>466</v>
      </c>
      <c r="B271" t="s">
        <v>269</v>
      </c>
      <c r="C271" t="s">
        <v>10</v>
      </c>
      <c r="D271" t="s">
        <v>467</v>
      </c>
      <c r="E271" t="s">
        <v>6226</v>
      </c>
      <c r="H271" t="inlineStr">
        <is>
          <t>SUPPT SERVICEADMINIST 2.020</t>
        </is>
      </c>
    </row>
    <row r="272" spans="1:8" ht="18" hidden="1" customHeight="1" outlineLevel="1" x14ac:dyDescent="0.3">
      <c r="A272" t="s">
        <v>468</v>
      </c>
      <c r="B272" t="s">
        <v>269</v>
      </c>
      <c r="C272" t="s">
        <v>10</v>
      </c>
      <c r="D272" t="s">
        <v>469</v>
      </c>
      <c r="E272" t="s">
        <v>6227</v>
      </c>
      <c r="H272" t="inlineStr">
        <is>
          <t>SUPP SERVICEADMINIST 2.021</t>
        </is>
      </c>
    </row>
    <row r="273" spans="1:8" ht="18" hidden="1" customHeight="1" outlineLevel="1" x14ac:dyDescent="0.3">
      <c r="A273" t="s">
        <v>470</v>
      </c>
      <c r="B273" t="s">
        <v>269</v>
      </c>
      <c r="C273" t="s">
        <v>10</v>
      </c>
      <c r="D273" t="s">
        <v>471</v>
      </c>
      <c r="E273" t="s">
        <v>6228</v>
      </c>
      <c r="H273" t="inlineStr">
        <is>
          <t>SUPP SERVICESECRETARY 2.022</t>
        </is>
      </c>
    </row>
    <row r="274" spans="1:8" ht="18" hidden="1" customHeight="1" outlineLevel="1" x14ac:dyDescent="0.3">
      <c r="A274" t="s">
        <v>472</v>
      </c>
      <c r="B274" t="s">
        <v>269</v>
      </c>
      <c r="C274" t="s">
        <v>10</v>
      </c>
      <c r="D274" t="s">
        <v>473</v>
      </c>
      <c r="E274" t="s">
        <v>6229</v>
      </c>
      <c r="H274" t="inlineStr">
        <is>
          <t>SUPP SERVICEADMINIST 2.023</t>
        </is>
      </c>
    </row>
    <row r="275" spans="1:8" ht="18" hidden="1" customHeight="1" outlineLevel="1" x14ac:dyDescent="0.3">
      <c r="A275" t="s">
        <v>474</v>
      </c>
      <c r="B275" t="s">
        <v>269</v>
      </c>
      <c r="C275" t="s">
        <v>10</v>
      </c>
      <c r="D275" t="s">
        <v>475</v>
      </c>
      <c r="E275" t="s">
        <v>6230</v>
      </c>
      <c r="H275" t="inlineStr">
        <is>
          <t>SUPP SERVICEADMINIST 2.024</t>
        </is>
      </c>
    </row>
    <row r="276" spans="1:8" ht="18" hidden="1" customHeight="1" outlineLevel="1" x14ac:dyDescent="0.3">
      <c r="A276" t="s">
        <v>476</v>
      </c>
      <c r="B276" t="s">
        <v>269</v>
      </c>
      <c r="C276" t="s">
        <v>10</v>
      </c>
      <c r="D276" t="s">
        <v>477</v>
      </c>
      <c r="E276" t="s">
        <v>6231</v>
      </c>
      <c r="H276" t="inlineStr">
        <is>
          <t>SUPP SERVICEADMINIST 2.025</t>
        </is>
      </c>
    </row>
    <row r="277" spans="1:8" ht="18" hidden="1" customHeight="1" outlineLevel="1" x14ac:dyDescent="0.3">
      <c r="A277" t="s">
        <v>478</v>
      </c>
      <c r="B277" t="s">
        <v>269</v>
      </c>
      <c r="C277" t="s">
        <v>10</v>
      </c>
      <c r="D277" t="s">
        <v>479</v>
      </c>
      <c r="E277" t="s">
        <v>6232</v>
      </c>
      <c r="H277" t="inlineStr">
        <is>
          <t>SUPP SERVICESECRETARY 2.026</t>
        </is>
      </c>
    </row>
    <row r="278" spans="1:8" ht="18" hidden="1" customHeight="1" outlineLevel="1" x14ac:dyDescent="0.3">
      <c r="A278" t="s">
        <v>480</v>
      </c>
      <c r="B278" t="s">
        <v>269</v>
      </c>
      <c r="C278" t="s">
        <v>10</v>
      </c>
      <c r="D278" t="s">
        <v>481</v>
      </c>
      <c r="E278" t="s">
        <v>6233</v>
      </c>
      <c r="H278" t="inlineStr">
        <is>
          <t>SUPP SERVICEADMINIST 2.027</t>
        </is>
      </c>
    </row>
    <row r="279" spans="1:8" ht="18" hidden="1" customHeight="1" outlineLevel="1" x14ac:dyDescent="0.3">
      <c r="A279" t="s">
        <v>482</v>
      </c>
      <c r="B279" t="s">
        <v>269</v>
      </c>
      <c r="C279" t="s">
        <v>10</v>
      </c>
      <c r="D279" t="s">
        <v>483</v>
      </c>
      <c r="E279" t="s">
        <v>6234</v>
      </c>
      <c r="H279" t="inlineStr">
        <is>
          <t>SUPP SERVICEADMINIST 2.028</t>
        </is>
      </c>
    </row>
    <row r="280" spans="1:8" ht="18" hidden="1" customHeight="1" outlineLevel="1" x14ac:dyDescent="0.3">
      <c r="A280" t="s">
        <v>484</v>
      </c>
      <c r="B280" t="s">
        <v>269</v>
      </c>
      <c r="C280" t="s">
        <v>10</v>
      </c>
      <c r="D280" t="s">
        <v>485</v>
      </c>
      <c r="E280" t="s">
        <v>6235</v>
      </c>
      <c r="H280" t="inlineStr">
        <is>
          <t>SUPP SERVICEADMINIST 2.029</t>
        </is>
      </c>
    </row>
    <row r="281" spans="1:8" ht="18" hidden="1" customHeight="1" outlineLevel="1" x14ac:dyDescent="0.3">
      <c r="A281" t="s">
        <v>486</v>
      </c>
      <c r="B281" t="s">
        <v>269</v>
      </c>
      <c r="C281" t="s">
        <v>10</v>
      </c>
      <c r="D281" t="s">
        <v>487</v>
      </c>
      <c r="E281" t="s">
        <v>6236</v>
      </c>
      <c r="H281" t="inlineStr">
        <is>
          <t>SUPP SERVICESECRETARY 2.030</t>
        </is>
      </c>
    </row>
    <row r="282" spans="1:8" ht="18" hidden="1" customHeight="1" outlineLevel="1" x14ac:dyDescent="0.3">
      <c r="A282" t="s">
        <v>488</v>
      </c>
      <c r="B282" t="s">
        <v>269</v>
      </c>
      <c r="C282" t="s">
        <v>10</v>
      </c>
      <c r="D282" t="s">
        <v>489</v>
      </c>
      <c r="E282" t="s">
        <v>6237</v>
      </c>
      <c r="H282" t="inlineStr">
        <is>
          <t>SUPP SERVICEADMINIST 2.031</t>
        </is>
      </c>
    </row>
    <row r="283" spans="1:8" ht="18" hidden="1" customHeight="1" outlineLevel="1" x14ac:dyDescent="0.3">
      <c r="A283" t="s">
        <v>490</v>
      </c>
      <c r="B283" t="s">
        <v>269</v>
      </c>
      <c r="C283" t="s">
        <v>10</v>
      </c>
      <c r="D283" t="s">
        <v>491</v>
      </c>
      <c r="E283" t="s">
        <v>6238</v>
      </c>
      <c r="H283" t="inlineStr">
        <is>
          <t>SUPP SERVICEADMINIST 2.032</t>
        </is>
      </c>
    </row>
    <row r="284" spans="1:8" ht="18" hidden="1" customHeight="1" outlineLevel="1" x14ac:dyDescent="0.3">
      <c r="A284" t="s">
        <v>492</v>
      </c>
      <c r="B284" t="s">
        <v>269</v>
      </c>
      <c r="C284" t="s">
        <v>10</v>
      </c>
      <c r="D284" t="s">
        <v>493</v>
      </c>
      <c r="E284" t="s">
        <v>6239</v>
      </c>
      <c r="H284" t="inlineStr">
        <is>
          <t>SUPP SERVICEADMINIST 2.033</t>
        </is>
      </c>
    </row>
    <row r="285" spans="1:8" ht="18" hidden="1" customHeight="1" outlineLevel="1" x14ac:dyDescent="0.3">
      <c r="A285" t="s">
        <v>494</v>
      </c>
      <c r="B285" t="s">
        <v>269</v>
      </c>
      <c r="C285" t="s">
        <v>10</v>
      </c>
      <c r="D285" t="s">
        <v>495</v>
      </c>
      <c r="E285" t="s">
        <v>6240</v>
      </c>
      <c r="H285" t="inlineStr">
        <is>
          <t>SUPP SERVICESECRETARY 2.034</t>
        </is>
      </c>
    </row>
    <row r="286" spans="1:8" ht="18" hidden="1" customHeight="1" outlineLevel="1" x14ac:dyDescent="0.3">
      <c r="A286" t="s">
        <v>496</v>
      </c>
      <c r="B286" t="s">
        <v>269</v>
      </c>
      <c r="C286" t="s">
        <v>10</v>
      </c>
      <c r="D286" t="s">
        <v>497</v>
      </c>
      <c r="E286" t="s">
        <v>6241</v>
      </c>
      <c r="H286" t="inlineStr">
        <is>
          <t>SUPP SERVICEADMINIST 2.035</t>
        </is>
      </c>
    </row>
    <row r="287" spans="1:8" ht="18" hidden="1" customHeight="1" outlineLevel="1" x14ac:dyDescent="0.3">
      <c r="A287" t="s">
        <v>498</v>
      </c>
      <c r="B287" t="s">
        <v>269</v>
      </c>
      <c r="C287" t="s">
        <v>10</v>
      </c>
      <c r="D287" t="s">
        <v>499</v>
      </c>
      <c r="E287" t="s">
        <v>6242</v>
      </c>
      <c r="H287" t="inlineStr">
        <is>
          <t>SUPP SERVICEADMINIST 2.036</t>
        </is>
      </c>
    </row>
    <row r="288" spans="1:8" ht="18" hidden="1" customHeight="1" outlineLevel="1" x14ac:dyDescent="0.3">
      <c r="A288" t="s">
        <v>500</v>
      </c>
      <c r="B288" t="s">
        <v>269</v>
      </c>
      <c r="C288" t="s">
        <v>10</v>
      </c>
      <c r="D288" t="s">
        <v>501</v>
      </c>
      <c r="E288" t="s">
        <v>6243</v>
      </c>
      <c r="H288" t="inlineStr">
        <is>
          <t>SHELL SPACE 02.110</t>
        </is>
      </c>
    </row>
    <row r="289" spans="1:8" ht="18" hidden="1" customHeight="1" outlineLevel="1" x14ac:dyDescent="0.3">
      <c r="A289" t="s">
        <v>502</v>
      </c>
      <c r="B289" t="s">
        <v>269</v>
      </c>
      <c r="C289" t="s">
        <v>8</v>
      </c>
      <c r="D289" t="s">
        <v>503</v>
      </c>
      <c r="E289" t="s">
        <v>6244</v>
      </c>
      <c r="H289" t="inlineStr">
        <is>
          <t>CORRIDOR NE</t>
        </is>
      </c>
    </row>
    <row r="290" spans="1:8" ht="18" hidden="1" customHeight="1" outlineLevel="1" x14ac:dyDescent="0.3">
      <c r="A290" t="s">
        <v>504</v>
      </c>
      <c r="B290" t="s">
        <v>269</v>
      </c>
      <c r="C290" t="s">
        <v>8</v>
      </c>
      <c r="D290" t="s">
        <v>503</v>
      </c>
      <c r="E290" t="s">
        <v>6244</v>
      </c>
      <c r="H290" t="inlineStr">
        <is>
          <t>CORRIDOR</t>
        </is>
      </c>
    </row>
    <row r="291" spans="1:8" ht="18" hidden="1" customHeight="1" outlineLevel="1" x14ac:dyDescent="0.3">
      <c r="A291" t="s">
        <v>505</v>
      </c>
      <c r="B291" t="s">
        <v>269</v>
      </c>
      <c r="C291" t="s">
        <v>8</v>
      </c>
      <c r="D291" t="s">
        <v>506</v>
      </c>
      <c r="E291" t="s">
        <v>6245</v>
      </c>
      <c r="H291" t="inlineStr">
        <is>
          <t>SHELL SPACE 2.109</t>
        </is>
      </c>
    </row>
    <row r="292" spans="1:8" ht="18" hidden="1" customHeight="1" outlineLevel="1" x14ac:dyDescent="0.3">
      <c r="A292" t="s">
        <v>507</v>
      </c>
      <c r="B292" t="s">
        <v>269</v>
      </c>
      <c r="C292" t="s">
        <v>10</v>
      </c>
      <c r="D292" t="s">
        <v>508</v>
      </c>
      <c r="E292" t="s">
        <v>6246</v>
      </c>
      <c r="H292" t="inlineStr">
        <is>
          <t>SUPPSERVMEETING ROOM 2.108</t>
        </is>
      </c>
    </row>
    <row r="293" spans="1:5" ht="18" hidden="1" customHeight="1" outlineLevel="1" x14ac:dyDescent="0.3">
      <c r="A293" t="s">
        <v>509</v>
      </c>
      <c r="B293" t="s">
        <v>269</v>
      </c>
      <c r="C293" t="s">
        <v>10</v>
      </c>
      <c r="D293" t="s">
        <v>508</v>
      </c>
      <c r="E293" t="s">
        <v>6246</v>
      </c>
    </row>
    <row r="294" spans="1:5" ht="18" hidden="1" customHeight="1" outlineLevel="1" x14ac:dyDescent="0.3">
      <c r="A294" t="s">
        <v>510</v>
      </c>
      <c r="B294" t="s">
        <v>269</v>
      </c>
      <c r="C294" t="s">
        <v>8</v>
      </c>
      <c r="D294" t="s">
        <v>511</v>
      </c>
      <c r="E294" t="s">
        <v>6247</v>
      </c>
    </row>
    <row r="295" spans="1:8" ht="18" hidden="1" customHeight="1" outlineLevel="1" x14ac:dyDescent="0.3">
      <c r="A295" t="s">
        <v>512</v>
      </c>
      <c r="B295" t="s">
        <v>269</v>
      </c>
      <c r="C295" t="s">
        <v>10</v>
      </c>
      <c r="D295" t="s">
        <v>513</v>
      </c>
      <c r="E295" t="s">
        <v>6248</v>
      </c>
      <c r="H295" t="inlineStr">
        <is>
          <t>CONSULTANTS SPACE OTHERS 2.104</t>
        </is>
      </c>
    </row>
    <row r="296" spans="1:5" ht="18" hidden="1" customHeight="1" outlineLevel="1" x14ac:dyDescent="0.3">
      <c r="A296" t="s">
        <v>514</v>
      </c>
      <c r="B296" t="s">
        <v>269</v>
      </c>
      <c r="C296" t="s">
        <v>10</v>
      </c>
      <c r="D296" t="s">
        <v>513</v>
      </c>
      <c r="E296" t="s">
        <v>6248</v>
      </c>
    </row>
    <row r="297" spans="1:8" ht="18" hidden="1" customHeight="1" outlineLevel="1" x14ac:dyDescent="0.3">
      <c r="A297" t="s">
        <v>515</v>
      </c>
      <c r="B297" t="s">
        <v>269</v>
      </c>
      <c r="C297" t="s">
        <v>10</v>
      </c>
      <c r="D297" t="s">
        <v>516</v>
      </c>
      <c r="E297" t="s">
        <v>6249</v>
      </c>
      <c r="H297" t="inlineStr">
        <is>
          <t>CONSULTANTS SPACE OTHERS 2.102</t>
        </is>
      </c>
    </row>
    <row r="298" spans="1:8" ht="18" hidden="1" customHeight="1" outlineLevel="1" x14ac:dyDescent="0.3">
      <c r="A298" t="s">
        <v>517</v>
      </c>
      <c r="B298" t="s">
        <v>269</v>
      </c>
      <c r="C298" t="s">
        <v>10</v>
      </c>
      <c r="D298" t="s">
        <v>518</v>
      </c>
      <c r="E298" t="s">
        <v>6250</v>
      </c>
      <c r="H298" t="inlineStr">
        <is>
          <t>SUPPSERVSECRETARY 2.017</t>
        </is>
      </c>
    </row>
    <row r="299" spans="1:8" ht="18" hidden="1" customHeight="1" outlineLevel="1" x14ac:dyDescent="0.3">
      <c r="A299" t="s">
        <v>519</v>
      </c>
      <c r="B299" t="s">
        <v>269</v>
      </c>
      <c r="C299" t="s">
        <v>10</v>
      </c>
      <c r="D299" t="s">
        <v>520</v>
      </c>
      <c r="E299" t="s">
        <v>6251</v>
      </c>
      <c r="H299" t="inlineStr">
        <is>
          <t>SUPPSERVADMINIST 2.016</t>
        </is>
      </c>
    </row>
    <row r="300" spans="1:8" ht="18" hidden="1" customHeight="1" outlineLevel="1" x14ac:dyDescent="0.3">
      <c r="A300" t="s">
        <v>521</v>
      </c>
      <c r="B300" t="s">
        <v>269</v>
      </c>
      <c r="C300" t="s">
        <v>10</v>
      </c>
      <c r="D300" t="s">
        <v>522</v>
      </c>
      <c r="E300" t="s">
        <v>6252</v>
      </c>
      <c r="H300" t="inlineStr">
        <is>
          <t>SUPPSERVADMINIST 2.015</t>
        </is>
      </c>
    </row>
    <row r="301" spans="1:8" ht="18" hidden="1" customHeight="1" outlineLevel="1" x14ac:dyDescent="0.3">
      <c r="A301" t="s">
        <v>523</v>
      </c>
      <c r="B301" t="s">
        <v>269</v>
      </c>
      <c r="C301" t="s">
        <v>10</v>
      </c>
      <c r="D301" t="s">
        <v>524</v>
      </c>
      <c r="E301" t="s">
        <v>6253</v>
      </c>
      <c r="H301" t="inlineStr">
        <is>
          <t>SUPPSERVADMINIST 2.014</t>
        </is>
      </c>
    </row>
    <row r="302" spans="1:8" ht="18" hidden="1" customHeight="1" outlineLevel="1" x14ac:dyDescent="0.3">
      <c r="A302" t="s">
        <v>525</v>
      </c>
      <c r="B302" t="s">
        <v>269</v>
      </c>
      <c r="C302" t="s">
        <v>10</v>
      </c>
      <c r="D302" t="s">
        <v>526</v>
      </c>
      <c r="E302" t="s">
        <v>6254</v>
      </c>
      <c r="H302" t="inlineStr">
        <is>
          <t>SUPPSERVSECRETARY 2.013</t>
        </is>
      </c>
    </row>
    <row r="303" spans="1:8" ht="18" hidden="1" customHeight="1" outlineLevel="1" x14ac:dyDescent="0.3">
      <c r="A303" t="s">
        <v>527</v>
      </c>
      <c r="B303" t="s">
        <v>269</v>
      </c>
      <c r="C303" t="s">
        <v>10</v>
      </c>
      <c r="D303" t="s">
        <v>528</v>
      </c>
      <c r="E303" t="s">
        <v>6255</v>
      </c>
      <c r="H303" t="inlineStr">
        <is>
          <t>SUPPSERVADMINIST 2.012</t>
        </is>
      </c>
    </row>
    <row r="304" spans="1:8" ht="18" hidden="1" customHeight="1" outlineLevel="1" x14ac:dyDescent="0.3">
      <c r="A304" t="s">
        <v>529</v>
      </c>
      <c r="B304" t="s">
        <v>269</v>
      </c>
      <c r="C304" t="s">
        <v>10</v>
      </c>
      <c r="D304" t="s">
        <v>530</v>
      </c>
      <c r="E304" t="s">
        <v>6256</v>
      </c>
      <c r="H304" t="inlineStr">
        <is>
          <t>SUPPSERVADMINIST 2.011</t>
        </is>
      </c>
    </row>
    <row r="305" spans="1:8" ht="18" hidden="1" customHeight="1" outlineLevel="1" x14ac:dyDescent="0.3">
      <c r="A305" t="s">
        <v>531</v>
      </c>
      <c r="B305" t="s">
        <v>269</v>
      </c>
      <c r="C305" t="s">
        <v>10</v>
      </c>
      <c r="D305" t="s">
        <v>532</v>
      </c>
      <c r="E305" t="s">
        <v>6257</v>
      </c>
      <c r="H305" t="inlineStr">
        <is>
          <t>SUPPSERVADMINIST 2.010</t>
        </is>
      </c>
    </row>
    <row r="306" spans="1:8" ht="18" hidden="1" customHeight="1" outlineLevel="1" x14ac:dyDescent="0.3">
      <c r="A306" t="s">
        <v>533</v>
      </c>
      <c r="B306" t="s">
        <v>269</v>
      </c>
      <c r="C306" t="s">
        <v>10</v>
      </c>
      <c r="D306" t="s">
        <v>534</v>
      </c>
      <c r="E306" t="s">
        <v>6258</v>
      </c>
      <c r="H306" t="inlineStr">
        <is>
          <t>SUPPSERVSECRETARY 2.009</t>
        </is>
      </c>
    </row>
    <row r="307" spans="1:8" ht="18" hidden="1" customHeight="1" outlineLevel="1" x14ac:dyDescent="0.3">
      <c r="A307" t="s">
        <v>535</v>
      </c>
      <c r="B307" t="s">
        <v>269</v>
      </c>
      <c r="C307" t="s">
        <v>8</v>
      </c>
      <c r="D307" t="s">
        <v>536</v>
      </c>
      <c r="E307" t="s">
        <v>6259</v>
      </c>
      <c r="H307" t="inlineStr">
        <is>
          <t>DOHA DEBATE EXECUTIVE 2.008</t>
        </is>
      </c>
    </row>
    <row r="308" spans="1:8" ht="18" hidden="1" customHeight="1" outlineLevel="1" x14ac:dyDescent="0.3">
      <c r="A308" t="s">
        <v>537</v>
      </c>
      <c r="B308" t="s">
        <v>269</v>
      </c>
      <c r="C308" t="s">
        <v>8</v>
      </c>
      <c r="D308" t="s">
        <v>538</v>
      </c>
      <c r="E308" t="s">
        <v>6260</v>
      </c>
      <c r="H308" t="inlineStr">
        <is>
          <t>DOHA DEBATE EXECUTIVE 2.007</t>
        </is>
      </c>
    </row>
    <row r="309" spans="1:8" ht="18" hidden="1" customHeight="1" outlineLevel="1" x14ac:dyDescent="0.3">
      <c r="A309" t="s">
        <v>539</v>
      </c>
      <c r="B309" t="s">
        <v>269</v>
      </c>
      <c r="C309" t="s">
        <v>8</v>
      </c>
      <c r="D309" t="s">
        <v>540</v>
      </c>
      <c r="E309" t="s">
        <v>6261</v>
      </c>
      <c r="H309" t="inlineStr">
        <is>
          <t>DOHA DEBATE EXECUTIVE 2.006</t>
        </is>
      </c>
    </row>
    <row r="310" spans="1:8" ht="18" hidden="1" customHeight="1" outlineLevel="1" x14ac:dyDescent="0.3">
      <c r="A310" t="s">
        <v>541</v>
      </c>
      <c r="B310" t="s">
        <v>269</v>
      </c>
      <c r="C310" t="s">
        <v>8</v>
      </c>
      <c r="D310" t="s">
        <v>542</v>
      </c>
      <c r="E310" t="s">
        <v>6262</v>
      </c>
      <c r="H310" t="inlineStr">
        <is>
          <t>DOHA DEBATE EXECUTIVE 2.005</t>
        </is>
      </c>
    </row>
    <row r="311" spans="1:8" ht="18" hidden="1" customHeight="1" outlineLevel="1" x14ac:dyDescent="0.3">
      <c r="A311" t="s">
        <v>543</v>
      </c>
      <c r="B311" t="s">
        <v>269</v>
      </c>
      <c r="C311" t="s">
        <v>10</v>
      </c>
      <c r="D311" t="s">
        <v>544</v>
      </c>
      <c r="E311" t="s">
        <v>6263</v>
      </c>
      <c r="H311" t="inlineStr">
        <is>
          <t>DOHA DEBATE SECRETARY 2.004</t>
        </is>
      </c>
    </row>
    <row r="312" spans="1:8" ht="18" hidden="1" customHeight="1" outlineLevel="1" x14ac:dyDescent="0.3">
      <c r="A312" t="s">
        <v>545</v>
      </c>
      <c r="B312" t="s">
        <v>269</v>
      </c>
      <c r="C312" t="s">
        <v>8</v>
      </c>
      <c r="D312" t="s">
        <v>546</v>
      </c>
      <c r="E312" t="s">
        <v>6264</v>
      </c>
      <c r="H312" t="inlineStr">
        <is>
          <t>DOHA DEBATE EXECUTIVE 2.003</t>
        </is>
      </c>
    </row>
    <row r="313" spans="1:8" ht="18" hidden="1" customHeight="1" outlineLevel="1" x14ac:dyDescent="0.3">
      <c r="A313" t="s">
        <v>547</v>
      </c>
      <c r="B313" t="s">
        <v>269</v>
      </c>
      <c r="C313" t="s">
        <v>8</v>
      </c>
      <c r="D313" t="s">
        <v>548</v>
      </c>
      <c r="E313" t="s">
        <v>6265</v>
      </c>
      <c r="H313" t="inlineStr">
        <is>
          <t>DOHA DEBATE EXECUTIVE 2.002</t>
        </is>
      </c>
    </row>
    <row r="314" spans="1:5" ht="18" hidden="1" customHeight="1" outlineLevel="1" x14ac:dyDescent="0.3">
      <c r="A314" t="s">
        <v>549</v>
      </c>
      <c r="B314" t="s">
        <v>269</v>
      </c>
      <c r="C314" t="s">
        <v>10</v>
      </c>
      <c r="D314" t="s">
        <v>550</v>
      </c>
      <c r="E314" t="s">
        <v>6266</v>
      </c>
    </row>
    <row r="315" spans="1:8" ht="18" hidden="1" customHeight="1" outlineLevel="1" x14ac:dyDescent="0.3">
      <c r="A315" t="s">
        <v>551</v>
      </c>
      <c r="B315" t="s">
        <v>269</v>
      </c>
      <c r="C315" t="s">
        <v>10</v>
      </c>
      <c r="D315" t="s">
        <v>552</v>
      </c>
      <c r="E315" t="s">
        <v>6267</v>
      </c>
      <c r="H315" t="inlineStr">
        <is>
          <t>SHELL SPACE 02.101</t>
        </is>
      </c>
    </row>
    <row r="316" spans="1:8" ht="18" hidden="1" customHeight="1" outlineLevel="1" x14ac:dyDescent="0.3">
      <c r="A316" t="s">
        <v>553</v>
      </c>
      <c r="B316" t="s">
        <v>269</v>
      </c>
      <c r="C316" t="s">
        <v>8</v>
      </c>
      <c r="D316" t="s">
        <v>503</v>
      </c>
      <c r="E316" t="s">
        <v>6244</v>
      </c>
      <c r="H316" t="inlineStr">
        <is>
          <t>CORRIDOR SOUTH WEST SW</t>
        </is>
      </c>
    </row>
    <row r="317" spans="1:8" ht="18" hidden="1" customHeight="1" outlineLevel="1" x14ac:dyDescent="0.3">
      <c r="A317" t="s">
        <v>554</v>
      </c>
      <c r="B317" t="s">
        <v>269</v>
      </c>
      <c r="C317" t="s">
        <v>10</v>
      </c>
      <c r="D317" t="s">
        <v>555</v>
      </c>
      <c r="E317" t="s">
        <v>6268</v>
      </c>
      <c r="H317" t="inlineStr">
        <is>
          <t>HR IMMIGSTAFF 3.017</t>
        </is>
      </c>
    </row>
    <row r="318" spans="1:8" ht="18" hidden="1" customHeight="1" outlineLevel="1" x14ac:dyDescent="0.3">
      <c r="A318" t="s">
        <v>556</v>
      </c>
      <c r="B318" t="s">
        <v>269</v>
      </c>
      <c r="C318" t="s">
        <v>10</v>
      </c>
      <c r="D318" t="s">
        <v>557</v>
      </c>
      <c r="E318" t="s">
        <v>6269</v>
      </c>
      <c r="H318" t="inlineStr">
        <is>
          <t>HR IMMIGSTAFF 3.018</t>
        </is>
      </c>
    </row>
    <row r="319" spans="1:8" ht="18" hidden="1" customHeight="1" outlineLevel="1" x14ac:dyDescent="0.3">
      <c r="A319" t="s">
        <v>558</v>
      </c>
      <c r="B319" t="s">
        <v>269</v>
      </c>
      <c r="C319" t="s">
        <v>10</v>
      </c>
      <c r="D319" t="s">
        <v>559</v>
      </c>
      <c r="E319" t="s">
        <v>6270</v>
      </c>
      <c r="H319" t="inlineStr">
        <is>
          <t>HR IMMIGSTAFF 3.019</t>
        </is>
      </c>
    </row>
    <row r="320" spans="1:8" ht="18" hidden="1" customHeight="1" outlineLevel="1" x14ac:dyDescent="0.3">
      <c r="A320" t="s">
        <v>560</v>
      </c>
      <c r="B320" t="s">
        <v>269</v>
      </c>
      <c r="C320" t="s">
        <v>10</v>
      </c>
      <c r="D320" t="s">
        <v>561</v>
      </c>
      <c r="E320" t="s">
        <v>6271</v>
      </c>
      <c r="H320" t="inlineStr">
        <is>
          <t>HR IMMIGSTAFF 3.020</t>
        </is>
      </c>
    </row>
    <row r="321" spans="1:8" ht="18" hidden="1" customHeight="1" outlineLevel="1" x14ac:dyDescent="0.3">
      <c r="A321" t="s">
        <v>562</v>
      </c>
      <c r="B321" t="s">
        <v>269</v>
      </c>
      <c r="C321" t="s">
        <v>10</v>
      </c>
      <c r="D321" t="s">
        <v>563</v>
      </c>
      <c r="E321" t="s">
        <v>6272</v>
      </c>
      <c r="H321" t="inlineStr">
        <is>
          <t>HR IMMIGSTAFF 3.021</t>
        </is>
      </c>
    </row>
    <row r="322" spans="1:8" ht="18" hidden="1" customHeight="1" outlineLevel="1" x14ac:dyDescent="0.3">
      <c r="A322" t="s">
        <v>564</v>
      </c>
      <c r="B322" t="s">
        <v>269</v>
      </c>
      <c r="C322" t="s">
        <v>10</v>
      </c>
      <c r="D322" t="s">
        <v>565</v>
      </c>
      <c r="E322" t="s">
        <v>6273</v>
      </c>
      <c r="H322" t="inlineStr">
        <is>
          <t>HR IMMIGSECRETARY 3.022</t>
        </is>
      </c>
    </row>
    <row r="323" spans="1:8" ht="18" hidden="1" customHeight="1" outlineLevel="1" x14ac:dyDescent="0.3">
      <c r="A323" t="s">
        <v>566</v>
      </c>
      <c r="B323" t="s">
        <v>269</v>
      </c>
      <c r="C323" t="s">
        <v>10</v>
      </c>
      <c r="D323" t="s">
        <v>567</v>
      </c>
      <c r="E323" t="s">
        <v>6274</v>
      </c>
      <c r="H323" t="inlineStr">
        <is>
          <t>HR IMMIGSTAFF 3.023</t>
        </is>
      </c>
    </row>
    <row r="324" spans="1:8" ht="18" hidden="1" customHeight="1" outlineLevel="1" x14ac:dyDescent="0.3">
      <c r="A324" t="s">
        <v>568</v>
      </c>
      <c r="B324" t="s">
        <v>269</v>
      </c>
      <c r="C324" t="s">
        <v>10</v>
      </c>
      <c r="D324" t="s">
        <v>569</v>
      </c>
      <c r="E324" t="s">
        <v>6275</v>
      </c>
      <c r="H324" t="inlineStr">
        <is>
          <t>HR IMMIGSTAFF 3.024</t>
        </is>
      </c>
    </row>
    <row r="325" spans="1:8" ht="18" hidden="1" customHeight="1" outlineLevel="1" x14ac:dyDescent="0.3">
      <c r="A325" t="s">
        <v>570</v>
      </c>
      <c r="B325" t="s">
        <v>269</v>
      </c>
      <c r="C325" t="s">
        <v>10</v>
      </c>
      <c r="D325" t="s">
        <v>571</v>
      </c>
      <c r="E325" t="s">
        <v>6276</v>
      </c>
      <c r="H325" t="inlineStr">
        <is>
          <t>HR IMMIGSTAFF 3.025</t>
        </is>
      </c>
    </row>
    <row r="326" spans="1:8" ht="18" hidden="1" customHeight="1" outlineLevel="1" x14ac:dyDescent="0.3">
      <c r="A326" t="s">
        <v>572</v>
      </c>
      <c r="B326" t="s">
        <v>269</v>
      </c>
      <c r="C326" t="s">
        <v>10</v>
      </c>
      <c r="D326" t="s">
        <v>573</v>
      </c>
      <c r="E326" t="s">
        <v>6277</v>
      </c>
      <c r="H326" t="inlineStr">
        <is>
          <t>HR IMMIGSTAFF 3.026</t>
        </is>
      </c>
    </row>
    <row r="327" spans="1:8" ht="18" hidden="1" customHeight="1" outlineLevel="1" x14ac:dyDescent="0.3">
      <c r="A327" t="s">
        <v>574</v>
      </c>
      <c r="B327" t="s">
        <v>269</v>
      </c>
      <c r="C327" t="s">
        <v>10</v>
      </c>
      <c r="D327" t="s">
        <v>575</v>
      </c>
      <c r="E327" t="s">
        <v>6278</v>
      </c>
      <c r="H327" t="inlineStr">
        <is>
          <t>HR IMMIGSTAFF 3.027</t>
        </is>
      </c>
    </row>
    <row r="328" spans="1:8" ht="18" hidden="1" customHeight="1" outlineLevel="1" x14ac:dyDescent="0.3">
      <c r="A328" t="s">
        <v>576</v>
      </c>
      <c r="B328" t="s">
        <v>269</v>
      </c>
      <c r="C328" t="s">
        <v>10</v>
      </c>
      <c r="D328" t="s">
        <v>577</v>
      </c>
      <c r="E328" t="s">
        <v>6279</v>
      </c>
      <c r="H328" t="inlineStr">
        <is>
          <t>HR IMMIGSTAFF 3.028</t>
        </is>
      </c>
    </row>
    <row r="329" spans="1:8" ht="18" hidden="1" customHeight="1" outlineLevel="1" x14ac:dyDescent="0.3">
      <c r="A329" t="s">
        <v>578</v>
      </c>
      <c r="B329" t="s">
        <v>269</v>
      </c>
      <c r="C329" t="s">
        <v>10</v>
      </c>
      <c r="D329" t="s">
        <v>579</v>
      </c>
      <c r="E329" t="s">
        <v>6280</v>
      </c>
      <c r="H329" t="inlineStr">
        <is>
          <t>HR IMMIGSTAFF 3.029</t>
        </is>
      </c>
    </row>
    <row r="330" spans="1:8" ht="18" hidden="1" customHeight="1" outlineLevel="1" x14ac:dyDescent="0.3">
      <c r="A330" t="s">
        <v>580</v>
      </c>
      <c r="B330" t="s">
        <v>269</v>
      </c>
      <c r="C330" t="s">
        <v>10</v>
      </c>
      <c r="D330" t="s">
        <v>581</v>
      </c>
      <c r="E330" t="s">
        <v>6281</v>
      </c>
      <c r="H330" t="inlineStr">
        <is>
          <t>HR IMMIGSTAFF 3.030</t>
        </is>
      </c>
    </row>
    <row r="331" spans="1:8" ht="18" hidden="1" customHeight="1" outlineLevel="1" x14ac:dyDescent="0.3">
      <c r="A331" t="s">
        <v>582</v>
      </c>
      <c r="B331" t="s">
        <v>269</v>
      </c>
      <c r="C331" t="s">
        <v>10</v>
      </c>
      <c r="D331" t="s">
        <v>583</v>
      </c>
      <c r="E331" t="s">
        <v>6282</v>
      </c>
      <c r="H331" t="inlineStr">
        <is>
          <t>HR IMMIGSTAFF 3.031</t>
        </is>
      </c>
    </row>
    <row r="332" spans="1:8" ht="18" hidden="1" customHeight="1" outlineLevel="1" x14ac:dyDescent="0.3">
      <c r="A332" t="s">
        <v>584</v>
      </c>
      <c r="B332" t="s">
        <v>269</v>
      </c>
      <c r="C332" t="s">
        <v>10</v>
      </c>
      <c r="D332" t="s">
        <v>585</v>
      </c>
      <c r="E332" t="s">
        <v>6283</v>
      </c>
      <c r="H332" t="inlineStr">
        <is>
          <t>HR IMMIGSTAFF 3.032</t>
        </is>
      </c>
    </row>
    <row r="333" spans="1:5" ht="18" hidden="1" customHeight="1" outlineLevel="1" x14ac:dyDescent="0.3">
      <c r="A333" t="s">
        <v>586</v>
      </c>
      <c r="B333" t="s">
        <v>269</v>
      </c>
      <c r="C333" t="s">
        <v>10</v>
      </c>
      <c r="D333" t="s">
        <v>587</v>
      </c>
      <c r="E333" t="s">
        <v>6284</v>
      </c>
    </row>
    <row r="334" spans="1:5" ht="18" hidden="1" customHeight="1" outlineLevel="1" x14ac:dyDescent="0.3">
      <c r="A334" t="s">
        <v>588</v>
      </c>
      <c r="B334" t="s">
        <v>269</v>
      </c>
      <c r="C334" t="s">
        <v>10</v>
      </c>
      <c r="D334" t="s">
        <v>587</v>
      </c>
      <c r="E334" t="s">
        <v>6284</v>
      </c>
    </row>
    <row r="335" spans="1:8" ht="18" hidden="1" customHeight="1" outlineLevel="1" x14ac:dyDescent="0.3">
      <c r="A335" t="s">
        <v>589</v>
      </c>
      <c r="B335" t="s">
        <v>269</v>
      </c>
      <c r="C335" t="s">
        <v>10</v>
      </c>
      <c r="D335" t="s">
        <v>590</v>
      </c>
      <c r="E335" t="s">
        <v>6285</v>
      </c>
      <c r="H335" t="inlineStr">
        <is>
          <t>SHELL SPACE 03.108</t>
        </is>
      </c>
    </row>
    <row r="336" spans="1:8" ht="18" hidden="1" customHeight="1" outlineLevel="1" x14ac:dyDescent="0.3">
      <c r="A336" t="s">
        <v>591</v>
      </c>
      <c r="B336" t="s">
        <v>269</v>
      </c>
      <c r="C336" t="s">
        <v>8</v>
      </c>
      <c r="D336" t="s">
        <v>592</v>
      </c>
      <c r="E336" t="s">
        <v>6286</v>
      </c>
      <c r="H336" t="inlineStr">
        <is>
          <t>CORRIDOR NE</t>
        </is>
      </c>
    </row>
    <row r="337" spans="1:8" ht="18" hidden="1" customHeight="1" outlineLevel="1" x14ac:dyDescent="0.3">
      <c r="A337" t="s">
        <v>593</v>
      </c>
      <c r="B337" t="s">
        <v>269</v>
      </c>
      <c r="C337" t="s">
        <v>8</v>
      </c>
      <c r="D337" t="s">
        <v>594</v>
      </c>
      <c r="E337" t="s">
        <v>6287</v>
      </c>
      <c r="H337" t="inlineStr">
        <is>
          <t>SHELL SPACE 03.105</t>
        </is>
      </c>
    </row>
    <row r="338" spans="1:5" hidden="1" outlineLevel="1" x14ac:dyDescent="0.3">
      <c r="A338" t="s">
        <v>595</v>
      </c>
      <c r="B338" t="s">
        <v>269</v>
      </c>
      <c r="C338" t="s">
        <v>8</v>
      </c>
      <c r="D338" t="s">
        <v>596</v>
      </c>
      <c r="E338" t="s">
        <v>6288</v>
      </c>
    </row>
    <row r="339" spans="1:8" hidden="1" outlineLevel="1" x14ac:dyDescent="0.3">
      <c r="A339" t="s">
        <v>597</v>
      </c>
      <c r="B339" t="s">
        <v>269</v>
      </c>
      <c r="C339" t="s">
        <v>8</v>
      </c>
      <c r="D339" t="s">
        <v>592</v>
      </c>
      <c r="E339" t="s">
        <v>6286</v>
      </c>
      <c r="H339" t="inlineStr">
        <is>
          <t>CORRIDOR</t>
        </is>
      </c>
    </row>
    <row r="340" spans="1:5" hidden="1" outlineLevel="1" x14ac:dyDescent="0.3">
      <c r="A340" t="s">
        <v>598</v>
      </c>
      <c r="B340" t="s">
        <v>269</v>
      </c>
      <c r="C340" t="s">
        <v>8</v>
      </c>
      <c r="D340" t="s">
        <v>599</v>
      </c>
      <c r="E340" t="s">
        <v>6289</v>
      </c>
    </row>
    <row r="341" spans="1:5" hidden="1" outlineLevel="1" x14ac:dyDescent="0.3">
      <c r="A341" t="s">
        <v>600</v>
      </c>
      <c r="B341" t="s">
        <v>269</v>
      </c>
      <c r="C341" t="s">
        <v>10</v>
      </c>
      <c r="D341" t="s">
        <v>601</v>
      </c>
      <c r="E341" t="s">
        <v>6290</v>
      </c>
    </row>
    <row r="342" spans="1:5" hidden="1" outlineLevel="1" x14ac:dyDescent="0.3">
      <c r="A342" t="s">
        <v>602</v>
      </c>
      <c r="B342" t="s">
        <v>269</v>
      </c>
      <c r="C342" t="s">
        <v>10</v>
      </c>
      <c r="D342" t="s">
        <v>601</v>
      </c>
      <c r="E342" t="s">
        <v>6290</v>
      </c>
    </row>
    <row r="343" spans="1:5" hidden="1" outlineLevel="1" x14ac:dyDescent="0.3">
      <c r="A343" t="s">
        <v>603</v>
      </c>
      <c r="B343" t="s">
        <v>269</v>
      </c>
      <c r="C343" t="s">
        <v>10</v>
      </c>
      <c r="D343" t="s">
        <v>601</v>
      </c>
      <c r="E343" t="s">
        <v>6290</v>
      </c>
    </row>
    <row r="344" spans="1:8" hidden="1" outlineLevel="1" x14ac:dyDescent="0.3">
      <c r="A344" t="s">
        <v>604</v>
      </c>
      <c r="B344" t="s">
        <v>269</v>
      </c>
      <c r="C344" t="s">
        <v>10</v>
      </c>
      <c r="D344" t="s">
        <v>605</v>
      </c>
      <c r="E344" t="s">
        <v>6291</v>
      </c>
      <c r="H344" t="inlineStr">
        <is>
          <t>HR IMMIGSECRETARY 3.104</t>
        </is>
      </c>
    </row>
    <row r="345" spans="1:8" hidden="1" outlineLevel="1" x14ac:dyDescent="0.3">
      <c r="A345" t="s">
        <v>606</v>
      </c>
      <c r="B345" t="s">
        <v>269</v>
      </c>
      <c r="C345" t="s">
        <v>10</v>
      </c>
      <c r="D345" t="s">
        <v>607</v>
      </c>
      <c r="E345" t="s">
        <v>6292</v>
      </c>
      <c r="H345" t="inlineStr">
        <is>
          <t>HR IMMIGSTAFF 3.012</t>
        </is>
      </c>
    </row>
    <row r="346" spans="1:8" hidden="1" outlineLevel="1" x14ac:dyDescent="0.3">
      <c r="A346" t="s">
        <v>608</v>
      </c>
      <c r="B346" t="s">
        <v>269</v>
      </c>
      <c r="C346" t="s">
        <v>10</v>
      </c>
      <c r="D346" t="s">
        <v>609</v>
      </c>
      <c r="E346" t="s">
        <v>6293</v>
      </c>
      <c r="H346" t="inlineStr">
        <is>
          <t>HR IMMIGSTAFF 3.013</t>
        </is>
      </c>
    </row>
    <row r="347" spans="1:8" hidden="1" outlineLevel="1" x14ac:dyDescent="0.3">
      <c r="A347" t="s">
        <v>610</v>
      </c>
      <c r="B347" t="s">
        <v>269</v>
      </c>
      <c r="C347" t="s">
        <v>10</v>
      </c>
      <c r="D347" t="s">
        <v>611</v>
      </c>
      <c r="E347" t="s">
        <v>6294</v>
      </c>
      <c r="H347" t="inlineStr">
        <is>
          <t>HR IMMIGSTAFF 3.014</t>
        </is>
      </c>
    </row>
    <row r="348" spans="1:8" hidden="1" outlineLevel="1" x14ac:dyDescent="0.3">
      <c r="A348" t="s">
        <v>612</v>
      </c>
      <c r="B348" t="s">
        <v>269</v>
      </c>
      <c r="C348" t="s">
        <v>10</v>
      </c>
      <c r="D348" t="s">
        <v>613</v>
      </c>
      <c r="E348" t="s">
        <v>6295</v>
      </c>
      <c r="H348" t="inlineStr">
        <is>
          <t>HR IMMIGSTAFF 3.015</t>
        </is>
      </c>
    </row>
    <row r="349" spans="1:8" hidden="1" outlineLevel="1" x14ac:dyDescent="0.3">
      <c r="A349" t="s">
        <v>614</v>
      </c>
      <c r="B349" t="s">
        <v>269</v>
      </c>
      <c r="C349" t="s">
        <v>10</v>
      </c>
      <c r="D349" t="s">
        <v>615</v>
      </c>
      <c r="E349" t="s">
        <v>6296</v>
      </c>
      <c r="H349" t="inlineStr">
        <is>
          <t>HR IMMIGSTAFF 3.016</t>
        </is>
      </c>
    </row>
    <row r="350" spans="1:8" hidden="1" outlineLevel="1" x14ac:dyDescent="0.3">
      <c r="A350" t="s">
        <v>616</v>
      </c>
      <c r="B350" t="s">
        <v>269</v>
      </c>
      <c r="C350" t="s">
        <v>10</v>
      </c>
      <c r="D350" t="s">
        <v>617</v>
      </c>
      <c r="E350" t="s">
        <v>6297</v>
      </c>
      <c r="H350" t="inlineStr">
        <is>
          <t>HR IMMIGSTAFF 3.003</t>
        </is>
      </c>
    </row>
    <row r="351" spans="1:8" hidden="1" outlineLevel="1" x14ac:dyDescent="0.3">
      <c r="A351" t="s">
        <v>618</v>
      </c>
      <c r="B351" t="s">
        <v>269</v>
      </c>
      <c r="C351" t="s">
        <v>10</v>
      </c>
      <c r="D351" t="s">
        <v>619</v>
      </c>
      <c r="E351" t="s">
        <v>6298</v>
      </c>
      <c r="H351" t="inlineStr">
        <is>
          <t>HR IMMIGSTAFF 3.004</t>
        </is>
      </c>
    </row>
    <row r="352" spans="1:8" hidden="1" outlineLevel="1" x14ac:dyDescent="0.3">
      <c r="A352" t="s">
        <v>620</v>
      </c>
      <c r="B352" t="s">
        <v>269</v>
      </c>
      <c r="C352" t="s">
        <v>10</v>
      </c>
      <c r="D352" t="s">
        <v>621</v>
      </c>
      <c r="E352" t="s">
        <v>6299</v>
      </c>
      <c r="H352" t="inlineStr">
        <is>
          <t>HR IMMIGSTAFF 3.005</t>
        </is>
      </c>
    </row>
    <row r="353" spans="1:8" hidden="1" outlineLevel="1" x14ac:dyDescent="0.3">
      <c r="A353" t="s">
        <v>622</v>
      </c>
      <c r="B353" t="s">
        <v>269</v>
      </c>
      <c r="C353" t="s">
        <v>10</v>
      </c>
      <c r="D353" t="s">
        <v>623</v>
      </c>
      <c r="E353" t="s">
        <v>6300</v>
      </c>
      <c r="H353" t="inlineStr">
        <is>
          <t>HR IMMIGSTAFF 3.006</t>
        </is>
      </c>
    </row>
    <row r="354" spans="1:8" hidden="1" outlineLevel="1" x14ac:dyDescent="0.3">
      <c r="A354" t="s">
        <v>624</v>
      </c>
      <c r="B354" t="s">
        <v>269</v>
      </c>
      <c r="C354" t="s">
        <v>10</v>
      </c>
      <c r="D354" t="s">
        <v>625</v>
      </c>
      <c r="E354" t="s">
        <v>6301</v>
      </c>
      <c r="H354" t="inlineStr">
        <is>
          <t>HR IMMIGSTAFF 3.007</t>
        </is>
      </c>
    </row>
    <row r="355" spans="1:8" hidden="1" outlineLevel="1" x14ac:dyDescent="0.3">
      <c r="A355" t="s">
        <v>626</v>
      </c>
      <c r="B355" t="s">
        <v>269</v>
      </c>
      <c r="C355" t="s">
        <v>10</v>
      </c>
      <c r="D355" t="s">
        <v>627</v>
      </c>
      <c r="E355" t="s">
        <v>6302</v>
      </c>
      <c r="H355" t="inlineStr">
        <is>
          <t>HR IMMIGSTAFF 3.008</t>
        </is>
      </c>
    </row>
    <row r="356" spans="1:8" hidden="1" outlineLevel="1" x14ac:dyDescent="0.3">
      <c r="A356" t="s">
        <v>628</v>
      </c>
      <c r="B356" t="s">
        <v>269</v>
      </c>
      <c r="C356" t="s">
        <v>10</v>
      </c>
      <c r="D356" t="s">
        <v>629</v>
      </c>
      <c r="E356" t="s">
        <v>6303</v>
      </c>
      <c r="H356" t="inlineStr">
        <is>
          <t>HR IMMIGSTORAGE 3.009</t>
        </is>
      </c>
    </row>
    <row r="357" spans="1:8" hidden="1" outlineLevel="1" x14ac:dyDescent="0.3">
      <c r="A357" t="s">
        <v>630</v>
      </c>
      <c r="B357" t="s">
        <v>269</v>
      </c>
      <c r="C357" t="s">
        <v>10</v>
      </c>
      <c r="D357" t="s">
        <v>631</v>
      </c>
      <c r="E357" t="s">
        <v>6304</v>
      </c>
      <c r="H357" t="inlineStr">
        <is>
          <t>HR IMMIGSTAFF 3.010</t>
        </is>
      </c>
    </row>
    <row r="358" spans="1:8" hidden="1" outlineLevel="1" x14ac:dyDescent="0.3">
      <c r="A358" t="s">
        <v>632</v>
      </c>
      <c r="B358" t="s">
        <v>269</v>
      </c>
      <c r="C358" t="s">
        <v>10</v>
      </c>
      <c r="D358" t="s">
        <v>633</v>
      </c>
      <c r="E358" t="s">
        <v>6305</v>
      </c>
      <c r="H358" t="inlineStr">
        <is>
          <t>HR IMMIGSTAFF 3.011</t>
        </is>
      </c>
    </row>
    <row r="359" spans="1:8" hidden="1" outlineLevel="1" x14ac:dyDescent="0.3">
      <c r="A359" t="s">
        <v>634</v>
      </c>
      <c r="B359" t="s">
        <v>269</v>
      </c>
      <c r="C359" t="s">
        <v>10</v>
      </c>
      <c r="D359" t="s">
        <v>635</v>
      </c>
      <c r="E359" t="s">
        <v>6306</v>
      </c>
      <c r="H359" t="inlineStr">
        <is>
          <t>SHELL SPACE 3.101</t>
        </is>
      </c>
    </row>
    <row r="360" spans="1:8" hidden="1" outlineLevel="1" x14ac:dyDescent="0.3">
      <c r="A360" t="s">
        <v>636</v>
      </c>
      <c r="B360" t="s">
        <v>269</v>
      </c>
      <c r="C360" t="s">
        <v>10</v>
      </c>
      <c r="D360" t="s">
        <v>637</v>
      </c>
      <c r="E360" t="s">
        <v>6307</v>
      </c>
      <c r="H360" t="inlineStr">
        <is>
          <t>HR IMMIGSTAFF 3.002</t>
        </is>
      </c>
    </row>
    <row r="361" spans="1:8" hidden="1" outlineLevel="1" x14ac:dyDescent="0.3">
      <c r="A361" t="s">
        <v>638</v>
      </c>
      <c r="B361" t="s">
        <v>269</v>
      </c>
      <c r="C361" t="s">
        <v>8</v>
      </c>
      <c r="D361" t="s">
        <v>592</v>
      </c>
      <c r="E361" t="s">
        <v>6286</v>
      </c>
      <c r="H361" t="inlineStr">
        <is>
          <t>CORRIDOR SW</t>
        </is>
      </c>
    </row>
    <row r="362" spans="1:8" hidden="1" outlineLevel="1" x14ac:dyDescent="0.3">
      <c r="A362" t="s">
        <v>639</v>
      </c>
      <c r="B362" t="s">
        <v>269</v>
      </c>
      <c r="C362" t="s">
        <v>10</v>
      </c>
      <c r="D362" t="s">
        <v>640</v>
      </c>
      <c r="E362" t="s">
        <v>6308</v>
      </c>
      <c r="H362" t="inlineStr">
        <is>
          <t>SHELL SPACE B 03.202B</t>
        </is>
      </c>
    </row>
    <row r="363" spans="1:8" hidden="1" outlineLevel="1" x14ac:dyDescent="0.3">
      <c r="A363" t="s">
        <v>641</v>
      </c>
      <c r="B363" t="s">
        <v>269</v>
      </c>
      <c r="C363" t="s">
        <v>10</v>
      </c>
      <c r="D363" t="s">
        <v>642</v>
      </c>
      <c r="E363" t="s">
        <v>6309</v>
      </c>
      <c r="H363" t="inlineStr">
        <is>
          <t>SHELL SPACE A 03.202A</t>
        </is>
      </c>
    </row>
    <row r="364" spans="1:8" hidden="1" outlineLevel="1" x14ac:dyDescent="0.3">
      <c r="A364" t="s">
        <v>643</v>
      </c>
      <c r="B364" t="s">
        <v>269</v>
      </c>
      <c r="C364" t="s">
        <v>10</v>
      </c>
      <c r="D364" t="s">
        <v>644</v>
      </c>
      <c r="E364" t="s">
        <v>6310</v>
      </c>
      <c r="H364" t="inlineStr">
        <is>
          <t>HR IMMIGIMMIGRATION 3.205</t>
        </is>
      </c>
    </row>
    <row r="365" spans="1:8" hidden="1" outlineLevel="1" x14ac:dyDescent="0.3">
      <c r="A365" t="s">
        <v>645</v>
      </c>
      <c r="B365" t="s">
        <v>269</v>
      </c>
      <c r="C365" t="s">
        <v>8</v>
      </c>
      <c r="D365" t="s">
        <v>646</v>
      </c>
      <c r="E365" t="s">
        <v>6311</v>
      </c>
      <c r="H365" t="inlineStr">
        <is>
          <t>HR IMMIGMANAGER 3.206</t>
        </is>
      </c>
    </row>
    <row r="366" spans="1:8" hidden="1" outlineLevel="1" x14ac:dyDescent="0.3">
      <c r="A366" t="s">
        <v>647</v>
      </c>
      <c r="B366" t="s">
        <v>269</v>
      </c>
      <c r="C366" t="s">
        <v>8</v>
      </c>
      <c r="D366" t="s">
        <v>648</v>
      </c>
      <c r="E366" t="s">
        <v>6312</v>
      </c>
      <c r="H366" t="inlineStr">
        <is>
          <t>HR IMMIGMANAGER 3.207</t>
        </is>
      </c>
    </row>
    <row r="367" spans="1:8" hidden="1" outlineLevel="1" x14ac:dyDescent="0.3">
      <c r="A367" t="s">
        <v>649</v>
      </c>
      <c r="B367" t="s">
        <v>269</v>
      </c>
      <c r="C367" t="s">
        <v>8</v>
      </c>
      <c r="D367" t="s">
        <v>650</v>
      </c>
      <c r="E367" t="s">
        <v>6313</v>
      </c>
      <c r="H367" t="inlineStr">
        <is>
          <t>HR IMMIGMANAGER 3.208</t>
        </is>
      </c>
    </row>
    <row r="368" spans="1:8" hidden="1" outlineLevel="1" x14ac:dyDescent="0.3">
      <c r="A368" t="s">
        <v>651</v>
      </c>
      <c r="B368" t="s">
        <v>269</v>
      </c>
      <c r="C368" t="s">
        <v>8</v>
      </c>
      <c r="D368" t="s">
        <v>652</v>
      </c>
      <c r="E368" t="s">
        <v>6314</v>
      </c>
      <c r="H368" t="inlineStr">
        <is>
          <t>HR IMMIGMANAGER 3.209</t>
        </is>
      </c>
    </row>
    <row r="369" spans="1:8" hidden="1" outlineLevel="1" x14ac:dyDescent="0.3">
      <c r="A369" t="s">
        <v>653</v>
      </c>
      <c r="B369" t="s">
        <v>269</v>
      </c>
      <c r="C369" t="s">
        <v>10</v>
      </c>
      <c r="D369" t="s">
        <v>654</v>
      </c>
      <c r="E369" t="s">
        <v>6315</v>
      </c>
      <c r="H369" t="inlineStr">
        <is>
          <t>HR IMMIG OFFICERS 3.210</t>
        </is>
      </c>
    </row>
    <row r="370" spans="1:5" hidden="1" outlineLevel="1" x14ac:dyDescent="0.3">
      <c r="A370" t="s">
        <v>655</v>
      </c>
      <c r="B370" t="s">
        <v>269</v>
      </c>
      <c r="C370" t="s">
        <v>10</v>
      </c>
      <c r="D370" t="s">
        <v>654</v>
      </c>
      <c r="E370" t="s">
        <v>6315</v>
      </c>
    </row>
    <row r="371" spans="1:8" hidden="1" outlineLevel="1" x14ac:dyDescent="0.3">
      <c r="A371" t="s">
        <v>656</v>
      </c>
      <c r="B371" t="s">
        <v>269</v>
      </c>
      <c r="C371" t="s">
        <v>8</v>
      </c>
      <c r="D371" t="s">
        <v>657</v>
      </c>
      <c r="E371" t="s">
        <v>6316</v>
      </c>
      <c r="H371" t="inlineStr">
        <is>
          <t>HR IMMIGMANAGER 3.211</t>
        </is>
      </c>
    </row>
    <row r="372" spans="1:8" hidden="1" outlineLevel="1" x14ac:dyDescent="0.3">
      <c r="A372" t="s">
        <v>658</v>
      </c>
      <c r="B372" t="s">
        <v>269</v>
      </c>
      <c r="C372" t="s">
        <v>10</v>
      </c>
      <c r="D372" t="s">
        <v>659</v>
      </c>
      <c r="E372" t="s">
        <v>6317</v>
      </c>
      <c r="H372" t="inlineStr">
        <is>
          <t>HR IMMIGSECRETARY 3.212</t>
        </is>
      </c>
    </row>
    <row r="373" spans="1:8" hidden="1" outlineLevel="1" x14ac:dyDescent="0.3">
      <c r="A373" t="s">
        <v>660</v>
      </c>
      <c r="B373" t="s">
        <v>269</v>
      </c>
      <c r="C373" t="s">
        <v>8</v>
      </c>
      <c r="D373" t="s">
        <v>661</v>
      </c>
      <c r="E373" t="s">
        <v>6318</v>
      </c>
      <c r="H373" t="inlineStr">
        <is>
          <t>HR IMMIGDIRENSUIT 3.213</t>
        </is>
      </c>
    </row>
    <row r="374" spans="1:8" hidden="1" outlineLevel="1" x14ac:dyDescent="0.3">
      <c r="A374" t="s">
        <v>662</v>
      </c>
      <c r="B374" t="s">
        <v>269</v>
      </c>
      <c r="C374" t="s">
        <v>8</v>
      </c>
      <c r="D374" t="s">
        <v>663</v>
      </c>
      <c r="E374" t="s">
        <v>6319</v>
      </c>
      <c r="H374" t="inlineStr">
        <is>
          <t>IT SECRETARY 3.214</t>
        </is>
      </c>
    </row>
    <row r="375" spans="1:8" hidden="1" outlineLevel="1" x14ac:dyDescent="0.3">
      <c r="A375" t="s">
        <v>664</v>
      </c>
      <c r="B375" t="s">
        <v>269</v>
      </c>
      <c r="C375" t="s">
        <v>8</v>
      </c>
      <c r="D375" t="s">
        <v>665</v>
      </c>
      <c r="E375" t="s">
        <v>6320</v>
      </c>
      <c r="H375" t="inlineStr">
        <is>
          <t>IT DIRECTOR ENSUIT 3.215</t>
        </is>
      </c>
    </row>
    <row r="376" spans="1:8" hidden="1" outlineLevel="1" x14ac:dyDescent="0.3">
      <c r="A376" t="s">
        <v>666</v>
      </c>
      <c r="B376" t="s">
        <v>269</v>
      </c>
      <c r="C376" t="s">
        <v>10</v>
      </c>
      <c r="D376" t="s">
        <v>667</v>
      </c>
      <c r="E376" t="s">
        <v>6321</v>
      </c>
      <c r="H376" t="inlineStr">
        <is>
          <t>PROC&amp; CONTRLSECRETARY 3.216</t>
        </is>
      </c>
    </row>
    <row r="377" spans="1:8" hidden="1" outlineLevel="1" x14ac:dyDescent="0.3">
      <c r="A377" t="s">
        <v>668</v>
      </c>
      <c r="B377" t="s">
        <v>269</v>
      </c>
      <c r="C377" t="s">
        <v>8</v>
      </c>
      <c r="D377" t="s">
        <v>669</v>
      </c>
      <c r="E377" t="s">
        <v>6322</v>
      </c>
      <c r="H377" t="inlineStr">
        <is>
          <t>PROC&amp; CONTRLDIRENSUIT 3.201</t>
        </is>
      </c>
    </row>
    <row r="378" spans="1:8" hidden="1" outlineLevel="1" x14ac:dyDescent="0.3">
      <c r="A378" t="s">
        <v>670</v>
      </c>
      <c r="B378" t="s">
        <v>269</v>
      </c>
      <c r="C378" t="s">
        <v>10</v>
      </c>
      <c r="D378" t="s">
        <v>671</v>
      </c>
      <c r="E378" t="s">
        <v>6323</v>
      </c>
      <c r="H378" t="inlineStr">
        <is>
          <t>HR IMMIGMEETING ROOM 3.301</t>
        </is>
      </c>
    </row>
    <row r="379" spans="1:5" hidden="1" outlineLevel="1" x14ac:dyDescent="0.3">
      <c r="A379" t="s">
        <v>672</v>
      </c>
      <c r="B379" t="s">
        <v>269</v>
      </c>
      <c r="C379" t="s">
        <v>10</v>
      </c>
      <c r="D379" t="s">
        <v>671</v>
      </c>
      <c r="E379" t="s">
        <v>6323</v>
      </c>
    </row>
    <row r="380" spans="1:8" hidden="1" outlineLevel="1" x14ac:dyDescent="0.3">
      <c r="A380" t="s">
        <v>673</v>
      </c>
      <c r="B380" t="s">
        <v>269</v>
      </c>
      <c r="C380" t="s">
        <v>10</v>
      </c>
      <c r="D380" t="s">
        <v>674</v>
      </c>
      <c r="E380" t="s">
        <v>6324</v>
      </c>
      <c r="H380" t="inlineStr">
        <is>
          <t>HR IMMIGMEETING ROOM 3.302</t>
        </is>
      </c>
    </row>
    <row r="381" spans="1:8" hidden="1" outlineLevel="1" x14ac:dyDescent="0.3">
      <c r="A381" t="s">
        <v>675</v>
      </c>
      <c r="B381" t="s">
        <v>269</v>
      </c>
      <c r="C381" t="s">
        <v>8</v>
      </c>
      <c r="D381" t="s">
        <v>676</v>
      </c>
      <c r="E381" t="s">
        <v>6325</v>
      </c>
      <c r="H381" t="inlineStr">
        <is>
          <t>E-TOWER LOBBY SE</t>
        </is>
      </c>
    </row>
    <row r="382" spans="1:5" hidden="1" outlineLevel="1" x14ac:dyDescent="0.3">
      <c r="A382" t="s">
        <v>677</v>
      </c>
      <c r="B382" t="s">
        <v>269</v>
      </c>
      <c r="C382" t="s">
        <v>8</v>
      </c>
      <c r="D382" t="s">
        <v>678</v>
      </c>
      <c r="E382" t="s">
        <v>8218</v>
      </c>
    </row>
    <row r="383" spans="1:8" hidden="1" outlineLevel="1" x14ac:dyDescent="0.3">
      <c r="A383" t="s">
        <v>679</v>
      </c>
      <c r="B383" t="s">
        <v>269</v>
      </c>
      <c r="C383" t="s">
        <v>8</v>
      </c>
      <c r="D383" t="s">
        <v>680</v>
      </c>
      <c r="E383" t="s">
        <v>6326</v>
      </c>
      <c r="H383" t="inlineStr">
        <is>
          <t>STR PL DIR ENSUIT 04.005</t>
        </is>
      </c>
    </row>
    <row r="384" spans="1:5" hidden="1" outlineLevel="1" x14ac:dyDescent="0.3">
      <c r="A384" t="s">
        <v>681</v>
      </c>
      <c r="B384" t="s">
        <v>269</v>
      </c>
      <c r="C384" t="s">
        <v>8</v>
      </c>
      <c r="D384" t="s">
        <v>682</v>
      </c>
      <c r="E384" t="s">
        <v>6327</v>
      </c>
    </row>
    <row r="385" spans="1:5" hidden="1" outlineLevel="1" x14ac:dyDescent="0.3">
      <c r="A385" t="s">
        <v>683</v>
      </c>
      <c r="B385" t="s">
        <v>269</v>
      </c>
      <c r="C385" t="s">
        <v>8</v>
      </c>
      <c r="D385" t="s">
        <v>684</v>
      </c>
      <c r="E385" t="s">
        <v>6328</v>
      </c>
    </row>
    <row r="386" spans="1:5" hidden="1" outlineLevel="1" x14ac:dyDescent="0.3">
      <c r="A386" t="s">
        <v>685</v>
      </c>
      <c r="B386" t="s">
        <v>269</v>
      </c>
      <c r="C386" t="s">
        <v>8</v>
      </c>
      <c r="D386" t="s">
        <v>686</v>
      </c>
      <c r="E386" t="s">
        <v>6329</v>
      </c>
    </row>
    <row r="387" spans="1:5" hidden="1" outlineLevel="1" x14ac:dyDescent="0.3">
      <c r="A387" t="s">
        <v>687</v>
      </c>
      <c r="B387" t="s">
        <v>269</v>
      </c>
      <c r="C387" t="s">
        <v>8</v>
      </c>
      <c r="D387" t="s">
        <v>688</v>
      </c>
      <c r="E387" t="s">
        <v>6330</v>
      </c>
    </row>
    <row r="388" spans="1:5" hidden="1" outlineLevel="1" x14ac:dyDescent="0.3">
      <c r="A388" t="s">
        <v>689</v>
      </c>
      <c r="B388" t="s">
        <v>269</v>
      </c>
      <c r="C388" t="s">
        <v>8</v>
      </c>
      <c r="D388" t="s">
        <v>690</v>
      </c>
      <c r="E388" t="s">
        <v>6331</v>
      </c>
    </row>
    <row r="389" spans="1:5" hidden="1" outlineLevel="1" x14ac:dyDescent="0.3">
      <c r="A389" t="s">
        <v>691</v>
      </c>
      <c r="B389" t="s">
        <v>269</v>
      </c>
      <c r="C389" t="s">
        <v>8</v>
      </c>
      <c r="D389" t="s">
        <v>692</v>
      </c>
      <c r="E389" t="s">
        <v>6332</v>
      </c>
    </row>
    <row r="390" spans="1:5" hidden="1" outlineLevel="1" x14ac:dyDescent="0.3">
      <c r="A390" t="s">
        <v>693</v>
      </c>
      <c r="B390" t="s">
        <v>269</v>
      </c>
      <c r="C390" t="s">
        <v>8</v>
      </c>
      <c r="D390" t="s">
        <v>694</v>
      </c>
      <c r="E390" t="s">
        <v>6333</v>
      </c>
    </row>
    <row r="391" spans="1:5" hidden="1" outlineLevel="1" x14ac:dyDescent="0.3">
      <c r="A391" t="s">
        <v>695</v>
      </c>
      <c r="B391" t="s">
        <v>269</v>
      </c>
      <c r="C391" t="s">
        <v>8</v>
      </c>
      <c r="D391" t="s">
        <v>696</v>
      </c>
      <c r="E391" t="s">
        <v>6334</v>
      </c>
    </row>
    <row r="392" spans="1:5" hidden="1" outlineLevel="1" x14ac:dyDescent="0.3">
      <c r="A392" t="s">
        <v>697</v>
      </c>
      <c r="B392" t="s">
        <v>269</v>
      </c>
      <c r="C392" t="s">
        <v>8</v>
      </c>
      <c r="D392" t="s">
        <v>698</v>
      </c>
      <c r="E392" t="s">
        <v>6335</v>
      </c>
    </row>
    <row r="393" spans="1:8" hidden="1" outlineLevel="1" x14ac:dyDescent="0.3">
      <c r="A393" t="s">
        <v>699</v>
      </c>
      <c r="B393" t="s">
        <v>269</v>
      </c>
      <c r="C393" t="s">
        <v>10</v>
      </c>
      <c r="D393" t="s">
        <v>700</v>
      </c>
      <c r="E393" t="s">
        <v>8219</v>
      </c>
      <c r="H393" t="inlineStr">
        <is>
          <t>SHELL SPACE C 04.015C</t>
        </is>
      </c>
    </row>
    <row r="394" spans="1:8" hidden="1" outlineLevel="1" x14ac:dyDescent="0.3">
      <c r="A394" t="s">
        <v>701</v>
      </c>
      <c r="B394" t="s">
        <v>269</v>
      </c>
      <c r="C394" t="s">
        <v>10</v>
      </c>
      <c r="D394" t="s">
        <v>702</v>
      </c>
      <c r="E394" t="s">
        <v>8220</v>
      </c>
      <c r="H394" t="inlineStr">
        <is>
          <t>SHELL SPACE A 04.015A</t>
        </is>
      </c>
    </row>
    <row r="395" spans="1:8" hidden="1" outlineLevel="1" x14ac:dyDescent="0.3">
      <c r="A395" t="s">
        <v>703</v>
      </c>
      <c r="B395" t="s">
        <v>269</v>
      </c>
      <c r="C395" t="s">
        <v>8</v>
      </c>
      <c r="D395" t="s">
        <v>6038</v>
      </c>
      <c r="E395" t="s">
        <v>6336</v>
      </c>
      <c r="H395" t="inlineStr">
        <is>
          <t>CORRIDOR NE</t>
        </is>
      </c>
    </row>
    <row r="396" spans="1:8" hidden="1" outlineLevel="1" x14ac:dyDescent="0.3">
      <c r="A396" t="s">
        <v>704</v>
      </c>
      <c r="B396" t="s">
        <v>269</v>
      </c>
      <c r="C396" t="s">
        <v>8</v>
      </c>
      <c r="D396" t="s">
        <v>705</v>
      </c>
      <c r="E396" t="s">
        <v>6337</v>
      </c>
      <c r="H396" t="inlineStr">
        <is>
          <t>VP EDU STORGE 04.109</t>
        </is>
      </c>
    </row>
    <row r="397" spans="1:8" hidden="1" outlineLevel="1" x14ac:dyDescent="0.3">
      <c r="A397" t="s">
        <v>706</v>
      </c>
      <c r="B397" t="s">
        <v>269</v>
      </c>
      <c r="C397" t="s">
        <v>8</v>
      </c>
      <c r="D397" t="s">
        <v>6038</v>
      </c>
      <c r="E397" t="s">
        <v>6336</v>
      </c>
      <c r="H397" t="inlineStr">
        <is>
          <t>CORRIDOR NE</t>
        </is>
      </c>
    </row>
    <row r="398" spans="1:8" hidden="1" outlineLevel="1" x14ac:dyDescent="0.3">
      <c r="A398" t="s">
        <v>707</v>
      </c>
      <c r="B398" t="s">
        <v>269</v>
      </c>
      <c r="C398" t="s">
        <v>10</v>
      </c>
      <c r="D398" t="s">
        <v>708</v>
      </c>
      <c r="E398" t="s">
        <v>6338</v>
      </c>
      <c r="H398" t="inlineStr">
        <is>
          <t>STR PL DIR ARCHIVE ROOM 04.108</t>
        </is>
      </c>
    </row>
    <row r="399" spans="1:8" hidden="1" outlineLevel="1" x14ac:dyDescent="0.3">
      <c r="A399" t="s">
        <v>709</v>
      </c>
      <c r="B399" t="s">
        <v>269</v>
      </c>
      <c r="C399" t="s">
        <v>10</v>
      </c>
      <c r="D399" t="s">
        <v>710</v>
      </c>
      <c r="E399" t="s">
        <v>6339</v>
      </c>
      <c r="H399" t="inlineStr">
        <is>
          <t>STR PL DIR TECHNSTAFF 04.107</t>
        </is>
      </c>
    </row>
    <row r="400" spans="1:5" hidden="1" outlineLevel="1" x14ac:dyDescent="0.3">
      <c r="A400" t="s">
        <v>711</v>
      </c>
      <c r="B400" t="s">
        <v>269</v>
      </c>
      <c r="C400" t="s">
        <v>8</v>
      </c>
      <c r="D400" t="s">
        <v>712</v>
      </c>
      <c r="E400" t="s">
        <v>6340</v>
      </c>
    </row>
    <row r="401" spans="1:5" hidden="1" outlineLevel="1" x14ac:dyDescent="0.3">
      <c r="A401" t="s">
        <v>713</v>
      </c>
      <c r="B401" t="s">
        <v>269</v>
      </c>
      <c r="C401" t="s">
        <v>8</v>
      </c>
      <c r="D401" t="s">
        <v>712</v>
      </c>
      <c r="E401" t="s">
        <v>6340</v>
      </c>
    </row>
    <row r="402" spans="1:5" hidden="1" outlineLevel="1" x14ac:dyDescent="0.3">
      <c r="A402" t="s">
        <v>714</v>
      </c>
      <c r="B402" t="s">
        <v>269</v>
      </c>
      <c r="C402" t="s">
        <v>8</v>
      </c>
      <c r="D402" t="s">
        <v>715</v>
      </c>
      <c r="E402" t="s">
        <v>6341</v>
      </c>
    </row>
    <row r="403" spans="1:8" hidden="1" outlineLevel="1" x14ac:dyDescent="0.3">
      <c r="A403" t="s">
        <v>716</v>
      </c>
      <c r="B403" t="s">
        <v>269</v>
      </c>
      <c r="C403" t="s">
        <v>10</v>
      </c>
      <c r="D403" t="s">
        <v>717</v>
      </c>
      <c r="E403" t="s">
        <v>8221</v>
      </c>
      <c r="H403" t="inlineStr">
        <is>
          <t>STR PL DIREXECSECRETARY 04.003</t>
        </is>
      </c>
    </row>
    <row r="404" spans="1:8" hidden="1" outlineLevel="1" x14ac:dyDescent="0.3">
      <c r="A404" t="s">
        <v>718</v>
      </c>
      <c r="B404" t="s">
        <v>269</v>
      </c>
      <c r="C404" t="s">
        <v>10</v>
      </c>
      <c r="D404" t="s">
        <v>719</v>
      </c>
      <c r="E404" t="s">
        <v>8222</v>
      </c>
      <c r="H404" t="inlineStr">
        <is>
          <t>SHELL SPACE B 04.001B</t>
        </is>
      </c>
    </row>
    <row r="405" spans="1:8" hidden="1" outlineLevel="1" x14ac:dyDescent="0.3">
      <c r="A405" t="s">
        <v>720</v>
      </c>
      <c r="B405" t="s">
        <v>269</v>
      </c>
      <c r="C405" t="s">
        <v>10</v>
      </c>
      <c r="D405" t="s">
        <v>721</v>
      </c>
      <c r="E405" t="s">
        <v>8223</v>
      </c>
      <c r="H405" t="inlineStr">
        <is>
          <t>SHELL SPACE D 04.001D</t>
        </is>
      </c>
    </row>
    <row r="406" spans="1:8" hidden="1" outlineLevel="1" x14ac:dyDescent="0.3">
      <c r="A406" t="s">
        <v>722</v>
      </c>
      <c r="B406" t="s">
        <v>269</v>
      </c>
      <c r="C406" t="s">
        <v>10</v>
      </c>
      <c r="D406" t="s">
        <v>723</v>
      </c>
      <c r="E406" t="s">
        <v>8224</v>
      </c>
      <c r="H406" t="inlineStr">
        <is>
          <t>SHELL SPACE F 04.001F</t>
        </is>
      </c>
    </row>
    <row r="407" spans="1:8" hidden="1" outlineLevel="1" x14ac:dyDescent="0.3">
      <c r="A407" t="s">
        <v>724</v>
      </c>
      <c r="B407" t="s">
        <v>269</v>
      </c>
      <c r="C407" t="s">
        <v>10</v>
      </c>
      <c r="D407" t="s">
        <v>725</v>
      </c>
      <c r="E407" t="s">
        <v>8225</v>
      </c>
      <c r="H407" t="inlineStr">
        <is>
          <t>SHELL SPACE G 04.001G</t>
        </is>
      </c>
    </row>
    <row r="408" spans="1:5" hidden="1" outlineLevel="1" x14ac:dyDescent="0.3">
      <c r="A408" t="s">
        <v>726</v>
      </c>
      <c r="B408" t="s">
        <v>269</v>
      </c>
      <c r="C408" t="s">
        <v>10</v>
      </c>
      <c r="D408" t="s">
        <v>727</v>
      </c>
      <c r="E408" t="s">
        <v>8226</v>
      </c>
    </row>
    <row r="409" spans="1:8" hidden="1" outlineLevel="1" x14ac:dyDescent="0.3">
      <c r="A409" t="s">
        <v>728</v>
      </c>
      <c r="B409" t="s">
        <v>269</v>
      </c>
      <c r="C409" t="s">
        <v>10</v>
      </c>
      <c r="D409" t="s">
        <v>729</v>
      </c>
      <c r="E409" t="s">
        <v>6342</v>
      </c>
      <c r="H409" t="inlineStr">
        <is>
          <t>SHELL SPACE 04.102</t>
        </is>
      </c>
    </row>
    <row r="410" spans="1:8" hidden="1" outlineLevel="1" x14ac:dyDescent="0.3">
      <c r="A410" t="s">
        <v>730</v>
      </c>
      <c r="B410" t="s">
        <v>269</v>
      </c>
      <c r="C410" t="s">
        <v>10</v>
      </c>
      <c r="D410" t="s">
        <v>731</v>
      </c>
      <c r="E410" t="s">
        <v>6343</v>
      </c>
      <c r="H410" t="inlineStr">
        <is>
          <t>SHELL SPACE 04.101</t>
        </is>
      </c>
    </row>
    <row r="411" spans="1:8" hidden="1" outlineLevel="1" x14ac:dyDescent="0.3">
      <c r="A411" t="s">
        <v>732</v>
      </c>
      <c r="B411" t="s">
        <v>269</v>
      </c>
      <c r="C411" t="s">
        <v>8</v>
      </c>
      <c r="D411" t="s">
        <v>6038</v>
      </c>
      <c r="E411" t="s">
        <v>6336</v>
      </c>
      <c r="H411" t="inlineStr">
        <is>
          <t>CORRIDOR SW</t>
        </is>
      </c>
    </row>
    <row r="412" spans="1:8" hidden="1" outlineLevel="1" x14ac:dyDescent="0.3">
      <c r="A412" t="s">
        <v>733</v>
      </c>
      <c r="B412" t="s">
        <v>269</v>
      </c>
      <c r="C412" t="s">
        <v>10</v>
      </c>
      <c r="D412" t="s">
        <v>734</v>
      </c>
      <c r="E412" t="s">
        <v>6344</v>
      </c>
      <c r="H412" t="inlineStr">
        <is>
          <t>SHELL SPACE 04.201</t>
        </is>
      </c>
    </row>
    <row r="413" spans="1:8" hidden="1" outlineLevel="1" x14ac:dyDescent="0.3">
      <c r="A413" t="s">
        <v>735</v>
      </c>
      <c r="B413" t="s">
        <v>269</v>
      </c>
      <c r="C413" t="s">
        <v>10</v>
      </c>
      <c r="D413" t="s">
        <v>736</v>
      </c>
      <c r="E413" t="s">
        <v>6345</v>
      </c>
      <c r="H413" t="inlineStr">
        <is>
          <t>SHELL SPACE 04.204</t>
        </is>
      </c>
    </row>
    <row r="414" spans="1:8" hidden="1" outlineLevel="1" x14ac:dyDescent="0.3">
      <c r="A414" t="s">
        <v>737</v>
      </c>
      <c r="B414" t="s">
        <v>269</v>
      </c>
      <c r="C414" t="s">
        <v>8</v>
      </c>
      <c r="D414" t="s">
        <v>738</v>
      </c>
      <c r="E414" t="s">
        <v>6346</v>
      </c>
      <c r="H414" t="inlineStr">
        <is>
          <t>VP ADMN MANAGER 04.205</t>
        </is>
      </c>
    </row>
    <row r="415" spans="1:8" hidden="1" outlineLevel="1" x14ac:dyDescent="0.3">
      <c r="A415" t="s">
        <v>739</v>
      </c>
      <c r="B415" t="s">
        <v>269</v>
      </c>
      <c r="C415" t="s">
        <v>8</v>
      </c>
      <c r="D415" t="s">
        <v>740</v>
      </c>
      <c r="E415" t="s">
        <v>6347</v>
      </c>
      <c r="H415" t="inlineStr">
        <is>
          <t>VP ADMN MANAGER 04.206</t>
        </is>
      </c>
    </row>
    <row r="416" spans="1:8" hidden="1" outlineLevel="1" x14ac:dyDescent="0.3">
      <c r="A416" t="s">
        <v>741</v>
      </c>
      <c r="B416" t="s">
        <v>269</v>
      </c>
      <c r="C416" t="s">
        <v>10</v>
      </c>
      <c r="D416" t="s">
        <v>742</v>
      </c>
      <c r="E416" t="s">
        <v>6348</v>
      </c>
      <c r="H416" t="inlineStr">
        <is>
          <t>VP ADMN SUPPSECRET 04.208</t>
        </is>
      </c>
    </row>
    <row r="417" spans="1:5" hidden="1" outlineLevel="1" x14ac:dyDescent="0.3">
      <c r="A417" t="s">
        <v>743</v>
      </c>
      <c r="B417" t="s">
        <v>269</v>
      </c>
      <c r="C417" t="s">
        <v>10</v>
      </c>
      <c r="D417" t="s">
        <v>742</v>
      </c>
      <c r="E417" t="s">
        <v>6348</v>
      </c>
    </row>
    <row r="418" spans="1:8" hidden="1" outlineLevel="1" x14ac:dyDescent="0.3">
      <c r="A418" t="s">
        <v>744</v>
      </c>
      <c r="B418" t="s">
        <v>269</v>
      </c>
      <c r="C418" t="s">
        <v>8</v>
      </c>
      <c r="D418" t="s">
        <v>745</v>
      </c>
      <c r="E418" t="s">
        <v>6349</v>
      </c>
      <c r="H418" t="inlineStr">
        <is>
          <t>VP ADMN MANAGER 04.209</t>
        </is>
      </c>
    </row>
    <row r="419" spans="1:8" hidden="1" outlineLevel="1" x14ac:dyDescent="0.3">
      <c r="A419" t="s">
        <v>746</v>
      </c>
      <c r="B419" t="s">
        <v>269</v>
      </c>
      <c r="C419" t="s">
        <v>8</v>
      </c>
      <c r="D419" t="s">
        <v>747</v>
      </c>
      <c r="E419" t="s">
        <v>6350</v>
      </c>
      <c r="H419" t="inlineStr">
        <is>
          <t>VP ADMN MANAGER 04.210</t>
        </is>
      </c>
    </row>
    <row r="420" spans="1:8" hidden="1" outlineLevel="1" x14ac:dyDescent="0.3">
      <c r="A420" t="s">
        <v>748</v>
      </c>
      <c r="B420" t="s">
        <v>269</v>
      </c>
      <c r="C420" t="s">
        <v>8</v>
      </c>
      <c r="D420" t="s">
        <v>749</v>
      </c>
      <c r="E420" t="s">
        <v>6351</v>
      </c>
      <c r="H420" t="inlineStr">
        <is>
          <t>VP ADMN MANAGER 04.211</t>
        </is>
      </c>
    </row>
    <row r="421" spans="1:8" hidden="1" outlineLevel="1" x14ac:dyDescent="0.3">
      <c r="A421" t="s">
        <v>750</v>
      </c>
      <c r="B421" t="s">
        <v>269</v>
      </c>
      <c r="C421" t="s">
        <v>10</v>
      </c>
      <c r="D421" t="s">
        <v>751</v>
      </c>
      <c r="E421" t="s">
        <v>6352</v>
      </c>
      <c r="H421" t="inlineStr">
        <is>
          <t>VP ADMNPERSASSIST 04.212</t>
        </is>
      </c>
    </row>
    <row r="422" spans="1:8" hidden="1" outlineLevel="1" x14ac:dyDescent="0.3">
      <c r="A422" t="s">
        <v>752</v>
      </c>
      <c r="B422" t="s">
        <v>269</v>
      </c>
      <c r="C422" t="s">
        <v>8</v>
      </c>
      <c r="D422" t="s">
        <v>753</v>
      </c>
      <c r="E422" t="s">
        <v>6353</v>
      </c>
      <c r="H422" t="inlineStr">
        <is>
          <t>VP ADMNENSUIT 04.213</t>
        </is>
      </c>
    </row>
    <row r="423" spans="1:8" hidden="1" outlineLevel="1" x14ac:dyDescent="0.3">
      <c r="A423" t="s">
        <v>754</v>
      </c>
      <c r="B423" t="s">
        <v>269</v>
      </c>
      <c r="C423" t="s">
        <v>8</v>
      </c>
      <c r="D423" t="s">
        <v>755</v>
      </c>
      <c r="E423" t="s">
        <v>6354</v>
      </c>
      <c r="H423" t="inlineStr">
        <is>
          <t>VP ADMNMEETING ROOM 04.301</t>
        </is>
      </c>
    </row>
    <row r="424" spans="1:5" hidden="1" outlineLevel="1" x14ac:dyDescent="0.3">
      <c r="A424" t="s">
        <v>756</v>
      </c>
      <c r="B424" t="s">
        <v>269</v>
      </c>
      <c r="C424" t="s">
        <v>8</v>
      </c>
      <c r="D424" t="s">
        <v>755</v>
      </c>
      <c r="E424" t="s">
        <v>6354</v>
      </c>
    </row>
    <row r="425" spans="1:8" hidden="1" outlineLevel="1" x14ac:dyDescent="0.3">
      <c r="A425" t="s">
        <v>757</v>
      </c>
      <c r="B425" t="s">
        <v>269</v>
      </c>
      <c r="C425" t="s">
        <v>8</v>
      </c>
      <c r="D425" t="s">
        <v>6039</v>
      </c>
      <c r="E425" t="s">
        <v>6355</v>
      </c>
      <c r="H425" t="inlineStr">
        <is>
          <t>CORRIDOR SE</t>
        </is>
      </c>
    </row>
    <row r="426" spans="1:8" hidden="1" outlineLevel="1" x14ac:dyDescent="0.3">
      <c r="A426" t="s">
        <v>758</v>
      </c>
      <c r="B426" t="s">
        <v>269</v>
      </c>
      <c r="C426" t="s">
        <v>8</v>
      </c>
      <c r="D426" t="s">
        <v>6039</v>
      </c>
      <c r="E426" t="s">
        <v>6355</v>
      </c>
      <c r="H426" t="inlineStr">
        <is>
          <t>CORRIDOR SE</t>
        </is>
      </c>
    </row>
    <row r="427" spans="1:8" hidden="1" outlineLevel="1" x14ac:dyDescent="0.3">
      <c r="A427" t="s">
        <v>759</v>
      </c>
      <c r="B427" t="s">
        <v>269</v>
      </c>
      <c r="C427" t="s">
        <v>8</v>
      </c>
      <c r="D427" t="s">
        <v>760</v>
      </c>
      <c r="E427" t="s">
        <v>6356</v>
      </c>
      <c r="H427" t="inlineStr">
        <is>
          <t>VP EDU OFCDIRENSUIT 5.012</t>
        </is>
      </c>
    </row>
    <row r="428" spans="1:8" hidden="1" outlineLevel="1" x14ac:dyDescent="0.3">
      <c r="A428" t="s">
        <v>761</v>
      </c>
      <c r="B428" t="s">
        <v>269</v>
      </c>
      <c r="C428" t="s">
        <v>8</v>
      </c>
      <c r="D428" t="s">
        <v>762</v>
      </c>
      <c r="E428" t="s">
        <v>6357</v>
      </c>
      <c r="H428" t="inlineStr">
        <is>
          <t>VP EDU SECRETARY 5.013</t>
        </is>
      </c>
    </row>
    <row r="429" spans="1:8" hidden="1" outlineLevel="1" x14ac:dyDescent="0.3">
      <c r="A429" t="s">
        <v>763</v>
      </c>
      <c r="B429" t="s">
        <v>269</v>
      </c>
      <c r="C429" t="s">
        <v>10</v>
      </c>
      <c r="D429" t="s">
        <v>764</v>
      </c>
      <c r="E429" t="s">
        <v>6358</v>
      </c>
      <c r="H429" t="inlineStr">
        <is>
          <t>VP EDU ASSISTANT 5.014</t>
        </is>
      </c>
    </row>
    <row r="430" spans="1:8" hidden="1" outlineLevel="1" x14ac:dyDescent="0.3">
      <c r="A430" t="s">
        <v>765</v>
      </c>
      <c r="B430" t="s">
        <v>269</v>
      </c>
      <c r="C430" t="s">
        <v>10</v>
      </c>
      <c r="D430" t="s">
        <v>766</v>
      </c>
      <c r="E430" t="s">
        <v>6359</v>
      </c>
      <c r="H430" t="inlineStr">
        <is>
          <t>VP EDU ASSISTANT 5.015</t>
        </is>
      </c>
    </row>
    <row r="431" spans="1:8" hidden="1" outlineLevel="1" x14ac:dyDescent="0.3">
      <c r="A431" t="s">
        <v>767</v>
      </c>
      <c r="B431" t="s">
        <v>269</v>
      </c>
      <c r="C431" t="s">
        <v>10</v>
      </c>
      <c r="D431" t="s">
        <v>768</v>
      </c>
      <c r="E431" t="s">
        <v>6360</v>
      </c>
      <c r="H431" t="inlineStr">
        <is>
          <t>VP EDU ASSISTANT 5.016</t>
        </is>
      </c>
    </row>
    <row r="432" spans="1:8" hidden="1" outlineLevel="1" x14ac:dyDescent="0.3">
      <c r="A432" t="s">
        <v>769</v>
      </c>
      <c r="B432" t="s">
        <v>269</v>
      </c>
      <c r="C432" t="s">
        <v>10</v>
      </c>
      <c r="D432" t="s">
        <v>770</v>
      </c>
      <c r="E432" t="s">
        <v>6361</v>
      </c>
      <c r="H432" t="inlineStr">
        <is>
          <t>VP EDU ASSISTANT 5.017</t>
        </is>
      </c>
    </row>
    <row r="433" spans="1:8" hidden="1" outlineLevel="1" x14ac:dyDescent="0.3">
      <c r="A433" t="s">
        <v>771</v>
      </c>
      <c r="B433" t="s">
        <v>269</v>
      </c>
      <c r="C433" t="s">
        <v>8</v>
      </c>
      <c r="D433" t="s">
        <v>772</v>
      </c>
      <c r="E433" t="s">
        <v>6362</v>
      </c>
      <c r="H433" t="inlineStr">
        <is>
          <t>VP EDU OFFICERS 5.018</t>
        </is>
      </c>
    </row>
    <row r="434" spans="1:8" hidden="1" outlineLevel="1" x14ac:dyDescent="0.3">
      <c r="A434" t="s">
        <v>773</v>
      </c>
      <c r="B434" t="s">
        <v>269</v>
      </c>
      <c r="C434" t="s">
        <v>8</v>
      </c>
      <c r="D434" t="s">
        <v>774</v>
      </c>
      <c r="E434" t="s">
        <v>6363</v>
      </c>
      <c r="H434" t="inlineStr">
        <is>
          <t>VP EDU OFFICERS 5.019</t>
        </is>
      </c>
    </row>
    <row r="435" spans="1:8" hidden="1" outlineLevel="1" x14ac:dyDescent="0.3">
      <c r="A435" t="s">
        <v>775</v>
      </c>
      <c r="B435" t="s">
        <v>269</v>
      </c>
      <c r="C435" t="s">
        <v>8</v>
      </c>
      <c r="D435" t="s">
        <v>776</v>
      </c>
      <c r="E435" t="s">
        <v>8227</v>
      </c>
      <c r="H435" t="inlineStr">
        <is>
          <t>VP EDU OFFICERS 5.020</t>
        </is>
      </c>
    </row>
    <row r="436" spans="1:8" hidden="1" outlineLevel="1" x14ac:dyDescent="0.3">
      <c r="A436" t="s">
        <v>777</v>
      </c>
      <c r="B436" t="s">
        <v>269</v>
      </c>
      <c r="C436" t="s">
        <v>8</v>
      </c>
      <c r="D436" t="s">
        <v>778</v>
      </c>
      <c r="E436" t="s">
        <v>6364</v>
      </c>
      <c r="H436" t="inlineStr">
        <is>
          <t>VP EDU OFFICERS 5.021</t>
        </is>
      </c>
    </row>
    <row r="437" spans="1:8" hidden="1" outlineLevel="1" x14ac:dyDescent="0.3">
      <c r="A437" t="s">
        <v>779</v>
      </c>
      <c r="B437" t="s">
        <v>269</v>
      </c>
      <c r="C437" t="s">
        <v>8</v>
      </c>
      <c r="D437" t="s">
        <v>780</v>
      </c>
      <c r="E437" t="s">
        <v>6365</v>
      </c>
      <c r="H437" t="inlineStr">
        <is>
          <t>VP EDU OFFICERS 5.022</t>
        </is>
      </c>
    </row>
    <row r="438" spans="1:8" hidden="1" outlineLevel="1" x14ac:dyDescent="0.3">
      <c r="A438" t="s">
        <v>781</v>
      </c>
      <c r="B438" t="s">
        <v>269</v>
      </c>
      <c r="C438" t="s">
        <v>8</v>
      </c>
      <c r="D438" t="s">
        <v>782</v>
      </c>
      <c r="E438" t="s">
        <v>6366</v>
      </c>
      <c r="H438" t="inlineStr">
        <is>
          <t>VP EDU OFFICERS 5.023</t>
        </is>
      </c>
    </row>
    <row r="439" spans="1:8" hidden="1" outlineLevel="1" x14ac:dyDescent="0.3">
      <c r="A439" t="s">
        <v>783</v>
      </c>
      <c r="B439" t="s">
        <v>269</v>
      </c>
      <c r="C439" t="s">
        <v>10</v>
      </c>
      <c r="D439" t="s">
        <v>784</v>
      </c>
      <c r="E439" t="s">
        <v>6367</v>
      </c>
      <c r="H439" t="inlineStr">
        <is>
          <t>VP EDU SECRETARY 5.024</t>
        </is>
      </c>
    </row>
    <row r="440" spans="1:8" hidden="1" outlineLevel="1" x14ac:dyDescent="0.3">
      <c r="A440" t="s">
        <v>785</v>
      </c>
      <c r="B440" t="s">
        <v>269</v>
      </c>
      <c r="C440" t="s">
        <v>8</v>
      </c>
      <c r="D440" t="s">
        <v>786</v>
      </c>
      <c r="E440" t="s">
        <v>6368</v>
      </c>
      <c r="H440" t="inlineStr">
        <is>
          <t>VP EDU OFCDIRENSUIT 5.025</t>
        </is>
      </c>
    </row>
    <row r="441" spans="1:8" hidden="1" outlineLevel="1" x14ac:dyDescent="0.3">
      <c r="A441" t="s">
        <v>787</v>
      </c>
      <c r="B441" t="s">
        <v>269</v>
      </c>
      <c r="C441" t="s">
        <v>10</v>
      </c>
      <c r="D441" t="s">
        <v>788</v>
      </c>
      <c r="E441" t="s">
        <v>6369</v>
      </c>
      <c r="H441" t="inlineStr">
        <is>
          <t>VP EDU ASSISTANT 5.026</t>
        </is>
      </c>
    </row>
    <row r="442" spans="1:8" hidden="1" outlineLevel="1" x14ac:dyDescent="0.3">
      <c r="A442" t="s">
        <v>789</v>
      </c>
      <c r="B442" t="s">
        <v>269</v>
      </c>
      <c r="C442" t="s">
        <v>8</v>
      </c>
      <c r="D442" t="s">
        <v>6040</v>
      </c>
      <c r="E442" t="s">
        <v>6370</v>
      </c>
      <c r="H442" t="inlineStr">
        <is>
          <t>CORRIDOR -</t>
        </is>
      </c>
    </row>
    <row r="443" spans="1:8" hidden="1" outlineLevel="1" x14ac:dyDescent="0.3">
      <c r="A443" t="s">
        <v>791</v>
      </c>
      <c r="B443" t="s">
        <v>269</v>
      </c>
      <c r="C443" t="s">
        <v>8</v>
      </c>
      <c r="D443" t="s">
        <v>792</v>
      </c>
      <c r="E443" t="s">
        <v>6371</v>
      </c>
      <c r="H443" t="inlineStr">
        <is>
          <t>VP EDU OFFICERS 5.110</t>
        </is>
      </c>
    </row>
    <row r="444" spans="1:8" hidden="1" outlineLevel="1" x14ac:dyDescent="0.3">
      <c r="A444" t="s">
        <v>793</v>
      </c>
      <c r="B444" t="s">
        <v>269</v>
      </c>
      <c r="C444" t="s">
        <v>10</v>
      </c>
      <c r="D444" t="s">
        <v>794</v>
      </c>
      <c r="E444" t="s">
        <v>6372</v>
      </c>
      <c r="H444" t="inlineStr">
        <is>
          <t>VP EDU ASSISTANT 5.109</t>
        </is>
      </c>
    </row>
    <row r="445" spans="1:8" hidden="1" outlineLevel="1" x14ac:dyDescent="0.3">
      <c r="A445" t="s">
        <v>795</v>
      </c>
      <c r="B445" t="s">
        <v>269</v>
      </c>
      <c r="C445" t="s">
        <v>10</v>
      </c>
      <c r="D445" t="s">
        <v>796</v>
      </c>
      <c r="E445" t="s">
        <v>6373</v>
      </c>
      <c r="H445" t="inlineStr">
        <is>
          <t>VP EDU ASSISTANT 5.108</t>
        </is>
      </c>
    </row>
    <row r="446" spans="1:8" hidden="1" outlineLevel="1" x14ac:dyDescent="0.3">
      <c r="A446" t="s">
        <v>797</v>
      </c>
      <c r="B446" t="s">
        <v>269</v>
      </c>
      <c r="C446" t="s">
        <v>10</v>
      </c>
      <c r="D446" t="s">
        <v>798</v>
      </c>
      <c r="E446" t="s">
        <v>6374</v>
      </c>
      <c r="H446" t="inlineStr">
        <is>
          <t>VP EDU SUPPSECRETARIES 5.107</t>
        </is>
      </c>
    </row>
    <row r="447" spans="1:5" hidden="1" outlineLevel="1" x14ac:dyDescent="0.3">
      <c r="A447" t="s">
        <v>799</v>
      </c>
      <c r="B447" t="s">
        <v>269</v>
      </c>
      <c r="C447" t="s">
        <v>10</v>
      </c>
      <c r="D447" t="s">
        <v>798</v>
      </c>
      <c r="E447" t="s">
        <v>6374</v>
      </c>
    </row>
    <row r="448" spans="1:5" hidden="1" outlineLevel="1" x14ac:dyDescent="0.3">
      <c r="A448" t="s">
        <v>800</v>
      </c>
      <c r="B448" t="s">
        <v>269</v>
      </c>
      <c r="C448" t="s">
        <v>8</v>
      </c>
      <c r="D448" t="s">
        <v>801</v>
      </c>
      <c r="E448" t="s">
        <v>6375</v>
      </c>
    </row>
    <row r="449" spans="1:5" hidden="1" outlineLevel="1" x14ac:dyDescent="0.3">
      <c r="A449" t="s">
        <v>802</v>
      </c>
      <c r="B449" t="s">
        <v>269</v>
      </c>
      <c r="C449" t="s">
        <v>8</v>
      </c>
      <c r="D449" t="s">
        <v>801</v>
      </c>
      <c r="E449" t="s">
        <v>6375</v>
      </c>
    </row>
    <row r="450" spans="1:5" hidden="1" outlineLevel="1" x14ac:dyDescent="0.3">
      <c r="A450" t="s">
        <v>803</v>
      </c>
      <c r="B450" t="s">
        <v>269</v>
      </c>
      <c r="C450" t="s">
        <v>10</v>
      </c>
      <c r="D450" t="s">
        <v>804</v>
      </c>
      <c r="E450" t="s">
        <v>8228</v>
      </c>
    </row>
    <row r="451" spans="1:5" hidden="1" outlineLevel="1" x14ac:dyDescent="0.3">
      <c r="A451" t="s">
        <v>805</v>
      </c>
      <c r="B451" t="s">
        <v>269</v>
      </c>
      <c r="C451" t="s">
        <v>10</v>
      </c>
      <c r="D451" t="s">
        <v>806</v>
      </c>
      <c r="E451" t="s">
        <v>8229</v>
      </c>
    </row>
    <row r="452" spans="1:5" hidden="1" outlineLevel="1" x14ac:dyDescent="0.3">
      <c r="A452" t="s">
        <v>807</v>
      </c>
      <c r="B452" t="s">
        <v>269</v>
      </c>
      <c r="C452" t="s">
        <v>10</v>
      </c>
      <c r="D452" t="s">
        <v>808</v>
      </c>
      <c r="E452" t="s">
        <v>6376</v>
      </c>
    </row>
    <row r="453" spans="1:8" hidden="1" outlineLevel="1" x14ac:dyDescent="0.3">
      <c r="A453" t="s">
        <v>809</v>
      </c>
      <c r="B453" t="s">
        <v>269</v>
      </c>
      <c r="C453" t="s">
        <v>8</v>
      </c>
      <c r="D453" t="s">
        <v>810</v>
      </c>
      <c r="E453" t="s">
        <v>6377</v>
      </c>
      <c r="H453" t="inlineStr">
        <is>
          <t>VP EDU OFFDIRENSUIT 5.002</t>
        </is>
      </c>
    </row>
    <row r="454" spans="1:8" hidden="1" outlineLevel="1" x14ac:dyDescent="0.3">
      <c r="A454" t="s">
        <v>811</v>
      </c>
      <c r="B454" t="s">
        <v>269</v>
      </c>
      <c r="C454" t="s">
        <v>10</v>
      </c>
      <c r="D454" t="s">
        <v>812</v>
      </c>
      <c r="E454" t="s">
        <v>6378</v>
      </c>
      <c r="H454" t="inlineStr">
        <is>
          <t>VP EDU SECRETARY 5.003</t>
        </is>
      </c>
    </row>
    <row r="455" spans="1:5" hidden="1" outlineLevel="1" x14ac:dyDescent="0.3">
      <c r="A455" t="s">
        <v>813</v>
      </c>
      <c r="B455" t="s">
        <v>269</v>
      </c>
      <c r="C455" t="s">
        <v>10</v>
      </c>
      <c r="D455" t="s">
        <v>814</v>
      </c>
      <c r="E455" t="s">
        <v>6379</v>
      </c>
    </row>
    <row r="456" spans="1:5" hidden="1" outlineLevel="1" x14ac:dyDescent="0.3">
      <c r="A456" t="s">
        <v>815</v>
      </c>
      <c r="B456" t="s">
        <v>269</v>
      </c>
      <c r="C456" t="s">
        <v>10</v>
      </c>
      <c r="D456" t="s">
        <v>816</v>
      </c>
      <c r="E456" t="s">
        <v>6380</v>
      </c>
    </row>
    <row r="457" spans="1:5" hidden="1" outlineLevel="1" x14ac:dyDescent="0.3">
      <c r="A457" t="s">
        <v>817</v>
      </c>
      <c r="B457" t="s">
        <v>269</v>
      </c>
      <c r="C457" t="s">
        <v>10</v>
      </c>
      <c r="D457" t="s">
        <v>818</v>
      </c>
      <c r="E457" t="s">
        <v>6381</v>
      </c>
    </row>
    <row r="458" spans="1:5" hidden="1" outlineLevel="1" x14ac:dyDescent="0.3">
      <c r="A458" t="s">
        <v>819</v>
      </c>
      <c r="B458" t="s">
        <v>269</v>
      </c>
      <c r="C458" t="s">
        <v>10</v>
      </c>
      <c r="D458" t="s">
        <v>820</v>
      </c>
      <c r="E458" t="s">
        <v>6382</v>
      </c>
    </row>
    <row r="459" spans="1:5" hidden="1" outlineLevel="1" x14ac:dyDescent="0.3">
      <c r="A459" t="s">
        <v>821</v>
      </c>
      <c r="B459" t="s">
        <v>269</v>
      </c>
      <c r="C459" t="s">
        <v>10</v>
      </c>
      <c r="D459" t="s">
        <v>822</v>
      </c>
      <c r="E459" t="s">
        <v>6383</v>
      </c>
    </row>
    <row r="460" spans="1:5" hidden="1" outlineLevel="1" x14ac:dyDescent="0.3">
      <c r="A460" t="s">
        <v>823</v>
      </c>
      <c r="B460" t="s">
        <v>269</v>
      </c>
      <c r="C460" t="s">
        <v>10</v>
      </c>
      <c r="D460" t="s">
        <v>824</v>
      </c>
      <c r="E460" t="s">
        <v>6384</v>
      </c>
    </row>
    <row r="461" spans="1:5" hidden="1" outlineLevel="1" x14ac:dyDescent="0.3">
      <c r="A461" t="s">
        <v>825</v>
      </c>
      <c r="B461" t="s">
        <v>269</v>
      </c>
      <c r="C461" t="s">
        <v>10</v>
      </c>
      <c r="D461" t="s">
        <v>824</v>
      </c>
      <c r="E461" t="s">
        <v>6384</v>
      </c>
    </row>
    <row r="462" spans="1:5" hidden="1" outlineLevel="1" x14ac:dyDescent="0.3">
      <c r="A462" t="s">
        <v>826</v>
      </c>
      <c r="B462" t="s">
        <v>269</v>
      </c>
      <c r="C462" t="s">
        <v>10</v>
      </c>
      <c r="D462" t="s">
        <v>827</v>
      </c>
      <c r="E462" t="s">
        <v>6385</v>
      </c>
    </row>
    <row r="463" spans="1:5" hidden="1" outlineLevel="1" x14ac:dyDescent="0.3">
      <c r="A463" t="s">
        <v>828</v>
      </c>
      <c r="B463" t="s">
        <v>269</v>
      </c>
      <c r="C463" t="s">
        <v>10</v>
      </c>
      <c r="D463" t="s">
        <v>829</v>
      </c>
      <c r="E463" t="s">
        <v>6386</v>
      </c>
    </row>
    <row r="464" spans="1:8" hidden="1" outlineLevel="1" x14ac:dyDescent="0.3">
      <c r="A464" t="s">
        <v>830</v>
      </c>
      <c r="B464" t="s">
        <v>269</v>
      </c>
      <c r="C464" t="s">
        <v>8</v>
      </c>
      <c r="D464" t="s">
        <v>6040</v>
      </c>
      <c r="E464" t="s">
        <v>6370</v>
      </c>
      <c r="H464" t="inlineStr">
        <is>
          <t>CORRIDOR SW</t>
        </is>
      </c>
    </row>
    <row r="465" spans="1:8" hidden="1" outlineLevel="1" x14ac:dyDescent="0.3">
      <c r="A465" t="s">
        <v>831</v>
      </c>
      <c r="B465" t="s">
        <v>269</v>
      </c>
      <c r="C465" t="s">
        <v>10</v>
      </c>
      <c r="D465" t="s">
        <v>832</v>
      </c>
      <c r="E465" t="s">
        <v>6387</v>
      </c>
      <c r="H465" t="inlineStr">
        <is>
          <t>VP EDU MEMBERS OF EDU 5.201</t>
        </is>
      </c>
    </row>
    <row r="466" spans="1:8" hidden="1" outlineLevel="1" x14ac:dyDescent="0.3">
      <c r="A466" t="s">
        <v>833</v>
      </c>
      <c r="B466" t="s">
        <v>269</v>
      </c>
      <c r="C466" t="s">
        <v>10</v>
      </c>
      <c r="D466" t="s">
        <v>834</v>
      </c>
      <c r="E466" t="s">
        <v>6104</v>
      </c>
      <c r="H466" t="inlineStr">
        <is>
          <t>VP EDU MEMBERS OF EDU 5.202</t>
        </is>
      </c>
    </row>
    <row r="467" spans="1:8" hidden="1" outlineLevel="1" x14ac:dyDescent="0.3">
      <c r="A467" t="s">
        <v>835</v>
      </c>
      <c r="B467" t="s">
        <v>269</v>
      </c>
      <c r="C467" t="s">
        <v>10</v>
      </c>
      <c r="D467" t="s">
        <v>836</v>
      </c>
      <c r="E467" t="s">
        <v>6388</v>
      </c>
      <c r="H467" t="inlineStr">
        <is>
          <t>VP EDU MEMBERS OF EDU 5.203</t>
        </is>
      </c>
    </row>
    <row r="468" spans="1:8" hidden="1" outlineLevel="1" x14ac:dyDescent="0.3">
      <c r="A468" t="s">
        <v>837</v>
      </c>
      <c r="B468" t="s">
        <v>269</v>
      </c>
      <c r="C468" t="s">
        <v>10</v>
      </c>
      <c r="D468" t="s">
        <v>838</v>
      </c>
      <c r="E468" t="s">
        <v>6389</v>
      </c>
      <c r="H468" t="inlineStr">
        <is>
          <t>VP EDU MEETING ROOM 5.205</t>
        </is>
      </c>
    </row>
    <row r="469" spans="1:5" hidden="1" outlineLevel="1" x14ac:dyDescent="0.3">
      <c r="A469" t="s">
        <v>839</v>
      </c>
      <c r="B469" t="s">
        <v>269</v>
      </c>
      <c r="C469" t="s">
        <v>10</v>
      </c>
      <c r="D469" t="s">
        <v>838</v>
      </c>
      <c r="E469" t="s">
        <v>6389</v>
      </c>
    </row>
    <row r="470" spans="1:8" hidden="1" outlineLevel="1" x14ac:dyDescent="0.3">
      <c r="A470" t="s">
        <v>840</v>
      </c>
      <c r="B470" t="s">
        <v>269</v>
      </c>
      <c r="C470" t="s">
        <v>10</v>
      </c>
      <c r="D470" t="s">
        <v>841</v>
      </c>
      <c r="E470" t="s">
        <v>6390</v>
      </c>
      <c r="H470" t="inlineStr">
        <is>
          <t>VP EDU MEMBERS OF EDU 5.206</t>
        </is>
      </c>
    </row>
    <row r="471" spans="1:8" hidden="1" outlineLevel="1" x14ac:dyDescent="0.3">
      <c r="A471" t="s">
        <v>842</v>
      </c>
      <c r="B471" t="s">
        <v>269</v>
      </c>
      <c r="C471" t="s">
        <v>10</v>
      </c>
      <c r="D471" t="s">
        <v>843</v>
      </c>
      <c r="E471" t="s">
        <v>6391</v>
      </c>
      <c r="H471" t="inlineStr">
        <is>
          <t>VP EDU MEMBERS OF EDU 5.207</t>
        </is>
      </c>
    </row>
    <row r="472" spans="1:8" hidden="1" outlineLevel="1" x14ac:dyDescent="0.3">
      <c r="A472" t="s">
        <v>844</v>
      </c>
      <c r="B472" t="s">
        <v>269</v>
      </c>
      <c r="C472" t="s">
        <v>10</v>
      </c>
      <c r="D472" t="s">
        <v>845</v>
      </c>
      <c r="E472" t="s">
        <v>6392</v>
      </c>
      <c r="H472" t="inlineStr">
        <is>
          <t>VP EDU MEMBERS OF EDU 5.208</t>
        </is>
      </c>
    </row>
    <row r="473" spans="1:8" hidden="1" outlineLevel="1" x14ac:dyDescent="0.3">
      <c r="A473" t="s">
        <v>846</v>
      </c>
      <c r="B473" t="s">
        <v>269</v>
      </c>
      <c r="C473" t="s">
        <v>10</v>
      </c>
      <c r="D473" t="s">
        <v>847</v>
      </c>
      <c r="E473" t="s">
        <v>6393</v>
      </c>
      <c r="H473" t="inlineStr">
        <is>
          <t>VP EDU MEMBERS OF EDU 5.209</t>
        </is>
      </c>
    </row>
    <row r="474" spans="1:5" hidden="1" outlineLevel="1" x14ac:dyDescent="0.3">
      <c r="A474" t="s">
        <v>848</v>
      </c>
      <c r="B474" t="s">
        <v>269</v>
      </c>
      <c r="C474" t="s">
        <v>8</v>
      </c>
      <c r="D474" t="s">
        <v>849</v>
      </c>
      <c r="E474" t="s">
        <v>8230</v>
      </c>
    </row>
    <row r="475" spans="1:8" hidden="1" outlineLevel="1" x14ac:dyDescent="0.3">
      <c r="A475" t="s">
        <v>850</v>
      </c>
      <c r="B475" t="s">
        <v>269</v>
      </c>
      <c r="C475" t="s">
        <v>10</v>
      </c>
      <c r="D475" t="s">
        <v>851</v>
      </c>
      <c r="E475" t="s">
        <v>6394</v>
      </c>
      <c r="H475" t="inlineStr">
        <is>
          <t>VP EDU CHPEXECSECRET 5.211</t>
        </is>
      </c>
    </row>
    <row r="476" spans="1:8" hidden="1" outlineLevel="1" x14ac:dyDescent="0.3">
      <c r="A476" t="s">
        <v>852</v>
      </c>
      <c r="B476" t="s">
        <v>269</v>
      </c>
      <c r="C476" t="s">
        <v>10</v>
      </c>
      <c r="D476" t="s">
        <v>853</v>
      </c>
      <c r="E476" t="s">
        <v>6395</v>
      </c>
      <c r="H476" t="inlineStr">
        <is>
          <t>VP EDU MEMBERS OF EDU 5.212</t>
        </is>
      </c>
    </row>
    <row r="477" spans="1:8" hidden="1" outlineLevel="1" x14ac:dyDescent="0.3">
      <c r="A477" t="s">
        <v>854</v>
      </c>
      <c r="B477" t="s">
        <v>269</v>
      </c>
      <c r="C477" t="s">
        <v>8</v>
      </c>
      <c r="D477" t="s">
        <v>855</v>
      </c>
      <c r="E477" t="s">
        <v>6396</v>
      </c>
      <c r="H477" t="inlineStr">
        <is>
          <t>VP EDU OFCDIRENSUIT 5.213</t>
        </is>
      </c>
    </row>
    <row r="478" spans="1:8" hidden="1" outlineLevel="1" x14ac:dyDescent="0.3">
      <c r="A478" t="s">
        <v>856</v>
      </c>
      <c r="B478" t="s">
        <v>269</v>
      </c>
      <c r="C478" t="s">
        <v>8</v>
      </c>
      <c r="D478" t="s">
        <v>790</v>
      </c>
      <c r="E478" t="s">
        <v>8231</v>
      </c>
      <c r="H478" t="inlineStr">
        <is>
          <t>CORRIDOR SE</t>
        </is>
      </c>
    </row>
    <row r="479" spans="1:8" hidden="1" outlineLevel="1" x14ac:dyDescent="0.3">
      <c r="A479" t="s">
        <v>857</v>
      </c>
      <c r="B479" t="s">
        <v>269</v>
      </c>
      <c r="C479" t="s">
        <v>8</v>
      </c>
      <c r="D479" t="s">
        <v>790</v>
      </c>
      <c r="E479" t="s">
        <v>8231</v>
      </c>
      <c r="H479" t="inlineStr">
        <is>
          <t>CORRIDOR SE</t>
        </is>
      </c>
    </row>
    <row r="480" spans="1:8" hidden="1" outlineLevel="1" x14ac:dyDescent="0.3">
      <c r="A480" t="s">
        <v>858</v>
      </c>
      <c r="B480" t="s">
        <v>269</v>
      </c>
      <c r="C480" t="s">
        <v>8</v>
      </c>
      <c r="D480" t="s">
        <v>790</v>
      </c>
      <c r="E480" t="s">
        <v>8231</v>
      </c>
      <c r="H480" t="inlineStr">
        <is>
          <t>CORRIDOR SE</t>
        </is>
      </c>
    </row>
    <row r="481" spans="1:8" hidden="1" outlineLevel="1" x14ac:dyDescent="0.3">
      <c r="A481" t="s">
        <v>859</v>
      </c>
      <c r="B481" t="s">
        <v>269</v>
      </c>
      <c r="C481" t="s">
        <v>8</v>
      </c>
      <c r="D481" t="s">
        <v>790</v>
      </c>
      <c r="E481" t="s">
        <v>8231</v>
      </c>
      <c r="H481" t="inlineStr">
        <is>
          <t>CORRIDOR NE</t>
        </is>
      </c>
    </row>
    <row r="482" spans="1:8" hidden="1" outlineLevel="1" x14ac:dyDescent="0.3">
      <c r="A482" t="s">
        <v>860</v>
      </c>
      <c r="B482" t="s">
        <v>269</v>
      </c>
      <c r="C482" t="s">
        <v>8</v>
      </c>
      <c r="D482" t="s">
        <v>861</v>
      </c>
      <c r="E482" t="s">
        <v>6397</v>
      </c>
      <c r="H482" t="inlineStr">
        <is>
          <t>VP EDU OFFICERS 5.027</t>
        </is>
      </c>
    </row>
    <row r="483" spans="1:8" hidden="1" outlineLevel="1" x14ac:dyDescent="0.3">
      <c r="A483" t="s">
        <v>862</v>
      </c>
      <c r="B483" t="s">
        <v>269</v>
      </c>
      <c r="C483" t="s">
        <v>10</v>
      </c>
      <c r="D483" t="s">
        <v>863</v>
      </c>
      <c r="E483" t="s">
        <v>6398</v>
      </c>
      <c r="H483" t="inlineStr">
        <is>
          <t>INTAUDIT SENJNTAUD 06.012</t>
        </is>
      </c>
    </row>
    <row r="484" spans="1:8" hidden="1" outlineLevel="1" x14ac:dyDescent="0.3">
      <c r="A484" t="s">
        <v>864</v>
      </c>
      <c r="B484" t="s">
        <v>269</v>
      </c>
      <c r="C484" t="s">
        <v>10</v>
      </c>
      <c r="D484" t="s">
        <v>865</v>
      </c>
      <c r="E484" t="s">
        <v>6399</v>
      </c>
      <c r="H484" t="inlineStr">
        <is>
          <t>INTAUDIT SECRETARY 06.013</t>
        </is>
      </c>
    </row>
    <row r="485" spans="1:8" hidden="1" outlineLevel="1" x14ac:dyDescent="0.3">
      <c r="A485" t="s">
        <v>866</v>
      </c>
      <c r="B485" t="s">
        <v>269</v>
      </c>
      <c r="C485" t="s">
        <v>10</v>
      </c>
      <c r="D485" t="s">
        <v>867</v>
      </c>
      <c r="E485" t="s">
        <v>6400</v>
      </c>
      <c r="H485" t="inlineStr">
        <is>
          <t>ACA AUDIT SUPP AUDIT 06.014</t>
        </is>
      </c>
    </row>
    <row r="486" spans="1:8" hidden="1" outlineLevel="1" x14ac:dyDescent="0.3">
      <c r="A486" t="s">
        <v>868</v>
      </c>
      <c r="B486" t="s">
        <v>269</v>
      </c>
      <c r="C486" t="s">
        <v>10</v>
      </c>
      <c r="D486" t="s">
        <v>869</v>
      </c>
      <c r="E486" t="s">
        <v>6401</v>
      </c>
      <c r="H486" t="inlineStr">
        <is>
          <t>ACA AUDIT SUPP AUDIT 06.015</t>
        </is>
      </c>
    </row>
    <row r="487" spans="1:8" hidden="1" outlineLevel="1" x14ac:dyDescent="0.3">
      <c r="A487" t="s">
        <v>870</v>
      </c>
      <c r="B487" t="s">
        <v>269</v>
      </c>
      <c r="C487" t="s">
        <v>10</v>
      </c>
      <c r="D487" t="s">
        <v>871</v>
      </c>
      <c r="E487" t="s">
        <v>6402</v>
      </c>
      <c r="H487" t="inlineStr">
        <is>
          <t>ACA AUDIT SUPP AUDIT 06.016</t>
        </is>
      </c>
    </row>
    <row r="488" spans="1:8" hidden="1" outlineLevel="1" x14ac:dyDescent="0.3">
      <c r="A488" t="s">
        <v>872</v>
      </c>
      <c r="B488" t="s">
        <v>269</v>
      </c>
      <c r="C488" t="s">
        <v>10</v>
      </c>
      <c r="D488" t="s">
        <v>873</v>
      </c>
      <c r="E488" t="s">
        <v>6403</v>
      </c>
      <c r="H488" t="inlineStr">
        <is>
          <t>ACA AUDIT SUPP AUDIT 06.017</t>
        </is>
      </c>
    </row>
    <row r="489" spans="1:8" hidden="1" outlineLevel="1" x14ac:dyDescent="0.3">
      <c r="A489" t="s">
        <v>874</v>
      </c>
      <c r="B489" t="s">
        <v>269</v>
      </c>
      <c r="C489" t="s">
        <v>10</v>
      </c>
      <c r="D489" t="s">
        <v>875</v>
      </c>
      <c r="E489" t="s">
        <v>6404</v>
      </c>
      <c r="H489" t="inlineStr">
        <is>
          <t>ACA AUDIT SUPP AUDIT 06.018</t>
        </is>
      </c>
    </row>
    <row r="490" spans="1:8" hidden="1" outlineLevel="1" x14ac:dyDescent="0.3">
      <c r="A490" t="s">
        <v>876</v>
      </c>
      <c r="B490" t="s">
        <v>269</v>
      </c>
      <c r="C490" t="s">
        <v>10</v>
      </c>
      <c r="D490" t="s">
        <v>877</v>
      </c>
      <c r="E490" t="s">
        <v>6405</v>
      </c>
      <c r="H490" t="inlineStr">
        <is>
          <t>ACA AUDIT SUPP AUDIT 06.019</t>
        </is>
      </c>
    </row>
    <row r="491" spans="1:8" hidden="1" outlineLevel="1" x14ac:dyDescent="0.3">
      <c r="A491" t="s">
        <v>878</v>
      </c>
      <c r="B491" t="s">
        <v>269</v>
      </c>
      <c r="C491" t="s">
        <v>10</v>
      </c>
      <c r="D491" t="s">
        <v>879</v>
      </c>
      <c r="E491" t="s">
        <v>6406</v>
      </c>
      <c r="H491" t="inlineStr">
        <is>
          <t>ACA AUDIT SUPP AUDIT 06.020</t>
        </is>
      </c>
    </row>
    <row r="492" spans="1:8" hidden="1" outlineLevel="1" x14ac:dyDescent="0.3">
      <c r="A492" t="s">
        <v>880</v>
      </c>
      <c r="B492" t="s">
        <v>269</v>
      </c>
      <c r="C492" t="s">
        <v>10</v>
      </c>
      <c r="D492" t="s">
        <v>881</v>
      </c>
      <c r="E492" t="s">
        <v>6407</v>
      </c>
      <c r="H492" t="inlineStr">
        <is>
          <t>ACA AUDIT SECRETARY 06.021</t>
        </is>
      </c>
    </row>
    <row r="493" spans="1:8" hidden="1" outlineLevel="1" x14ac:dyDescent="0.3">
      <c r="A493" t="s">
        <v>882</v>
      </c>
      <c r="B493" t="s">
        <v>269</v>
      </c>
      <c r="C493" t="s">
        <v>10</v>
      </c>
      <c r="D493" t="s">
        <v>883</v>
      </c>
      <c r="E493" t="s">
        <v>6408</v>
      </c>
      <c r="H493" t="inlineStr">
        <is>
          <t>ACA AUDIT SECRETARY 06.022</t>
        </is>
      </c>
    </row>
    <row r="494" spans="1:8" hidden="1" outlineLevel="1" x14ac:dyDescent="0.3">
      <c r="A494" t="s">
        <v>884</v>
      </c>
      <c r="B494" t="s">
        <v>269</v>
      </c>
      <c r="C494" t="s">
        <v>10</v>
      </c>
      <c r="D494" t="s">
        <v>885</v>
      </c>
      <c r="E494" t="s">
        <v>6409</v>
      </c>
      <c r="H494" t="inlineStr">
        <is>
          <t>ACA AUDIT ACA SENAUD 06.023</t>
        </is>
      </c>
    </row>
    <row r="495" spans="1:8" hidden="1" outlineLevel="1" x14ac:dyDescent="0.3">
      <c r="A495" t="s">
        <v>886</v>
      </c>
      <c r="B495" t="s">
        <v>269</v>
      </c>
      <c r="C495" t="s">
        <v>10</v>
      </c>
      <c r="D495" t="s">
        <v>887</v>
      </c>
      <c r="E495" t="s">
        <v>6410</v>
      </c>
      <c r="H495" t="inlineStr">
        <is>
          <t>ACA AUDIT ACA SENAUD 06.024</t>
        </is>
      </c>
    </row>
    <row r="496" spans="1:8" hidden="1" outlineLevel="1" x14ac:dyDescent="0.3">
      <c r="A496" t="s">
        <v>888</v>
      </c>
      <c r="B496" t="s">
        <v>269</v>
      </c>
      <c r="C496" t="s">
        <v>10</v>
      </c>
      <c r="D496" t="s">
        <v>889</v>
      </c>
      <c r="E496" t="s">
        <v>6411</v>
      </c>
      <c r="H496" t="inlineStr">
        <is>
          <t>FACILITY MANAGER SEC 06.025</t>
        </is>
      </c>
    </row>
    <row r="497" spans="1:8" hidden="1" outlineLevel="1" x14ac:dyDescent="0.3">
      <c r="A497" t="s">
        <v>890</v>
      </c>
      <c r="B497" t="s">
        <v>269</v>
      </c>
      <c r="C497" t="s">
        <v>8</v>
      </c>
      <c r="D497" t="s">
        <v>891</v>
      </c>
      <c r="E497" t="s">
        <v>6412</v>
      </c>
      <c r="H497" t="inlineStr">
        <is>
          <t>FACILITY MANDIRENSUIT 06.026</t>
        </is>
      </c>
    </row>
    <row r="498" spans="1:8" hidden="1" outlineLevel="1" x14ac:dyDescent="0.3">
      <c r="A498" t="s">
        <v>892</v>
      </c>
      <c r="B498" t="s">
        <v>269</v>
      </c>
      <c r="C498" t="s">
        <v>10</v>
      </c>
      <c r="D498" t="s">
        <v>893</v>
      </c>
      <c r="E498" t="s">
        <v>6413</v>
      </c>
      <c r="H498" t="inlineStr">
        <is>
          <t>VP CAPITAL CONSULTANT 06.027</t>
        </is>
      </c>
    </row>
    <row r="499" spans="1:8" hidden="1" outlineLevel="1" x14ac:dyDescent="0.3">
      <c r="A499" t="s">
        <v>894</v>
      </c>
      <c r="B499" t="s">
        <v>269</v>
      </c>
      <c r="C499" t="s">
        <v>10</v>
      </c>
      <c r="D499" t="s">
        <v>895</v>
      </c>
      <c r="E499" t="s">
        <v>6414</v>
      </c>
      <c r="H499" t="inlineStr">
        <is>
          <t>VP CAPITAL CONSULTANT 06.028</t>
        </is>
      </c>
    </row>
    <row r="500" spans="1:8" hidden="1" outlineLevel="1" x14ac:dyDescent="0.3">
      <c r="A500" t="s">
        <v>896</v>
      </c>
      <c r="B500" t="s">
        <v>269</v>
      </c>
      <c r="C500" t="s">
        <v>8</v>
      </c>
      <c r="D500" t="s">
        <v>6041</v>
      </c>
      <c r="E500" t="s">
        <v>6415</v>
      </c>
      <c r="H500" t="inlineStr">
        <is>
          <t>CORRIDOR NE</t>
        </is>
      </c>
    </row>
    <row r="501" spans="1:8" hidden="1" outlineLevel="1" x14ac:dyDescent="0.3">
      <c r="A501" t="s">
        <v>897</v>
      </c>
      <c r="B501" t="s">
        <v>269</v>
      </c>
      <c r="C501" t="s">
        <v>10</v>
      </c>
      <c r="D501" t="s">
        <v>898</v>
      </c>
      <c r="E501" t="s">
        <v>6416</v>
      </c>
      <c r="H501" t="inlineStr">
        <is>
          <t>VP CAPITAL WORK ASST 06.109</t>
        </is>
      </c>
    </row>
    <row r="502" spans="1:8" hidden="1" outlineLevel="1" x14ac:dyDescent="0.3">
      <c r="A502" t="s">
        <v>899</v>
      </c>
      <c r="B502" t="s">
        <v>269</v>
      </c>
      <c r="C502" t="s">
        <v>8</v>
      </c>
      <c r="D502" t="s">
        <v>900</v>
      </c>
      <c r="E502" t="s">
        <v>6417</v>
      </c>
      <c r="H502" t="inlineStr">
        <is>
          <t>VP CAPITAL PROJCOOR 06.108</t>
        </is>
      </c>
    </row>
    <row r="503" spans="1:8" hidden="1" outlineLevel="1" x14ac:dyDescent="0.3">
      <c r="A503" t="s">
        <v>901</v>
      </c>
      <c r="B503" t="s">
        <v>269</v>
      </c>
      <c r="C503" t="s">
        <v>8</v>
      </c>
      <c r="D503" t="s">
        <v>6041</v>
      </c>
      <c r="E503" t="s">
        <v>6415</v>
      </c>
      <c r="H503" t="inlineStr">
        <is>
          <t>CORRIDOR NE</t>
        </is>
      </c>
    </row>
    <row r="504" spans="1:5" hidden="1" outlineLevel="1" x14ac:dyDescent="0.3">
      <c r="A504" t="s">
        <v>902</v>
      </c>
      <c r="B504" t="s">
        <v>269</v>
      </c>
      <c r="C504" t="s">
        <v>8</v>
      </c>
      <c r="D504" t="s">
        <v>903</v>
      </c>
      <c r="E504" t="s">
        <v>6418</v>
      </c>
    </row>
    <row r="505" spans="1:5" hidden="1" outlineLevel="1" x14ac:dyDescent="0.3">
      <c r="A505" t="s">
        <v>904</v>
      </c>
      <c r="B505" t="s">
        <v>269</v>
      </c>
      <c r="C505" t="s">
        <v>8</v>
      </c>
      <c r="D505" t="s">
        <v>903</v>
      </c>
      <c r="E505" t="s">
        <v>6418</v>
      </c>
    </row>
    <row r="506" spans="1:8" hidden="1" outlineLevel="1" x14ac:dyDescent="0.3">
      <c r="A506" t="s">
        <v>905</v>
      </c>
      <c r="B506" t="s">
        <v>269</v>
      </c>
      <c r="C506" t="s">
        <v>10</v>
      </c>
      <c r="D506" t="s">
        <v>906</v>
      </c>
      <c r="E506" t="s">
        <v>6419</v>
      </c>
      <c r="H506" t="inlineStr">
        <is>
          <t>INTAUDIT SUPPAUDIT 06.009</t>
        </is>
      </c>
    </row>
    <row r="507" spans="1:8" hidden="1" outlineLevel="1" x14ac:dyDescent="0.3">
      <c r="A507" t="s">
        <v>907</v>
      </c>
      <c r="B507" t="s">
        <v>269</v>
      </c>
      <c r="C507" t="s">
        <v>10</v>
      </c>
      <c r="D507" t="s">
        <v>908</v>
      </c>
      <c r="E507" t="s">
        <v>6420</v>
      </c>
      <c r="H507" t="inlineStr">
        <is>
          <t>INTAUDIT SECRETARY 06.010</t>
        </is>
      </c>
    </row>
    <row r="508" spans="1:8" hidden="1" outlineLevel="1" x14ac:dyDescent="0.3">
      <c r="A508" t="s">
        <v>909</v>
      </c>
      <c r="B508" t="s">
        <v>269</v>
      </c>
      <c r="C508" t="s">
        <v>10</v>
      </c>
      <c r="D508" t="s">
        <v>910</v>
      </c>
      <c r="E508" t="s">
        <v>6421</v>
      </c>
      <c r="H508" t="inlineStr">
        <is>
          <t>INTAUDIT SENJNTAUD 06.011</t>
        </is>
      </c>
    </row>
    <row r="509" spans="1:8" hidden="1" outlineLevel="1" x14ac:dyDescent="0.3">
      <c r="A509" t="s">
        <v>911</v>
      </c>
      <c r="B509" t="s">
        <v>269</v>
      </c>
      <c r="C509" t="s">
        <v>10</v>
      </c>
      <c r="D509" t="s">
        <v>912</v>
      </c>
      <c r="E509" t="s">
        <v>6422</v>
      </c>
      <c r="H509" t="inlineStr">
        <is>
          <t>INTAUDSUPPAUDIT 06.002</t>
        </is>
      </c>
    </row>
    <row r="510" spans="1:8" hidden="1" outlineLevel="1" x14ac:dyDescent="0.3">
      <c r="A510" t="s">
        <v>913</v>
      </c>
      <c r="B510" t="s">
        <v>269</v>
      </c>
      <c r="C510" t="s">
        <v>10</v>
      </c>
      <c r="D510" t="s">
        <v>914</v>
      </c>
      <c r="E510" t="s">
        <v>6423</v>
      </c>
      <c r="H510" t="inlineStr">
        <is>
          <t>INTAUDSUPPAUDIT 06.003</t>
        </is>
      </c>
    </row>
    <row r="511" spans="1:8" hidden="1" outlineLevel="1" x14ac:dyDescent="0.3">
      <c r="A511" t="s">
        <v>915</v>
      </c>
      <c r="B511" t="s">
        <v>269</v>
      </c>
      <c r="C511" t="s">
        <v>10</v>
      </c>
      <c r="D511" t="s">
        <v>916</v>
      </c>
      <c r="E511" t="s">
        <v>6424</v>
      </c>
      <c r="H511" t="inlineStr">
        <is>
          <t>INTAUDSUPPAUDIT 06.004</t>
        </is>
      </c>
    </row>
    <row r="512" spans="1:8" hidden="1" outlineLevel="1" x14ac:dyDescent="0.3">
      <c r="A512" t="s">
        <v>917</v>
      </c>
      <c r="B512" t="s">
        <v>269</v>
      </c>
      <c r="C512" t="s">
        <v>10</v>
      </c>
      <c r="D512" t="s">
        <v>918</v>
      </c>
      <c r="E512" t="s">
        <v>6425</v>
      </c>
      <c r="H512" t="inlineStr">
        <is>
          <t>INTAUDSUPPAUDIT 06.005</t>
        </is>
      </c>
    </row>
    <row r="513" spans="1:8" hidden="1" outlineLevel="1" x14ac:dyDescent="0.3">
      <c r="A513" t="s">
        <v>919</v>
      </c>
      <c r="B513" t="s">
        <v>269</v>
      </c>
      <c r="C513" t="s">
        <v>10</v>
      </c>
      <c r="D513" t="s">
        <v>920</v>
      </c>
      <c r="E513" t="s">
        <v>6426</v>
      </c>
      <c r="H513" t="inlineStr">
        <is>
          <t>INTAUDSUPPAUDIT 06.006</t>
        </is>
      </c>
    </row>
    <row r="514" spans="1:8" hidden="1" outlineLevel="1" x14ac:dyDescent="0.3">
      <c r="A514" t="s">
        <v>921</v>
      </c>
      <c r="B514" t="s">
        <v>269</v>
      </c>
      <c r="C514" t="s">
        <v>10</v>
      </c>
      <c r="D514" t="s">
        <v>922</v>
      </c>
      <c r="E514" t="s">
        <v>6427</v>
      </c>
      <c r="H514" t="inlineStr">
        <is>
          <t>INTAUDSUPPAUDIT 06.007</t>
        </is>
      </c>
    </row>
    <row r="515" spans="1:8" hidden="1" outlineLevel="1" x14ac:dyDescent="0.3">
      <c r="A515" t="s">
        <v>923</v>
      </c>
      <c r="B515" t="s">
        <v>269</v>
      </c>
      <c r="C515" t="s">
        <v>10</v>
      </c>
      <c r="D515" t="s">
        <v>924</v>
      </c>
      <c r="E515" t="s">
        <v>6428</v>
      </c>
      <c r="H515" t="inlineStr">
        <is>
          <t>INTAUDSUPPAUDIT 06.008</t>
        </is>
      </c>
    </row>
    <row r="516" spans="1:8" hidden="1" outlineLevel="1" x14ac:dyDescent="0.3">
      <c r="A516" t="s">
        <v>925</v>
      </c>
      <c r="B516" t="s">
        <v>269</v>
      </c>
      <c r="C516" t="s">
        <v>10</v>
      </c>
      <c r="D516" t="s">
        <v>926</v>
      </c>
      <c r="E516" t="s">
        <v>6429</v>
      </c>
      <c r="H516" t="inlineStr">
        <is>
          <t>SHELL SPACE 06.103</t>
        </is>
      </c>
    </row>
    <row r="517" spans="1:8" hidden="1" outlineLevel="1" x14ac:dyDescent="0.3">
      <c r="A517" t="s">
        <v>927</v>
      </c>
      <c r="B517" t="s">
        <v>269</v>
      </c>
      <c r="C517" t="s">
        <v>10</v>
      </c>
      <c r="D517" t="s">
        <v>928</v>
      </c>
      <c r="E517" t="s">
        <v>6430</v>
      </c>
      <c r="H517" t="inlineStr">
        <is>
          <t>SHELL SPACE 06.102</t>
        </is>
      </c>
    </row>
    <row r="518" spans="1:8" hidden="1" outlineLevel="1" x14ac:dyDescent="0.3">
      <c r="A518" t="s">
        <v>929</v>
      </c>
      <c r="B518" t="s">
        <v>269</v>
      </c>
      <c r="C518" t="s">
        <v>10</v>
      </c>
      <c r="D518" t="s">
        <v>930</v>
      </c>
      <c r="E518" t="s">
        <v>6431</v>
      </c>
      <c r="H518" t="inlineStr">
        <is>
          <t>SHELL SPACE 06.101</t>
        </is>
      </c>
    </row>
    <row r="519" spans="1:8" hidden="1" outlineLevel="1" x14ac:dyDescent="0.3">
      <c r="A519" t="s">
        <v>931</v>
      </c>
      <c r="B519" t="s">
        <v>269</v>
      </c>
      <c r="C519" t="s">
        <v>10</v>
      </c>
      <c r="D519" t="s">
        <v>932</v>
      </c>
      <c r="E519" t="s">
        <v>6432</v>
      </c>
      <c r="H519" t="inlineStr">
        <is>
          <t>ACA AUDIT ARCHIVE 06.001</t>
        </is>
      </c>
    </row>
    <row r="520" spans="1:8" hidden="1" outlineLevel="1" x14ac:dyDescent="0.3">
      <c r="A520" t="s">
        <v>933</v>
      </c>
      <c r="B520" t="s">
        <v>269</v>
      </c>
      <c r="C520" t="s">
        <v>8</v>
      </c>
      <c r="D520" t="s">
        <v>6041</v>
      </c>
      <c r="E520" t="s">
        <v>6415</v>
      </c>
      <c r="H520" t="inlineStr">
        <is>
          <t>CORRIDOR SW</t>
        </is>
      </c>
    </row>
    <row r="521" spans="1:8" hidden="1" outlineLevel="1" x14ac:dyDescent="0.3">
      <c r="A521" t="s">
        <v>934</v>
      </c>
      <c r="B521" t="s">
        <v>269</v>
      </c>
      <c r="C521" t="s">
        <v>8</v>
      </c>
      <c r="D521" t="s">
        <v>935</v>
      </c>
      <c r="E521" t="s">
        <v>6433</v>
      </c>
      <c r="H521" t="inlineStr">
        <is>
          <t>VP CAPITAL PROJMANAGER 06.201</t>
        </is>
      </c>
    </row>
    <row r="522" spans="1:8" hidden="1" outlineLevel="1" x14ac:dyDescent="0.3">
      <c r="A522" t="s">
        <v>936</v>
      </c>
      <c r="B522" t="s">
        <v>269</v>
      </c>
      <c r="C522" t="s">
        <v>8</v>
      </c>
      <c r="D522" t="s">
        <v>937</v>
      </c>
      <c r="E522" t="s">
        <v>6434</v>
      </c>
      <c r="H522" t="inlineStr">
        <is>
          <t>VP CAPITAL PROJMANAGER 06.202</t>
        </is>
      </c>
    </row>
    <row r="523" spans="1:8" hidden="1" outlineLevel="1" x14ac:dyDescent="0.3">
      <c r="A523" t="s">
        <v>938</v>
      </c>
      <c r="B523" t="s">
        <v>269</v>
      </c>
      <c r="C523" t="s">
        <v>8</v>
      </c>
      <c r="D523" t="s">
        <v>939</v>
      </c>
      <c r="E523" t="s">
        <v>6435</v>
      </c>
      <c r="H523" t="inlineStr">
        <is>
          <t>VP CAPITAL PROJMANAGER 06.204</t>
        </is>
      </c>
    </row>
    <row r="524" spans="1:8" hidden="1" outlineLevel="1" x14ac:dyDescent="0.3">
      <c r="A524" t="s">
        <v>940</v>
      </c>
      <c r="B524" t="s">
        <v>269</v>
      </c>
      <c r="C524" t="s">
        <v>8</v>
      </c>
      <c r="D524" t="s">
        <v>941</v>
      </c>
      <c r="E524" t="s">
        <v>6436</v>
      </c>
      <c r="H524" t="inlineStr">
        <is>
          <t>VP CAPITAL CONSULTANT 06.205</t>
        </is>
      </c>
    </row>
    <row r="525" spans="1:5" hidden="1" outlineLevel="1" x14ac:dyDescent="0.3">
      <c r="A525" t="s">
        <v>942</v>
      </c>
      <c r="B525" t="s">
        <v>269</v>
      </c>
      <c r="C525" t="s">
        <v>8</v>
      </c>
      <c r="D525" t="s">
        <v>943</v>
      </c>
      <c r="E525" t="s">
        <v>6437</v>
      </c>
    </row>
    <row r="526" spans="1:8" hidden="1" outlineLevel="1" x14ac:dyDescent="0.3">
      <c r="A526" t="s">
        <v>944</v>
      </c>
      <c r="B526" t="s">
        <v>269</v>
      </c>
      <c r="C526" t="s">
        <v>10</v>
      </c>
      <c r="D526" t="s">
        <v>945</v>
      </c>
      <c r="E526" t="s">
        <v>6438</v>
      </c>
      <c r="H526" t="inlineStr">
        <is>
          <t>VP CAPITAL SECRETARIES 06.207</t>
        </is>
      </c>
    </row>
    <row r="527" spans="1:5" hidden="1" outlineLevel="1" x14ac:dyDescent="0.3">
      <c r="A527" t="s">
        <v>946</v>
      </c>
      <c r="B527" t="s">
        <v>269</v>
      </c>
      <c r="C527" t="s">
        <v>8</v>
      </c>
      <c r="D527" t="s">
        <v>947</v>
      </c>
      <c r="E527" t="s">
        <v>6439</v>
      </c>
    </row>
    <row r="528" spans="1:8" hidden="1" outlineLevel="1" x14ac:dyDescent="0.3">
      <c r="A528" t="s">
        <v>948</v>
      </c>
      <c r="B528" t="s">
        <v>269</v>
      </c>
      <c r="C528" t="s">
        <v>10</v>
      </c>
      <c r="D528" t="s">
        <v>949</v>
      </c>
      <c r="E528" t="s">
        <v>6440</v>
      </c>
      <c r="H528" t="inlineStr">
        <is>
          <t>VP CAPITAL SECRETARIES 06.210</t>
        </is>
      </c>
    </row>
    <row r="529" spans="1:8" hidden="1" outlineLevel="1" x14ac:dyDescent="0.3">
      <c r="A529" t="s">
        <v>950</v>
      </c>
      <c r="B529" t="s">
        <v>269</v>
      </c>
      <c r="C529" t="s">
        <v>10</v>
      </c>
      <c r="D529" t="s">
        <v>951</v>
      </c>
      <c r="E529" t="s">
        <v>6441</v>
      </c>
      <c r="H529" t="inlineStr">
        <is>
          <t>VP CAPITAL SECRETARIES 06.211</t>
        </is>
      </c>
    </row>
    <row r="530" spans="1:8" hidden="1" outlineLevel="1" x14ac:dyDescent="0.3">
      <c r="A530" t="s">
        <v>952</v>
      </c>
      <c r="B530" t="s">
        <v>269</v>
      </c>
      <c r="C530" t="s">
        <v>8</v>
      </c>
      <c r="D530" t="s">
        <v>953</v>
      </c>
      <c r="E530" t="s">
        <v>6442</v>
      </c>
      <c r="H530" t="inlineStr">
        <is>
          <t>VP CAPITAL DIRENSUIT 06.212</t>
        </is>
      </c>
    </row>
    <row r="531" spans="1:8" hidden="1" outlineLevel="1" x14ac:dyDescent="0.3">
      <c r="A531" t="s">
        <v>954</v>
      </c>
      <c r="B531" t="s">
        <v>269</v>
      </c>
      <c r="C531" t="s">
        <v>8</v>
      </c>
      <c r="D531" t="s">
        <v>6042</v>
      </c>
      <c r="E531" t="s">
        <v>6443</v>
      </c>
      <c r="H531" t="inlineStr">
        <is>
          <t>CORRIDOR SE</t>
        </is>
      </c>
    </row>
    <row r="532" spans="1:8" hidden="1" outlineLevel="1" x14ac:dyDescent="0.3">
      <c r="A532" t="s">
        <v>955</v>
      </c>
      <c r="B532" t="s">
        <v>269</v>
      </c>
      <c r="C532" t="s">
        <v>8</v>
      </c>
      <c r="D532" t="s">
        <v>6042</v>
      </c>
      <c r="E532" t="s">
        <v>6443</v>
      </c>
      <c r="H532" t="inlineStr">
        <is>
          <t>CORRIDOR 6.603</t>
        </is>
      </c>
    </row>
    <row r="533" spans="1:5" hidden="1" outlineLevel="1" x14ac:dyDescent="0.3">
      <c r="A533" t="s">
        <v>956</v>
      </c>
      <c r="B533" t="s">
        <v>269</v>
      </c>
      <c r="C533" t="s">
        <v>10</v>
      </c>
      <c r="D533" t="s">
        <v>957</v>
      </c>
      <c r="E533" t="s">
        <v>6444</v>
      </c>
    </row>
    <row r="534" spans="1:8" hidden="1" outlineLevel="1" x14ac:dyDescent="0.3">
      <c r="A534" t="s">
        <v>958</v>
      </c>
      <c r="B534" t="s">
        <v>269</v>
      </c>
      <c r="C534" t="s">
        <v>10</v>
      </c>
      <c r="D534" t="s">
        <v>959</v>
      </c>
      <c r="E534" t="s">
        <v>6445</v>
      </c>
      <c r="H534" t="inlineStr">
        <is>
          <t>CA SECRETARY 7.018</t>
        </is>
      </c>
    </row>
    <row r="535" spans="1:8" hidden="1" outlineLevel="1" x14ac:dyDescent="0.3">
      <c r="A535" t="s">
        <v>960</v>
      </c>
      <c r="B535" t="s">
        <v>269</v>
      </c>
      <c r="C535" t="s">
        <v>10</v>
      </c>
      <c r="D535" t="s">
        <v>961</v>
      </c>
      <c r="E535" t="s">
        <v>6446</v>
      </c>
      <c r="H535" t="inlineStr">
        <is>
          <t>BD UNIT SECRETARY 7.019</t>
        </is>
      </c>
    </row>
    <row r="536" spans="1:8" hidden="1" outlineLevel="1" x14ac:dyDescent="0.3">
      <c r="A536" t="s">
        <v>962</v>
      </c>
      <c r="B536" t="s">
        <v>269</v>
      </c>
      <c r="C536" t="s">
        <v>10</v>
      </c>
      <c r="D536" t="s">
        <v>963</v>
      </c>
      <c r="E536" t="s">
        <v>6447</v>
      </c>
      <c r="H536" t="inlineStr">
        <is>
          <t>BD UNIT EXECUTIVE 7.020</t>
        </is>
      </c>
    </row>
    <row r="537" spans="1:8" hidden="1" outlineLevel="1" x14ac:dyDescent="0.3">
      <c r="A537" t="s">
        <v>964</v>
      </c>
      <c r="B537" t="s">
        <v>269</v>
      </c>
      <c r="C537" t="s">
        <v>10</v>
      </c>
      <c r="D537" t="s">
        <v>965</v>
      </c>
      <c r="E537" t="s">
        <v>6448</v>
      </c>
      <c r="H537" t="inlineStr">
        <is>
          <t>BD UNIT EXECUTIVE 7.021</t>
        </is>
      </c>
    </row>
    <row r="538" spans="1:8" hidden="1" outlineLevel="1" x14ac:dyDescent="0.3">
      <c r="A538" t="s">
        <v>966</v>
      </c>
      <c r="B538" t="s">
        <v>269</v>
      </c>
      <c r="C538" t="s">
        <v>10</v>
      </c>
      <c r="D538" t="s">
        <v>967</v>
      </c>
      <c r="E538" t="s">
        <v>6449</v>
      </c>
      <c r="H538" t="inlineStr">
        <is>
          <t>BD UNIT EXECUTIVE 7.022</t>
        </is>
      </c>
    </row>
    <row r="539" spans="1:8" hidden="1" outlineLevel="1" x14ac:dyDescent="0.3">
      <c r="A539" t="s">
        <v>968</v>
      </c>
      <c r="B539" t="s">
        <v>269</v>
      </c>
      <c r="C539" t="s">
        <v>10</v>
      </c>
      <c r="D539" t="s">
        <v>969</v>
      </c>
      <c r="E539" t="s">
        <v>6450</v>
      </c>
      <c r="H539" t="inlineStr">
        <is>
          <t>BD UNIT EXECUTIVE 7.023</t>
        </is>
      </c>
    </row>
    <row r="540" spans="1:8" hidden="1" outlineLevel="1" x14ac:dyDescent="0.3">
      <c r="A540" t="s">
        <v>970</v>
      </c>
      <c r="B540" t="s">
        <v>269</v>
      </c>
      <c r="C540" t="s">
        <v>10</v>
      </c>
      <c r="D540" t="s">
        <v>971</v>
      </c>
      <c r="E540" t="s">
        <v>6451</v>
      </c>
      <c r="H540" t="inlineStr">
        <is>
          <t>BD UNIT EXECUTIVE 7.024</t>
        </is>
      </c>
    </row>
    <row r="541" spans="1:8" hidden="1" outlineLevel="1" x14ac:dyDescent="0.3">
      <c r="A541" t="s">
        <v>972</v>
      </c>
      <c r="B541" t="s">
        <v>269</v>
      </c>
      <c r="C541" t="s">
        <v>10</v>
      </c>
      <c r="D541" t="s">
        <v>973</v>
      </c>
      <c r="E541" t="s">
        <v>6452</v>
      </c>
      <c r="H541" t="inlineStr">
        <is>
          <t>BD UNIT EXECUTIVE 7.025</t>
        </is>
      </c>
    </row>
    <row r="542" spans="1:8" hidden="1" outlineLevel="1" x14ac:dyDescent="0.3">
      <c r="A542" t="s">
        <v>974</v>
      </c>
      <c r="B542" t="s">
        <v>269</v>
      </c>
      <c r="C542" t="s">
        <v>10</v>
      </c>
      <c r="D542" t="s">
        <v>975</v>
      </c>
      <c r="E542" t="s">
        <v>6453</v>
      </c>
      <c r="H542" t="inlineStr">
        <is>
          <t>BD UNIT EXECUTIVE 7.026</t>
        </is>
      </c>
    </row>
    <row r="543" spans="1:8" hidden="1" outlineLevel="1" x14ac:dyDescent="0.3">
      <c r="A543" t="s">
        <v>976</v>
      </c>
      <c r="B543" t="s">
        <v>269</v>
      </c>
      <c r="C543" t="s">
        <v>10</v>
      </c>
      <c r="D543" t="s">
        <v>977</v>
      </c>
      <c r="E543" t="s">
        <v>6454</v>
      </c>
      <c r="H543" t="inlineStr">
        <is>
          <t>BD UNIT EXECUTIVE 7.027</t>
        </is>
      </c>
    </row>
    <row r="544" spans="1:8" hidden="1" outlineLevel="1" x14ac:dyDescent="0.3">
      <c r="A544" t="s">
        <v>978</v>
      </c>
      <c r="B544" t="s">
        <v>269</v>
      </c>
      <c r="C544" t="s">
        <v>10</v>
      </c>
      <c r="D544" t="s">
        <v>979</v>
      </c>
      <c r="E544" t="s">
        <v>6455</v>
      </c>
      <c r="H544" t="inlineStr">
        <is>
          <t>BD UNIT EXECUTIVE 7.028</t>
        </is>
      </c>
    </row>
    <row r="545" spans="1:5" hidden="1" outlineLevel="1" x14ac:dyDescent="0.3">
      <c r="A545" t="s">
        <v>980</v>
      </c>
      <c r="B545" t="s">
        <v>269</v>
      </c>
      <c r="C545" t="s">
        <v>10</v>
      </c>
      <c r="D545" t="s">
        <v>981</v>
      </c>
      <c r="E545" t="s">
        <v>6456</v>
      </c>
    </row>
    <row r="546" spans="1:5" hidden="1" outlineLevel="1" x14ac:dyDescent="0.3">
      <c r="A546" t="s">
        <v>982</v>
      </c>
      <c r="B546" t="s">
        <v>269</v>
      </c>
      <c r="C546" t="s">
        <v>10</v>
      </c>
      <c r="D546" t="s">
        <v>981</v>
      </c>
      <c r="E546" t="s">
        <v>6456</v>
      </c>
    </row>
    <row r="547" spans="1:8" hidden="1" outlineLevel="1" x14ac:dyDescent="0.3">
      <c r="A547" t="s">
        <v>983</v>
      </c>
      <c r="B547" t="s">
        <v>269</v>
      </c>
      <c r="C547" t="s">
        <v>10</v>
      </c>
      <c r="D547" t="s">
        <v>984</v>
      </c>
      <c r="E547" t="s">
        <v>6457</v>
      </c>
      <c r="H547" t="inlineStr">
        <is>
          <t>SHELL SPACE 7.030</t>
        </is>
      </c>
    </row>
    <row r="548" spans="1:8" hidden="1" outlineLevel="1" x14ac:dyDescent="0.3">
      <c r="A548" t="s">
        <v>985</v>
      </c>
      <c r="B548" t="s">
        <v>269</v>
      </c>
      <c r="C548" t="s">
        <v>10</v>
      </c>
      <c r="D548" t="s">
        <v>986</v>
      </c>
      <c r="E548" t="s">
        <v>6458</v>
      </c>
      <c r="H548" t="inlineStr">
        <is>
          <t>SHELL SPACE 7.031A</t>
        </is>
      </c>
    </row>
    <row r="549" spans="1:8" hidden="1" outlineLevel="1" x14ac:dyDescent="0.3">
      <c r="A549" t="s">
        <v>987</v>
      </c>
      <c r="B549" t="s">
        <v>269</v>
      </c>
      <c r="C549" t="s">
        <v>8</v>
      </c>
      <c r="D549" t="s">
        <v>6043</v>
      </c>
      <c r="E549" t="s">
        <v>6459</v>
      </c>
      <c r="H549" t="inlineStr">
        <is>
          <t>CORRIDOR NE</t>
        </is>
      </c>
    </row>
    <row r="550" spans="1:8" hidden="1" outlineLevel="1" x14ac:dyDescent="0.3">
      <c r="A550" t="s">
        <v>988</v>
      </c>
      <c r="B550" t="s">
        <v>269</v>
      </c>
      <c r="C550" t="s">
        <v>8</v>
      </c>
      <c r="D550" t="s">
        <v>6043</v>
      </c>
      <c r="E550" t="s">
        <v>6459</v>
      </c>
      <c r="H550" t="inlineStr">
        <is>
          <t>CORRIDOR 7.601</t>
        </is>
      </c>
    </row>
    <row r="551" spans="1:8" hidden="1" outlineLevel="1" x14ac:dyDescent="0.3">
      <c r="A551" t="s">
        <v>989</v>
      </c>
      <c r="B551" t="s">
        <v>269</v>
      </c>
      <c r="C551" t="s">
        <v>10</v>
      </c>
      <c r="D551" t="s">
        <v>990</v>
      </c>
      <c r="E551" t="s">
        <v>6460</v>
      </c>
      <c r="H551" t="inlineStr">
        <is>
          <t>SHELL SPACE 7.032</t>
        </is>
      </c>
    </row>
    <row r="552" spans="1:5" hidden="1" outlineLevel="1" x14ac:dyDescent="0.3">
      <c r="A552" t="s">
        <v>991</v>
      </c>
      <c r="B552" t="s">
        <v>269</v>
      </c>
      <c r="C552" t="s">
        <v>10</v>
      </c>
      <c r="D552" t="s">
        <v>990</v>
      </c>
      <c r="E552" t="s">
        <v>6460</v>
      </c>
    </row>
    <row r="553" spans="1:5" hidden="1" outlineLevel="1" x14ac:dyDescent="0.3">
      <c r="A553" t="s">
        <v>992</v>
      </c>
      <c r="B553" t="s">
        <v>269</v>
      </c>
      <c r="C553" t="s">
        <v>8</v>
      </c>
      <c r="D553" t="s">
        <v>993</v>
      </c>
      <c r="E553" t="s">
        <v>6461</v>
      </c>
    </row>
    <row r="554" spans="1:5" hidden="1" outlineLevel="1" x14ac:dyDescent="0.3">
      <c r="A554" t="s">
        <v>994</v>
      </c>
      <c r="B554" t="s">
        <v>269</v>
      </c>
      <c r="C554" t="s">
        <v>10</v>
      </c>
      <c r="D554" t="s">
        <v>995</v>
      </c>
      <c r="E554" t="s">
        <v>6462</v>
      </c>
    </row>
    <row r="555" spans="1:5" hidden="1" outlineLevel="1" x14ac:dyDescent="0.3">
      <c r="A555" t="s">
        <v>996</v>
      </c>
      <c r="B555" t="s">
        <v>269</v>
      </c>
      <c r="C555" t="s">
        <v>10</v>
      </c>
      <c r="D555" t="s">
        <v>997</v>
      </c>
      <c r="E555" t="s">
        <v>6463</v>
      </c>
    </row>
    <row r="556" spans="1:5" hidden="1" outlineLevel="1" x14ac:dyDescent="0.3">
      <c r="A556" t="s">
        <v>998</v>
      </c>
      <c r="B556" t="s">
        <v>269</v>
      </c>
      <c r="C556" t="s">
        <v>10</v>
      </c>
      <c r="D556" t="s">
        <v>999</v>
      </c>
      <c r="E556" t="s">
        <v>6464</v>
      </c>
    </row>
    <row r="557" spans="1:8" hidden="1" outlineLevel="1" x14ac:dyDescent="0.3">
      <c r="A557" t="s">
        <v>1000</v>
      </c>
      <c r="B557" t="s">
        <v>269</v>
      </c>
      <c r="C557" t="s">
        <v>10</v>
      </c>
      <c r="D557" t="s">
        <v>1001</v>
      </c>
      <c r="E557" t="s">
        <v>6465</v>
      </c>
      <c r="H557" t="inlineStr">
        <is>
          <t>DOCS UNIT EMPLOYEE 07.001</t>
        </is>
      </c>
    </row>
    <row r="558" spans="1:8" hidden="1" outlineLevel="1" x14ac:dyDescent="0.3">
      <c r="A558" t="s">
        <v>1002</v>
      </c>
      <c r="B558" t="s">
        <v>269</v>
      </c>
      <c r="C558" t="s">
        <v>10</v>
      </c>
      <c r="D558" t="s">
        <v>1003</v>
      </c>
      <c r="E558" t="s">
        <v>6466</v>
      </c>
      <c r="H558" t="inlineStr">
        <is>
          <t>DOCS UNIT MULTIMEDIA STU 07.002</t>
        </is>
      </c>
    </row>
    <row r="559" spans="1:8" hidden="1" outlineLevel="1" x14ac:dyDescent="0.3">
      <c r="A559" t="s">
        <v>1004</v>
      </c>
      <c r="B559" t="s">
        <v>269</v>
      </c>
      <c r="C559" t="s">
        <v>8</v>
      </c>
      <c r="D559" t="s">
        <v>6043</v>
      </c>
      <c r="E559" t="s">
        <v>6459</v>
      </c>
      <c r="H559" t="inlineStr">
        <is>
          <t>CORRIDOR SW</t>
        </is>
      </c>
    </row>
    <row r="560" spans="1:5" hidden="1" outlineLevel="1" x14ac:dyDescent="0.3">
      <c r="A560" t="s">
        <v>1005</v>
      </c>
      <c r="B560" t="s">
        <v>269</v>
      </c>
      <c r="C560" t="s">
        <v>10</v>
      </c>
      <c r="D560" t="s">
        <v>1003</v>
      </c>
      <c r="E560" t="s">
        <v>6466</v>
      </c>
    </row>
    <row r="561" spans="1:8" hidden="1" outlineLevel="1" x14ac:dyDescent="0.3">
      <c r="A561" t="s">
        <v>1006</v>
      </c>
      <c r="B561" t="s">
        <v>269</v>
      </c>
      <c r="C561" t="s">
        <v>10</v>
      </c>
      <c r="D561" t="s">
        <v>1007</v>
      </c>
      <c r="E561" t="s">
        <v>6467</v>
      </c>
      <c r="H561" t="inlineStr">
        <is>
          <t>DOCS UNIT EMPLOYEE 7.003</t>
        </is>
      </c>
    </row>
    <row r="562" spans="1:8" hidden="1" outlineLevel="1" x14ac:dyDescent="0.3">
      <c r="A562" t="s">
        <v>1008</v>
      </c>
      <c r="B562" t="s">
        <v>269</v>
      </c>
      <c r="C562" t="s">
        <v>10</v>
      </c>
      <c r="D562" t="s">
        <v>1009</v>
      </c>
      <c r="E562" t="s">
        <v>6468</v>
      </c>
      <c r="H562" t="inlineStr">
        <is>
          <t>DOCS UNIT EMPLOYEE 7.004</t>
        </is>
      </c>
    </row>
    <row r="563" spans="1:8" hidden="1" outlineLevel="1" x14ac:dyDescent="0.3">
      <c r="A563" t="s">
        <v>1010</v>
      </c>
      <c r="B563" t="s">
        <v>269</v>
      </c>
      <c r="C563" t="s">
        <v>10</v>
      </c>
      <c r="D563" t="s">
        <v>1011</v>
      </c>
      <c r="E563" t="s">
        <v>6469</v>
      </c>
      <c r="H563" t="inlineStr">
        <is>
          <t>DOCS UNIT EMPLOYEE 7.005</t>
        </is>
      </c>
    </row>
    <row r="564" spans="1:8" hidden="1" outlineLevel="1" x14ac:dyDescent="0.3">
      <c r="A564" t="s">
        <v>1012</v>
      </c>
      <c r="B564" t="s">
        <v>269</v>
      </c>
      <c r="C564" t="s">
        <v>10</v>
      </c>
      <c r="D564" t="s">
        <v>1013</v>
      </c>
      <c r="E564" t="s">
        <v>6470</v>
      </c>
      <c r="H564" t="inlineStr">
        <is>
          <t>DOCS UNIT EMPLOYEE 7.006</t>
        </is>
      </c>
    </row>
    <row r="565" spans="1:5" hidden="1" outlineLevel="1" x14ac:dyDescent="0.3">
      <c r="A565" t="s">
        <v>1014</v>
      </c>
      <c r="B565" t="s">
        <v>269</v>
      </c>
      <c r="C565" t="s">
        <v>10</v>
      </c>
      <c r="D565" t="s">
        <v>1015</v>
      </c>
      <c r="E565" t="s">
        <v>6471</v>
      </c>
    </row>
    <row r="566" spans="1:5" hidden="1" outlineLevel="1" x14ac:dyDescent="0.3">
      <c r="A566" t="s">
        <v>1016</v>
      </c>
      <c r="B566" t="s">
        <v>269</v>
      </c>
      <c r="C566" t="s">
        <v>10</v>
      </c>
      <c r="D566" t="s">
        <v>1017</v>
      </c>
      <c r="E566" t="s">
        <v>6472</v>
      </c>
    </row>
    <row r="567" spans="1:5" hidden="1" outlineLevel="1" x14ac:dyDescent="0.3">
      <c r="A567" t="s">
        <v>1018</v>
      </c>
      <c r="B567" t="s">
        <v>269</v>
      </c>
      <c r="C567" t="s">
        <v>10</v>
      </c>
      <c r="D567" t="s">
        <v>1019</v>
      </c>
      <c r="E567" t="s">
        <v>6473</v>
      </c>
    </row>
    <row r="568" spans="1:5" hidden="1" outlineLevel="1" x14ac:dyDescent="0.3">
      <c r="A568" t="s">
        <v>1020</v>
      </c>
      <c r="B568" t="s">
        <v>269</v>
      </c>
      <c r="C568" t="s">
        <v>10</v>
      </c>
      <c r="D568" t="s">
        <v>1021</v>
      </c>
      <c r="E568" t="s">
        <v>6474</v>
      </c>
    </row>
    <row r="569" spans="1:5" hidden="1" outlineLevel="1" x14ac:dyDescent="0.3">
      <c r="A569" t="s">
        <v>1022</v>
      </c>
      <c r="B569" t="s">
        <v>269</v>
      </c>
      <c r="C569" t="s">
        <v>10</v>
      </c>
      <c r="D569" t="s">
        <v>1023</v>
      </c>
      <c r="E569" t="s">
        <v>6475</v>
      </c>
    </row>
    <row r="570" spans="1:5" hidden="1" outlineLevel="1" x14ac:dyDescent="0.3">
      <c r="A570" t="s">
        <v>1024</v>
      </c>
      <c r="B570" t="s">
        <v>269</v>
      </c>
      <c r="C570" t="s">
        <v>10</v>
      </c>
      <c r="D570" t="s">
        <v>1025</v>
      </c>
      <c r="E570" t="s">
        <v>6476</v>
      </c>
    </row>
    <row r="571" spans="1:5" hidden="1" outlineLevel="1" x14ac:dyDescent="0.3">
      <c r="A571" t="s">
        <v>1026</v>
      </c>
      <c r="B571" t="s">
        <v>269</v>
      </c>
      <c r="C571" t="s">
        <v>10</v>
      </c>
      <c r="D571" t="s">
        <v>1027</v>
      </c>
      <c r="E571" t="s">
        <v>6477</v>
      </c>
    </row>
    <row r="572" spans="1:5" hidden="1" outlineLevel="1" x14ac:dyDescent="0.3">
      <c r="A572" t="s">
        <v>1028</v>
      </c>
      <c r="B572" t="s">
        <v>269</v>
      </c>
      <c r="C572" t="s">
        <v>10</v>
      </c>
      <c r="D572" t="s">
        <v>1029</v>
      </c>
      <c r="E572" t="s">
        <v>6478</v>
      </c>
    </row>
    <row r="573" spans="1:5" hidden="1" outlineLevel="1" x14ac:dyDescent="0.3">
      <c r="A573" t="s">
        <v>1030</v>
      </c>
      <c r="B573" t="s">
        <v>269</v>
      </c>
      <c r="C573" t="s">
        <v>10</v>
      </c>
      <c r="D573" t="s">
        <v>1031</v>
      </c>
      <c r="E573" t="s">
        <v>6479</v>
      </c>
    </row>
    <row r="574" spans="1:5" hidden="1" outlineLevel="1" x14ac:dyDescent="0.3">
      <c r="A574" t="s">
        <v>1032</v>
      </c>
      <c r="B574" t="s">
        <v>269</v>
      </c>
      <c r="C574" t="s">
        <v>10</v>
      </c>
      <c r="D574" t="s">
        <v>1033</v>
      </c>
      <c r="E574" t="s">
        <v>6480</v>
      </c>
    </row>
    <row r="575" spans="1:5" hidden="1" outlineLevel="1" x14ac:dyDescent="0.3">
      <c r="A575" t="s">
        <v>1034</v>
      </c>
      <c r="B575" t="s">
        <v>269</v>
      </c>
      <c r="C575" t="s">
        <v>10</v>
      </c>
      <c r="D575" t="s">
        <v>1035</v>
      </c>
      <c r="E575" t="s">
        <v>6481</v>
      </c>
    </row>
    <row r="576" spans="1:8" hidden="1" outlineLevel="1" x14ac:dyDescent="0.3">
      <c r="A576" t="s">
        <v>1036</v>
      </c>
      <c r="B576" t="s">
        <v>269</v>
      </c>
      <c r="C576" t="s">
        <v>8</v>
      </c>
      <c r="D576" t="s">
        <v>1037</v>
      </c>
      <c r="E576" t="s">
        <v>6482</v>
      </c>
      <c r="H576" t="inlineStr">
        <is>
          <t>PRESIDENT EXECOFF 7.202</t>
        </is>
      </c>
    </row>
    <row r="577" spans="1:8" hidden="1" outlineLevel="1" x14ac:dyDescent="0.3">
      <c r="A577" t="s">
        <v>1038</v>
      </c>
      <c r="B577" t="s">
        <v>269</v>
      </c>
      <c r="C577" t="s">
        <v>8</v>
      </c>
      <c r="D577" t="s">
        <v>1039</v>
      </c>
      <c r="E577" t="s">
        <v>6483</v>
      </c>
      <c r="H577" t="inlineStr">
        <is>
          <t>PRESSEXECOFFICE 7.204</t>
        </is>
      </c>
    </row>
    <row r="578" spans="1:8" hidden="1" outlineLevel="1" x14ac:dyDescent="0.3">
      <c r="A578" t="s">
        <v>1040</v>
      </c>
      <c r="B578" t="s">
        <v>269</v>
      </c>
      <c r="C578" t="s">
        <v>8</v>
      </c>
      <c r="D578" t="s">
        <v>1039</v>
      </c>
      <c r="E578" t="s">
        <v>6483</v>
      </c>
      <c r="H578" t="inlineStr">
        <is>
          <t>PRESSEXECOFFICE 7.204</t>
        </is>
      </c>
    </row>
    <row r="579" spans="1:8" hidden="1" outlineLevel="1" x14ac:dyDescent="0.3">
      <c r="A579" t="s">
        <v>1041</v>
      </c>
      <c r="B579" t="s">
        <v>269</v>
      </c>
      <c r="C579" t="s">
        <v>8</v>
      </c>
      <c r="D579" t="s">
        <v>1042</v>
      </c>
      <c r="E579" t="s">
        <v>6484</v>
      </c>
      <c r="H579" t="inlineStr">
        <is>
          <t>PRESSEXECOFFICE 07.206</t>
        </is>
      </c>
    </row>
    <row r="580" spans="1:8" hidden="1" outlineLevel="1" x14ac:dyDescent="0.3">
      <c r="A580" t="s">
        <v>1043</v>
      </c>
      <c r="B580" t="s">
        <v>269</v>
      </c>
      <c r="C580" t="s">
        <v>8</v>
      </c>
      <c r="D580" t="s">
        <v>1042</v>
      </c>
      <c r="E580" t="s">
        <v>6484</v>
      </c>
      <c r="H580" t="inlineStr">
        <is>
          <t>PRESSEXECOFFICE 7.205</t>
        </is>
      </c>
    </row>
    <row r="581" spans="1:8" hidden="1" outlineLevel="1" x14ac:dyDescent="0.3">
      <c r="A581" t="s">
        <v>1044</v>
      </c>
      <c r="B581" t="s">
        <v>269</v>
      </c>
      <c r="C581" t="s">
        <v>10</v>
      </c>
      <c r="D581" t="s">
        <v>1045</v>
      </c>
      <c r="E581" t="s">
        <v>6485</v>
      </c>
      <c r="H581" t="inlineStr">
        <is>
          <t>PRESSSUPPSECRET 7.208</t>
        </is>
      </c>
    </row>
    <row r="582" spans="1:8" hidden="1" outlineLevel="1" x14ac:dyDescent="0.3">
      <c r="A582" t="s">
        <v>1046</v>
      </c>
      <c r="B582" t="s">
        <v>269</v>
      </c>
      <c r="C582" t="s">
        <v>8</v>
      </c>
      <c r="D582" t="s">
        <v>1047</v>
      </c>
      <c r="E582" t="s">
        <v>6486</v>
      </c>
      <c r="H582" t="inlineStr">
        <is>
          <t>CORRIDOR SE</t>
        </is>
      </c>
    </row>
    <row r="583" spans="1:8" hidden="1" outlineLevel="1" x14ac:dyDescent="0.3">
      <c r="A583" t="s">
        <v>1048</v>
      </c>
      <c r="B583" t="s">
        <v>269</v>
      </c>
      <c r="C583" t="s">
        <v>10</v>
      </c>
      <c r="D583" t="s">
        <v>1049</v>
      </c>
      <c r="E583" t="s">
        <v>6487</v>
      </c>
      <c r="H583" t="inlineStr">
        <is>
          <t>PRESSEXECSECRET 7.209</t>
        </is>
      </c>
    </row>
    <row r="584" spans="1:8" hidden="1" outlineLevel="1" x14ac:dyDescent="0.3">
      <c r="A584" t="s">
        <v>1050</v>
      </c>
      <c r="B584" t="s">
        <v>269</v>
      </c>
      <c r="C584" t="s">
        <v>10</v>
      </c>
      <c r="D584" t="s">
        <v>1051</v>
      </c>
      <c r="E584" t="s">
        <v>6488</v>
      </c>
      <c r="H584" t="inlineStr">
        <is>
          <t>PRESSEXECSECRET 7.210</t>
        </is>
      </c>
    </row>
    <row r="585" spans="1:8" hidden="1" outlineLevel="1" x14ac:dyDescent="0.3">
      <c r="A585" t="s">
        <v>1052</v>
      </c>
      <c r="B585" t="s">
        <v>269</v>
      </c>
      <c r="C585" t="s">
        <v>8</v>
      </c>
      <c r="D585" t="s">
        <v>1053</v>
      </c>
      <c r="E585" t="s">
        <v>6489</v>
      </c>
      <c r="H585" t="inlineStr">
        <is>
          <t>PRESSIDENT ENSUIT 7.211</t>
        </is>
      </c>
    </row>
    <row r="586" spans="1:8" hidden="1" outlineLevel="1" x14ac:dyDescent="0.3">
      <c r="A586" t="s">
        <v>1054</v>
      </c>
      <c r="B586" t="s">
        <v>269</v>
      </c>
      <c r="C586" t="s">
        <v>8</v>
      </c>
      <c r="D586" t="s">
        <v>1055</v>
      </c>
      <c r="E586" t="s">
        <v>6490</v>
      </c>
      <c r="H586" t="inlineStr">
        <is>
          <t>PRESSIDENT MEETINF RM 7.212</t>
        </is>
      </c>
    </row>
    <row r="587" spans="1:8" hidden="1" outlineLevel="1" x14ac:dyDescent="0.3">
      <c r="A587" t="s">
        <v>1056</v>
      </c>
      <c r="B587" t="s">
        <v>269</v>
      </c>
      <c r="C587" t="s">
        <v>10</v>
      </c>
      <c r="D587" t="s">
        <v>1057</v>
      </c>
      <c r="E587" t="s">
        <v>6491</v>
      </c>
      <c r="H587" t="inlineStr">
        <is>
          <t>VICE CHAIRPENSUIT 7.213</t>
        </is>
      </c>
    </row>
    <row r="588" spans="1:8" hidden="1" outlineLevel="1" x14ac:dyDescent="0.3">
      <c r="A588" t="s">
        <v>1058</v>
      </c>
      <c r="B588" t="s">
        <v>269</v>
      </c>
      <c r="C588" t="s">
        <v>10</v>
      </c>
      <c r="D588" t="s">
        <v>1059</v>
      </c>
      <c r="E588" t="s">
        <v>6492</v>
      </c>
      <c r="H588" t="inlineStr">
        <is>
          <t>VICE CHAIRPSECT 7.214</t>
        </is>
      </c>
    </row>
    <row r="589" spans="1:8" hidden="1" outlineLevel="1" x14ac:dyDescent="0.3">
      <c r="A589" t="s">
        <v>1060</v>
      </c>
      <c r="B589" t="s">
        <v>269</v>
      </c>
      <c r="C589" t="s">
        <v>10</v>
      </c>
      <c r="D589" t="s">
        <v>1061</v>
      </c>
      <c r="E589" t="s">
        <v>6493</v>
      </c>
      <c r="H589" t="inlineStr">
        <is>
          <t>VICE CHAIRPMEETING RM 7.215</t>
        </is>
      </c>
    </row>
    <row r="590" spans="1:8" hidden="1" outlineLevel="1" x14ac:dyDescent="0.3">
      <c r="A590" t="s">
        <v>1062</v>
      </c>
      <c r="B590" t="s">
        <v>269</v>
      </c>
      <c r="C590" t="s">
        <v>10</v>
      </c>
      <c r="D590" t="s">
        <v>1063</v>
      </c>
      <c r="E590" t="s">
        <v>6494</v>
      </c>
      <c r="H590" t="inlineStr">
        <is>
          <t>E-TOWER CORRIDOR 06.301</t>
        </is>
      </c>
    </row>
    <row r="591" spans="1:5" hidden="1" outlineLevel="1" x14ac:dyDescent="0.3">
      <c r="A591" t="s">
        <v>1064</v>
      </c>
      <c r="B591" t="s">
        <v>269</v>
      </c>
      <c r="C591" t="s">
        <v>10</v>
      </c>
      <c r="D591" t="s">
        <v>1063</v>
      </c>
      <c r="E591" t="s">
        <v>6494</v>
      </c>
    </row>
    <row r="592" spans="1:5" hidden="1" outlineLevel="1" x14ac:dyDescent="0.3">
      <c r="A592" t="s">
        <v>1065</v>
      </c>
      <c r="B592" t="s">
        <v>269</v>
      </c>
      <c r="C592" t="s">
        <v>10</v>
      </c>
      <c r="D592" t="s">
        <v>1063</v>
      </c>
      <c r="E592" t="s">
        <v>6494</v>
      </c>
    </row>
    <row r="593" spans="1:5" hidden="1" outlineLevel="1" x14ac:dyDescent="0.3">
      <c r="A593" t="s">
        <v>1066</v>
      </c>
      <c r="B593" t="s">
        <v>269</v>
      </c>
      <c r="C593" t="s">
        <v>8</v>
      </c>
      <c r="D593" t="s">
        <v>1067</v>
      </c>
      <c r="E593" t="s">
        <v>6495</v>
      </c>
    </row>
    <row r="594" spans="1:5" hidden="1" outlineLevel="1" x14ac:dyDescent="0.3">
      <c r="A594" t="s">
        <v>1068</v>
      </c>
      <c r="B594" t="s">
        <v>269</v>
      </c>
      <c r="C594" t="s">
        <v>8</v>
      </c>
      <c r="D594" t="s">
        <v>1067</v>
      </c>
      <c r="E594" t="s">
        <v>6495</v>
      </c>
    </row>
    <row r="595" spans="1:5" hidden="1" outlineLevel="1" x14ac:dyDescent="0.3">
      <c r="A595" t="s">
        <v>1069</v>
      </c>
      <c r="B595" t="s">
        <v>269</v>
      </c>
      <c r="C595" t="s">
        <v>8</v>
      </c>
      <c r="D595" t="s">
        <v>1067</v>
      </c>
      <c r="E595" t="s">
        <v>6495</v>
      </c>
    </row>
    <row r="596" spans="1:5" hidden="1" outlineLevel="1" x14ac:dyDescent="0.3">
      <c r="A596" t="s">
        <v>1070</v>
      </c>
      <c r="B596" t="s">
        <v>269</v>
      </c>
      <c r="C596" t="s">
        <v>8</v>
      </c>
      <c r="D596" t="s">
        <v>1067</v>
      </c>
      <c r="E596" t="s">
        <v>6495</v>
      </c>
    </row>
    <row r="597" spans="1:5" hidden="1" outlineLevel="1" x14ac:dyDescent="0.3">
      <c r="A597" t="s">
        <v>1071</v>
      </c>
      <c r="B597" t="s">
        <v>269</v>
      </c>
      <c r="C597" t="s">
        <v>8</v>
      </c>
      <c r="D597" t="s">
        <v>1067</v>
      </c>
      <c r="E597" t="s">
        <v>6495</v>
      </c>
    </row>
    <row r="598" spans="1:5" hidden="1" outlineLevel="1" x14ac:dyDescent="0.3">
      <c r="A598" t="s">
        <v>1072</v>
      </c>
      <c r="B598" t="s">
        <v>269</v>
      </c>
      <c r="C598" t="s">
        <v>8</v>
      </c>
      <c r="D598" t="s">
        <v>1073</v>
      </c>
      <c r="E598" t="s">
        <v>6496</v>
      </c>
    </row>
    <row r="599" spans="1:8" hidden="1" outlineLevel="1" x14ac:dyDescent="0.3">
      <c r="A599" t="s">
        <v>1074</v>
      </c>
      <c r="B599" t="s">
        <v>269</v>
      </c>
      <c r="C599" t="s">
        <v>8</v>
      </c>
      <c r="D599" t="s">
        <v>1075</v>
      </c>
      <c r="E599" t="s">
        <v>6497</v>
      </c>
      <c r="H599" t="inlineStr">
        <is>
          <t>VISITORS CENTER CORRIDOR 08.201</t>
        </is>
      </c>
    </row>
    <row r="600" spans="1:5" hidden="1" outlineLevel="1" x14ac:dyDescent="0.3">
      <c r="A600" t="s">
        <v>1076</v>
      </c>
      <c r="B600" t="s">
        <v>269</v>
      </c>
      <c r="C600" t="s">
        <v>8</v>
      </c>
      <c r="D600" t="s">
        <v>1075</v>
      </c>
      <c r="E600" t="s">
        <v>6497</v>
      </c>
    </row>
    <row r="601" spans="1:5" hidden="1" outlineLevel="1" x14ac:dyDescent="0.3">
      <c r="A601" t="s">
        <v>1077</v>
      </c>
      <c r="B601" t="s">
        <v>269</v>
      </c>
      <c r="C601" t="s">
        <v>8</v>
      </c>
      <c r="D601" t="s">
        <v>1075</v>
      </c>
      <c r="E601" t="s">
        <v>6497</v>
      </c>
    </row>
    <row r="602" spans="1:5" hidden="1" outlineLevel="1" x14ac:dyDescent="0.3">
      <c r="A602" t="s">
        <v>1078</v>
      </c>
      <c r="B602" t="s">
        <v>269</v>
      </c>
      <c r="C602" t="s">
        <v>8</v>
      </c>
      <c r="D602" t="s">
        <v>1075</v>
      </c>
      <c r="E602" t="s">
        <v>6497</v>
      </c>
    </row>
    <row r="603" spans="1:5" hidden="1" outlineLevel="1" x14ac:dyDescent="0.3">
      <c r="A603" t="s">
        <v>1079</v>
      </c>
      <c r="B603" t="s">
        <v>269</v>
      </c>
      <c r="C603" t="s">
        <v>8</v>
      </c>
      <c r="D603" t="s">
        <v>1075</v>
      </c>
      <c r="E603" t="s">
        <v>6497</v>
      </c>
    </row>
    <row r="604" spans="1:8" hidden="1" outlineLevel="1" x14ac:dyDescent="0.3">
      <c r="A604" t="s">
        <v>1080</v>
      </c>
      <c r="B604" t="s">
        <v>269</v>
      </c>
      <c r="C604" t="s">
        <v>10</v>
      </c>
      <c r="D604" t="s">
        <v>1081</v>
      </c>
      <c r="E604" t="s">
        <v>6498</v>
      </c>
      <c r="H604" t="inlineStr">
        <is>
          <t>BMO EXECASSIST 9.011</t>
        </is>
      </c>
    </row>
    <row r="605" spans="1:8" hidden="1" outlineLevel="1" x14ac:dyDescent="0.3">
      <c r="A605" t="s">
        <v>1082</v>
      </c>
      <c r="B605" t="s">
        <v>269</v>
      </c>
      <c r="C605" t="s">
        <v>10</v>
      </c>
      <c r="D605" t="s">
        <v>1083</v>
      </c>
      <c r="E605" t="s">
        <v>6499</v>
      </c>
      <c r="H605" t="inlineStr">
        <is>
          <t>BMO EXECASSIST 9.012</t>
        </is>
      </c>
    </row>
    <row r="606" spans="1:8" hidden="1" outlineLevel="1" x14ac:dyDescent="0.3">
      <c r="A606" t="s">
        <v>1084</v>
      </c>
      <c r="B606" t="s">
        <v>269</v>
      </c>
      <c r="C606" t="s">
        <v>10</v>
      </c>
      <c r="D606" t="s">
        <v>1085</v>
      </c>
      <c r="E606" t="s">
        <v>6500</v>
      </c>
      <c r="H606" t="inlineStr">
        <is>
          <t>BMO EXECASSIST 9.013</t>
        </is>
      </c>
    </row>
    <row r="607" spans="1:8" hidden="1" outlineLevel="1" x14ac:dyDescent="0.3">
      <c r="A607" t="s">
        <v>1086</v>
      </c>
      <c r="B607" t="s">
        <v>269</v>
      </c>
      <c r="C607" t="s">
        <v>10</v>
      </c>
      <c r="D607" t="s">
        <v>1087</v>
      </c>
      <c r="E607" t="s">
        <v>6501</v>
      </c>
      <c r="H607" t="inlineStr">
        <is>
          <t>BMO EXECASSIST 9.014</t>
        </is>
      </c>
    </row>
    <row r="608" spans="1:8" hidden="1" outlineLevel="1" x14ac:dyDescent="0.3">
      <c r="A608" t="s">
        <v>1088</v>
      </c>
      <c r="B608" t="s">
        <v>269</v>
      </c>
      <c r="C608" t="s">
        <v>10</v>
      </c>
      <c r="D608" t="s">
        <v>1089</v>
      </c>
      <c r="E608" t="s">
        <v>6502</v>
      </c>
      <c r="H608" t="inlineStr">
        <is>
          <t>BMO EXECASSIST 9.015</t>
        </is>
      </c>
    </row>
    <row r="609" spans="1:8" hidden="1" outlineLevel="1" x14ac:dyDescent="0.3">
      <c r="A609" t="s">
        <v>1090</v>
      </c>
      <c r="B609" t="s">
        <v>269</v>
      </c>
      <c r="C609" t="s">
        <v>10</v>
      </c>
      <c r="D609" t="s">
        <v>1091</v>
      </c>
      <c r="E609" t="s">
        <v>6503</v>
      </c>
      <c r="H609" t="inlineStr">
        <is>
          <t>BMO EXECASSIST 9.016</t>
        </is>
      </c>
    </row>
    <row r="610" spans="1:8" hidden="1" outlineLevel="1" x14ac:dyDescent="0.3">
      <c r="A610" t="s">
        <v>1092</v>
      </c>
      <c r="B610" t="s">
        <v>269</v>
      </c>
      <c r="C610" t="s">
        <v>10</v>
      </c>
      <c r="D610" t="s">
        <v>1093</v>
      </c>
      <c r="E610" t="s">
        <v>6504</v>
      </c>
      <c r="H610" t="inlineStr">
        <is>
          <t>BMO EXECASSIST 9.017</t>
        </is>
      </c>
    </row>
    <row r="611" spans="1:8" hidden="1" outlineLevel="1" x14ac:dyDescent="0.3">
      <c r="A611" t="s">
        <v>1094</v>
      </c>
      <c r="B611" t="s">
        <v>269</v>
      </c>
      <c r="C611" t="s">
        <v>10</v>
      </c>
      <c r="D611" t="s">
        <v>1095</v>
      </c>
      <c r="E611" t="s">
        <v>6505</v>
      </c>
      <c r="H611" t="inlineStr">
        <is>
          <t>BMO EXECSECRET 9.018</t>
        </is>
      </c>
    </row>
    <row r="612" spans="1:8" hidden="1" outlineLevel="1" x14ac:dyDescent="0.3">
      <c r="A612" t="s">
        <v>1096</v>
      </c>
      <c r="B612" t="s">
        <v>269</v>
      </c>
      <c r="C612" t="s">
        <v>10</v>
      </c>
      <c r="D612" t="s">
        <v>1097</v>
      </c>
      <c r="E612" t="s">
        <v>6506</v>
      </c>
      <c r="H612" t="inlineStr">
        <is>
          <t>BMO EXECSECRET 9.019</t>
        </is>
      </c>
    </row>
    <row r="613" spans="1:8" hidden="1" outlineLevel="1" x14ac:dyDescent="0.3">
      <c r="A613" t="s">
        <v>1098</v>
      </c>
      <c r="B613" t="s">
        <v>269</v>
      </c>
      <c r="C613" t="s">
        <v>10</v>
      </c>
      <c r="D613" t="s">
        <v>1099</v>
      </c>
      <c r="E613" t="s">
        <v>6507</v>
      </c>
      <c r="H613" t="inlineStr">
        <is>
          <t>BMO EXECSECRET 9.020</t>
        </is>
      </c>
    </row>
    <row r="614" spans="1:8" hidden="1" outlineLevel="1" x14ac:dyDescent="0.3">
      <c r="A614" t="s">
        <v>1100</v>
      </c>
      <c r="B614" t="s">
        <v>269</v>
      </c>
      <c r="C614" t="s">
        <v>8</v>
      </c>
      <c r="D614" t="s">
        <v>1101</v>
      </c>
      <c r="E614" t="s">
        <v>6508</v>
      </c>
      <c r="H614" t="inlineStr">
        <is>
          <t>BMO OPERDIRENSUIT 9.021</t>
        </is>
      </c>
    </row>
    <row r="615" spans="1:8" hidden="1" outlineLevel="1" x14ac:dyDescent="0.3">
      <c r="A615" t="s">
        <v>1102</v>
      </c>
      <c r="B615" t="s">
        <v>269</v>
      </c>
      <c r="C615" t="s">
        <v>10</v>
      </c>
      <c r="D615" t="s">
        <v>1103</v>
      </c>
      <c r="E615" t="s">
        <v>6509</v>
      </c>
      <c r="H615" t="inlineStr">
        <is>
          <t>BMO EXECASSIST 9.022</t>
        </is>
      </c>
    </row>
    <row r="616" spans="1:8" hidden="1" outlineLevel="1" x14ac:dyDescent="0.3">
      <c r="A616" t="s">
        <v>1104</v>
      </c>
      <c r="B616" t="s">
        <v>269</v>
      </c>
      <c r="C616" t="s">
        <v>10</v>
      </c>
      <c r="D616" t="s">
        <v>1105</v>
      </c>
      <c r="E616" t="s">
        <v>6510</v>
      </c>
      <c r="H616" t="inlineStr">
        <is>
          <t>BMO EXECSECRET 9.023</t>
        </is>
      </c>
    </row>
    <row r="617" spans="1:8" hidden="1" outlineLevel="1" x14ac:dyDescent="0.3">
      <c r="A617" t="s">
        <v>1106</v>
      </c>
      <c r="B617" t="s">
        <v>269</v>
      </c>
      <c r="C617" t="s">
        <v>10</v>
      </c>
      <c r="D617" t="s">
        <v>1107</v>
      </c>
      <c r="E617" t="s">
        <v>6511</v>
      </c>
      <c r="H617" t="inlineStr">
        <is>
          <t>BMO EXECSECRET 9.024</t>
        </is>
      </c>
    </row>
    <row r="618" spans="1:8" hidden="1" outlineLevel="1" x14ac:dyDescent="0.3">
      <c r="A618" t="s">
        <v>1108</v>
      </c>
      <c r="B618" t="s">
        <v>269</v>
      </c>
      <c r="C618" t="s">
        <v>10</v>
      </c>
      <c r="D618" t="s">
        <v>1109</v>
      </c>
      <c r="E618" t="s">
        <v>6512</v>
      </c>
      <c r="H618" t="inlineStr">
        <is>
          <t>BMO EXECSECRET 9.025</t>
        </is>
      </c>
    </row>
    <row r="619" spans="1:5" hidden="1" outlineLevel="1" x14ac:dyDescent="0.3">
      <c r="A619" t="s">
        <v>1110</v>
      </c>
      <c r="B619" t="s">
        <v>269</v>
      </c>
      <c r="C619" t="s">
        <v>10</v>
      </c>
      <c r="D619" t="s">
        <v>1109</v>
      </c>
      <c r="E619" t="s">
        <v>6512</v>
      </c>
    </row>
    <row r="620" spans="1:8" hidden="1" outlineLevel="1" x14ac:dyDescent="0.3">
      <c r="A620" t="s">
        <v>1111</v>
      </c>
      <c r="B620" t="s">
        <v>269</v>
      </c>
      <c r="C620" t="s">
        <v>10</v>
      </c>
      <c r="D620" t="s">
        <v>1112</v>
      </c>
      <c r="E620" t="s">
        <v>6513</v>
      </c>
      <c r="H620" t="inlineStr">
        <is>
          <t>BMO SUPPSECRET 9.026</t>
        </is>
      </c>
    </row>
    <row r="621" spans="1:8" hidden="1" outlineLevel="1" x14ac:dyDescent="0.3">
      <c r="A621" t="s">
        <v>1113</v>
      </c>
      <c r="B621" t="s">
        <v>269</v>
      </c>
      <c r="C621" t="s">
        <v>10</v>
      </c>
      <c r="D621" t="s">
        <v>1114</v>
      </c>
      <c r="E621" t="s">
        <v>6514</v>
      </c>
      <c r="H621" t="inlineStr">
        <is>
          <t>BMO SUPPSECRET 9.027</t>
        </is>
      </c>
    </row>
    <row r="622" spans="1:8" hidden="1" outlineLevel="1" x14ac:dyDescent="0.3">
      <c r="A622" t="s">
        <v>1115</v>
      </c>
      <c r="B622" t="s">
        <v>269</v>
      </c>
      <c r="C622" t="s">
        <v>10</v>
      </c>
      <c r="D622" t="s">
        <v>1116</v>
      </c>
      <c r="E622" t="s">
        <v>6515</v>
      </c>
      <c r="H622" t="inlineStr">
        <is>
          <t>BMO SUPPSECRET 9.028</t>
        </is>
      </c>
    </row>
    <row r="623" spans="1:8" hidden="1" outlineLevel="1" x14ac:dyDescent="0.3">
      <c r="A623" t="s">
        <v>1117</v>
      </c>
      <c r="B623" t="s">
        <v>269</v>
      </c>
      <c r="C623" t="s">
        <v>10</v>
      </c>
      <c r="D623" t="s">
        <v>1118</v>
      </c>
      <c r="E623" t="s">
        <v>6516</v>
      </c>
      <c r="H623" t="inlineStr">
        <is>
          <t>BMO SUPPSECRET 9.029</t>
        </is>
      </c>
    </row>
    <row r="624" spans="1:8" hidden="1" outlineLevel="1" x14ac:dyDescent="0.3">
      <c r="A624" t="s">
        <v>1119</v>
      </c>
      <c r="B624" t="s">
        <v>269</v>
      </c>
      <c r="C624" t="s">
        <v>10</v>
      </c>
      <c r="D624" t="s">
        <v>1120</v>
      </c>
      <c r="E624" t="s">
        <v>6517</v>
      </c>
      <c r="H624" t="inlineStr">
        <is>
          <t>BMO SUPPSECRET 9.030</t>
        </is>
      </c>
    </row>
    <row r="625" spans="1:5" hidden="1" outlineLevel="1" x14ac:dyDescent="0.3">
      <c r="A625" t="s">
        <v>1121</v>
      </c>
      <c r="B625" t="s">
        <v>269</v>
      </c>
      <c r="C625" t="s">
        <v>10</v>
      </c>
      <c r="D625" t="s">
        <v>1122</v>
      </c>
      <c r="E625" t="s">
        <v>6518</v>
      </c>
    </row>
    <row r="626" spans="1:8" hidden="1" outlineLevel="1" x14ac:dyDescent="0.3">
      <c r="A626" t="s">
        <v>1123</v>
      </c>
      <c r="B626" t="s">
        <v>269</v>
      </c>
      <c r="C626" t="s">
        <v>10</v>
      </c>
      <c r="D626" t="s">
        <v>1124</v>
      </c>
      <c r="E626" t="s">
        <v>6519</v>
      </c>
      <c r="H626" t="inlineStr">
        <is>
          <t>BMO PRINT STORAGE 9.032</t>
        </is>
      </c>
    </row>
    <row r="627" spans="1:8" hidden="1" outlineLevel="1" x14ac:dyDescent="0.3">
      <c r="A627" t="s">
        <v>1125</v>
      </c>
      <c r="B627" t="s">
        <v>269</v>
      </c>
      <c r="C627" t="s">
        <v>10</v>
      </c>
      <c r="D627" t="s">
        <v>1126</v>
      </c>
      <c r="E627" t="s">
        <v>6520</v>
      </c>
      <c r="H627" t="inlineStr">
        <is>
          <t>HR EDUADVADVENSUIT 9.033</t>
        </is>
      </c>
    </row>
    <row r="628" spans="1:8" hidden="1" outlineLevel="1" x14ac:dyDescent="0.3">
      <c r="A628" t="s">
        <v>1127</v>
      </c>
      <c r="B628" t="s">
        <v>269</v>
      </c>
      <c r="C628" t="s">
        <v>10</v>
      </c>
      <c r="D628" t="s">
        <v>1128</v>
      </c>
      <c r="E628" t="s">
        <v>6521</v>
      </c>
      <c r="H628" t="inlineStr">
        <is>
          <t>HR EDUADVADVENSUIT 9.034</t>
        </is>
      </c>
    </row>
    <row r="629" spans="1:8" hidden="1" outlineLevel="1" x14ac:dyDescent="0.3">
      <c r="A629" t="s">
        <v>1129</v>
      </c>
      <c r="B629" t="s">
        <v>269</v>
      </c>
      <c r="C629" t="s">
        <v>10</v>
      </c>
      <c r="D629" t="s">
        <v>1130</v>
      </c>
      <c r="E629" t="s">
        <v>6522</v>
      </c>
      <c r="H629" t="inlineStr">
        <is>
          <t>HR EDUADVADVENSUIT 9.035</t>
        </is>
      </c>
    </row>
    <row r="630" spans="1:5" hidden="1" outlineLevel="1" x14ac:dyDescent="0.3">
      <c r="A630" t="s">
        <v>1131</v>
      </c>
      <c r="B630" t="s">
        <v>269</v>
      </c>
      <c r="C630" t="s">
        <v>8</v>
      </c>
      <c r="D630" t="s">
        <v>1132</v>
      </c>
      <c r="E630" t="s">
        <v>6523</v>
      </c>
    </row>
    <row r="631" spans="1:8" hidden="1" outlineLevel="1" x14ac:dyDescent="0.3">
      <c r="A631" t="s">
        <v>1133</v>
      </c>
      <c r="B631" t="s">
        <v>269</v>
      </c>
      <c r="C631" t="s">
        <v>10</v>
      </c>
      <c r="D631" t="s">
        <v>1134</v>
      </c>
      <c r="E631" t="s">
        <v>6524</v>
      </c>
      <c r="H631" t="inlineStr">
        <is>
          <t>BOD SECRETARY 9.037</t>
        </is>
      </c>
    </row>
    <row r="632" spans="1:8" hidden="1" outlineLevel="1" x14ac:dyDescent="0.3">
      <c r="A632" t="s">
        <v>1135</v>
      </c>
      <c r="B632" t="s">
        <v>269</v>
      </c>
      <c r="C632" t="s">
        <v>8</v>
      </c>
      <c r="D632" t="s">
        <v>1136</v>
      </c>
      <c r="E632" t="s">
        <v>6525</v>
      </c>
      <c r="H632" t="inlineStr">
        <is>
          <t>BOD SECRETARY 9.038</t>
        </is>
      </c>
    </row>
    <row r="633" spans="1:8" hidden="1" outlineLevel="1" x14ac:dyDescent="0.3">
      <c r="A633" t="s">
        <v>1137</v>
      </c>
      <c r="B633" t="s">
        <v>269</v>
      </c>
      <c r="C633" t="s">
        <v>8</v>
      </c>
      <c r="D633" t="s">
        <v>6044</v>
      </c>
      <c r="E633" t="s">
        <v>6526</v>
      </c>
      <c r="H633" t="inlineStr">
        <is>
          <t>CORRIDOR SE</t>
        </is>
      </c>
    </row>
    <row r="634" spans="1:8" hidden="1" outlineLevel="1" x14ac:dyDescent="0.3">
      <c r="A634" t="s">
        <v>1138</v>
      </c>
      <c r="B634" t="s">
        <v>269</v>
      </c>
      <c r="C634" t="s">
        <v>8</v>
      </c>
      <c r="D634" t="s">
        <v>6044</v>
      </c>
      <c r="E634" t="s">
        <v>6526</v>
      </c>
      <c r="H634" t="inlineStr">
        <is>
          <t>HH-WING CORRIDOR SW</t>
        </is>
      </c>
    </row>
    <row r="635" spans="1:5" hidden="1" outlineLevel="1" x14ac:dyDescent="0.3">
      <c r="A635" t="s">
        <v>1139</v>
      </c>
      <c r="B635" t="s">
        <v>269</v>
      </c>
      <c r="C635" t="s">
        <v>10</v>
      </c>
      <c r="D635" t="s">
        <v>1140</v>
      </c>
      <c r="E635" t="s">
        <v>6527</v>
      </c>
    </row>
    <row r="636" spans="1:8" hidden="1" outlineLevel="1" x14ac:dyDescent="0.3">
      <c r="A636" t="s">
        <v>1141</v>
      </c>
      <c r="B636" t="s">
        <v>269</v>
      </c>
      <c r="C636" t="s">
        <v>10</v>
      </c>
      <c r="D636" t="s">
        <v>1142</v>
      </c>
      <c r="E636" t="s">
        <v>6528</v>
      </c>
      <c r="H636" t="inlineStr">
        <is>
          <t>BMO SAFE ROOM 9.040</t>
        </is>
      </c>
    </row>
    <row r="637" spans="1:5" hidden="1" outlineLevel="1" x14ac:dyDescent="0.3">
      <c r="A637" t="s">
        <v>1143</v>
      </c>
      <c r="B637" t="s">
        <v>269</v>
      </c>
      <c r="C637" t="s">
        <v>10</v>
      </c>
      <c r="D637" t="s">
        <v>1144</v>
      </c>
      <c r="E637" t="s">
        <v>6529</v>
      </c>
    </row>
    <row r="638" spans="1:8" hidden="1" outlineLevel="1" x14ac:dyDescent="0.3">
      <c r="A638" t="s">
        <v>1145</v>
      </c>
      <c r="B638" t="s">
        <v>269</v>
      </c>
      <c r="C638" t="s">
        <v>8</v>
      </c>
      <c r="D638" t="s">
        <v>6044</v>
      </c>
      <c r="E638" t="s">
        <v>6526</v>
      </c>
      <c r="H638" t="inlineStr">
        <is>
          <t>CORRIDOR SW</t>
        </is>
      </c>
    </row>
    <row r="639" spans="1:5" hidden="1" outlineLevel="1" x14ac:dyDescent="0.3">
      <c r="A639" t="s">
        <v>1146</v>
      </c>
      <c r="B639" t="s">
        <v>269</v>
      </c>
      <c r="C639" t="s">
        <v>10</v>
      </c>
      <c r="D639" t="s">
        <v>1147</v>
      </c>
      <c r="E639" t="s">
        <v>6530</v>
      </c>
    </row>
    <row r="640" spans="1:5" hidden="1" outlineLevel="1" x14ac:dyDescent="0.3">
      <c r="A640" t="s">
        <v>1148</v>
      </c>
      <c r="B640" t="s">
        <v>269</v>
      </c>
      <c r="C640" t="s">
        <v>10</v>
      </c>
      <c r="D640" t="s">
        <v>1149</v>
      </c>
      <c r="E640" t="s">
        <v>6531</v>
      </c>
    </row>
    <row r="641" spans="1:5" hidden="1" outlineLevel="1" x14ac:dyDescent="0.3">
      <c r="A641" t="s">
        <v>1150</v>
      </c>
      <c r="B641" t="s">
        <v>269</v>
      </c>
      <c r="C641" t="s">
        <v>10</v>
      </c>
      <c r="D641" t="s">
        <v>1151</v>
      </c>
      <c r="E641" t="s">
        <v>6532</v>
      </c>
    </row>
    <row r="642" spans="1:5" hidden="1" outlineLevel="1" x14ac:dyDescent="0.3">
      <c r="A642" t="s">
        <v>1152</v>
      </c>
      <c r="B642" t="s">
        <v>269</v>
      </c>
      <c r="C642" t="s">
        <v>10</v>
      </c>
      <c r="D642" t="s">
        <v>1153</v>
      </c>
      <c r="E642" t="s">
        <v>6533</v>
      </c>
    </row>
    <row r="643" spans="1:5" hidden="1" outlineLevel="1" x14ac:dyDescent="0.3">
      <c r="A643" t="s">
        <v>1154</v>
      </c>
      <c r="B643" t="s">
        <v>269</v>
      </c>
      <c r="C643" t="s">
        <v>10</v>
      </c>
      <c r="D643" t="s">
        <v>1155</v>
      </c>
      <c r="E643" t="s">
        <v>6534</v>
      </c>
    </row>
    <row r="644" spans="1:5" hidden="1" outlineLevel="1" x14ac:dyDescent="0.3">
      <c r="A644" t="s">
        <v>1156</v>
      </c>
      <c r="B644" t="s">
        <v>269</v>
      </c>
      <c r="C644" t="s">
        <v>10</v>
      </c>
      <c r="D644" t="s">
        <v>1157</v>
      </c>
      <c r="E644" t="s">
        <v>6535</v>
      </c>
    </row>
    <row r="645" spans="1:5" hidden="1" outlineLevel="1" x14ac:dyDescent="0.3">
      <c r="A645" t="s">
        <v>1158</v>
      </c>
      <c r="B645" t="s">
        <v>269</v>
      </c>
      <c r="C645" t="s">
        <v>10</v>
      </c>
      <c r="D645" t="s">
        <v>1159</v>
      </c>
      <c r="E645" t="s">
        <v>6536</v>
      </c>
    </row>
    <row r="646" spans="1:5" hidden="1" outlineLevel="1" x14ac:dyDescent="0.3">
      <c r="A646" t="s">
        <v>1160</v>
      </c>
      <c r="B646" t="s">
        <v>269</v>
      </c>
      <c r="C646" t="s">
        <v>10</v>
      </c>
      <c r="D646" t="s">
        <v>1161</v>
      </c>
      <c r="E646" t="s">
        <v>6537</v>
      </c>
    </row>
    <row r="647" spans="1:5" hidden="1" outlineLevel="1" x14ac:dyDescent="0.3">
      <c r="A647" t="s">
        <v>1162</v>
      </c>
      <c r="B647" t="s">
        <v>269</v>
      </c>
      <c r="C647" t="s">
        <v>10</v>
      </c>
      <c r="D647" t="s">
        <v>1163</v>
      </c>
      <c r="E647" t="s">
        <v>6538</v>
      </c>
    </row>
    <row r="648" spans="1:5" hidden="1" outlineLevel="1" x14ac:dyDescent="0.3">
      <c r="A648" t="s">
        <v>1164</v>
      </c>
      <c r="B648" t="s">
        <v>269</v>
      </c>
      <c r="C648" t="s">
        <v>10</v>
      </c>
      <c r="D648" t="s">
        <v>1165</v>
      </c>
      <c r="E648" t="s">
        <v>6539</v>
      </c>
    </row>
    <row r="649" spans="1:8" hidden="1" outlineLevel="1" x14ac:dyDescent="0.3">
      <c r="A649" t="s">
        <v>1166</v>
      </c>
      <c r="B649" t="s">
        <v>269</v>
      </c>
      <c r="C649" t="s">
        <v>8</v>
      </c>
      <c r="D649" t="s">
        <v>1167</v>
      </c>
      <c r="E649" t="s">
        <v>6540</v>
      </c>
      <c r="H649" t="inlineStr">
        <is>
          <t>LOUNGE NW</t>
        </is>
      </c>
    </row>
    <row r="650" spans="1:5" hidden="1" outlineLevel="1" x14ac:dyDescent="0.3">
      <c r="A650" t="s">
        <v>1168</v>
      </c>
      <c r="B650" t="s">
        <v>269</v>
      </c>
      <c r="C650" t="s">
        <v>8</v>
      </c>
      <c r="D650" t="s">
        <v>1169</v>
      </c>
      <c r="E650" t="s">
        <v>6541</v>
      </c>
    </row>
    <row r="651" spans="1:5" hidden="1" outlineLevel="1" x14ac:dyDescent="0.3">
      <c r="A651" t="s">
        <v>1170</v>
      </c>
      <c r="B651" t="s">
        <v>269</v>
      </c>
      <c r="C651" t="s">
        <v>10</v>
      </c>
      <c r="D651" t="s">
        <v>1171</v>
      </c>
      <c r="E651" t="s">
        <v>6542</v>
      </c>
    </row>
    <row r="652" spans="1:8" hidden="1" outlineLevel="1" x14ac:dyDescent="0.3">
      <c r="A652" t="s">
        <v>1172</v>
      </c>
      <c r="B652" t="s">
        <v>269</v>
      </c>
      <c r="C652" t="s">
        <v>8</v>
      </c>
      <c r="D652" t="s">
        <v>6044</v>
      </c>
      <c r="E652" t="s">
        <v>6526</v>
      </c>
      <c r="H652" t="inlineStr">
        <is>
          <t>CORRIDOR NE</t>
        </is>
      </c>
    </row>
    <row r="653" spans="1:8" hidden="1" outlineLevel="1" x14ac:dyDescent="0.3">
      <c r="A653" t="s">
        <v>1173</v>
      </c>
      <c r="B653" t="s">
        <v>269</v>
      </c>
      <c r="C653" t="s">
        <v>8</v>
      </c>
      <c r="D653" t="s">
        <v>1174</v>
      </c>
      <c r="E653" t="s">
        <v>6543</v>
      </c>
      <c r="H653" t="inlineStr">
        <is>
          <t>OUTSIDE SHEIKA WING DINING AREA 9.110</t>
        </is>
      </c>
    </row>
    <row r="654" spans="1:8" hidden="1" outlineLevel="1" x14ac:dyDescent="0.3">
      <c r="A654" t="s">
        <v>1175</v>
      </c>
      <c r="B654" t="s">
        <v>269</v>
      </c>
      <c r="C654" t="s">
        <v>8</v>
      </c>
      <c r="D654" t="s">
        <v>1174</v>
      </c>
      <c r="E654" t="s">
        <v>6543</v>
      </c>
      <c r="H654" t="inlineStr">
        <is>
          <t>SHEIKA WING DINING AREA SE</t>
        </is>
      </c>
    </row>
    <row r="655" spans="1:8" hidden="1" outlineLevel="1" x14ac:dyDescent="0.3">
      <c r="A655" t="s">
        <v>1176</v>
      </c>
      <c r="B655" t="s">
        <v>269</v>
      </c>
      <c r="C655" t="s">
        <v>8</v>
      </c>
      <c r="D655" t="s">
        <v>1177</v>
      </c>
      <c r="E655" t="s">
        <v>6543</v>
      </c>
      <c r="H655" t="inlineStr">
        <is>
          <t>OUTSIDE SHEIKA WING DINING AREA 9.11</t>
        </is>
      </c>
    </row>
    <row r="656" spans="1:5" hidden="1" outlineLevel="1" x14ac:dyDescent="0.3">
      <c r="A656" t="s">
        <v>1178</v>
      </c>
      <c r="B656" t="s">
        <v>269</v>
      </c>
      <c r="C656" t="s">
        <v>10</v>
      </c>
      <c r="D656" t="s">
        <v>1179</v>
      </c>
      <c r="E656" t="s">
        <v>6544</v>
      </c>
    </row>
    <row r="657" spans="1:5" hidden="1" outlineLevel="1" x14ac:dyDescent="0.3">
      <c r="A657" t="s">
        <v>1180</v>
      </c>
      <c r="B657" t="s">
        <v>269</v>
      </c>
      <c r="C657" t="s">
        <v>8</v>
      </c>
      <c r="D657" t="s">
        <v>1174</v>
      </c>
      <c r="E657" t="s">
        <v>6543</v>
      </c>
    </row>
    <row r="658" spans="1:8" hidden="1" outlineLevel="1" x14ac:dyDescent="0.3">
      <c r="A658" t="s">
        <v>1181</v>
      </c>
      <c r="B658" t="s">
        <v>269</v>
      </c>
      <c r="C658" t="s">
        <v>10</v>
      </c>
      <c r="D658" t="s">
        <v>1182</v>
      </c>
      <c r="E658" t="s">
        <v>6545</v>
      </c>
      <c r="H658" t="inlineStr">
        <is>
          <t>SHEIKA WING ARCHIVE 10.005</t>
        </is>
      </c>
    </row>
    <row r="659" spans="1:8" hidden="1" outlineLevel="1" x14ac:dyDescent="0.3">
      <c r="A659" t="s">
        <v>1183</v>
      </c>
      <c r="B659" t="s">
        <v>269</v>
      </c>
      <c r="C659" t="s">
        <v>8</v>
      </c>
      <c r="D659" t="s">
        <v>1184</v>
      </c>
      <c r="E659" t="s">
        <v>6546</v>
      </c>
      <c r="H659" t="inlineStr">
        <is>
          <t>EXECDIRARCH COORD 10.006</t>
        </is>
      </c>
    </row>
    <row r="660" spans="1:8" hidden="1" outlineLevel="1" x14ac:dyDescent="0.3">
      <c r="A660" t="s">
        <v>1185</v>
      </c>
      <c r="B660" t="s">
        <v>269</v>
      </c>
      <c r="C660" t="s">
        <v>10</v>
      </c>
      <c r="D660" t="s">
        <v>1186</v>
      </c>
      <c r="E660" t="s">
        <v>6547</v>
      </c>
      <c r="H660" t="inlineStr">
        <is>
          <t>EXECDIRARCH COORD 10.007</t>
        </is>
      </c>
    </row>
    <row r="661" spans="1:8" hidden="1" outlineLevel="1" x14ac:dyDescent="0.3">
      <c r="A661" t="s">
        <v>1187</v>
      </c>
      <c r="B661" t="s">
        <v>269</v>
      </c>
      <c r="C661" t="s">
        <v>10</v>
      </c>
      <c r="D661" t="s">
        <v>1188</v>
      </c>
      <c r="E661" t="s">
        <v>6548</v>
      </c>
      <c r="H661" t="inlineStr">
        <is>
          <t>PROTOCOL DIRSCHEDOFF 10.008</t>
        </is>
      </c>
    </row>
    <row r="662" spans="1:8" hidden="1" outlineLevel="1" x14ac:dyDescent="0.3">
      <c r="A662" t="s">
        <v>1189</v>
      </c>
      <c r="B662" t="s">
        <v>269</v>
      </c>
      <c r="C662" t="s">
        <v>10</v>
      </c>
      <c r="D662" t="s">
        <v>1190</v>
      </c>
      <c r="E662" t="s">
        <v>6549</v>
      </c>
      <c r="H662" t="inlineStr">
        <is>
          <t>PROTOCOL DIRCEREMOFF 10.009</t>
        </is>
      </c>
    </row>
    <row r="663" spans="1:8" hidden="1" outlineLevel="1" x14ac:dyDescent="0.3">
      <c r="A663" t="s">
        <v>1191</v>
      </c>
      <c r="B663" t="s">
        <v>269</v>
      </c>
      <c r="C663" t="s">
        <v>10</v>
      </c>
      <c r="D663" t="s">
        <v>1192</v>
      </c>
      <c r="E663" t="s">
        <v>6550</v>
      </c>
      <c r="H663" t="inlineStr">
        <is>
          <t>PROTOCOL DIRCEREMOFF 10.010</t>
        </is>
      </c>
    </row>
    <row r="664" spans="1:8" hidden="1" outlineLevel="1" x14ac:dyDescent="0.3">
      <c r="A664" t="s">
        <v>1193</v>
      </c>
      <c r="B664" t="s">
        <v>269</v>
      </c>
      <c r="C664" t="s">
        <v>10</v>
      </c>
      <c r="D664" t="s">
        <v>1194</v>
      </c>
      <c r="E664" t="s">
        <v>6551</v>
      </c>
      <c r="H664" t="inlineStr">
        <is>
          <t>PROTOCOL DIRCEREMOFF 10.011</t>
        </is>
      </c>
    </row>
    <row r="665" spans="1:8" hidden="1" outlineLevel="1" x14ac:dyDescent="0.3">
      <c r="A665" t="s">
        <v>1195</v>
      </c>
      <c r="B665" t="s">
        <v>269</v>
      </c>
      <c r="C665" t="s">
        <v>10</v>
      </c>
      <c r="D665" t="s">
        <v>1196</v>
      </c>
      <c r="E665" t="s">
        <v>6552</v>
      </c>
      <c r="H665" t="inlineStr">
        <is>
          <t>PROTOCOL DIRTR/VISOFF 10.012</t>
        </is>
      </c>
    </row>
    <row r="666" spans="1:8" hidden="1" outlineLevel="1" x14ac:dyDescent="0.3">
      <c r="A666" t="s">
        <v>1197</v>
      </c>
      <c r="B666" t="s">
        <v>269</v>
      </c>
      <c r="C666" t="s">
        <v>10</v>
      </c>
      <c r="D666" t="s">
        <v>1198</v>
      </c>
      <c r="E666" t="s">
        <v>6553</v>
      </c>
      <c r="H666" t="inlineStr">
        <is>
          <t>PROTOCOL DIRTR/VISOFF 10.013</t>
        </is>
      </c>
    </row>
    <row r="667" spans="1:8" hidden="1" outlineLevel="1" x14ac:dyDescent="0.3">
      <c r="A667" t="s">
        <v>1199</v>
      </c>
      <c r="B667" t="s">
        <v>269</v>
      </c>
      <c r="C667" t="s">
        <v>10</v>
      </c>
      <c r="D667" t="s">
        <v>1200</v>
      </c>
      <c r="E667" t="s">
        <v>6554</v>
      </c>
      <c r="H667" t="inlineStr">
        <is>
          <t>PROTOCOL DIRSCHEDOFF 10.015</t>
        </is>
      </c>
    </row>
    <row r="668" spans="1:8" hidden="1" outlineLevel="1" x14ac:dyDescent="0.3">
      <c r="A668" t="s">
        <v>1201</v>
      </c>
      <c r="B668" t="s">
        <v>269</v>
      </c>
      <c r="C668" t="s">
        <v>10</v>
      </c>
      <c r="D668" t="s">
        <v>1202</v>
      </c>
      <c r="E668" t="s">
        <v>6555</v>
      </c>
      <c r="H668" t="inlineStr">
        <is>
          <t>PLANDIRPLANNING ANAL 10.016</t>
        </is>
      </c>
    </row>
    <row r="669" spans="1:8" hidden="1" outlineLevel="1" x14ac:dyDescent="0.3">
      <c r="A669" t="s">
        <v>1203</v>
      </c>
      <c r="B669" t="s">
        <v>269</v>
      </c>
      <c r="C669" t="s">
        <v>10</v>
      </c>
      <c r="D669" t="s">
        <v>1204</v>
      </c>
      <c r="E669" t="s">
        <v>6556</v>
      </c>
      <c r="H669" t="inlineStr">
        <is>
          <t>PLANDIRSTRATPLNER 10.017</t>
        </is>
      </c>
    </row>
    <row r="670" spans="1:8" hidden="1" outlineLevel="1" x14ac:dyDescent="0.3">
      <c r="A670" t="s">
        <v>1205</v>
      </c>
      <c r="B670" t="s">
        <v>269</v>
      </c>
      <c r="C670" t="s">
        <v>8</v>
      </c>
      <c r="D670" t="s">
        <v>1206</v>
      </c>
      <c r="E670" t="s">
        <v>6557</v>
      </c>
      <c r="H670" t="inlineStr">
        <is>
          <t>PLANNINGDIREXTCOORD 10.018</t>
        </is>
      </c>
    </row>
    <row r="671" spans="1:8" hidden="1" outlineLevel="1" x14ac:dyDescent="0.3">
      <c r="A671" t="s">
        <v>1207</v>
      </c>
      <c r="B671" t="s">
        <v>269</v>
      </c>
      <c r="C671" t="s">
        <v>10</v>
      </c>
      <c r="D671" t="s">
        <v>1208</v>
      </c>
      <c r="E671" t="s">
        <v>6558</v>
      </c>
      <c r="H671" t="inlineStr">
        <is>
          <t>POLICY DIRSEN POLANA 10.019</t>
        </is>
      </c>
    </row>
    <row r="672" spans="1:8" hidden="1" outlineLevel="1" x14ac:dyDescent="0.3">
      <c r="A672" t="s">
        <v>1209</v>
      </c>
      <c r="B672" t="s">
        <v>269</v>
      </c>
      <c r="C672" t="s">
        <v>10</v>
      </c>
      <c r="D672" t="s">
        <v>1210</v>
      </c>
      <c r="E672" t="s">
        <v>6559</v>
      </c>
      <c r="H672" t="inlineStr">
        <is>
          <t>POLICY DIRSEN RES ANA 10.020</t>
        </is>
      </c>
    </row>
    <row r="673" spans="1:8" hidden="1" outlineLevel="1" x14ac:dyDescent="0.3">
      <c r="A673" t="s">
        <v>1211</v>
      </c>
      <c r="B673" t="s">
        <v>269</v>
      </c>
      <c r="C673" t="s">
        <v>10</v>
      </c>
      <c r="D673" t="s">
        <v>1212</v>
      </c>
      <c r="E673" t="s">
        <v>6560</v>
      </c>
      <c r="H673" t="inlineStr">
        <is>
          <t>POLICY DIR RESEARCH ANA 10.021</t>
        </is>
      </c>
    </row>
    <row r="674" spans="1:8" hidden="1" outlineLevel="1" x14ac:dyDescent="0.3">
      <c r="A674" t="s">
        <v>1213</v>
      </c>
      <c r="B674" t="s">
        <v>269</v>
      </c>
      <c r="C674" t="s">
        <v>10</v>
      </c>
      <c r="D674" t="s">
        <v>1214</v>
      </c>
      <c r="E674" t="s">
        <v>6561</v>
      </c>
      <c r="H674" t="inlineStr">
        <is>
          <t>POLICY DIR RESEARCH ANA 10.022</t>
        </is>
      </c>
    </row>
    <row r="675" spans="1:8" hidden="1" outlineLevel="1" x14ac:dyDescent="0.3">
      <c r="A675" t="s">
        <v>1215</v>
      </c>
      <c r="B675" t="s">
        <v>269</v>
      </c>
      <c r="C675" t="s">
        <v>10</v>
      </c>
      <c r="D675" t="s">
        <v>1216</v>
      </c>
      <c r="E675" t="s">
        <v>6562</v>
      </c>
      <c r="H675" t="inlineStr">
        <is>
          <t>SHSERVDIRHR OFFICER 10.023</t>
        </is>
      </c>
    </row>
    <row r="676" spans="1:8" hidden="1" outlineLevel="1" x14ac:dyDescent="0.3">
      <c r="A676" t="s">
        <v>1217</v>
      </c>
      <c r="B676" t="s">
        <v>269</v>
      </c>
      <c r="C676" t="s">
        <v>10</v>
      </c>
      <c r="D676" t="s">
        <v>1218</v>
      </c>
      <c r="E676" t="s">
        <v>6563</v>
      </c>
      <c r="H676" t="inlineStr">
        <is>
          <t>SHSERVDIRHR ASSISTANT 10.024</t>
        </is>
      </c>
    </row>
    <row r="677" spans="1:8" hidden="1" outlineLevel="1" x14ac:dyDescent="0.3">
      <c r="A677" t="s">
        <v>1219</v>
      </c>
      <c r="B677" t="s">
        <v>269</v>
      </c>
      <c r="C677" t="s">
        <v>10</v>
      </c>
      <c r="D677" t="s">
        <v>1220</v>
      </c>
      <c r="E677" t="s">
        <v>6564</v>
      </c>
      <c r="H677" t="inlineStr">
        <is>
          <t>SHSERVDIRPROC REPRE 10.025</t>
        </is>
      </c>
    </row>
    <row r="678" spans="1:8" hidden="1" outlineLevel="1" x14ac:dyDescent="0.3">
      <c r="A678" t="s">
        <v>1221</v>
      </c>
      <c r="B678" t="s">
        <v>269</v>
      </c>
      <c r="C678" t="s">
        <v>10</v>
      </c>
      <c r="D678" t="s">
        <v>1222</v>
      </c>
      <c r="E678" t="s">
        <v>6565</v>
      </c>
      <c r="H678" t="inlineStr">
        <is>
          <t>SHSERVDIRSRVCE COORD 10.026</t>
        </is>
      </c>
    </row>
    <row r="679" spans="1:8" hidden="1" outlineLevel="1" x14ac:dyDescent="0.3">
      <c r="A679" t="s">
        <v>1223</v>
      </c>
      <c r="B679" t="s">
        <v>269</v>
      </c>
      <c r="C679" t="s">
        <v>10</v>
      </c>
      <c r="D679" t="s">
        <v>1224</v>
      </c>
      <c r="E679" t="s">
        <v>6566</v>
      </c>
      <c r="H679" t="inlineStr">
        <is>
          <t>SHSERVDIRGENSERVSUPERV 10.027</t>
        </is>
      </c>
    </row>
    <row r="680" spans="1:8" hidden="1" outlineLevel="1" x14ac:dyDescent="0.3">
      <c r="A680" t="s">
        <v>1225</v>
      </c>
      <c r="B680" t="s">
        <v>269</v>
      </c>
      <c r="C680" t="s">
        <v>8</v>
      </c>
      <c r="D680" t="s">
        <v>1226</v>
      </c>
      <c r="E680" t="s">
        <v>6567</v>
      </c>
      <c r="H680" t="inlineStr">
        <is>
          <t>SHSERVDIRFINANCE CONTROL 10.028</t>
        </is>
      </c>
    </row>
    <row r="681" spans="1:8" hidden="1" outlineLevel="1" x14ac:dyDescent="0.3">
      <c r="A681" t="s">
        <v>1227</v>
      </c>
      <c r="B681" t="s">
        <v>269</v>
      </c>
      <c r="C681" t="s">
        <v>8</v>
      </c>
      <c r="D681" t="s">
        <v>1228</v>
      </c>
      <c r="E681" t="s">
        <v>6568</v>
      </c>
      <c r="H681" t="inlineStr">
        <is>
          <t>SHSERVDIRTR&amp;GUSERV 10.029</t>
        </is>
      </c>
    </row>
    <row r="682" spans="1:5" hidden="1" outlineLevel="1" x14ac:dyDescent="0.3">
      <c r="A682" t="s">
        <v>1229</v>
      </c>
      <c r="B682" t="s">
        <v>269</v>
      </c>
      <c r="C682" t="s">
        <v>8</v>
      </c>
      <c r="D682" t="s">
        <v>6045</v>
      </c>
      <c r="E682" t="s">
        <v>6569</v>
      </c>
    </row>
    <row r="683" spans="1:8" hidden="1" outlineLevel="1" x14ac:dyDescent="0.3">
      <c r="A683" t="s">
        <v>1230</v>
      </c>
      <c r="B683" t="s">
        <v>269</v>
      </c>
      <c r="C683" t="s">
        <v>8</v>
      </c>
      <c r="D683" t="s">
        <v>1231</v>
      </c>
      <c r="E683" t="s">
        <v>6570</v>
      </c>
      <c r="H683" t="inlineStr">
        <is>
          <t>COMMUNICDIRCOMM DESIGR 10.031</t>
        </is>
      </c>
    </row>
    <row r="684" spans="1:8" hidden="1" outlineLevel="1" x14ac:dyDescent="0.3">
      <c r="A684" t="s">
        <v>1232</v>
      </c>
      <c r="B684" t="s">
        <v>269</v>
      </c>
      <c r="C684" t="s">
        <v>8</v>
      </c>
      <c r="D684" t="s">
        <v>1233</v>
      </c>
      <c r="E684" t="s">
        <v>6571</v>
      </c>
      <c r="H684" t="inlineStr">
        <is>
          <t>COMMUNICDIRSPEECH EDITR 10.032</t>
        </is>
      </c>
    </row>
    <row r="685" spans="1:8" hidden="1" outlineLevel="1" x14ac:dyDescent="0.3">
      <c r="A685" t="s">
        <v>1234</v>
      </c>
      <c r="B685" t="s">
        <v>269</v>
      </c>
      <c r="C685" t="s">
        <v>8</v>
      </c>
      <c r="D685" t="s">
        <v>1235</v>
      </c>
      <c r="E685" t="s">
        <v>6572</v>
      </c>
      <c r="H685" t="inlineStr">
        <is>
          <t>COMMUNICDIR TRANSLATOR 10.033</t>
        </is>
      </c>
    </row>
    <row r="686" spans="1:8" hidden="1" outlineLevel="1" x14ac:dyDescent="0.3">
      <c r="A686" t="s">
        <v>1236</v>
      </c>
      <c r="B686" t="s">
        <v>269</v>
      </c>
      <c r="C686" t="s">
        <v>8</v>
      </c>
      <c r="D686" t="s">
        <v>1237</v>
      </c>
      <c r="E686" t="s">
        <v>6573</v>
      </c>
      <c r="H686" t="inlineStr">
        <is>
          <t>COMMUNICDIRPUBCOMMCOORD 10.034</t>
        </is>
      </c>
    </row>
    <row r="687" spans="1:8" hidden="1" outlineLevel="1" x14ac:dyDescent="0.3">
      <c r="A687" t="s">
        <v>1238</v>
      </c>
      <c r="B687" t="s">
        <v>269</v>
      </c>
      <c r="C687" t="s">
        <v>10</v>
      </c>
      <c r="D687" t="s">
        <v>1239</v>
      </c>
      <c r="E687" t="s">
        <v>6574</v>
      </c>
      <c r="H687" t="inlineStr">
        <is>
          <t>SHSERVDIRIT SUPPOFCR 10.035</t>
        </is>
      </c>
    </row>
    <row r="688" spans="1:8" hidden="1" outlineLevel="1" x14ac:dyDescent="0.3">
      <c r="A688" t="s">
        <v>1240</v>
      </c>
      <c r="B688" t="s">
        <v>269</v>
      </c>
      <c r="C688" t="s">
        <v>8</v>
      </c>
      <c r="D688" t="s">
        <v>1241</v>
      </c>
      <c r="E688" t="s">
        <v>6575</v>
      </c>
      <c r="H688" t="inlineStr">
        <is>
          <t>SHSERVDIRACCOUNT 10.036</t>
        </is>
      </c>
    </row>
    <row r="689" spans="1:8" hidden="1" outlineLevel="1" x14ac:dyDescent="0.3">
      <c r="A689" t="s">
        <v>1242</v>
      </c>
      <c r="B689" t="s">
        <v>269</v>
      </c>
      <c r="C689" t="s">
        <v>8</v>
      </c>
      <c r="D689" t="s">
        <v>1243</v>
      </c>
      <c r="E689" t="s">
        <v>6576</v>
      </c>
      <c r="H689" t="inlineStr">
        <is>
          <t>SHSERVDIRSENACCOUNT 10.037</t>
        </is>
      </c>
    </row>
    <row r="690" spans="1:5" hidden="1" outlineLevel="1" x14ac:dyDescent="0.3">
      <c r="A690" t="s">
        <v>1244</v>
      </c>
      <c r="B690" t="s">
        <v>269</v>
      </c>
      <c r="C690" t="s">
        <v>8</v>
      </c>
      <c r="D690" t="s">
        <v>1245</v>
      </c>
      <c r="E690" t="s">
        <v>6577</v>
      </c>
    </row>
    <row r="691" spans="1:5" hidden="1" outlineLevel="1" x14ac:dyDescent="0.3">
      <c r="A691" t="s">
        <v>1246</v>
      </c>
      <c r="B691" t="s">
        <v>269</v>
      </c>
      <c r="C691" t="s">
        <v>8</v>
      </c>
      <c r="D691" t="s">
        <v>1245</v>
      </c>
      <c r="E691" t="s">
        <v>6577</v>
      </c>
    </row>
    <row r="692" spans="1:5" hidden="1" outlineLevel="1" x14ac:dyDescent="0.3">
      <c r="A692" t="s">
        <v>1247</v>
      </c>
      <c r="B692" t="s">
        <v>269</v>
      </c>
      <c r="C692" t="s">
        <v>8</v>
      </c>
      <c r="D692" t="s">
        <v>1245</v>
      </c>
      <c r="E692" t="s">
        <v>6577</v>
      </c>
    </row>
    <row r="693" spans="1:8" hidden="1" outlineLevel="1" x14ac:dyDescent="0.3">
      <c r="A693" t="s">
        <v>1248</v>
      </c>
      <c r="B693" t="s">
        <v>269</v>
      </c>
      <c r="C693" t="s">
        <v>8</v>
      </c>
      <c r="D693" t="s">
        <v>1249</v>
      </c>
      <c r="E693" t="s">
        <v>6578</v>
      </c>
      <c r="H693" t="inlineStr">
        <is>
          <t>BOARD RMWAITING AREA 10.003</t>
        </is>
      </c>
    </row>
    <row r="694" spans="1:5" hidden="1" outlineLevel="1" x14ac:dyDescent="0.3">
      <c r="A694" t="s">
        <v>1250</v>
      </c>
      <c r="B694" t="s">
        <v>269</v>
      </c>
      <c r="C694" t="s">
        <v>8</v>
      </c>
      <c r="D694" t="s">
        <v>1249</v>
      </c>
      <c r="E694" t="s">
        <v>6578</v>
      </c>
    </row>
    <row r="695" spans="1:8" hidden="1" outlineLevel="1" x14ac:dyDescent="0.3">
      <c r="A695" t="s">
        <v>1251</v>
      </c>
      <c r="B695" t="s">
        <v>269</v>
      </c>
      <c r="C695" t="s">
        <v>10</v>
      </c>
      <c r="D695" t="s">
        <v>1252</v>
      </c>
      <c r="E695" t="s">
        <v>6579</v>
      </c>
      <c r="H695" t="inlineStr">
        <is>
          <t>EXECDIRARCH COORD 10.004</t>
        </is>
      </c>
    </row>
    <row r="696" spans="1:5" hidden="1" outlineLevel="1" x14ac:dyDescent="0.3">
      <c r="A696" t="s">
        <v>1253</v>
      </c>
      <c r="B696" t="s">
        <v>269</v>
      </c>
      <c r="C696" t="s">
        <v>8</v>
      </c>
      <c r="D696" t="s">
        <v>1254</v>
      </c>
      <c r="E696" t="s">
        <v>6580</v>
      </c>
    </row>
    <row r="697" spans="1:5" hidden="1" outlineLevel="1" x14ac:dyDescent="0.3">
      <c r="A697" t="s">
        <v>1255</v>
      </c>
      <c r="B697" t="s">
        <v>269</v>
      </c>
      <c r="C697" t="s">
        <v>8</v>
      </c>
      <c r="D697" t="s">
        <v>1256</v>
      </c>
      <c r="E697" t="s">
        <v>6580</v>
      </c>
    </row>
    <row r="698" spans="1:8" hidden="1" outlineLevel="1" x14ac:dyDescent="0.3">
      <c r="A698" t="s">
        <v>1257</v>
      </c>
      <c r="B698" t="s">
        <v>269</v>
      </c>
      <c r="C698" t="s">
        <v>8</v>
      </c>
      <c r="D698" t="s">
        <v>1258</v>
      </c>
      <c r="E698" t="s">
        <v>6581</v>
      </c>
      <c r="H698" t="inlineStr">
        <is>
          <t>BOARD PREPROOM 10.109</t>
        </is>
      </c>
    </row>
    <row r="699" spans="1:5" hidden="1" outlineLevel="1" x14ac:dyDescent="0.3">
      <c r="A699" t="s">
        <v>1259</v>
      </c>
      <c r="B699" t="s">
        <v>269</v>
      </c>
      <c r="C699" t="s">
        <v>10</v>
      </c>
      <c r="D699" t="s">
        <v>1260</v>
      </c>
      <c r="E699" t="s">
        <v>6582</v>
      </c>
    </row>
    <row r="700" spans="1:5" hidden="1" outlineLevel="1" x14ac:dyDescent="0.3">
      <c r="A700" t="s">
        <v>1261</v>
      </c>
      <c r="B700" t="s">
        <v>269</v>
      </c>
      <c r="C700" t="s">
        <v>10</v>
      </c>
      <c r="D700" t="s">
        <v>1260</v>
      </c>
      <c r="E700" t="s">
        <v>6582</v>
      </c>
    </row>
    <row r="701" spans="1:8" hidden="1" outlineLevel="1" x14ac:dyDescent="0.3">
      <c r="A701" t="s">
        <v>1262</v>
      </c>
      <c r="B701" t="s">
        <v>269</v>
      </c>
      <c r="C701" t="s">
        <v>8</v>
      </c>
      <c r="D701" t="s">
        <v>1263</v>
      </c>
      <c r="E701" t="s">
        <v>6583</v>
      </c>
      <c r="H701" t="inlineStr">
        <is>
          <t>TRANSLATER ROOM 10.112</t>
        </is>
      </c>
    </row>
    <row r="702" spans="1:8" hidden="1" outlineLevel="1" x14ac:dyDescent="0.3">
      <c r="A702" t="s">
        <v>1264</v>
      </c>
      <c r="B702" t="s">
        <v>269</v>
      </c>
      <c r="C702" t="s">
        <v>8</v>
      </c>
      <c r="D702" t="s">
        <v>6045</v>
      </c>
      <c r="E702" t="s">
        <v>6569</v>
      </c>
      <c r="H702" t="inlineStr">
        <is>
          <t>CORRIDOR 10.601</t>
        </is>
      </c>
    </row>
    <row r="703" spans="1:8" hidden="1" outlineLevel="1" x14ac:dyDescent="0.3">
      <c r="A703" t="s">
        <v>1265</v>
      </c>
      <c r="B703" t="s">
        <v>269</v>
      </c>
      <c r="C703" t="s">
        <v>8</v>
      </c>
      <c r="D703" t="s">
        <v>6045</v>
      </c>
      <c r="E703" t="s">
        <v>6569</v>
      </c>
      <c r="H703" t="inlineStr">
        <is>
          <t>CORRIDOR 10.601</t>
        </is>
      </c>
    </row>
    <row r="704" spans="1:8" hidden="1" outlineLevel="1" x14ac:dyDescent="0.3">
      <c r="A704" t="s">
        <v>1266</v>
      </c>
      <c r="B704" t="s">
        <v>269</v>
      </c>
      <c r="C704" t="s">
        <v>8</v>
      </c>
      <c r="D704" t="s">
        <v>6045</v>
      </c>
      <c r="E704" t="s">
        <v>6569</v>
      </c>
      <c r="H704" t="inlineStr">
        <is>
          <t>CORRIDOR 10.601</t>
        </is>
      </c>
    </row>
    <row r="705" spans="1:8" hidden="1" outlineLevel="1" x14ac:dyDescent="0.3">
      <c r="A705" t="s">
        <v>1267</v>
      </c>
      <c r="B705" t="s">
        <v>269</v>
      </c>
      <c r="C705" t="s">
        <v>8</v>
      </c>
      <c r="D705" t="s">
        <v>6045</v>
      </c>
      <c r="E705" t="s">
        <v>6569</v>
      </c>
      <c r="H705" t="inlineStr">
        <is>
          <t>CORRIDOR 10.601</t>
        </is>
      </c>
    </row>
    <row r="706" spans="1:8" hidden="1" outlineLevel="1" x14ac:dyDescent="0.3">
      <c r="A706" t="s">
        <v>1268</v>
      </c>
      <c r="B706" t="s">
        <v>269</v>
      </c>
      <c r="C706" t="s">
        <v>8</v>
      </c>
      <c r="D706" t="s">
        <v>6045</v>
      </c>
      <c r="E706" t="s">
        <v>6569</v>
      </c>
      <c r="H706" t="inlineStr">
        <is>
          <t>CORRIDOR 10.601</t>
        </is>
      </c>
    </row>
    <row r="707" spans="1:8" hidden="1" outlineLevel="1" x14ac:dyDescent="0.3">
      <c r="A707" t="s">
        <v>1269</v>
      </c>
      <c r="B707" t="s">
        <v>269</v>
      </c>
      <c r="C707" t="s">
        <v>8</v>
      </c>
      <c r="D707" t="s">
        <v>1270</v>
      </c>
      <c r="E707" t="s">
        <v>6584</v>
      </c>
      <c r="H707" t="inlineStr">
        <is>
          <t>CORRIDO 10.102</t>
        </is>
      </c>
    </row>
    <row r="708" spans="1:8" hidden="1" outlineLevel="1" x14ac:dyDescent="0.3">
      <c r="A708" t="s">
        <v>1271</v>
      </c>
      <c r="B708" t="s">
        <v>269</v>
      </c>
      <c r="C708" t="s">
        <v>10</v>
      </c>
      <c r="D708" t="s">
        <v>1272</v>
      </c>
      <c r="E708" t="s">
        <v>6585</v>
      </c>
      <c r="H708" t="inlineStr">
        <is>
          <t>SHELL SPACE E 10.002E</t>
        </is>
      </c>
    </row>
    <row r="709" spans="1:8" hidden="1" outlineLevel="1" x14ac:dyDescent="0.3">
      <c r="A709" t="s">
        <v>1273</v>
      </c>
      <c r="B709" t="s">
        <v>269</v>
      </c>
      <c r="C709" t="s">
        <v>10</v>
      </c>
      <c r="D709" t="s">
        <v>1274</v>
      </c>
      <c r="E709" t="s">
        <v>6586</v>
      </c>
      <c r="H709" t="inlineStr">
        <is>
          <t>SHELL SPACE C 10.002D</t>
        </is>
      </c>
    </row>
    <row r="710" spans="1:8" hidden="1" outlineLevel="1" x14ac:dyDescent="0.3">
      <c r="A710" t="s">
        <v>1275</v>
      </c>
      <c r="B710" t="s">
        <v>269</v>
      </c>
      <c r="C710" t="s">
        <v>10</v>
      </c>
      <c r="D710" t="s">
        <v>1276</v>
      </c>
      <c r="E710" t="s">
        <v>6587</v>
      </c>
      <c r="H710" t="inlineStr">
        <is>
          <t>SHELL SPACE B 10.002C</t>
        </is>
      </c>
    </row>
    <row r="711" spans="1:8" hidden="1" outlineLevel="1" x14ac:dyDescent="0.3">
      <c r="A711" t="s">
        <v>1277</v>
      </c>
      <c r="B711" t="s">
        <v>269</v>
      </c>
      <c r="C711" t="s">
        <v>10</v>
      </c>
      <c r="D711" t="s">
        <v>1278</v>
      </c>
      <c r="E711" t="s">
        <v>6588</v>
      </c>
      <c r="H711" t="inlineStr">
        <is>
          <t>SHELL SPACE A 10.002A</t>
        </is>
      </c>
    </row>
    <row r="712" spans="1:8" hidden="1" outlineLevel="1" x14ac:dyDescent="0.3">
      <c r="A712" t="s">
        <v>1279</v>
      </c>
      <c r="B712" t="s">
        <v>269</v>
      </c>
      <c r="C712" t="s">
        <v>8</v>
      </c>
      <c r="D712" t="s">
        <v>1280</v>
      </c>
      <c r="E712" t="s">
        <v>6589</v>
      </c>
      <c r="H712" t="inlineStr">
        <is>
          <t>PLANNING DIR DIR PLANNING 11.012</t>
        </is>
      </c>
    </row>
    <row r="713" spans="1:8" hidden="1" outlineLevel="1" x14ac:dyDescent="0.3">
      <c r="A713" t="s">
        <v>1281</v>
      </c>
      <c r="B713" t="s">
        <v>269</v>
      </c>
      <c r="C713" t="s">
        <v>8</v>
      </c>
      <c r="D713" t="s">
        <v>1282</v>
      </c>
      <c r="E713" t="s">
        <v>6590</v>
      </c>
      <c r="H713" t="inlineStr">
        <is>
          <t>EXECDIRCORRF -UP 11.013</t>
        </is>
      </c>
    </row>
    <row r="714" spans="1:8" hidden="1" outlineLevel="1" x14ac:dyDescent="0.3">
      <c r="A714" t="s">
        <v>1283</v>
      </c>
      <c r="B714" t="s">
        <v>269</v>
      </c>
      <c r="C714" t="s">
        <v>8</v>
      </c>
      <c r="D714" t="s">
        <v>1284</v>
      </c>
      <c r="E714" t="s">
        <v>6591</v>
      </c>
      <c r="H714" t="inlineStr">
        <is>
          <t>EXECDIRCORRMANAGER 11.014</t>
        </is>
      </c>
    </row>
    <row r="715" spans="1:8" hidden="1" outlineLevel="1" x14ac:dyDescent="0.3">
      <c r="A715" t="s">
        <v>1285</v>
      </c>
      <c r="B715" t="s">
        <v>269</v>
      </c>
      <c r="C715" t="s">
        <v>8</v>
      </c>
      <c r="D715" t="s">
        <v>1286</v>
      </c>
      <c r="E715" t="s">
        <v>6592</v>
      </c>
      <c r="H715" t="inlineStr">
        <is>
          <t>EXECDIRCORRF-UP 11.015</t>
        </is>
      </c>
    </row>
    <row r="716" spans="1:8" hidden="1" outlineLevel="1" x14ac:dyDescent="0.3">
      <c r="A716" t="s">
        <v>1287</v>
      </c>
      <c r="B716" t="s">
        <v>269</v>
      </c>
      <c r="C716" t="s">
        <v>10</v>
      </c>
      <c r="D716" t="s">
        <v>1288</v>
      </c>
      <c r="E716" t="s">
        <v>6593</v>
      </c>
      <c r="H716" t="inlineStr">
        <is>
          <t>EXECDIRLEGAL ASSIST 11.016</t>
        </is>
      </c>
    </row>
    <row r="717" spans="1:8" hidden="1" outlineLevel="1" x14ac:dyDescent="0.3">
      <c r="A717" t="s">
        <v>1289</v>
      </c>
      <c r="B717" t="s">
        <v>269</v>
      </c>
      <c r="C717" t="s">
        <v>10</v>
      </c>
      <c r="D717" t="s">
        <v>1290</v>
      </c>
      <c r="E717" t="s">
        <v>6594</v>
      </c>
      <c r="H717" t="inlineStr">
        <is>
          <t>EXECDIRLEGAL ADVISOR 11.017</t>
        </is>
      </c>
    </row>
    <row r="718" spans="1:5" hidden="1" outlineLevel="1" x14ac:dyDescent="0.3">
      <c r="A718" t="s">
        <v>1291</v>
      </c>
      <c r="B718" t="s">
        <v>269</v>
      </c>
      <c r="C718" s="26"/>
      <c r="D718" s="11"/>
    </row>
    <row r="719" spans="1:8" hidden="1" outlineLevel="1" x14ac:dyDescent="0.3">
      <c r="A719" t="s">
        <v>1292</v>
      </c>
      <c r="B719" t="s">
        <v>269</v>
      </c>
      <c r="C719" t="s">
        <v>10</v>
      </c>
      <c r="D719" t="s">
        <v>1293</v>
      </c>
      <c r="E719" t="s">
        <v>6595</v>
      </c>
      <c r="H719" t="inlineStr">
        <is>
          <t>EXECDIREXECASSIST 11.018</t>
        </is>
      </c>
    </row>
    <row r="720" spans="1:8" hidden="1" outlineLevel="1" x14ac:dyDescent="0.3">
      <c r="A720" t="s">
        <v>1294</v>
      </c>
      <c r="B720" t="s">
        <v>269</v>
      </c>
      <c r="C720" t="s">
        <v>8</v>
      </c>
      <c r="D720" t="s">
        <v>1295</v>
      </c>
      <c r="E720" t="s">
        <v>6596</v>
      </c>
      <c r="H720" t="inlineStr">
        <is>
          <t>EXECDIRDEPEXECDIRECTOR 11.019</t>
        </is>
      </c>
    </row>
    <row r="721" spans="1:8" hidden="1" outlineLevel="1" x14ac:dyDescent="0.3">
      <c r="A721" t="s">
        <v>1296</v>
      </c>
      <c r="B721" t="s">
        <v>269</v>
      </c>
      <c r="C721" t="s">
        <v>8</v>
      </c>
      <c r="D721" t="s">
        <v>1297</v>
      </c>
      <c r="E721" t="s">
        <v>6597</v>
      </c>
      <c r="H721" t="inlineStr">
        <is>
          <t>EXECDIREXECASSIST 11.020</t>
        </is>
      </c>
    </row>
    <row r="722" spans="1:8" hidden="1" outlineLevel="1" x14ac:dyDescent="0.3">
      <c r="A722" t="s">
        <v>1298</v>
      </c>
      <c r="B722" t="s">
        <v>269</v>
      </c>
      <c r="C722" t="s">
        <v>8</v>
      </c>
      <c r="D722" t="s">
        <v>1299</v>
      </c>
      <c r="E722" t="s">
        <v>6598</v>
      </c>
      <c r="H722" t="inlineStr">
        <is>
          <t>EXECDIREXECDIRECTOR 11.021</t>
        </is>
      </c>
    </row>
    <row r="723" spans="1:8" hidden="1" outlineLevel="1" x14ac:dyDescent="0.3">
      <c r="A723" t="s">
        <v>1300</v>
      </c>
      <c r="B723" t="s">
        <v>269</v>
      </c>
      <c r="C723" t="s">
        <v>8</v>
      </c>
      <c r="D723" t="s">
        <v>1301</v>
      </c>
      <c r="E723" t="s">
        <v>6599</v>
      </c>
      <c r="H723" t="inlineStr">
        <is>
          <t>SHEIKA WING WAITING ROOM 11.022</t>
        </is>
      </c>
    </row>
    <row r="724" spans="1:5" hidden="1" outlineLevel="1" x14ac:dyDescent="0.3">
      <c r="A724" t="s">
        <v>1302</v>
      </c>
      <c r="B724" t="s">
        <v>269</v>
      </c>
      <c r="C724" t="s">
        <v>8</v>
      </c>
      <c r="D724" t="s">
        <v>1301</v>
      </c>
      <c r="E724" t="s">
        <v>6599</v>
      </c>
    </row>
    <row r="725" spans="1:8" hidden="1" outlineLevel="1" x14ac:dyDescent="0.3">
      <c r="A725" t="s">
        <v>1303</v>
      </c>
      <c r="B725" t="s">
        <v>269</v>
      </c>
      <c r="C725" t="s">
        <v>8</v>
      </c>
      <c r="D725" t="s">
        <v>1304</v>
      </c>
      <c r="E725" t="s">
        <v>6600</v>
      </c>
      <c r="H725" t="inlineStr">
        <is>
          <t>SHEIKA WING SECURITY ROOM 11.023</t>
        </is>
      </c>
    </row>
    <row r="726" spans="1:8" hidden="1" outlineLevel="1" x14ac:dyDescent="0.3">
      <c r="A726" t="s">
        <v>1305</v>
      </c>
      <c r="B726" t="s">
        <v>269</v>
      </c>
      <c r="C726" t="s">
        <v>8</v>
      </c>
      <c r="D726" t="s">
        <v>1306</v>
      </c>
      <c r="E726" t="s">
        <v>6601</v>
      </c>
      <c r="H726" t="inlineStr">
        <is>
          <t>COMMUNICATION DIRECTOR 11.001</t>
        </is>
      </c>
    </row>
    <row r="727" spans="1:8" hidden="1" outlineLevel="1" x14ac:dyDescent="0.3">
      <c r="A727" t="s">
        <v>1307</v>
      </c>
      <c r="B727" t="s">
        <v>269</v>
      </c>
      <c r="C727" t="s">
        <v>10</v>
      </c>
      <c r="D727" t="s">
        <v>1308</v>
      </c>
      <c r="E727" t="s">
        <v>6602</v>
      </c>
      <c r="H727" t="inlineStr">
        <is>
          <t>COMMUDIRMEDRELOFFICER 11.002</t>
        </is>
      </c>
    </row>
    <row r="728" spans="1:8" hidden="1" outlineLevel="1" x14ac:dyDescent="0.3">
      <c r="A728" t="s">
        <v>1309</v>
      </c>
      <c r="B728" t="s">
        <v>269</v>
      </c>
      <c r="C728" t="s">
        <v>8</v>
      </c>
      <c r="D728" t="s">
        <v>1310</v>
      </c>
      <c r="E728" t="s">
        <v>6603</v>
      </c>
      <c r="H728" t="inlineStr">
        <is>
          <t>SHSERV DIR SHARED SERV 11.003</t>
        </is>
      </c>
    </row>
    <row r="729" spans="1:8" hidden="1" outlineLevel="1" x14ac:dyDescent="0.3">
      <c r="A729" t="s">
        <v>1311</v>
      </c>
      <c r="B729" t="s">
        <v>269</v>
      </c>
      <c r="C729" t="s">
        <v>10</v>
      </c>
      <c r="D729" t="s">
        <v>1312</v>
      </c>
      <c r="E729" t="s">
        <v>6604</v>
      </c>
      <c r="H729" t="inlineStr">
        <is>
          <t>EXECDIRECTOR ADMASSIST 11.004</t>
        </is>
      </c>
    </row>
    <row r="730" spans="1:8" hidden="1" outlineLevel="1" x14ac:dyDescent="0.3">
      <c r="A730" t="s">
        <v>1313</v>
      </c>
      <c r="B730" t="s">
        <v>269</v>
      </c>
      <c r="C730" t="s">
        <v>8</v>
      </c>
      <c r="D730" t="s">
        <v>1314</v>
      </c>
      <c r="E730" t="s">
        <v>6605</v>
      </c>
      <c r="H730" t="inlineStr">
        <is>
          <t>PROTOCOL DIRPROTCL DIR 11.005</t>
        </is>
      </c>
    </row>
    <row r="731" spans="1:8" hidden="1" outlineLevel="1" x14ac:dyDescent="0.3">
      <c r="A731" t="s">
        <v>1315</v>
      </c>
      <c r="B731" t="s">
        <v>269</v>
      </c>
      <c r="C731" t="s">
        <v>8</v>
      </c>
      <c r="D731" t="s">
        <v>1316</v>
      </c>
      <c r="E731" t="s">
        <v>6606</v>
      </c>
      <c r="H731" t="inlineStr">
        <is>
          <t>PROTOCOL DIRGIFTS DIR 11.006</t>
        </is>
      </c>
    </row>
    <row r="732" spans="1:8" hidden="1" outlineLevel="1" x14ac:dyDescent="0.3">
      <c r="A732" t="s">
        <v>1317</v>
      </c>
      <c r="B732" t="s">
        <v>269</v>
      </c>
      <c r="C732" t="s">
        <v>10</v>
      </c>
      <c r="D732" t="s">
        <v>1318</v>
      </c>
      <c r="E732" t="s">
        <v>6607</v>
      </c>
      <c r="H732" t="inlineStr">
        <is>
          <t>EXECDIRCONSULTANT 11.008</t>
        </is>
      </c>
    </row>
    <row r="733" spans="1:8" hidden="1" outlineLevel="1" x14ac:dyDescent="0.3">
      <c r="A733" t="s">
        <v>1319</v>
      </c>
      <c r="B733" t="s">
        <v>269</v>
      </c>
      <c r="C733" t="s">
        <v>10</v>
      </c>
      <c r="D733" t="s">
        <v>1320</v>
      </c>
      <c r="E733" t="s">
        <v>6608</v>
      </c>
      <c r="H733" t="inlineStr">
        <is>
          <t>SECRETARY 11.009</t>
        </is>
      </c>
    </row>
    <row r="734" spans="1:8" hidden="1" outlineLevel="1" x14ac:dyDescent="0.3">
      <c r="A734" t="s">
        <v>1321</v>
      </c>
      <c r="B734" t="s">
        <v>269</v>
      </c>
      <c r="C734" t="s">
        <v>8</v>
      </c>
      <c r="D734" t="s">
        <v>1322</v>
      </c>
      <c r="E734" t="s">
        <v>6609</v>
      </c>
      <c r="H734" t="inlineStr">
        <is>
          <t>POLICY DIROF POL &amp; RES 11.010</t>
        </is>
      </c>
    </row>
    <row r="735" spans="1:5" hidden="1" outlineLevel="1" x14ac:dyDescent="0.3">
      <c r="A735" t="s">
        <v>1323</v>
      </c>
      <c r="B735" t="s">
        <v>269</v>
      </c>
      <c r="C735" t="s">
        <v>10</v>
      </c>
      <c r="D735" t="s">
        <v>1324</v>
      </c>
      <c r="E735" t="s">
        <v>6610</v>
      </c>
    </row>
    <row r="736" spans="1:8" hidden="1" outlineLevel="1" x14ac:dyDescent="0.3">
      <c r="A736" t="s">
        <v>1325</v>
      </c>
      <c r="B736" t="s">
        <v>269</v>
      </c>
      <c r="C736" t="s">
        <v>8</v>
      </c>
      <c r="D736" t="s">
        <v>1326</v>
      </c>
      <c r="E736" t="s">
        <v>6611</v>
      </c>
      <c r="H736" t="inlineStr">
        <is>
          <t>SHEIKA WING WAITING AREA NW</t>
        </is>
      </c>
    </row>
    <row r="737" spans="1:8" hidden="1" outlineLevel="1" x14ac:dyDescent="0.3">
      <c r="A737" t="s">
        <v>1327</v>
      </c>
      <c r="B737" t="s">
        <v>269</v>
      </c>
      <c r="C737" t="s">
        <v>8</v>
      </c>
      <c r="D737" t="s">
        <v>1326</v>
      </c>
      <c r="E737" t="s">
        <v>6611</v>
      </c>
      <c r="H737" t="inlineStr">
        <is>
          <t>SHEIKA WING WAITING AREA 11.103</t>
        </is>
      </c>
    </row>
    <row r="738" spans="1:8" hidden="1" outlineLevel="1" x14ac:dyDescent="0.3">
      <c r="A738" t="s">
        <v>1328</v>
      </c>
      <c r="B738" t="s">
        <v>269</v>
      </c>
      <c r="C738" t="s">
        <v>8</v>
      </c>
      <c r="D738" t="s">
        <v>1329</v>
      </c>
      <c r="E738" t="s">
        <v>6612</v>
      </c>
      <c r="H738" t="inlineStr">
        <is>
          <t>SHEIKA WING LOBBY 11.201</t>
        </is>
      </c>
    </row>
    <row r="739" spans="1:5" hidden="1" outlineLevel="1" x14ac:dyDescent="0.3">
      <c r="A739" t="s">
        <v>1330</v>
      </c>
      <c r="B739" t="s">
        <v>269</v>
      </c>
      <c r="C739" t="s">
        <v>8</v>
      </c>
      <c r="D739" t="s">
        <v>1329</v>
      </c>
      <c r="E739" t="s">
        <v>6612</v>
      </c>
    </row>
    <row r="740" spans="1:8" hidden="1" outlineLevel="1" x14ac:dyDescent="0.3">
      <c r="A740" t="s">
        <v>1331</v>
      </c>
      <c r="B740" t="s">
        <v>269</v>
      </c>
      <c r="C740" t="s">
        <v>8</v>
      </c>
      <c r="D740" t="s">
        <v>1332</v>
      </c>
      <c r="E740" t="s">
        <v>6613</v>
      </c>
      <c r="H740" t="inlineStr">
        <is>
          <t>SHEIKHA WING SHEIKHA EN 11.208</t>
        </is>
      </c>
    </row>
    <row r="741" spans="1:5" hidden="1" outlineLevel="1" x14ac:dyDescent="0.3">
      <c r="A741" t="s">
        <v>1333</v>
      </c>
      <c r="B741" t="s">
        <v>269</v>
      </c>
      <c r="C741" t="s">
        <v>8</v>
      </c>
      <c r="D741" t="s">
        <v>1332</v>
      </c>
      <c r="E741" t="s">
        <v>6613</v>
      </c>
    </row>
    <row r="742" spans="1:5" hidden="1" outlineLevel="1" x14ac:dyDescent="0.3">
      <c r="A742" t="s">
        <v>1334</v>
      </c>
      <c r="B742" t="s">
        <v>269</v>
      </c>
      <c r="C742" t="s">
        <v>8</v>
      </c>
      <c r="D742" t="s">
        <v>1332</v>
      </c>
      <c r="E742" t="s">
        <v>6613</v>
      </c>
    </row>
    <row r="743" spans="1:5" hidden="1" outlineLevel="1" x14ac:dyDescent="0.3">
      <c r="A743" t="s">
        <v>1335</v>
      </c>
      <c r="B743" t="s">
        <v>269</v>
      </c>
      <c r="C743" t="s">
        <v>8</v>
      </c>
      <c r="D743" t="s">
        <v>1332</v>
      </c>
      <c r="E743" t="s">
        <v>6613</v>
      </c>
    </row>
    <row r="744" spans="1:5" hidden="1" outlineLevel="1" x14ac:dyDescent="0.3">
      <c r="A744" t="s">
        <v>1336</v>
      </c>
      <c r="B744" t="s">
        <v>269</v>
      </c>
      <c r="C744" t="s">
        <v>8</v>
      </c>
      <c r="D744" t="s">
        <v>1337</v>
      </c>
      <c r="E744" t="s">
        <v>6614</v>
      </c>
    </row>
    <row r="745" spans="1:5" hidden="1" outlineLevel="1" x14ac:dyDescent="0.3">
      <c r="A745" t="s">
        <v>1338</v>
      </c>
      <c r="B745" t="s">
        <v>269</v>
      </c>
      <c r="C745" t="s">
        <v>8</v>
      </c>
      <c r="D745" t="s">
        <v>1337</v>
      </c>
      <c r="E745" t="s">
        <v>6614</v>
      </c>
    </row>
    <row r="746" spans="1:5" hidden="1" outlineLevel="1" x14ac:dyDescent="0.3">
      <c r="A746" t="s">
        <v>1339</v>
      </c>
      <c r="B746" t="s">
        <v>269</v>
      </c>
      <c r="C746" t="s">
        <v>8</v>
      </c>
      <c r="D746" t="s">
        <v>1340</v>
      </c>
      <c r="E746" t="s">
        <v>6615</v>
      </c>
    </row>
    <row r="747" spans="1:5" hidden="1" outlineLevel="1" x14ac:dyDescent="0.3">
      <c r="A747" t="s">
        <v>1341</v>
      </c>
      <c r="B747" t="s">
        <v>269</v>
      </c>
      <c r="C747" t="s">
        <v>8</v>
      </c>
      <c r="D747" t="s">
        <v>1340</v>
      </c>
      <c r="E747" t="s">
        <v>6615</v>
      </c>
    </row>
    <row r="748" spans="1:8" hidden="1" outlineLevel="1" x14ac:dyDescent="0.3">
      <c r="A748" t="s">
        <v>1342</v>
      </c>
      <c r="B748" t="s">
        <v>269</v>
      </c>
      <c r="C748" t="s">
        <v>8</v>
      </c>
      <c r="D748" t="s">
        <v>1343</v>
      </c>
      <c r="E748" t="s">
        <v>8232</v>
      </c>
      <c r="H748" t="inlineStr">
        <is>
          <t>LEVEL / VISITOR CENTER 09</t>
        </is>
      </c>
    </row>
    <row r="749" spans="1:5" hidden="1" outlineLevel="1" x14ac:dyDescent="0.3">
      <c r="A749" t="s">
        <v>1344</v>
      </c>
      <c r="B749" t="s">
        <v>269</v>
      </c>
      <c r="C749" t="s">
        <v>8</v>
      </c>
      <c r="D749" t="s">
        <v>1343</v>
      </c>
      <c r="E749" t="s">
        <v>8232</v>
      </c>
    </row>
    <row r="750" spans="1:5" hidden="1" outlineLevel="1" x14ac:dyDescent="0.3">
      <c r="A750" t="s">
        <v>1345</v>
      </c>
      <c r="B750" t="s">
        <v>269</v>
      </c>
      <c r="C750" t="s">
        <v>8</v>
      </c>
      <c r="D750" t="s">
        <v>1343</v>
      </c>
      <c r="E750" t="s">
        <v>8232</v>
      </c>
    </row>
    <row r="751" spans="1:8" hidden="1" outlineLevel="1" x14ac:dyDescent="0.3">
      <c r="A751" t="s">
        <v>1346</v>
      </c>
      <c r="B751" t="s">
        <v>269</v>
      </c>
      <c r="C751" t="s">
        <v>10</v>
      </c>
      <c r="D751" t="s">
        <v>1347</v>
      </c>
      <c r="E751" t="s">
        <v>6616</v>
      </c>
      <c r="H751" t="inlineStr">
        <is>
          <t>FEMALE BREAK ROOM B.109</t>
        </is>
      </c>
    </row>
    <row r="752" spans="1:8" hidden="1" outlineLevel="1" x14ac:dyDescent="0.3">
      <c r="A752" t="s">
        <v>1348</v>
      </c>
      <c r="B752" t="s">
        <v>269</v>
      </c>
      <c r="C752" t="s">
        <v>10</v>
      </c>
      <c r="D752" t="s">
        <v>1349</v>
      </c>
      <c r="E752" t="s">
        <v>8233</v>
      </c>
      <c r="H752" t="inlineStr">
        <is>
          <t>SHELL SPACE B 04.015B</t>
        </is>
      </c>
    </row>
    <row r="753" spans="1:8" hidden="1" outlineLevel="1" x14ac:dyDescent="0.3">
      <c r="A753" t="s">
        <v>1350</v>
      </c>
      <c r="B753" t="s">
        <v>269</v>
      </c>
      <c r="C753" t="s">
        <v>10</v>
      </c>
      <c r="D753" t="s">
        <v>1351</v>
      </c>
      <c r="E753" t="s">
        <v>8234</v>
      </c>
      <c r="H753" t="inlineStr">
        <is>
          <t>SHELL SPACE A 04.001A</t>
        </is>
      </c>
    </row>
    <row r="754" spans="1:8" hidden="1" outlineLevel="1" x14ac:dyDescent="0.3">
      <c r="A754" t="s">
        <v>1352</v>
      </c>
      <c r="B754" t="s">
        <v>269</v>
      </c>
      <c r="C754" t="s">
        <v>10</v>
      </c>
      <c r="D754" t="s">
        <v>1353</v>
      </c>
      <c r="E754" t="s">
        <v>8235</v>
      </c>
      <c r="H754" t="inlineStr">
        <is>
          <t>SHELL SPACE E 04.001E</t>
        </is>
      </c>
    </row>
    <row r="755" spans="1:8" hidden="1" outlineLevel="1" x14ac:dyDescent="0.3">
      <c r="A755" t="s">
        <v>1354</v>
      </c>
      <c r="B755" t="s">
        <v>269</v>
      </c>
      <c r="C755" t="s">
        <v>10</v>
      </c>
      <c r="D755" t="s">
        <v>1355</v>
      </c>
      <c r="E755" t="s">
        <v>8236</v>
      </c>
      <c r="H755" t="inlineStr">
        <is>
          <t>SHELL SPACE C 04.001C</t>
        </is>
      </c>
    </row>
    <row r="756" spans="1:8" hidden="1" outlineLevel="1" x14ac:dyDescent="0.3">
      <c r="A756" t="s">
        <v>1356</v>
      </c>
      <c r="B756" t="s">
        <v>269</v>
      </c>
      <c r="C756" t="s">
        <v>10</v>
      </c>
      <c r="D756" t="s">
        <v>1357</v>
      </c>
      <c r="E756" t="s">
        <v>8237</v>
      </c>
      <c r="H756" t="inlineStr">
        <is>
          <t>SHELL SPACE H 04.001H</t>
        </is>
      </c>
    </row>
    <row r="757" spans="1:8" hidden="1" outlineLevel="1" x14ac:dyDescent="0.3">
      <c r="A757" t="s">
        <v>1358</v>
      </c>
      <c r="B757" t="s">
        <v>269</v>
      </c>
      <c r="C757" t="s">
        <v>10</v>
      </c>
      <c r="D757" t="s">
        <v>1359</v>
      </c>
      <c r="E757" t="s">
        <v>6617</v>
      </c>
      <c r="H757" t="inlineStr">
        <is>
          <t>SHELL SPACE D 10.002B</t>
        </is>
      </c>
    </row>
    <row r="758" spans="1:8" hidden="1" outlineLevel="1" x14ac:dyDescent="0.3">
      <c r="A758" t="s">
        <v>1360</v>
      </c>
      <c r="B758" t="s">
        <v>269</v>
      </c>
      <c r="C758" t="s">
        <v>10</v>
      </c>
      <c r="D758" t="s">
        <v>1361</v>
      </c>
      <c r="E758" t="s">
        <v>6618</v>
      </c>
      <c r="H758" t="inlineStr">
        <is>
          <t>EXECDIRCONSULTANT 11.007</t>
        </is>
      </c>
    </row>
    <row r="759" spans="1:8" hidden="1" outlineLevel="1" x14ac:dyDescent="0.3">
      <c r="A759" t="s">
        <v>1362</v>
      </c>
      <c r="B759" t="s">
        <v>269</v>
      </c>
      <c r="C759" t="s">
        <v>8</v>
      </c>
      <c r="D759" t="s">
        <v>6046</v>
      </c>
      <c r="E759" t="s">
        <v>6619</v>
      </c>
      <c r="H759" t="inlineStr">
        <is>
          <t>SHEIKA WING CORRIDOR NE</t>
        </is>
      </c>
    </row>
    <row r="760" spans="1:8" hidden="1" outlineLevel="1" x14ac:dyDescent="0.3">
      <c r="A760" t="s">
        <v>1363</v>
      </c>
      <c r="B760" t="s">
        <v>269</v>
      </c>
      <c r="C760" t="s">
        <v>8</v>
      </c>
      <c r="D760" t="s">
        <v>6046</v>
      </c>
      <c r="E760" t="s">
        <v>6619</v>
      </c>
      <c r="H760" t="inlineStr">
        <is>
          <t>CORRIDOR SW</t>
        </is>
      </c>
    </row>
    <row r="761" spans="1:5" hidden="1" outlineLevel="1" x14ac:dyDescent="0.3">
      <c r="A761" t="s">
        <v>1364</v>
      </c>
      <c r="B761" t="s">
        <v>269</v>
      </c>
      <c r="C761" t="s">
        <v>8</v>
      </c>
      <c r="D761" t="s">
        <v>1365</v>
      </c>
      <c r="E761" t="s">
        <v>6620</v>
      </c>
    </row>
    <row r="762" spans="1:5" hidden="1" outlineLevel="1" x14ac:dyDescent="0.3">
      <c r="A762" t="s">
        <v>1366</v>
      </c>
      <c r="B762" t="s">
        <v>269</v>
      </c>
      <c r="C762" t="s">
        <v>8</v>
      </c>
      <c r="D762" t="s">
        <v>1365</v>
      </c>
      <c r="E762" t="s">
        <v>6620</v>
      </c>
    </row>
    <row r="763" spans="1:5" hidden="1" outlineLevel="1" x14ac:dyDescent="0.3">
      <c r="A763" t="s">
        <v>1367</v>
      </c>
      <c r="B763" t="s">
        <v>269</v>
      </c>
      <c r="C763" t="s">
        <v>10</v>
      </c>
      <c r="D763" t="s">
        <v>1368</v>
      </c>
      <c r="E763" t="s">
        <v>6621</v>
      </c>
    </row>
    <row r="764" spans="1:5" hidden="1" outlineLevel="1" x14ac:dyDescent="0.3">
      <c r="A764" t="s">
        <v>1369</v>
      </c>
      <c r="B764" t="s">
        <v>269</v>
      </c>
      <c r="C764" t="s">
        <v>8</v>
      </c>
      <c r="D764" t="s">
        <v>1370</v>
      </c>
      <c r="E764" t="s">
        <v>6622</v>
      </c>
    </row>
    <row r="765" spans="1:8" hidden="1" outlineLevel="1" x14ac:dyDescent="0.3">
      <c r="A765" t="s">
        <v>1371</v>
      </c>
      <c r="B765" t="s">
        <v>269</v>
      </c>
      <c r="C765" t="s">
        <v>8</v>
      </c>
      <c r="D765" t="s">
        <v>1372</v>
      </c>
      <c r="E765" t="s">
        <v>6623</v>
      </c>
      <c r="H765" t="inlineStr">
        <is>
          <t>SHEIKA WING LOBBY 11.201</t>
        </is>
      </c>
    </row>
    <row r="766" spans="1:5" hidden="1" outlineLevel="1" x14ac:dyDescent="0.3">
      <c r="A766" t="s">
        <v>1373</v>
      </c>
      <c r="B766" t="s">
        <v>269</v>
      </c>
      <c r="C766" t="s">
        <v>8</v>
      </c>
      <c r="D766" t="s">
        <v>1372</v>
      </c>
      <c r="E766" t="s">
        <v>6623</v>
      </c>
    </row>
    <row r="767" spans="1:8" hidden="1" outlineLevel="1" x14ac:dyDescent="0.3">
      <c r="A767" t="s">
        <v>1374</v>
      </c>
      <c r="B767" t="s">
        <v>269</v>
      </c>
      <c r="C767" t="s">
        <v>8</v>
      </c>
      <c r="D767" t="s">
        <v>16</v>
      </c>
      <c r="E767" t="s">
        <v>6624</v>
      </c>
      <c r="H767" t="inlineStr">
        <is>
          <t>SHEIKHA WING SHEIKHA EN 11.208</t>
        </is>
      </c>
    </row>
    <row r="768" spans="1:5" hidden="1" outlineLevel="1" x14ac:dyDescent="0.3">
      <c r="A768" t="s">
        <v>1375</v>
      </c>
      <c r="B768" t="s">
        <v>269</v>
      </c>
      <c r="C768" t="s">
        <v>8</v>
      </c>
      <c r="D768" t="s">
        <v>16</v>
      </c>
      <c r="E768" t="s">
        <v>6624</v>
      </c>
    </row>
    <row r="769" spans="1:5" hidden="1" outlineLevel="1" x14ac:dyDescent="0.3">
      <c r="A769" t="s">
        <v>1376</v>
      </c>
      <c r="B769" t="s">
        <v>269</v>
      </c>
      <c r="C769" t="s">
        <v>8</v>
      </c>
      <c r="D769" t="s">
        <v>16</v>
      </c>
      <c r="E769" t="s">
        <v>6624</v>
      </c>
    </row>
    <row r="770" spans="1:5" hidden="1" outlineLevel="1" x14ac:dyDescent="0.3">
      <c r="A770" t="s">
        <v>1377</v>
      </c>
      <c r="B770" t="s">
        <v>269</v>
      </c>
      <c r="C770" t="s">
        <v>8</v>
      </c>
      <c r="D770" t="s">
        <v>16</v>
      </c>
      <c r="E770" t="s">
        <v>6624</v>
      </c>
    </row>
    <row r="771" spans="1:8" hidden="1" outlineLevel="1" x14ac:dyDescent="0.3">
      <c r="A771" t="s">
        <v>1378</v>
      </c>
      <c r="B771" t="s">
        <v>269</v>
      </c>
      <c r="C771" t="s">
        <v>8</v>
      </c>
      <c r="D771" t="s">
        <v>1379</v>
      </c>
      <c r="E771" t="s">
        <v>6625</v>
      </c>
      <c r="H771" t="inlineStr">
        <is>
          <t>SHEIKHA WING RELAX AREA 11.203</t>
        </is>
      </c>
    </row>
    <row r="772" spans="1:5" hidden="1" outlineLevel="1" x14ac:dyDescent="0.3">
      <c r="A772" t="s">
        <v>1380</v>
      </c>
      <c r="B772" t="s">
        <v>269</v>
      </c>
      <c r="C772" t="s">
        <v>8</v>
      </c>
      <c r="D772" t="s">
        <v>1379</v>
      </c>
      <c r="E772" t="s">
        <v>6625</v>
      </c>
    </row>
    <row r="773" spans="1:8" hidden="1" outlineLevel="1" x14ac:dyDescent="0.3">
      <c r="A773" t="s">
        <v>1381</v>
      </c>
      <c r="B773" t="s">
        <v>269</v>
      </c>
      <c r="C773" t="s">
        <v>8</v>
      </c>
      <c r="D773" t="s">
        <v>1382</v>
      </c>
      <c r="E773" t="s">
        <v>6626</v>
      </c>
      <c r="H773" t="inlineStr">
        <is>
          <t>SHEIKHA WING MEETING RM 11.204</t>
        </is>
      </c>
    </row>
    <row r="774" spans="1:5" hidden="1" outlineLevel="1" x14ac:dyDescent="0.3">
      <c r="A774" t="s">
        <v>1383</v>
      </c>
      <c r="B774" t="s">
        <v>269</v>
      </c>
      <c r="C774" t="s">
        <v>8</v>
      </c>
      <c r="D774" t="s">
        <v>1382</v>
      </c>
      <c r="E774" t="s">
        <v>6626</v>
      </c>
    </row>
    <row r="775" spans="1:8" hidden="1" outlineLevel="1" x14ac:dyDescent="0.3">
      <c r="A775" t="s">
        <v>1384</v>
      </c>
      <c r="B775" t="s">
        <v>269</v>
      </c>
      <c r="C775" t="s">
        <v>8</v>
      </c>
      <c r="D775" s="15" t="s">
        <v>14</v>
      </c>
      <c r="E775" t="s">
        <v>6627</v>
      </c>
      <c r="H775" t="inlineStr">
        <is>
          <t>LEVEL / VISITOR CENTER 09</t>
        </is>
      </c>
    </row>
    <row r="776" spans="1:5" hidden="1" outlineLevel="1" x14ac:dyDescent="0.3">
      <c r="A776" t="s">
        <v>1385</v>
      </c>
      <c r="B776" t="s">
        <v>269</v>
      </c>
      <c r="C776" t="s">
        <v>8</v>
      </c>
      <c r="D776" t="s">
        <v>20</v>
      </c>
      <c r="E776" t="s">
        <v>6628</v>
      </c>
    </row>
    <row r="777" spans="1:8" hidden="1" outlineLevel="1" x14ac:dyDescent="0.3">
      <c r="A777" t="s">
        <v>1386</v>
      </c>
      <c r="B777" t="s">
        <v>269</v>
      </c>
      <c r="C777" t="s">
        <v>8</v>
      </c>
      <c r="D777" t="s">
        <v>20</v>
      </c>
      <c r="E777" t="s">
        <v>6628</v>
      </c>
      <c r="H777" t="inlineStr">
        <is>
          <t>TOILET 08</t>
        </is>
      </c>
    </row>
    <row r="778" spans="1:5" collapsed="1" x14ac:dyDescent="0.3">
      <c r="A778" s="31" t="s">
        <v>1387</v>
      </c>
      <c r="B778" s="30"/>
      <c r="C778" s="30"/>
      <c r="D778" s="30"/>
    </row>
    <row r="779" spans="1:5" outlineLevel="1" x14ac:dyDescent="0.3">
      <c r="A779" t="s">
        <v>1388</v>
      </c>
      <c r="B779" t="s">
        <v>7</v>
      </c>
      <c r="C779" s="15" t="s">
        <v>8</v>
      </c>
      <c r="D779" t="s">
        <v>1389</v>
      </c>
      <c r="E779" t="s">
        <v>8792</v>
      </c>
    </row>
    <row r="780" spans="1:5" outlineLevel="1" x14ac:dyDescent="0.3">
      <c r="A780" t="s">
        <v>1390</v>
      </c>
      <c r="B780" t="s">
        <v>7</v>
      </c>
      <c r="C780" s="15" t="s">
        <v>8</v>
      </c>
      <c r="D780" t="s">
        <v>1391</v>
      </c>
      <c r="E780" t="s">
        <v>8605</v>
      </c>
    </row>
    <row r="781" spans="1:5" outlineLevel="1" x14ac:dyDescent="0.3">
      <c r="A781" t="s">
        <v>1392</v>
      </c>
      <c r="B781" t="s">
        <v>7</v>
      </c>
      <c r="C781" s="15" t="s">
        <v>8</v>
      </c>
      <c r="D781" t="s">
        <v>1393</v>
      </c>
      <c r="E781" t="s">
        <v>8613</v>
      </c>
    </row>
    <row r="782" spans="1:5" outlineLevel="1" x14ac:dyDescent="0.3">
      <c r="A782" t="s">
        <v>1394</v>
      </c>
      <c r="B782" t="s">
        <v>7</v>
      </c>
      <c r="C782" s="15" t="s">
        <v>8</v>
      </c>
      <c r="D782" t="s">
        <v>1395</v>
      </c>
      <c r="E782" t="s">
        <v>8684</v>
      </c>
    </row>
    <row r="783" spans="1:5" outlineLevel="1" x14ac:dyDescent="0.3">
      <c r="A783" t="s">
        <v>1396</v>
      </c>
      <c r="B783" t="s">
        <v>7</v>
      </c>
      <c r="C783" s="15" t="s">
        <v>8</v>
      </c>
      <c r="D783" t="s">
        <v>1389</v>
      </c>
      <c r="E783" t="s">
        <v>8792</v>
      </c>
    </row>
    <row r="784" spans="1:5" outlineLevel="1" x14ac:dyDescent="0.3">
      <c r="A784" t="s">
        <v>1397</v>
      </c>
      <c r="B784" t="s">
        <v>7</v>
      </c>
      <c r="C784" s="15" t="s">
        <v>8</v>
      </c>
      <c r="D784" t="s">
        <v>1389</v>
      </c>
      <c r="E784" t="s">
        <v>8792</v>
      </c>
    </row>
    <row r="785" spans="1:5" outlineLevel="1" x14ac:dyDescent="0.3">
      <c r="A785" t="s">
        <v>1398</v>
      </c>
      <c r="B785" t="s">
        <v>7</v>
      </c>
      <c r="C785" s="15" t="s">
        <v>8</v>
      </c>
      <c r="D785" t="s">
        <v>1389</v>
      </c>
      <c r="E785" t="s">
        <v>8792</v>
      </c>
    </row>
    <row r="786" spans="1:5" outlineLevel="1" x14ac:dyDescent="0.3">
      <c r="A786" t="s">
        <v>1399</v>
      </c>
      <c r="B786" t="s">
        <v>7</v>
      </c>
      <c r="C786" s="15" t="s">
        <v>8</v>
      </c>
      <c r="D786" t="s">
        <v>1389</v>
      </c>
      <c r="E786" t="s">
        <v>8792</v>
      </c>
    </row>
    <row r="787" spans="1:5" outlineLevel="1" x14ac:dyDescent="0.3">
      <c r="A787" t="s">
        <v>1400</v>
      </c>
      <c r="B787" t="s">
        <v>7</v>
      </c>
      <c r="C787" s="15" t="s">
        <v>8</v>
      </c>
      <c r="D787" t="s">
        <v>1395</v>
      </c>
      <c r="E787" t="s">
        <v>8684</v>
      </c>
    </row>
    <row r="788" spans="1:5" outlineLevel="1" x14ac:dyDescent="0.3">
      <c r="A788" t="s">
        <v>1401</v>
      </c>
      <c r="B788" t="s">
        <v>7</v>
      </c>
      <c r="C788" s="15" t="s">
        <v>8</v>
      </c>
      <c r="D788" t="s">
        <v>1393</v>
      </c>
      <c r="E788" t="s">
        <v>8613</v>
      </c>
    </row>
    <row r="789" spans="1:5" outlineLevel="1" x14ac:dyDescent="0.3">
      <c r="A789" t="s">
        <v>1402</v>
      </c>
      <c r="B789" t="s">
        <v>7</v>
      </c>
      <c r="C789" s="15" t="s">
        <v>8</v>
      </c>
      <c r="D789" t="s">
        <v>1391</v>
      </c>
      <c r="E789" t="s">
        <v>8605</v>
      </c>
    </row>
    <row r="790" spans="1:5" outlineLevel="1" x14ac:dyDescent="0.3">
      <c r="A790" t="s">
        <v>1403</v>
      </c>
      <c r="B790" t="s">
        <v>7</v>
      </c>
      <c r="C790" s="15" t="s">
        <v>8</v>
      </c>
      <c r="D790" t="s">
        <v>1391</v>
      </c>
      <c r="E790" t="s">
        <v>8605</v>
      </c>
    </row>
    <row r="791" spans="1:5" outlineLevel="1" x14ac:dyDescent="0.3">
      <c r="A791" t="s">
        <v>1404</v>
      </c>
      <c r="B791" t="s">
        <v>7</v>
      </c>
      <c r="C791" s="15" t="s">
        <v>8</v>
      </c>
      <c r="D791" t="s">
        <v>1393</v>
      </c>
      <c r="E791" t="s">
        <v>8613</v>
      </c>
    </row>
    <row r="792" spans="1:5" outlineLevel="1" x14ac:dyDescent="0.3">
      <c r="A792" t="s">
        <v>1405</v>
      </c>
      <c r="B792" t="s">
        <v>7</v>
      </c>
      <c r="C792" s="15" t="s">
        <v>8</v>
      </c>
      <c r="D792" t="s">
        <v>1395</v>
      </c>
      <c r="E792" t="s">
        <v>8684</v>
      </c>
    </row>
    <row r="793" spans="1:5" outlineLevel="1" x14ac:dyDescent="0.3">
      <c r="A793" t="s">
        <v>1406</v>
      </c>
      <c r="B793" t="s">
        <v>7</v>
      </c>
      <c r="C793" s="15" t="s">
        <v>8</v>
      </c>
      <c r="D793" t="s">
        <v>1395</v>
      </c>
      <c r="E793" t="s">
        <v>8684</v>
      </c>
    </row>
    <row r="794" spans="1:5" outlineLevel="1" x14ac:dyDescent="0.3">
      <c r="A794" t="s">
        <v>1407</v>
      </c>
      <c r="B794" t="s">
        <v>48</v>
      </c>
      <c r="C794" s="15" t="s">
        <v>8</v>
      </c>
      <c r="D794" s="15" t="s">
        <v>9188</v>
      </c>
      <c r="E794" t="s">
        <v>9121</v>
      </c>
    </row>
    <row r="795" spans="1:5" outlineLevel="1" x14ac:dyDescent="0.3">
      <c r="A795" t="s">
        <v>1408</v>
      </c>
      <c r="B795" t="s">
        <v>48</v>
      </c>
      <c r="C795" s="15" t="s">
        <v>10</v>
      </c>
      <c r="D795" s="15" t="s">
        <v>1409</v>
      </c>
      <c r="E795" t="s">
        <v>8892</v>
      </c>
    </row>
    <row r="796" spans="1:5" outlineLevel="1" x14ac:dyDescent="0.3">
      <c r="A796" t="s">
        <v>1410</v>
      </c>
      <c r="B796" t="s">
        <v>48</v>
      </c>
      <c r="C796" s="15" t="s">
        <v>8</v>
      </c>
      <c r="D796" s="15" t="s">
        <v>1411</v>
      </c>
      <c r="E796" t="s">
        <v>8984</v>
      </c>
    </row>
    <row r="797" spans="1:5" outlineLevel="1" x14ac:dyDescent="0.3">
      <c r="A797" t="s">
        <v>1412</v>
      </c>
      <c r="B797" t="s">
        <v>48</v>
      </c>
      <c r="C797" s="15" t="s">
        <v>10</v>
      </c>
      <c r="D797" s="15" t="s">
        <v>9209</v>
      </c>
      <c r="E797" t="s">
        <v>9219</v>
      </c>
    </row>
    <row r="798" spans="1:5" outlineLevel="1" x14ac:dyDescent="0.3">
      <c r="A798" t="s">
        <v>1413</v>
      </c>
      <c r="B798" t="s">
        <v>48</v>
      </c>
      <c r="C798" s="15" t="s">
        <v>10</v>
      </c>
      <c r="D798" s="15" t="s">
        <v>9209</v>
      </c>
      <c r="E798" t="s">
        <v>9219</v>
      </c>
    </row>
    <row r="799" spans="1:5" outlineLevel="1" x14ac:dyDescent="0.3">
      <c r="A799" t="s">
        <v>1414</v>
      </c>
      <c r="B799" t="s">
        <v>48</v>
      </c>
      <c r="C799" s="15" t="s">
        <v>10</v>
      </c>
      <c r="D799" s="15" t="s">
        <v>9209</v>
      </c>
      <c r="E799" t="s">
        <v>9219</v>
      </c>
    </row>
    <row r="800" spans="1:5" outlineLevel="1" x14ac:dyDescent="0.3">
      <c r="A800" t="s">
        <v>1415</v>
      </c>
      <c r="B800" t="s">
        <v>48</v>
      </c>
      <c r="C800" s="15" t="s">
        <v>10</v>
      </c>
      <c r="D800" s="15" t="s">
        <v>9209</v>
      </c>
      <c r="E800" t="s">
        <v>9219</v>
      </c>
    </row>
    <row r="801" spans="1:5" outlineLevel="1" x14ac:dyDescent="0.3">
      <c r="A801" t="s">
        <v>1416</v>
      </c>
      <c r="B801" t="s">
        <v>48</v>
      </c>
      <c r="C801" s="15" t="s">
        <v>10</v>
      </c>
      <c r="D801" s="15" t="s">
        <v>9209</v>
      </c>
      <c r="E801" t="s">
        <v>9219</v>
      </c>
    </row>
    <row r="802" spans="1:5" outlineLevel="1" x14ac:dyDescent="0.3">
      <c r="A802" t="s">
        <v>1417</v>
      </c>
      <c r="B802" t="s">
        <v>48</v>
      </c>
      <c r="C802" s="15" t="s">
        <v>10</v>
      </c>
      <c r="D802" s="15" t="s">
        <v>9210</v>
      </c>
      <c r="E802" t="s">
        <v>9220</v>
      </c>
    </row>
    <row r="803" spans="1:5" outlineLevel="1" x14ac:dyDescent="0.3">
      <c r="A803" t="s">
        <v>1418</v>
      </c>
      <c r="B803" t="s">
        <v>48</v>
      </c>
      <c r="C803" s="15" t="s">
        <v>10</v>
      </c>
      <c r="D803" s="15" t="s">
        <v>9210</v>
      </c>
      <c r="E803" t="s">
        <v>9220</v>
      </c>
    </row>
    <row r="804" spans="1:5" outlineLevel="1" x14ac:dyDescent="0.3">
      <c r="A804" t="s">
        <v>1419</v>
      </c>
      <c r="B804" t="s">
        <v>48</v>
      </c>
      <c r="C804" s="15" t="s">
        <v>10</v>
      </c>
      <c r="D804" s="15" t="s">
        <v>9210</v>
      </c>
      <c r="E804" t="s">
        <v>9220</v>
      </c>
    </row>
    <row r="805" spans="1:5" outlineLevel="1" x14ac:dyDescent="0.3">
      <c r="A805" t="s">
        <v>1420</v>
      </c>
      <c r="B805" t="s">
        <v>48</v>
      </c>
      <c r="C805" s="15" t="s">
        <v>10</v>
      </c>
      <c r="D805" s="15" t="s">
        <v>9210</v>
      </c>
      <c r="E805" t="s">
        <v>9220</v>
      </c>
    </row>
    <row r="806" spans="1:5" outlineLevel="1" x14ac:dyDescent="0.3">
      <c r="A806" t="s">
        <v>1421</v>
      </c>
      <c r="B806" t="s">
        <v>48</v>
      </c>
      <c r="C806" s="15" t="s">
        <v>10</v>
      </c>
      <c r="D806" s="15" t="s">
        <v>9209</v>
      </c>
      <c r="E806" t="s">
        <v>9219</v>
      </c>
    </row>
    <row r="807" spans="1:5" outlineLevel="1" x14ac:dyDescent="0.3">
      <c r="A807" t="s">
        <v>1422</v>
      </c>
      <c r="B807" t="s">
        <v>48</v>
      </c>
      <c r="C807" s="15" t="s">
        <v>10</v>
      </c>
      <c r="D807" s="15" t="s">
        <v>9211</v>
      </c>
      <c r="E807" t="s">
        <v>9221</v>
      </c>
    </row>
    <row r="808" spans="1:5" outlineLevel="1" x14ac:dyDescent="0.3">
      <c r="A808" t="s">
        <v>1423</v>
      </c>
      <c r="B808" t="s">
        <v>48</v>
      </c>
      <c r="C808" s="15" t="s">
        <v>10</v>
      </c>
      <c r="D808" s="15" t="s">
        <v>9209</v>
      </c>
      <c r="E808" t="s">
        <v>9219</v>
      </c>
    </row>
    <row r="809" spans="1:5" outlineLevel="1" x14ac:dyDescent="0.3">
      <c r="A809" t="s">
        <v>1424</v>
      </c>
      <c r="B809" t="s">
        <v>48</v>
      </c>
      <c r="C809" s="15" t="s">
        <v>10</v>
      </c>
      <c r="D809" s="15" t="s">
        <v>9212</v>
      </c>
      <c r="E809" t="s">
        <v>9222</v>
      </c>
    </row>
    <row r="810" spans="1:5" outlineLevel="1" x14ac:dyDescent="0.3">
      <c r="A810" t="s">
        <v>1425</v>
      </c>
      <c r="B810" t="s">
        <v>48</v>
      </c>
      <c r="C810" s="15" t="s">
        <v>10</v>
      </c>
      <c r="D810" s="15" t="s">
        <v>9213</v>
      </c>
      <c r="E810" t="s">
        <v>9221</v>
      </c>
    </row>
    <row r="811" spans="1:5" outlineLevel="1" x14ac:dyDescent="0.3">
      <c r="A811" t="s">
        <v>1426</v>
      </c>
      <c r="B811" t="s">
        <v>48</v>
      </c>
      <c r="C811" s="15" t="s">
        <v>10</v>
      </c>
      <c r="D811" s="15" t="s">
        <v>9213</v>
      </c>
      <c r="E811" t="s">
        <v>9221</v>
      </c>
    </row>
    <row r="812" spans="1:5" outlineLevel="1" x14ac:dyDescent="0.3">
      <c r="A812" t="s">
        <v>1427</v>
      </c>
      <c r="B812" t="s">
        <v>48</v>
      </c>
      <c r="C812" s="15" t="s">
        <v>10</v>
      </c>
      <c r="D812" s="15" t="s">
        <v>9210</v>
      </c>
      <c r="E812" t="s">
        <v>9220</v>
      </c>
    </row>
    <row r="813" spans="1:5" outlineLevel="1" x14ac:dyDescent="0.3">
      <c r="A813" t="s">
        <v>1428</v>
      </c>
      <c r="B813" t="s">
        <v>48</v>
      </c>
      <c r="C813" s="15" t="s">
        <v>10</v>
      </c>
      <c r="D813" s="15" t="s">
        <v>9214</v>
      </c>
      <c r="E813" t="s">
        <v>9223</v>
      </c>
    </row>
    <row r="814" spans="1:5" outlineLevel="1" x14ac:dyDescent="0.3">
      <c r="A814" t="s">
        <v>1429</v>
      </c>
      <c r="B814" t="s">
        <v>48</v>
      </c>
      <c r="C814" s="15" t="s">
        <v>10</v>
      </c>
      <c r="D814" s="15" t="s">
        <v>9210</v>
      </c>
      <c r="E814" t="s">
        <v>9220</v>
      </c>
    </row>
    <row r="815" spans="1:5" outlineLevel="1" x14ac:dyDescent="0.3">
      <c r="A815" t="s">
        <v>1430</v>
      </c>
      <c r="B815" t="s">
        <v>48</v>
      </c>
      <c r="C815" s="15" t="s">
        <v>10</v>
      </c>
      <c r="D815" s="15" t="s">
        <v>9214</v>
      </c>
      <c r="E815" t="s">
        <v>9223</v>
      </c>
    </row>
    <row r="816" spans="1:5" outlineLevel="1" x14ac:dyDescent="0.3">
      <c r="A816" t="s">
        <v>1431</v>
      </c>
      <c r="B816" t="s">
        <v>48</v>
      </c>
      <c r="C816" s="15" t="s">
        <v>10</v>
      </c>
      <c r="D816" s="15" t="s">
        <v>9214</v>
      </c>
      <c r="E816" t="s">
        <v>9223</v>
      </c>
    </row>
    <row r="817" spans="1:5" outlineLevel="1" x14ac:dyDescent="0.3">
      <c r="A817" t="s">
        <v>1432</v>
      </c>
      <c r="B817" t="s">
        <v>48</v>
      </c>
      <c r="C817" s="15" t="s">
        <v>10</v>
      </c>
      <c r="D817" s="15" t="s">
        <v>9214</v>
      </c>
      <c r="E817" t="s">
        <v>9223</v>
      </c>
    </row>
    <row r="818" spans="1:5" outlineLevel="1" x14ac:dyDescent="0.3">
      <c r="A818" t="s">
        <v>1433</v>
      </c>
      <c r="B818" t="s">
        <v>48</v>
      </c>
      <c r="C818" s="15" t="s">
        <v>10</v>
      </c>
      <c r="D818" s="15" t="s">
        <v>9215</v>
      </c>
      <c r="E818" t="s">
        <v>9224</v>
      </c>
    </row>
    <row r="819" spans="1:5" outlineLevel="1" x14ac:dyDescent="0.3">
      <c r="A819" t="s">
        <v>1434</v>
      </c>
      <c r="B819" t="s">
        <v>48</v>
      </c>
      <c r="C819" s="15" t="s">
        <v>10</v>
      </c>
      <c r="D819" s="15" t="s">
        <v>9211</v>
      </c>
      <c r="E819" t="s">
        <v>9221</v>
      </c>
    </row>
    <row r="820" spans="1:5" outlineLevel="1" x14ac:dyDescent="0.3">
      <c r="A820" t="s">
        <v>1435</v>
      </c>
      <c r="B820" t="s">
        <v>48</v>
      </c>
      <c r="C820" s="15" t="s">
        <v>10</v>
      </c>
      <c r="D820" s="15" t="s">
        <v>9215</v>
      </c>
      <c r="E820" t="s">
        <v>9224</v>
      </c>
    </row>
    <row r="821" spans="1:5" outlineLevel="1" x14ac:dyDescent="0.3">
      <c r="A821" t="s">
        <v>1436</v>
      </c>
      <c r="B821" t="s">
        <v>48</v>
      </c>
      <c r="C821" s="15" t="s">
        <v>10</v>
      </c>
      <c r="D821" s="15" t="s">
        <v>9211</v>
      </c>
      <c r="E821" t="s">
        <v>9221</v>
      </c>
    </row>
    <row r="822" spans="1:5" outlineLevel="1" x14ac:dyDescent="0.3">
      <c r="A822" t="s">
        <v>1437</v>
      </c>
      <c r="B822" t="s">
        <v>48</v>
      </c>
      <c r="C822" s="15" t="s">
        <v>10</v>
      </c>
      <c r="D822" s="15" t="s">
        <v>9215</v>
      </c>
      <c r="E822" t="s">
        <v>9224</v>
      </c>
    </row>
    <row r="823" spans="1:5" outlineLevel="1" x14ac:dyDescent="0.3">
      <c r="A823" t="s">
        <v>1438</v>
      </c>
      <c r="B823" t="s">
        <v>48</v>
      </c>
      <c r="C823" s="15" t="s">
        <v>10</v>
      </c>
      <c r="D823" s="15" t="s">
        <v>9215</v>
      </c>
      <c r="E823" t="s">
        <v>9224</v>
      </c>
    </row>
    <row r="824" spans="1:5" outlineLevel="1" x14ac:dyDescent="0.3">
      <c r="A824" t="s">
        <v>1439</v>
      </c>
      <c r="B824" t="s">
        <v>48</v>
      </c>
      <c r="C824" s="15" t="s">
        <v>10</v>
      </c>
      <c r="D824" s="15" t="s">
        <v>9216</v>
      </c>
      <c r="E824" t="s">
        <v>9225</v>
      </c>
    </row>
    <row r="825" spans="1:5" outlineLevel="1" x14ac:dyDescent="0.3">
      <c r="A825" t="s">
        <v>1440</v>
      </c>
      <c r="B825" t="s">
        <v>48</v>
      </c>
      <c r="C825" s="15" t="s">
        <v>10</v>
      </c>
      <c r="D825" s="15" t="s">
        <v>9216</v>
      </c>
      <c r="E825" t="s">
        <v>9225</v>
      </c>
    </row>
    <row r="826" spans="1:5" outlineLevel="1" x14ac:dyDescent="0.3">
      <c r="A826" t="s">
        <v>1441</v>
      </c>
      <c r="B826" t="s">
        <v>48</v>
      </c>
      <c r="C826" s="15" t="s">
        <v>10</v>
      </c>
      <c r="D826" s="15" t="s">
        <v>9216</v>
      </c>
      <c r="E826" t="s">
        <v>9225</v>
      </c>
    </row>
    <row r="827" spans="1:5" outlineLevel="1" x14ac:dyDescent="0.3">
      <c r="A827" t="s">
        <v>1442</v>
      </c>
      <c r="B827" t="s">
        <v>48</v>
      </c>
      <c r="C827" s="15" t="s">
        <v>10</v>
      </c>
      <c r="D827" s="15" t="s">
        <v>9216</v>
      </c>
      <c r="E827" t="s">
        <v>9225</v>
      </c>
    </row>
    <row r="828" spans="1:5" outlineLevel="1" x14ac:dyDescent="0.3">
      <c r="A828" t="s">
        <v>1443</v>
      </c>
      <c r="B828" t="s">
        <v>48</v>
      </c>
      <c r="C828" s="15" t="s">
        <v>10</v>
      </c>
      <c r="D828" s="15" t="s">
        <v>9215</v>
      </c>
      <c r="E828" t="s">
        <v>9224</v>
      </c>
    </row>
    <row r="829" spans="1:5" outlineLevel="1" x14ac:dyDescent="0.3">
      <c r="A829" t="s">
        <v>1444</v>
      </c>
      <c r="B829" t="s">
        <v>48</v>
      </c>
      <c r="C829" s="15" t="s">
        <v>10</v>
      </c>
      <c r="D829" s="15" t="s">
        <v>9215</v>
      </c>
      <c r="E829" t="s">
        <v>9224</v>
      </c>
    </row>
    <row r="830" spans="1:5" outlineLevel="1" x14ac:dyDescent="0.3">
      <c r="A830" t="s">
        <v>1445</v>
      </c>
      <c r="B830" t="s">
        <v>48</v>
      </c>
      <c r="C830" s="15" t="s">
        <v>10</v>
      </c>
      <c r="D830" s="15" t="s">
        <v>9214</v>
      </c>
      <c r="E830" t="s">
        <v>9223</v>
      </c>
    </row>
    <row r="831" spans="1:5" outlineLevel="1" x14ac:dyDescent="0.3">
      <c r="A831" t="s">
        <v>1446</v>
      </c>
      <c r="B831" t="s">
        <v>48</v>
      </c>
      <c r="C831" s="15" t="s">
        <v>10</v>
      </c>
      <c r="D831" s="15" t="s">
        <v>9214</v>
      </c>
      <c r="E831" t="s">
        <v>9223</v>
      </c>
    </row>
    <row r="832" spans="1:5" outlineLevel="1" x14ac:dyDescent="0.3">
      <c r="A832" t="s">
        <v>1447</v>
      </c>
      <c r="B832" t="s">
        <v>48</v>
      </c>
      <c r="C832" s="15" t="s">
        <v>10</v>
      </c>
      <c r="D832" s="15" t="s">
        <v>9211</v>
      </c>
      <c r="E832" t="s">
        <v>9221</v>
      </c>
    </row>
    <row r="833" spans="1:5" outlineLevel="1" x14ac:dyDescent="0.3">
      <c r="A833" t="s">
        <v>1448</v>
      </c>
      <c r="B833" t="s">
        <v>48</v>
      </c>
      <c r="C833" s="15" t="s">
        <v>10</v>
      </c>
      <c r="D833" s="15" t="s">
        <v>9211</v>
      </c>
      <c r="E833" t="s">
        <v>9221</v>
      </c>
    </row>
    <row r="834" spans="1:5" outlineLevel="1" x14ac:dyDescent="0.3">
      <c r="A834" t="s">
        <v>1449</v>
      </c>
      <c r="B834" t="s">
        <v>48</v>
      </c>
      <c r="C834" s="15" t="s">
        <v>10</v>
      </c>
      <c r="D834" s="15" t="s">
        <v>9212</v>
      </c>
      <c r="E834" t="s">
        <v>9226</v>
      </c>
    </row>
    <row r="835" spans="1:5" outlineLevel="1" x14ac:dyDescent="0.3">
      <c r="A835" t="s">
        <v>1450</v>
      </c>
      <c r="B835" t="s">
        <v>48</v>
      </c>
      <c r="C835" s="15" t="s">
        <v>10</v>
      </c>
      <c r="D835" s="15" t="s">
        <v>9217</v>
      </c>
      <c r="E835" t="s">
        <v>9220</v>
      </c>
    </row>
    <row r="836" spans="1:5" outlineLevel="1" x14ac:dyDescent="0.3">
      <c r="A836" t="s">
        <v>1451</v>
      </c>
      <c r="B836" t="s">
        <v>48</v>
      </c>
      <c r="C836" s="15" t="s">
        <v>10</v>
      </c>
      <c r="D836" s="15" t="s">
        <v>9209</v>
      </c>
      <c r="E836" t="s">
        <v>9219</v>
      </c>
    </row>
    <row r="837" spans="1:5" outlineLevel="1" x14ac:dyDescent="0.3">
      <c r="A837" t="s">
        <v>1452</v>
      </c>
      <c r="B837" t="s">
        <v>48</v>
      </c>
      <c r="C837" s="15" t="s">
        <v>10</v>
      </c>
      <c r="D837" s="15" t="s">
        <v>9209</v>
      </c>
      <c r="E837" t="s">
        <v>9219</v>
      </c>
    </row>
    <row r="838" spans="1:5" outlineLevel="1" x14ac:dyDescent="0.3">
      <c r="A838" t="s">
        <v>1453</v>
      </c>
      <c r="B838" t="s">
        <v>48</v>
      </c>
      <c r="C838" s="15" t="s">
        <v>10</v>
      </c>
      <c r="D838" s="15" t="s">
        <v>9209</v>
      </c>
      <c r="E838" t="s">
        <v>9219</v>
      </c>
    </row>
    <row r="839" spans="1:5" outlineLevel="1" x14ac:dyDescent="0.3">
      <c r="A839" t="s">
        <v>1454</v>
      </c>
      <c r="B839" t="s">
        <v>48</v>
      </c>
      <c r="C839" s="15" t="s">
        <v>10</v>
      </c>
      <c r="D839" s="15" t="s">
        <v>9209</v>
      </c>
      <c r="E839" t="s">
        <v>9219</v>
      </c>
    </row>
    <row r="840" spans="1:5" outlineLevel="1" x14ac:dyDescent="0.3">
      <c r="A840" t="s">
        <v>1455</v>
      </c>
      <c r="B840" t="s">
        <v>48</v>
      </c>
      <c r="C840" s="15" t="s">
        <v>10</v>
      </c>
      <c r="D840" s="15" t="s">
        <v>9216</v>
      </c>
      <c r="E840" t="s">
        <v>9225</v>
      </c>
    </row>
    <row r="841" spans="1:5" outlineLevel="1" x14ac:dyDescent="0.3">
      <c r="A841" t="s">
        <v>1456</v>
      </c>
      <c r="B841" t="s">
        <v>48</v>
      </c>
      <c r="C841" s="15" t="s">
        <v>10</v>
      </c>
      <c r="D841" s="15" t="s">
        <v>9216</v>
      </c>
      <c r="E841" t="s">
        <v>9225</v>
      </c>
    </row>
    <row r="842" spans="1:5" outlineLevel="1" x14ac:dyDescent="0.3">
      <c r="A842" t="s">
        <v>1457</v>
      </c>
      <c r="B842" t="s">
        <v>48</v>
      </c>
      <c r="C842" s="15" t="s">
        <v>10</v>
      </c>
      <c r="D842" s="15" t="s">
        <v>9215</v>
      </c>
      <c r="E842" t="s">
        <v>9224</v>
      </c>
    </row>
    <row r="843" spans="1:5" outlineLevel="1" x14ac:dyDescent="0.3">
      <c r="A843" t="s">
        <v>1458</v>
      </c>
      <c r="B843" t="s">
        <v>48</v>
      </c>
      <c r="C843" s="15" t="s">
        <v>10</v>
      </c>
      <c r="D843" s="15" t="s">
        <v>9215</v>
      </c>
      <c r="E843" t="s">
        <v>9224</v>
      </c>
    </row>
    <row r="844" spans="1:5" outlineLevel="1" x14ac:dyDescent="0.3">
      <c r="A844" t="s">
        <v>1459</v>
      </c>
      <c r="B844" t="s">
        <v>48</v>
      </c>
      <c r="C844" s="15" t="s">
        <v>10</v>
      </c>
      <c r="D844" s="15" t="s">
        <v>9211</v>
      </c>
      <c r="E844" t="s">
        <v>9221</v>
      </c>
    </row>
    <row r="845" spans="1:5" outlineLevel="1" x14ac:dyDescent="0.3">
      <c r="A845" t="s">
        <v>1460</v>
      </c>
      <c r="B845" t="s">
        <v>48</v>
      </c>
      <c r="C845" s="15" t="s">
        <v>10</v>
      </c>
      <c r="D845" s="15" t="s">
        <v>9211</v>
      </c>
      <c r="E845" t="s">
        <v>9221</v>
      </c>
    </row>
    <row r="846" spans="1:5" outlineLevel="1" x14ac:dyDescent="0.3">
      <c r="A846" t="s">
        <v>1461</v>
      </c>
      <c r="B846" t="s">
        <v>48</v>
      </c>
      <c r="C846" s="15" t="s">
        <v>10</v>
      </c>
      <c r="D846" s="15" t="s">
        <v>9210</v>
      </c>
      <c r="E846" t="s">
        <v>9220</v>
      </c>
    </row>
    <row r="847" spans="1:5" outlineLevel="1" x14ac:dyDescent="0.3">
      <c r="A847" t="s">
        <v>1462</v>
      </c>
      <c r="B847" t="s">
        <v>48</v>
      </c>
      <c r="C847" s="15" t="s">
        <v>10</v>
      </c>
      <c r="D847" s="15" t="s">
        <v>9210</v>
      </c>
      <c r="E847" t="s">
        <v>9220</v>
      </c>
    </row>
    <row r="848" spans="1:5" outlineLevel="1" x14ac:dyDescent="0.3">
      <c r="A848" t="s">
        <v>1463</v>
      </c>
      <c r="B848" t="s">
        <v>48</v>
      </c>
      <c r="C848" s="15" t="s">
        <v>10</v>
      </c>
      <c r="D848" s="15" t="s">
        <v>1464</v>
      </c>
      <c r="E848" t="s">
        <v>9177</v>
      </c>
    </row>
    <row r="849" spans="1:5" outlineLevel="1" x14ac:dyDescent="0.3">
      <c r="A849" t="s">
        <v>1465</v>
      </c>
      <c r="B849" t="s">
        <v>48</v>
      </c>
      <c r="C849" s="15" t="s">
        <v>10</v>
      </c>
      <c r="D849" s="15" t="s">
        <v>1466</v>
      </c>
      <c r="E849" t="s">
        <v>9179</v>
      </c>
    </row>
    <row r="850" spans="1:5" outlineLevel="1" x14ac:dyDescent="0.3">
      <c r="A850" t="s">
        <v>1467</v>
      </c>
      <c r="B850" t="s">
        <v>48</v>
      </c>
      <c r="C850" s="15" t="s">
        <v>10</v>
      </c>
      <c r="D850" s="15" t="s">
        <v>9189</v>
      </c>
      <c r="E850" t="s">
        <v>9123</v>
      </c>
    </row>
    <row r="851" spans="1:5" outlineLevel="1" x14ac:dyDescent="0.3">
      <c r="A851" t="s">
        <v>1468</v>
      </c>
      <c r="B851" t="s">
        <v>48</v>
      </c>
      <c r="C851" s="15" t="s">
        <v>10</v>
      </c>
      <c r="D851" s="15" t="s">
        <v>9190</v>
      </c>
      <c r="E851" t="s">
        <v>9123</v>
      </c>
    </row>
    <row r="852" spans="1:5" outlineLevel="1" x14ac:dyDescent="0.3">
      <c r="A852" t="s">
        <v>1469</v>
      </c>
      <c r="B852" t="s">
        <v>48</v>
      </c>
      <c r="C852" s="15" t="s">
        <v>10</v>
      </c>
      <c r="D852" s="15" t="s">
        <v>1470</v>
      </c>
      <c r="E852" t="s">
        <v>9126</v>
      </c>
    </row>
    <row r="853" spans="1:5" outlineLevel="1" x14ac:dyDescent="0.3">
      <c r="A853" t="s">
        <v>1471</v>
      </c>
      <c r="B853" t="s">
        <v>48</v>
      </c>
      <c r="C853" s="15" t="s">
        <v>10</v>
      </c>
      <c r="D853" s="15" t="s">
        <v>1470</v>
      </c>
      <c r="E853" t="s">
        <v>9126</v>
      </c>
    </row>
    <row r="854" spans="1:5" outlineLevel="1" x14ac:dyDescent="0.3">
      <c r="A854" t="s">
        <v>1472</v>
      </c>
      <c r="B854" t="s">
        <v>48</v>
      </c>
      <c r="C854" s="15" t="s">
        <v>10</v>
      </c>
      <c r="D854" s="15" t="s">
        <v>1470</v>
      </c>
      <c r="E854" t="s">
        <v>9126</v>
      </c>
    </row>
    <row r="855" spans="1:5" outlineLevel="1" x14ac:dyDescent="0.3">
      <c r="A855" t="s">
        <v>1473</v>
      </c>
      <c r="B855" t="s">
        <v>48</v>
      </c>
      <c r="C855" s="15" t="s">
        <v>10</v>
      </c>
      <c r="D855" s="15" t="s">
        <v>1470</v>
      </c>
      <c r="E855" t="s">
        <v>9126</v>
      </c>
    </row>
    <row r="856" spans="1:5" outlineLevel="1" x14ac:dyDescent="0.3">
      <c r="A856" t="s">
        <v>1474</v>
      </c>
      <c r="B856" t="s">
        <v>48</v>
      </c>
      <c r="C856" s="15" t="s">
        <v>10</v>
      </c>
      <c r="D856" s="15" t="s">
        <v>1470</v>
      </c>
      <c r="E856" t="s">
        <v>9126</v>
      </c>
    </row>
    <row r="857" spans="1:5" outlineLevel="1" x14ac:dyDescent="0.3">
      <c r="A857" t="s">
        <v>1475</v>
      </c>
      <c r="B857" t="s">
        <v>48</v>
      </c>
      <c r="C857" s="15" t="s">
        <v>10</v>
      </c>
      <c r="D857" s="15" t="s">
        <v>1470</v>
      </c>
      <c r="E857" t="s">
        <v>9126</v>
      </c>
    </row>
    <row r="858" spans="1:5" outlineLevel="1" x14ac:dyDescent="0.3">
      <c r="A858" t="s">
        <v>1476</v>
      </c>
      <c r="B858" t="s">
        <v>48</v>
      </c>
      <c r="C858" s="15" t="s">
        <v>8</v>
      </c>
      <c r="D858" s="15" t="s">
        <v>9218</v>
      </c>
      <c r="E858" t="s">
        <v>9227</v>
      </c>
    </row>
    <row r="859" spans="1:5" outlineLevel="1" x14ac:dyDescent="0.3">
      <c r="A859" t="s">
        <v>1477</v>
      </c>
      <c r="B859" t="s">
        <v>48</v>
      </c>
      <c r="C859" s="15" t="s">
        <v>8</v>
      </c>
      <c r="D859" s="15" t="s">
        <v>9191</v>
      </c>
      <c r="E859" t="s">
        <v>9128</v>
      </c>
    </row>
    <row r="860" spans="1:5" outlineLevel="1" x14ac:dyDescent="0.3">
      <c r="A860" t="s">
        <v>1478</v>
      </c>
      <c r="B860" t="s">
        <v>48</v>
      </c>
      <c r="C860" s="15" t="s">
        <v>8</v>
      </c>
      <c r="D860" s="15" t="s">
        <v>9192</v>
      </c>
      <c r="E860" t="s">
        <v>9130</v>
      </c>
    </row>
    <row r="861" spans="1:5" outlineLevel="1" x14ac:dyDescent="0.3">
      <c r="A861" t="s">
        <v>1479</v>
      </c>
      <c r="B861" t="s">
        <v>48</v>
      </c>
      <c r="C861" s="15" t="s">
        <v>8</v>
      </c>
      <c r="D861" s="15" t="s">
        <v>9193</v>
      </c>
      <c r="E861" t="s">
        <v>9132</v>
      </c>
    </row>
    <row r="862" spans="1:5" outlineLevel="1" x14ac:dyDescent="0.3">
      <c r="A862" t="s">
        <v>1480</v>
      </c>
      <c r="B862" t="s">
        <v>48</v>
      </c>
      <c r="C862" s="15" t="s">
        <v>8</v>
      </c>
      <c r="D862" s="15" t="s">
        <v>9194</v>
      </c>
      <c r="E862" t="s">
        <v>9134</v>
      </c>
    </row>
    <row r="863" spans="1:5" outlineLevel="1" x14ac:dyDescent="0.3">
      <c r="A863" t="s">
        <v>1481</v>
      </c>
      <c r="B863" t="s">
        <v>48</v>
      </c>
      <c r="C863" s="15" t="s">
        <v>8</v>
      </c>
      <c r="D863" s="15" t="s">
        <v>1482</v>
      </c>
      <c r="E863" t="s">
        <v>9028</v>
      </c>
    </row>
    <row r="864" spans="1:5" outlineLevel="1" x14ac:dyDescent="0.3">
      <c r="A864" t="s">
        <v>1483</v>
      </c>
      <c r="B864" t="s">
        <v>48</v>
      </c>
      <c r="C864" s="15" t="s">
        <v>10</v>
      </c>
      <c r="D864" s="15" t="s">
        <v>1484</v>
      </c>
      <c r="E864" t="s">
        <v>9106</v>
      </c>
    </row>
    <row r="865" spans="1:5" outlineLevel="1" x14ac:dyDescent="0.3">
      <c r="A865" t="s">
        <v>1485</v>
      </c>
      <c r="B865" t="s">
        <v>48</v>
      </c>
      <c r="C865" s="15" t="s">
        <v>10</v>
      </c>
      <c r="D865" s="15" t="s">
        <v>1484</v>
      </c>
      <c r="E865" t="s">
        <v>9106</v>
      </c>
    </row>
    <row r="866" spans="1:5" outlineLevel="1" x14ac:dyDescent="0.3">
      <c r="A866" t="s">
        <v>1486</v>
      </c>
      <c r="B866" t="s">
        <v>48</v>
      </c>
      <c r="C866" s="15" t="s">
        <v>10</v>
      </c>
      <c r="D866" s="15" t="s">
        <v>1484</v>
      </c>
      <c r="E866" t="s">
        <v>9106</v>
      </c>
    </row>
    <row r="867" spans="1:5" outlineLevel="1" x14ac:dyDescent="0.3">
      <c r="A867" t="s">
        <v>1487</v>
      </c>
      <c r="B867" t="s">
        <v>48</v>
      </c>
      <c r="C867" s="15" t="s">
        <v>10</v>
      </c>
      <c r="D867" s="15" t="s">
        <v>1484</v>
      </c>
      <c r="E867" t="s">
        <v>9106</v>
      </c>
    </row>
    <row r="868" spans="1:5" outlineLevel="1" x14ac:dyDescent="0.3">
      <c r="A868" t="s">
        <v>1488</v>
      </c>
      <c r="B868" t="s">
        <v>48</v>
      </c>
      <c r="C868" s="15" t="s">
        <v>10</v>
      </c>
      <c r="D868" s="15" t="s">
        <v>1489</v>
      </c>
      <c r="E868" t="s">
        <v>9106</v>
      </c>
    </row>
    <row r="869" spans="1:5" outlineLevel="1" x14ac:dyDescent="0.3">
      <c r="A869" t="s">
        <v>1490</v>
      </c>
      <c r="B869" t="s">
        <v>48</v>
      </c>
      <c r="C869" s="15" t="s">
        <v>10</v>
      </c>
      <c r="D869" s="15" t="s">
        <v>1489</v>
      </c>
      <c r="E869" t="s">
        <v>9106</v>
      </c>
    </row>
    <row r="870" spans="1:5" outlineLevel="1" x14ac:dyDescent="0.3">
      <c r="A870" t="s">
        <v>1491</v>
      </c>
      <c r="B870" t="s">
        <v>48</v>
      </c>
      <c r="C870" s="15" t="s">
        <v>10</v>
      </c>
      <c r="D870" s="15" t="s">
        <v>1489</v>
      </c>
      <c r="E870" t="s">
        <v>9106</v>
      </c>
    </row>
    <row r="871" spans="1:5" outlineLevel="1" x14ac:dyDescent="0.3">
      <c r="A871" t="s">
        <v>1492</v>
      </c>
      <c r="B871" t="s">
        <v>48</v>
      </c>
      <c r="C871" s="15" t="s">
        <v>10</v>
      </c>
      <c r="D871" s="15" t="s">
        <v>1493</v>
      </c>
      <c r="E871" t="s">
        <v>9136</v>
      </c>
    </row>
    <row r="872" spans="1:5" outlineLevel="1" x14ac:dyDescent="0.3">
      <c r="A872" t="s">
        <v>1494</v>
      </c>
      <c r="B872" t="s">
        <v>48</v>
      </c>
      <c r="C872" s="15" t="s">
        <v>10</v>
      </c>
      <c r="D872" s="15" t="s">
        <v>1495</v>
      </c>
      <c r="E872" t="s">
        <v>9136</v>
      </c>
    </row>
    <row r="873" spans="1:5" outlineLevel="1" x14ac:dyDescent="0.3">
      <c r="A873" t="s">
        <v>1496</v>
      </c>
      <c r="B873" t="s">
        <v>48</v>
      </c>
      <c r="C873" s="15" t="s">
        <v>10</v>
      </c>
      <c r="D873" s="15" t="s">
        <v>1497</v>
      </c>
      <c r="E873" t="s">
        <v>9136</v>
      </c>
    </row>
    <row r="874" spans="1:5" outlineLevel="1" x14ac:dyDescent="0.3">
      <c r="A874" t="s">
        <v>1498</v>
      </c>
      <c r="B874" t="s">
        <v>48</v>
      </c>
      <c r="C874" s="15" t="s">
        <v>10</v>
      </c>
      <c r="D874" s="15" t="s">
        <v>1497</v>
      </c>
      <c r="E874" t="s">
        <v>9136</v>
      </c>
    </row>
    <row r="875" spans="1:5" outlineLevel="1" x14ac:dyDescent="0.3">
      <c r="A875" t="s">
        <v>1499</v>
      </c>
      <c r="B875" t="s">
        <v>48</v>
      </c>
      <c r="C875" s="15" t="s">
        <v>10</v>
      </c>
      <c r="D875" s="15" t="s">
        <v>1500</v>
      </c>
      <c r="E875" t="s">
        <v>9103</v>
      </c>
    </row>
    <row r="876" spans="1:5" outlineLevel="1" x14ac:dyDescent="0.3">
      <c r="A876" t="s">
        <v>1501</v>
      </c>
      <c r="B876" t="s">
        <v>48</v>
      </c>
      <c r="C876" s="15" t="s">
        <v>10</v>
      </c>
      <c r="D876" s="15" t="s">
        <v>1502</v>
      </c>
      <c r="E876" t="s">
        <v>9098</v>
      </c>
    </row>
    <row r="877" spans="1:5" outlineLevel="1" x14ac:dyDescent="0.3">
      <c r="A877" t="s">
        <v>1503</v>
      </c>
      <c r="B877" t="s">
        <v>48</v>
      </c>
      <c r="C877" s="15" t="s">
        <v>10</v>
      </c>
      <c r="D877" s="15" t="s">
        <v>1502</v>
      </c>
      <c r="E877" t="s">
        <v>9098</v>
      </c>
    </row>
    <row r="878" spans="1:5" outlineLevel="1" x14ac:dyDescent="0.3">
      <c r="A878" t="s">
        <v>1504</v>
      </c>
      <c r="B878" t="s">
        <v>48</v>
      </c>
      <c r="C878" s="15" t="s">
        <v>10</v>
      </c>
      <c r="D878" s="15" t="s">
        <v>1505</v>
      </c>
      <c r="E878" t="s">
        <v>9089</v>
      </c>
    </row>
    <row r="879" spans="1:5" outlineLevel="1" x14ac:dyDescent="0.3">
      <c r="A879" t="s">
        <v>1506</v>
      </c>
      <c r="B879" t="s">
        <v>48</v>
      </c>
      <c r="C879" s="15" t="s">
        <v>10</v>
      </c>
      <c r="D879" s="15" t="s">
        <v>1505</v>
      </c>
      <c r="E879" t="s">
        <v>9089</v>
      </c>
    </row>
    <row r="880" spans="1:5" outlineLevel="1" x14ac:dyDescent="0.3">
      <c r="A880" t="s">
        <v>1507</v>
      </c>
      <c r="B880" t="s">
        <v>48</v>
      </c>
      <c r="C880" s="15" t="s">
        <v>10</v>
      </c>
      <c r="D880" s="15" t="s">
        <v>1505</v>
      </c>
      <c r="E880" t="s">
        <v>9089</v>
      </c>
    </row>
    <row r="881" spans="1:5" outlineLevel="1" x14ac:dyDescent="0.3">
      <c r="A881" t="s">
        <v>1508</v>
      </c>
      <c r="B881" t="s">
        <v>48</v>
      </c>
      <c r="C881" s="15" t="s">
        <v>10</v>
      </c>
      <c r="D881" s="15" t="s">
        <v>1509</v>
      </c>
      <c r="E881" t="s">
        <v>9094</v>
      </c>
    </row>
    <row r="882" spans="1:5" outlineLevel="1" x14ac:dyDescent="0.3">
      <c r="A882" t="s">
        <v>1510</v>
      </c>
      <c r="B882" t="s">
        <v>48</v>
      </c>
      <c r="C882" s="15" t="s">
        <v>10</v>
      </c>
      <c r="D882" s="15" t="s">
        <v>1509</v>
      </c>
      <c r="E882" t="s">
        <v>9094</v>
      </c>
    </row>
    <row r="883" spans="1:5" outlineLevel="1" x14ac:dyDescent="0.3">
      <c r="A883" t="s">
        <v>1511</v>
      </c>
      <c r="B883" t="s">
        <v>48</v>
      </c>
      <c r="C883" s="15" t="s">
        <v>10</v>
      </c>
      <c r="D883" s="15" t="s">
        <v>1509</v>
      </c>
      <c r="E883" t="s">
        <v>9094</v>
      </c>
    </row>
    <row r="884" spans="1:5" outlineLevel="1" x14ac:dyDescent="0.3">
      <c r="A884" t="s">
        <v>1512</v>
      </c>
      <c r="B884" t="s">
        <v>48</v>
      </c>
      <c r="C884" s="15" t="s">
        <v>10</v>
      </c>
      <c r="D884" s="15" t="s">
        <v>1493</v>
      </c>
      <c r="E884" t="s">
        <v>9136</v>
      </c>
    </row>
    <row r="885" spans="1:5" outlineLevel="1" x14ac:dyDescent="0.3">
      <c r="A885" t="s">
        <v>1513</v>
      </c>
      <c r="B885" t="s">
        <v>48</v>
      </c>
      <c r="C885" s="15" t="s">
        <v>10</v>
      </c>
      <c r="D885" s="15" t="s">
        <v>1493</v>
      </c>
      <c r="E885" t="s">
        <v>9136</v>
      </c>
    </row>
    <row r="886" spans="1:5" outlineLevel="1" x14ac:dyDescent="0.3">
      <c r="A886" t="s">
        <v>1514</v>
      </c>
      <c r="B886" t="s">
        <v>48</v>
      </c>
      <c r="C886" s="15" t="s">
        <v>10</v>
      </c>
      <c r="D886" s="15" t="s">
        <v>1516</v>
      </c>
      <c r="E886" t="s">
        <v>9118</v>
      </c>
    </row>
    <row r="887" spans="1:5" outlineLevel="1" x14ac:dyDescent="0.3">
      <c r="A887" t="s">
        <v>1515</v>
      </c>
      <c r="B887" t="s">
        <v>48</v>
      </c>
      <c r="C887" s="15" t="s">
        <v>10</v>
      </c>
      <c r="D887" s="15" t="s">
        <v>1516</v>
      </c>
      <c r="E887" t="s">
        <v>9118</v>
      </c>
    </row>
    <row r="888" spans="1:5" outlineLevel="1" x14ac:dyDescent="0.3">
      <c r="A888" t="s">
        <v>1517</v>
      </c>
      <c r="B888" t="s">
        <v>48</v>
      </c>
      <c r="C888" s="15" t="s">
        <v>10</v>
      </c>
      <c r="D888" s="15" t="s">
        <v>1516</v>
      </c>
      <c r="E888" t="s">
        <v>9118</v>
      </c>
    </row>
    <row r="889" spans="1:5" outlineLevel="1" x14ac:dyDescent="0.3">
      <c r="A889" t="s">
        <v>1518</v>
      </c>
      <c r="B889" t="s">
        <v>48</v>
      </c>
      <c r="C889" s="15" t="s">
        <v>10</v>
      </c>
      <c r="D889" s="15" t="s">
        <v>1516</v>
      </c>
      <c r="E889" t="s">
        <v>9118</v>
      </c>
    </row>
    <row r="890" spans="1:5" outlineLevel="1" x14ac:dyDescent="0.3">
      <c r="A890" t="s">
        <v>1519</v>
      </c>
      <c r="B890" t="s">
        <v>48</v>
      </c>
      <c r="C890" s="15" t="s">
        <v>10</v>
      </c>
      <c r="D890" s="15" t="s">
        <v>1520</v>
      </c>
      <c r="E890" t="s">
        <v>9115</v>
      </c>
    </row>
    <row r="891" spans="1:5" outlineLevel="1" x14ac:dyDescent="0.3">
      <c r="A891" t="s">
        <v>1521</v>
      </c>
      <c r="B891" t="s">
        <v>48</v>
      </c>
      <c r="C891" s="15" t="s">
        <v>10</v>
      </c>
      <c r="D891" s="15" t="s">
        <v>1520</v>
      </c>
      <c r="E891" t="s">
        <v>9115</v>
      </c>
    </row>
    <row r="892" spans="1:5" outlineLevel="1" x14ac:dyDescent="0.3">
      <c r="A892" t="s">
        <v>1522</v>
      </c>
      <c r="B892" t="s">
        <v>48</v>
      </c>
      <c r="C892" s="15" t="s">
        <v>10</v>
      </c>
      <c r="D892" s="15" t="s">
        <v>1520</v>
      </c>
      <c r="E892" t="s">
        <v>9115</v>
      </c>
    </row>
    <row r="893" spans="1:5" outlineLevel="1" x14ac:dyDescent="0.3">
      <c r="A893" t="s">
        <v>1523</v>
      </c>
      <c r="B893" t="s">
        <v>48</v>
      </c>
      <c r="C893" t="s">
        <v>8</v>
      </c>
      <c r="D893" t="s">
        <v>1524</v>
      </c>
      <c r="E893" t="s">
        <v>8736</v>
      </c>
    </row>
    <row r="894" spans="1:5" outlineLevel="1" x14ac:dyDescent="0.3">
      <c r="A894" t="s">
        <v>1525</v>
      </c>
      <c r="B894" t="s">
        <v>48</v>
      </c>
      <c r="C894" s="15" t="s">
        <v>10</v>
      </c>
      <c r="D894" s="15" t="s">
        <v>1526</v>
      </c>
      <c r="E894" t="s">
        <v>8633</v>
      </c>
    </row>
    <row r="895" spans="1:5" outlineLevel="1" x14ac:dyDescent="0.3">
      <c r="A895" t="s">
        <v>1527</v>
      </c>
      <c r="B895" t="s">
        <v>48</v>
      </c>
      <c r="C895" s="15" t="s">
        <v>8</v>
      </c>
      <c r="D895" s="15" t="s">
        <v>1528</v>
      </c>
      <c r="E895" t="s">
        <v>8602</v>
      </c>
    </row>
    <row r="896" spans="1:5" outlineLevel="1" x14ac:dyDescent="0.3">
      <c r="A896" t="s">
        <v>1529</v>
      </c>
      <c r="B896" t="s">
        <v>48</v>
      </c>
      <c r="C896" s="15" t="s">
        <v>8</v>
      </c>
      <c r="D896" s="15" t="s">
        <v>1530</v>
      </c>
      <c r="E896" t="s">
        <v>8786</v>
      </c>
    </row>
    <row r="897" spans="1:5" outlineLevel="1" x14ac:dyDescent="0.3">
      <c r="A897" t="s">
        <v>1531</v>
      </c>
      <c r="B897" t="s">
        <v>48</v>
      </c>
      <c r="C897" s="15" t="s">
        <v>8</v>
      </c>
      <c r="D897" s="15" t="s">
        <v>1532</v>
      </c>
      <c r="E897" t="s">
        <v>9139</v>
      </c>
    </row>
    <row r="898" spans="1:5" outlineLevel="1" x14ac:dyDescent="0.3">
      <c r="A898" t="s">
        <v>1533</v>
      </c>
      <c r="B898" t="s">
        <v>48</v>
      </c>
      <c r="C898" s="15" t="s">
        <v>8</v>
      </c>
      <c r="D898" s="15" t="s">
        <v>1534</v>
      </c>
      <c r="E898" t="s">
        <v>8616</v>
      </c>
    </row>
    <row r="899" spans="1:5" outlineLevel="1" x14ac:dyDescent="0.3">
      <c r="A899" t="s">
        <v>1535</v>
      </c>
      <c r="B899" t="s">
        <v>48</v>
      </c>
      <c r="C899" s="15" t="s">
        <v>8</v>
      </c>
      <c r="D899" s="15" t="s">
        <v>1536</v>
      </c>
      <c r="E899" t="s">
        <v>8619</v>
      </c>
    </row>
    <row r="900" spans="1:5" outlineLevel="1" x14ac:dyDescent="0.3">
      <c r="A900" t="s">
        <v>1537</v>
      </c>
      <c r="B900" t="s">
        <v>48</v>
      </c>
      <c r="C900" t="s">
        <v>8</v>
      </c>
      <c r="D900" t="s">
        <v>1538</v>
      </c>
      <c r="E900" t="s">
        <v>8638</v>
      </c>
    </row>
    <row r="901" spans="1:5" outlineLevel="1" x14ac:dyDescent="0.3">
      <c r="A901" t="s">
        <v>1539</v>
      </c>
      <c r="B901" t="s">
        <v>48</v>
      </c>
      <c r="C901" t="s">
        <v>10</v>
      </c>
      <c r="D901" t="s">
        <v>1540</v>
      </c>
      <c r="E901" t="s">
        <v>8641</v>
      </c>
    </row>
    <row r="902" spans="1:5" outlineLevel="1" x14ac:dyDescent="0.3">
      <c r="A902" t="s">
        <v>1541</v>
      </c>
      <c r="B902" t="s">
        <v>48</v>
      </c>
      <c r="C902" t="s">
        <v>8</v>
      </c>
      <c r="D902" t="s">
        <v>1542</v>
      </c>
      <c r="E902" t="s">
        <v>9141</v>
      </c>
    </row>
    <row r="903" spans="1:5" outlineLevel="1" x14ac:dyDescent="0.3">
      <c r="A903" t="s">
        <v>1543</v>
      </c>
      <c r="B903" t="s">
        <v>48</v>
      </c>
      <c r="C903" s="15" t="s">
        <v>8</v>
      </c>
      <c r="D903" s="15" t="s">
        <v>1544</v>
      </c>
      <c r="E903" t="s">
        <v>8605</v>
      </c>
    </row>
    <row r="904" spans="1:5" outlineLevel="1" x14ac:dyDescent="0.3">
      <c r="A904" t="s">
        <v>1545</v>
      </c>
      <c r="B904" t="s">
        <v>48</v>
      </c>
      <c r="C904" s="15" t="s">
        <v>8</v>
      </c>
      <c r="D904" s="15" t="s">
        <v>1544</v>
      </c>
      <c r="E904" t="s">
        <v>8605</v>
      </c>
    </row>
    <row r="905" spans="1:5" outlineLevel="1" x14ac:dyDescent="0.3">
      <c r="A905" t="s">
        <v>1546</v>
      </c>
      <c r="B905" t="s">
        <v>48</v>
      </c>
      <c r="C905" s="15" t="s">
        <v>8</v>
      </c>
      <c r="D905" s="15" t="s">
        <v>1547</v>
      </c>
      <c r="E905" t="s">
        <v>8613</v>
      </c>
    </row>
    <row r="906" spans="1:5" outlineLevel="1" x14ac:dyDescent="0.3">
      <c r="A906" t="s">
        <v>1548</v>
      </c>
      <c r="B906" t="s">
        <v>48</v>
      </c>
      <c r="C906" s="15" t="s">
        <v>8</v>
      </c>
      <c r="D906" s="15" t="s">
        <v>1547</v>
      </c>
      <c r="E906" t="s">
        <v>8613</v>
      </c>
    </row>
    <row r="907" spans="1:5" outlineLevel="1" x14ac:dyDescent="0.3">
      <c r="A907" t="s">
        <v>1549</v>
      </c>
      <c r="B907" t="s">
        <v>48</v>
      </c>
      <c r="C907" s="15" t="s">
        <v>8</v>
      </c>
      <c r="D907" s="15" t="s">
        <v>1550</v>
      </c>
      <c r="E907" t="s">
        <v>8684</v>
      </c>
    </row>
    <row r="908" spans="1:5" outlineLevel="1" x14ac:dyDescent="0.3">
      <c r="A908" t="s">
        <v>1551</v>
      </c>
      <c r="B908" t="s">
        <v>48</v>
      </c>
      <c r="C908" s="15" t="s">
        <v>8</v>
      </c>
      <c r="D908" s="15" t="s">
        <v>1550</v>
      </c>
      <c r="E908" t="s">
        <v>8684</v>
      </c>
    </row>
    <row r="909" spans="1:5" outlineLevel="1" x14ac:dyDescent="0.3">
      <c r="A909" t="s">
        <v>1552</v>
      </c>
      <c r="B909" t="s">
        <v>48</v>
      </c>
      <c r="C909" s="15" t="s">
        <v>8</v>
      </c>
      <c r="D909" s="15" t="s">
        <v>1550</v>
      </c>
      <c r="E909" t="s">
        <v>8684</v>
      </c>
    </row>
    <row r="910" spans="1:5" outlineLevel="1" x14ac:dyDescent="0.3">
      <c r="A910" t="s">
        <v>1553</v>
      </c>
      <c r="B910" t="s">
        <v>48</v>
      </c>
      <c r="C910" s="15" t="s">
        <v>8</v>
      </c>
      <c r="D910" s="15" t="s">
        <v>1554</v>
      </c>
      <c r="E910" t="s">
        <v>8792</v>
      </c>
    </row>
    <row r="911" spans="1:5" outlineLevel="1" x14ac:dyDescent="0.3">
      <c r="A911" t="s">
        <v>1555</v>
      </c>
      <c r="B911" t="s">
        <v>48</v>
      </c>
      <c r="C911" s="15" t="s">
        <v>8</v>
      </c>
      <c r="D911" s="15" t="s">
        <v>1554</v>
      </c>
      <c r="E911" t="s">
        <v>8792</v>
      </c>
    </row>
    <row r="912" spans="1:5" outlineLevel="1" x14ac:dyDescent="0.3">
      <c r="A912" t="s">
        <v>1556</v>
      </c>
      <c r="B912" t="s">
        <v>48</v>
      </c>
      <c r="C912" s="15" t="s">
        <v>8</v>
      </c>
      <c r="D912" s="15" t="s">
        <v>1554</v>
      </c>
      <c r="E912" t="s">
        <v>8792</v>
      </c>
    </row>
    <row r="913" spans="1:5" outlineLevel="1" x14ac:dyDescent="0.3">
      <c r="A913" t="s">
        <v>1557</v>
      </c>
      <c r="B913" t="s">
        <v>48</v>
      </c>
      <c r="C913" s="15" t="s">
        <v>8</v>
      </c>
      <c r="D913" s="15" t="s">
        <v>1554</v>
      </c>
      <c r="E913" t="s">
        <v>8792</v>
      </c>
    </row>
    <row r="914" spans="1:5" outlineLevel="1" x14ac:dyDescent="0.3">
      <c r="A914" t="s">
        <v>1558</v>
      </c>
      <c r="B914" t="s">
        <v>48</v>
      </c>
      <c r="C914" s="15" t="s">
        <v>10</v>
      </c>
      <c r="D914" s="15" t="s">
        <v>1559</v>
      </c>
      <c r="E914" t="s">
        <v>8776</v>
      </c>
    </row>
    <row r="915" spans="1:5" outlineLevel="1" x14ac:dyDescent="0.3">
      <c r="A915" t="s">
        <v>1560</v>
      </c>
      <c r="B915" t="s">
        <v>48</v>
      </c>
      <c r="C915" s="15" t="s">
        <v>10</v>
      </c>
      <c r="D915" s="15" t="s">
        <v>1559</v>
      </c>
      <c r="E915" t="s">
        <v>8776</v>
      </c>
    </row>
    <row r="916" spans="1:5" outlineLevel="1" x14ac:dyDescent="0.3">
      <c r="A916" t="s">
        <v>1561</v>
      </c>
      <c r="B916" t="s">
        <v>48</v>
      </c>
      <c r="C916" s="15" t="s">
        <v>8</v>
      </c>
      <c r="D916" s="15" t="s">
        <v>1562</v>
      </c>
      <c r="E916" t="s">
        <v>8778</v>
      </c>
    </row>
    <row r="917" spans="1:5" outlineLevel="1" x14ac:dyDescent="0.3">
      <c r="A917" t="s">
        <v>1563</v>
      </c>
      <c r="B917" t="s">
        <v>48</v>
      </c>
      <c r="C917" s="15" t="s">
        <v>8</v>
      </c>
      <c r="D917" s="15" t="s">
        <v>1564</v>
      </c>
      <c r="E917" t="s">
        <v>9144</v>
      </c>
    </row>
    <row r="918" spans="1:5" outlineLevel="1" x14ac:dyDescent="0.3">
      <c r="A918" t="s">
        <v>1565</v>
      </c>
      <c r="B918" t="s">
        <v>48</v>
      </c>
      <c r="C918" s="15" t="s">
        <v>8</v>
      </c>
      <c r="D918" s="15" t="s">
        <v>1564</v>
      </c>
      <c r="E918" t="s">
        <v>9144</v>
      </c>
    </row>
    <row r="919" spans="1:5" outlineLevel="1" x14ac:dyDescent="0.3">
      <c r="A919" t="s">
        <v>1566</v>
      </c>
      <c r="B919" t="s">
        <v>48</v>
      </c>
      <c r="C919" s="15" t="s">
        <v>10</v>
      </c>
      <c r="D919" s="15" t="s">
        <v>1567</v>
      </c>
      <c r="E919" t="s">
        <v>8696</v>
      </c>
    </row>
    <row r="920" spans="1:5" outlineLevel="1" x14ac:dyDescent="0.3">
      <c r="A920" t="s">
        <v>1568</v>
      </c>
      <c r="B920" t="s">
        <v>48</v>
      </c>
      <c r="C920" s="15" t="s">
        <v>10</v>
      </c>
      <c r="D920" s="15" t="s">
        <v>1567</v>
      </c>
      <c r="E920" t="s">
        <v>8696</v>
      </c>
    </row>
    <row r="921" spans="1:5" outlineLevel="1" x14ac:dyDescent="0.3">
      <c r="A921" t="s">
        <v>1569</v>
      </c>
      <c r="B921" t="s">
        <v>48</v>
      </c>
      <c r="C921" s="15" t="s">
        <v>10</v>
      </c>
      <c r="D921" s="15" t="s">
        <v>1570</v>
      </c>
      <c r="E921" t="s">
        <v>8714</v>
      </c>
    </row>
    <row r="922" spans="1:5" outlineLevel="1" x14ac:dyDescent="0.3">
      <c r="A922" t="s">
        <v>1571</v>
      </c>
      <c r="B922" t="s">
        <v>48</v>
      </c>
      <c r="C922" s="15" t="s">
        <v>10</v>
      </c>
      <c r="D922" s="15" t="s">
        <v>1572</v>
      </c>
      <c r="E922" t="s">
        <v>8802</v>
      </c>
    </row>
    <row r="923" spans="1:5" outlineLevel="1" x14ac:dyDescent="0.3">
      <c r="A923" t="s">
        <v>1573</v>
      </c>
      <c r="B923" t="s">
        <v>48</v>
      </c>
      <c r="C923" s="15" t="s">
        <v>8</v>
      </c>
      <c r="D923" s="15" t="s">
        <v>1574</v>
      </c>
      <c r="E923" t="s">
        <v>8789</v>
      </c>
    </row>
    <row r="924" spans="1:5" outlineLevel="1" x14ac:dyDescent="0.3">
      <c r="A924" t="s">
        <v>1575</v>
      </c>
      <c r="B924" t="s">
        <v>48</v>
      </c>
      <c r="C924" s="15" t="s">
        <v>10</v>
      </c>
      <c r="D924" s="15" t="s">
        <v>1576</v>
      </c>
      <c r="E924" t="s">
        <v>8702</v>
      </c>
    </row>
    <row r="925" spans="1:5" outlineLevel="1" x14ac:dyDescent="0.3">
      <c r="A925" t="s">
        <v>1577</v>
      </c>
      <c r="B925" t="s">
        <v>48</v>
      </c>
      <c r="C925" s="15" t="s">
        <v>10</v>
      </c>
      <c r="D925" s="15" t="s">
        <v>1576</v>
      </c>
      <c r="E925" t="s">
        <v>8702</v>
      </c>
    </row>
    <row r="926" spans="1:5" outlineLevel="1" x14ac:dyDescent="0.3">
      <c r="A926" t="s">
        <v>1578</v>
      </c>
      <c r="B926" t="s">
        <v>48</v>
      </c>
      <c r="C926" s="15" t="s">
        <v>10</v>
      </c>
      <c r="D926" s="15" t="s">
        <v>1576</v>
      </c>
      <c r="E926" t="s">
        <v>8702</v>
      </c>
    </row>
    <row r="927" spans="1:5" outlineLevel="1" x14ac:dyDescent="0.3">
      <c r="A927" t="s">
        <v>1579</v>
      </c>
      <c r="B927" t="s">
        <v>48</v>
      </c>
      <c r="C927" s="15" t="s">
        <v>10</v>
      </c>
      <c r="D927" s="15" t="s">
        <v>1576</v>
      </c>
      <c r="E927" t="s">
        <v>8702</v>
      </c>
    </row>
    <row r="928" spans="1:5" outlineLevel="1" x14ac:dyDescent="0.3">
      <c r="A928" t="s">
        <v>1580</v>
      </c>
      <c r="B928" t="s">
        <v>48</v>
      </c>
      <c r="C928" s="15" t="s">
        <v>10</v>
      </c>
      <c r="D928" s="15" t="s">
        <v>1581</v>
      </c>
      <c r="E928" t="s">
        <v>8699</v>
      </c>
    </row>
    <row r="929" spans="1:5" outlineLevel="1" x14ac:dyDescent="0.3">
      <c r="A929" t="s">
        <v>1582</v>
      </c>
      <c r="B929" t="s">
        <v>48</v>
      </c>
      <c r="C929" s="15" t="s">
        <v>8</v>
      </c>
      <c r="D929" s="15" t="s">
        <v>1583</v>
      </c>
      <c r="E929" t="s">
        <v>8789</v>
      </c>
    </row>
    <row r="930" spans="1:5" outlineLevel="1" x14ac:dyDescent="0.3">
      <c r="A930" t="s">
        <v>1584</v>
      </c>
      <c r="B930" t="s">
        <v>48</v>
      </c>
      <c r="C930" s="15" t="s">
        <v>8</v>
      </c>
      <c r="D930" s="15" t="s">
        <v>1585</v>
      </c>
      <c r="E930" t="s">
        <v>8714</v>
      </c>
    </row>
    <row r="931" spans="1:5" outlineLevel="1" x14ac:dyDescent="0.3">
      <c r="A931" t="s">
        <v>268</v>
      </c>
      <c r="B931" t="s">
        <v>269</v>
      </c>
      <c r="C931" s="26"/>
    </row>
    <row r="932" spans="1:5" outlineLevel="1" x14ac:dyDescent="0.3">
      <c r="A932" t="s">
        <v>1586</v>
      </c>
      <c r="B932" t="s">
        <v>269</v>
      </c>
      <c r="C932" s="15" t="s">
        <v>10</v>
      </c>
      <c r="D932" s="15" t="s">
        <v>1587</v>
      </c>
      <c r="E932" t="s">
        <v>8880</v>
      </c>
    </row>
    <row r="933" spans="1:5" outlineLevel="1" x14ac:dyDescent="0.3">
      <c r="A933" t="s">
        <v>1588</v>
      </c>
      <c r="B933" t="s">
        <v>269</v>
      </c>
      <c r="C933" s="15" t="s">
        <v>10</v>
      </c>
      <c r="D933" s="15" t="s">
        <v>1589</v>
      </c>
      <c r="E933" t="s">
        <v>8883</v>
      </c>
    </row>
    <row r="934" spans="1:5" outlineLevel="1" x14ac:dyDescent="0.3">
      <c r="A934" t="s">
        <v>1590</v>
      </c>
      <c r="B934" t="s">
        <v>269</v>
      </c>
      <c r="C934" s="15" t="s">
        <v>10</v>
      </c>
      <c r="D934" s="15" t="s">
        <v>1591</v>
      </c>
      <c r="E934" t="s">
        <v>8886</v>
      </c>
    </row>
    <row r="935" spans="1:5" outlineLevel="1" x14ac:dyDescent="0.3">
      <c r="A935" t="s">
        <v>1592</v>
      </c>
      <c r="B935" t="s">
        <v>269</v>
      </c>
      <c r="C935" s="15" t="s">
        <v>10</v>
      </c>
      <c r="D935" s="15" t="s">
        <v>1593</v>
      </c>
      <c r="E935" t="s">
        <v>8865</v>
      </c>
    </row>
    <row r="936" spans="1:5" outlineLevel="1" x14ac:dyDescent="0.3">
      <c r="A936" t="s">
        <v>1594</v>
      </c>
      <c r="B936" t="s">
        <v>269</v>
      </c>
      <c r="C936" s="15" t="s">
        <v>10</v>
      </c>
      <c r="D936" s="15" t="s">
        <v>1593</v>
      </c>
      <c r="E936" t="s">
        <v>8865</v>
      </c>
    </row>
    <row r="937" spans="1:5" outlineLevel="1" x14ac:dyDescent="0.3">
      <c r="A937" t="s">
        <v>1595</v>
      </c>
      <c r="B937" t="s">
        <v>269</v>
      </c>
      <c r="C937" s="15" t="s">
        <v>10</v>
      </c>
      <c r="D937" s="15" t="s">
        <v>1596</v>
      </c>
      <c r="E937" t="s">
        <v>8868</v>
      </c>
    </row>
    <row r="938" spans="1:5" outlineLevel="1" x14ac:dyDescent="0.3">
      <c r="A938" t="s">
        <v>1597</v>
      </c>
      <c r="B938" t="s">
        <v>269</v>
      </c>
      <c r="C938" s="15" t="s">
        <v>10</v>
      </c>
      <c r="D938" s="15" t="s">
        <v>1596</v>
      </c>
      <c r="E938" t="s">
        <v>8868</v>
      </c>
    </row>
    <row r="939" spans="1:5" outlineLevel="1" x14ac:dyDescent="0.3">
      <c r="A939" t="s">
        <v>1598</v>
      </c>
      <c r="B939" t="s">
        <v>269</v>
      </c>
      <c r="C939" s="15" t="s">
        <v>10</v>
      </c>
      <c r="D939" s="15" t="s">
        <v>1596</v>
      </c>
      <c r="E939" t="s">
        <v>8868</v>
      </c>
    </row>
    <row r="940" spans="1:5" outlineLevel="1" x14ac:dyDescent="0.3">
      <c r="A940" t="s">
        <v>1599</v>
      </c>
      <c r="B940" t="s">
        <v>269</v>
      </c>
      <c r="C940" s="15" t="s">
        <v>10</v>
      </c>
      <c r="D940" s="15" t="s">
        <v>1596</v>
      </c>
      <c r="E940" t="s">
        <v>8868</v>
      </c>
    </row>
    <row r="941" spans="1:5" outlineLevel="1" x14ac:dyDescent="0.3">
      <c r="A941" t="s">
        <v>1600</v>
      </c>
      <c r="B941" t="s">
        <v>269</v>
      </c>
      <c r="C941" s="15" t="s">
        <v>10</v>
      </c>
      <c r="D941" s="15" t="s">
        <v>1596</v>
      </c>
      <c r="E941" t="s">
        <v>8868</v>
      </c>
    </row>
    <row r="942" spans="1:5" outlineLevel="1" x14ac:dyDescent="0.3">
      <c r="A942" t="s">
        <v>1601</v>
      </c>
      <c r="B942" t="s">
        <v>269</v>
      </c>
      <c r="C942" s="15" t="s">
        <v>10</v>
      </c>
      <c r="D942" s="15" t="s">
        <v>1596</v>
      </c>
      <c r="E942" t="s">
        <v>8868</v>
      </c>
    </row>
    <row r="943" spans="1:5" outlineLevel="1" x14ac:dyDescent="0.3">
      <c r="A943" t="s">
        <v>1602</v>
      </c>
      <c r="B943" t="s">
        <v>269</v>
      </c>
      <c r="C943" s="15" t="s">
        <v>10</v>
      </c>
      <c r="D943" s="15" t="s">
        <v>1596</v>
      </c>
      <c r="E943" t="s">
        <v>8868</v>
      </c>
    </row>
    <row r="944" spans="1:5" outlineLevel="1" x14ac:dyDescent="0.3">
      <c r="A944" t="s">
        <v>1603</v>
      </c>
      <c r="B944" t="s">
        <v>269</v>
      </c>
      <c r="C944" s="15" t="s">
        <v>10</v>
      </c>
      <c r="D944" s="15" t="s">
        <v>1596</v>
      </c>
      <c r="E944" t="s">
        <v>8868</v>
      </c>
    </row>
    <row r="945" spans="1:5" outlineLevel="1" x14ac:dyDescent="0.3">
      <c r="A945" t="s">
        <v>1604</v>
      </c>
      <c r="B945" t="s">
        <v>269</v>
      </c>
      <c r="C945" s="15" t="s">
        <v>10</v>
      </c>
      <c r="D945" s="15" t="s">
        <v>1605</v>
      </c>
      <c r="E945" t="s">
        <v>8871</v>
      </c>
    </row>
    <row r="946" spans="1:5" outlineLevel="1" x14ac:dyDescent="0.3">
      <c r="A946" t="s">
        <v>1606</v>
      </c>
      <c r="B946" t="s">
        <v>269</v>
      </c>
      <c r="C946" s="15" t="s">
        <v>10</v>
      </c>
      <c r="D946" s="15" t="s">
        <v>1605</v>
      </c>
      <c r="E946" t="s">
        <v>8871</v>
      </c>
    </row>
    <row r="947" spans="1:5" outlineLevel="1" x14ac:dyDescent="0.3">
      <c r="A947" t="s">
        <v>1607</v>
      </c>
      <c r="B947" t="s">
        <v>269</v>
      </c>
      <c r="C947" s="15" t="s">
        <v>10</v>
      </c>
      <c r="D947" s="15" t="s">
        <v>1605</v>
      </c>
      <c r="E947" t="s">
        <v>8871</v>
      </c>
    </row>
    <row r="948" spans="1:5" outlineLevel="1" x14ac:dyDescent="0.3">
      <c r="A948" t="s">
        <v>1608</v>
      </c>
      <c r="B948" t="s">
        <v>269</v>
      </c>
      <c r="C948" s="15" t="s">
        <v>10</v>
      </c>
      <c r="D948" s="15" t="s">
        <v>1605</v>
      </c>
      <c r="E948" t="s">
        <v>8871</v>
      </c>
    </row>
    <row r="949" spans="1:5" outlineLevel="1" x14ac:dyDescent="0.3">
      <c r="A949" t="s">
        <v>1609</v>
      </c>
      <c r="B949" t="s">
        <v>269</v>
      </c>
      <c r="C949" s="15" t="s">
        <v>10</v>
      </c>
      <c r="D949" s="15" t="s">
        <v>1605</v>
      </c>
      <c r="E949" t="s">
        <v>8871</v>
      </c>
    </row>
    <row r="950" spans="1:5" outlineLevel="1" x14ac:dyDescent="0.3">
      <c r="A950" t="s">
        <v>1610</v>
      </c>
      <c r="B950" t="s">
        <v>269</v>
      </c>
      <c r="C950" s="15" t="s">
        <v>10</v>
      </c>
      <c r="D950" s="15" t="s">
        <v>1605</v>
      </c>
      <c r="E950" t="s">
        <v>8871</v>
      </c>
    </row>
    <row r="951" spans="1:5" outlineLevel="1" x14ac:dyDescent="0.3">
      <c r="A951" t="s">
        <v>1611</v>
      </c>
      <c r="B951" t="s">
        <v>269</v>
      </c>
      <c r="C951" s="15" t="s">
        <v>10</v>
      </c>
      <c r="D951" s="15" t="s">
        <v>1605</v>
      </c>
      <c r="E951" t="s">
        <v>8871</v>
      </c>
    </row>
    <row r="952" spans="1:5" outlineLevel="1" x14ac:dyDescent="0.3">
      <c r="A952" t="s">
        <v>1612</v>
      </c>
      <c r="B952" t="s">
        <v>269</v>
      </c>
      <c r="C952" s="15" t="s">
        <v>10</v>
      </c>
      <c r="D952" s="15" t="s">
        <v>1605</v>
      </c>
      <c r="E952" t="s">
        <v>8871</v>
      </c>
    </row>
    <row r="953" spans="1:5" outlineLevel="1" x14ac:dyDescent="0.3">
      <c r="A953" t="s">
        <v>1613</v>
      </c>
      <c r="B953" t="s">
        <v>269</v>
      </c>
      <c r="C953" s="15" t="s">
        <v>10</v>
      </c>
      <c r="D953" s="15" t="s">
        <v>1614</v>
      </c>
      <c r="E953" t="s">
        <v>8889</v>
      </c>
    </row>
    <row r="954" spans="1:5" outlineLevel="1" x14ac:dyDescent="0.3">
      <c r="A954" t="s">
        <v>1615</v>
      </c>
      <c r="B954" t="s">
        <v>269</v>
      </c>
      <c r="C954" s="15" t="s">
        <v>10</v>
      </c>
      <c r="D954" s="15" t="s">
        <v>1616</v>
      </c>
      <c r="E954" t="s">
        <v>8875</v>
      </c>
    </row>
    <row r="955" spans="1:5" outlineLevel="1" x14ac:dyDescent="0.3">
      <c r="A955" t="s">
        <v>1617</v>
      </c>
      <c r="B955" t="s">
        <v>269</v>
      </c>
      <c r="C955" s="15" t="s">
        <v>10</v>
      </c>
      <c r="D955" s="15" t="s">
        <v>1616</v>
      </c>
      <c r="E955" t="s">
        <v>8875</v>
      </c>
    </row>
    <row r="956" spans="1:5" outlineLevel="1" x14ac:dyDescent="0.3">
      <c r="A956" t="s">
        <v>1618</v>
      </c>
      <c r="B956" t="s">
        <v>269</v>
      </c>
      <c r="C956" s="15" t="s">
        <v>10</v>
      </c>
      <c r="D956" s="15" t="s">
        <v>1616</v>
      </c>
      <c r="E956" t="s">
        <v>8875</v>
      </c>
    </row>
    <row r="957" spans="1:5" outlineLevel="1" x14ac:dyDescent="0.3">
      <c r="A957" t="s">
        <v>1619</v>
      </c>
      <c r="B957" t="s">
        <v>269</v>
      </c>
      <c r="C957" s="15" t="s">
        <v>10</v>
      </c>
      <c r="D957" s="15" t="s">
        <v>1616</v>
      </c>
      <c r="E957" t="s">
        <v>8875</v>
      </c>
    </row>
    <row r="958" spans="1:5" outlineLevel="1" x14ac:dyDescent="0.3">
      <c r="A958" t="s">
        <v>1620</v>
      </c>
      <c r="B958" t="s">
        <v>269</v>
      </c>
      <c r="C958" s="15" t="s">
        <v>10</v>
      </c>
      <c r="D958" s="15" t="s">
        <v>1621</v>
      </c>
      <c r="E958" t="s">
        <v>8919</v>
      </c>
    </row>
    <row r="959" spans="1:5" outlineLevel="1" x14ac:dyDescent="0.3">
      <c r="A959" t="s">
        <v>1622</v>
      </c>
      <c r="B959" t="s">
        <v>269</v>
      </c>
      <c r="C959" s="15" t="s">
        <v>10</v>
      </c>
      <c r="D959" s="15" t="s">
        <v>1621</v>
      </c>
      <c r="E959" t="s">
        <v>8919</v>
      </c>
    </row>
    <row r="960" spans="1:5" outlineLevel="1" x14ac:dyDescent="0.3">
      <c r="A960" t="s">
        <v>1623</v>
      </c>
      <c r="B960" t="s">
        <v>269</v>
      </c>
      <c r="C960" s="15" t="s">
        <v>10</v>
      </c>
      <c r="D960" s="15" t="s">
        <v>1624</v>
      </c>
      <c r="E960" t="s">
        <v>8923</v>
      </c>
    </row>
    <row r="961" spans="1:5" outlineLevel="1" x14ac:dyDescent="0.3">
      <c r="A961" t="s">
        <v>1625</v>
      </c>
      <c r="B961" t="s">
        <v>269</v>
      </c>
      <c r="C961" s="15" t="s">
        <v>10</v>
      </c>
      <c r="D961" s="15" t="s">
        <v>1624</v>
      </c>
      <c r="E961" t="s">
        <v>8923</v>
      </c>
    </row>
    <row r="962" spans="1:5" outlineLevel="1" x14ac:dyDescent="0.3">
      <c r="A962" t="s">
        <v>1626</v>
      </c>
      <c r="B962" t="s">
        <v>269</v>
      </c>
      <c r="C962" s="15" t="s">
        <v>8</v>
      </c>
      <c r="D962" s="15" t="s">
        <v>1627</v>
      </c>
      <c r="E962" t="s">
        <v>8895</v>
      </c>
    </row>
    <row r="963" spans="1:5" outlineLevel="1" x14ac:dyDescent="0.3">
      <c r="A963" t="s">
        <v>1628</v>
      </c>
      <c r="B963" t="s">
        <v>269</v>
      </c>
      <c r="C963" s="15" t="s">
        <v>10</v>
      </c>
      <c r="D963" s="15" t="s">
        <v>1629</v>
      </c>
      <c r="E963" t="s">
        <v>8908</v>
      </c>
    </row>
    <row r="964" spans="1:5" outlineLevel="1" x14ac:dyDescent="0.3">
      <c r="A964" t="s">
        <v>1630</v>
      </c>
      <c r="B964" t="s">
        <v>269</v>
      </c>
      <c r="C964" s="15" t="s">
        <v>10</v>
      </c>
      <c r="D964" s="15" t="s">
        <v>1629</v>
      </c>
      <c r="E964" t="s">
        <v>8908</v>
      </c>
    </row>
    <row r="965" spans="1:5" outlineLevel="1" x14ac:dyDescent="0.3">
      <c r="A965" t="s">
        <v>1631</v>
      </c>
      <c r="B965" t="s">
        <v>269</v>
      </c>
      <c r="C965" s="15" t="s">
        <v>10</v>
      </c>
      <c r="D965" s="15" t="s">
        <v>1629</v>
      </c>
      <c r="E965" t="s">
        <v>8908</v>
      </c>
    </row>
    <row r="966" spans="1:5" outlineLevel="1" x14ac:dyDescent="0.3">
      <c r="A966" t="s">
        <v>1632</v>
      </c>
      <c r="B966" t="s">
        <v>269</v>
      </c>
      <c r="C966" s="15" t="s">
        <v>10</v>
      </c>
      <c r="D966" s="15" t="s">
        <v>1633</v>
      </c>
      <c r="E966" t="s">
        <v>8908</v>
      </c>
    </row>
    <row r="967" spans="1:5" outlineLevel="1" x14ac:dyDescent="0.3">
      <c r="A967" t="s">
        <v>1634</v>
      </c>
      <c r="B967" t="s">
        <v>269</v>
      </c>
      <c r="C967" s="15" t="s">
        <v>10</v>
      </c>
      <c r="D967" s="15" t="s">
        <v>1633</v>
      </c>
      <c r="E967" t="s">
        <v>8908</v>
      </c>
    </row>
    <row r="968" spans="1:5" outlineLevel="1" x14ac:dyDescent="0.3">
      <c r="A968" t="s">
        <v>1635</v>
      </c>
      <c r="B968" t="s">
        <v>269</v>
      </c>
      <c r="C968" s="15" t="s">
        <v>10</v>
      </c>
      <c r="D968" s="15" t="s">
        <v>1633</v>
      </c>
      <c r="E968" t="s">
        <v>8908</v>
      </c>
    </row>
    <row r="969" spans="1:5" outlineLevel="1" x14ac:dyDescent="0.3">
      <c r="A969" t="s">
        <v>1636</v>
      </c>
      <c r="B969" t="s">
        <v>269</v>
      </c>
      <c r="C969" s="15" t="s">
        <v>10</v>
      </c>
      <c r="D969" s="15" t="s">
        <v>1637</v>
      </c>
      <c r="E969" t="s">
        <v>8911</v>
      </c>
    </row>
    <row r="970" spans="1:5" outlineLevel="1" x14ac:dyDescent="0.3">
      <c r="A970" t="s">
        <v>1638</v>
      </c>
      <c r="B970" t="s">
        <v>269</v>
      </c>
      <c r="C970" s="15" t="s">
        <v>10</v>
      </c>
      <c r="D970" s="15" t="s">
        <v>1639</v>
      </c>
      <c r="E970" t="s">
        <v>9147</v>
      </c>
    </row>
    <row r="971" spans="1:5" outlineLevel="1" x14ac:dyDescent="0.3">
      <c r="A971" t="s">
        <v>1640</v>
      </c>
      <c r="B971" t="s">
        <v>269</v>
      </c>
      <c r="C971" s="15" t="s">
        <v>10</v>
      </c>
      <c r="D971" s="15" t="s">
        <v>1639</v>
      </c>
      <c r="E971" t="s">
        <v>9147</v>
      </c>
    </row>
    <row r="972" spans="1:5" outlineLevel="1" x14ac:dyDescent="0.3">
      <c r="A972" t="s">
        <v>1641</v>
      </c>
      <c r="B972" t="s">
        <v>269</v>
      </c>
      <c r="C972" s="15" t="s">
        <v>10</v>
      </c>
      <c r="D972" s="15" t="s">
        <v>1642</v>
      </c>
      <c r="E972" t="s">
        <v>9147</v>
      </c>
    </row>
    <row r="973" spans="1:5" outlineLevel="1" x14ac:dyDescent="0.3">
      <c r="A973" t="s">
        <v>1643</v>
      </c>
      <c r="B973" t="s">
        <v>269</v>
      </c>
      <c r="C973" s="15" t="s">
        <v>10</v>
      </c>
      <c r="D973" s="15" t="s">
        <v>1642</v>
      </c>
      <c r="E973" t="s">
        <v>9147</v>
      </c>
    </row>
    <row r="974" spans="1:5" outlineLevel="1" x14ac:dyDescent="0.3">
      <c r="A974" t="s">
        <v>1644</v>
      </c>
      <c r="B974" t="s">
        <v>269</v>
      </c>
      <c r="C974" s="15" t="s">
        <v>10</v>
      </c>
      <c r="D974" s="15" t="s">
        <v>1645</v>
      </c>
      <c r="E974" t="s">
        <v>9000</v>
      </c>
    </row>
    <row r="975" spans="1:5" outlineLevel="1" x14ac:dyDescent="0.3">
      <c r="A975" t="s">
        <v>1646</v>
      </c>
      <c r="B975" t="s">
        <v>269</v>
      </c>
      <c r="C975" s="15" t="s">
        <v>10</v>
      </c>
      <c r="D975" s="15" t="s">
        <v>1647</v>
      </c>
      <c r="E975" t="s">
        <v>8997</v>
      </c>
    </row>
    <row r="976" spans="1:5" outlineLevel="1" x14ac:dyDescent="0.3">
      <c r="A976" t="s">
        <v>1648</v>
      </c>
      <c r="B976" t="s">
        <v>269</v>
      </c>
      <c r="C976" s="15" t="s">
        <v>10</v>
      </c>
      <c r="D976" s="15" t="s">
        <v>1649</v>
      </c>
      <c r="E976" t="s">
        <v>8848</v>
      </c>
    </row>
    <row r="977" spans="1:5" outlineLevel="1" x14ac:dyDescent="0.3">
      <c r="A977" t="s">
        <v>1650</v>
      </c>
      <c r="B977" t="s">
        <v>269</v>
      </c>
      <c r="C977" s="15" t="s">
        <v>10</v>
      </c>
      <c r="D977" s="15" t="s">
        <v>1637</v>
      </c>
      <c r="E977" t="s">
        <v>8911</v>
      </c>
    </row>
    <row r="978" spans="1:5" outlineLevel="1" x14ac:dyDescent="0.3">
      <c r="A978" t="s">
        <v>1651</v>
      </c>
      <c r="B978" t="s">
        <v>269</v>
      </c>
      <c r="C978" s="15" t="s">
        <v>10</v>
      </c>
      <c r="D978" s="15" t="s">
        <v>1649</v>
      </c>
      <c r="E978" t="s">
        <v>8848</v>
      </c>
    </row>
    <row r="979" spans="1:5" outlineLevel="1" x14ac:dyDescent="0.3">
      <c r="A979" t="s">
        <v>1652</v>
      </c>
      <c r="B979" t="s">
        <v>269</v>
      </c>
      <c r="C979" s="15" t="s">
        <v>10</v>
      </c>
      <c r="D979" s="15" t="s">
        <v>1653</v>
      </c>
      <c r="E979" t="s">
        <v>8898</v>
      </c>
    </row>
    <row r="980" spans="1:5" outlineLevel="1" x14ac:dyDescent="0.3">
      <c r="A980" t="s">
        <v>1654</v>
      </c>
      <c r="B980" t="s">
        <v>269</v>
      </c>
      <c r="C980" s="15" t="s">
        <v>10</v>
      </c>
      <c r="D980" s="15" t="s">
        <v>1653</v>
      </c>
      <c r="E980" t="s">
        <v>8898</v>
      </c>
    </row>
    <row r="981" spans="1:5" outlineLevel="1" x14ac:dyDescent="0.3">
      <c r="A981" t="s">
        <v>1655</v>
      </c>
      <c r="B981" t="s">
        <v>269</v>
      </c>
      <c r="C981" s="15" t="s">
        <v>10</v>
      </c>
      <c r="D981" s="15" t="s">
        <v>1653</v>
      </c>
      <c r="E981" t="s">
        <v>8898</v>
      </c>
    </row>
    <row r="982" spans="1:5" outlineLevel="1" x14ac:dyDescent="0.3">
      <c r="A982" t="s">
        <v>1656</v>
      </c>
      <c r="B982" t="s">
        <v>269</v>
      </c>
      <c r="C982" s="15" t="s">
        <v>10</v>
      </c>
      <c r="D982" s="15" t="s">
        <v>9195</v>
      </c>
      <c r="E982" t="s">
        <v>9182</v>
      </c>
    </row>
    <row r="983" spans="1:5" outlineLevel="1" x14ac:dyDescent="0.3">
      <c r="A983" t="s">
        <v>1657</v>
      </c>
      <c r="B983" t="s">
        <v>269</v>
      </c>
      <c r="C983" s="15" t="s">
        <v>10</v>
      </c>
      <c r="D983" s="15" t="s">
        <v>9195</v>
      </c>
      <c r="E983" t="s">
        <v>9182</v>
      </c>
    </row>
    <row r="984" spans="1:5" outlineLevel="1" x14ac:dyDescent="0.3">
      <c r="A984" t="s">
        <v>1658</v>
      </c>
      <c r="B984" t="s">
        <v>269</v>
      </c>
      <c r="C984" s="15" t="s">
        <v>10</v>
      </c>
      <c r="D984" s="15" t="s">
        <v>9195</v>
      </c>
      <c r="E984" t="s">
        <v>9182</v>
      </c>
    </row>
    <row r="985" spans="1:5" outlineLevel="1" x14ac:dyDescent="0.3">
      <c r="A985" t="s">
        <v>1659</v>
      </c>
      <c r="B985" t="s">
        <v>269</v>
      </c>
      <c r="C985" s="15" t="s">
        <v>10</v>
      </c>
      <c r="D985" s="15" t="s">
        <v>9195</v>
      </c>
      <c r="E985" t="s">
        <v>9182</v>
      </c>
    </row>
    <row r="986" spans="1:5" outlineLevel="1" x14ac:dyDescent="0.3">
      <c r="A986" t="s">
        <v>1660</v>
      </c>
      <c r="B986" t="s">
        <v>269</v>
      </c>
      <c r="C986" s="15" t="s">
        <v>10</v>
      </c>
      <c r="D986" s="15" t="s">
        <v>9195</v>
      </c>
      <c r="E986" t="s">
        <v>9182</v>
      </c>
    </row>
    <row r="987" spans="1:5" outlineLevel="1" x14ac:dyDescent="0.3">
      <c r="A987" t="s">
        <v>1661</v>
      </c>
      <c r="B987" t="s">
        <v>269</v>
      </c>
      <c r="C987" s="15" t="s">
        <v>10</v>
      </c>
      <c r="D987" s="15" t="s">
        <v>9195</v>
      </c>
      <c r="E987" t="s">
        <v>9182</v>
      </c>
    </row>
    <row r="988" spans="1:5" outlineLevel="1" x14ac:dyDescent="0.3">
      <c r="A988" t="s">
        <v>1662</v>
      </c>
      <c r="B988" t="s">
        <v>269</v>
      </c>
      <c r="C988" s="15" t="s">
        <v>10</v>
      </c>
      <c r="D988" s="15" t="s">
        <v>1663</v>
      </c>
      <c r="E988" t="s">
        <v>8842</v>
      </c>
    </row>
    <row r="989" spans="1:5" outlineLevel="1" x14ac:dyDescent="0.3">
      <c r="A989" t="s">
        <v>1664</v>
      </c>
      <c r="B989" t="s">
        <v>269</v>
      </c>
      <c r="C989" s="15" t="s">
        <v>10</v>
      </c>
      <c r="D989" s="15" t="s">
        <v>1663</v>
      </c>
      <c r="E989" t="s">
        <v>8842</v>
      </c>
    </row>
    <row r="990" spans="1:5" outlineLevel="1" x14ac:dyDescent="0.3">
      <c r="A990" t="s">
        <v>1665</v>
      </c>
      <c r="B990" t="s">
        <v>269</v>
      </c>
      <c r="C990" s="15" t="s">
        <v>10</v>
      </c>
      <c r="D990" s="15" t="s">
        <v>1663</v>
      </c>
      <c r="E990" t="s">
        <v>8842</v>
      </c>
    </row>
    <row r="991" spans="1:5" outlineLevel="1" x14ac:dyDescent="0.3">
      <c r="A991" t="s">
        <v>1666</v>
      </c>
      <c r="B991" t="s">
        <v>269</v>
      </c>
      <c r="C991" s="15" t="s">
        <v>10</v>
      </c>
      <c r="D991" s="15" t="s">
        <v>1663</v>
      </c>
      <c r="E991" t="s">
        <v>8842</v>
      </c>
    </row>
    <row r="992" spans="1:5" outlineLevel="1" x14ac:dyDescent="0.3">
      <c r="A992" t="s">
        <v>1667</v>
      </c>
      <c r="B992" t="s">
        <v>269</v>
      </c>
      <c r="C992" s="15" t="s">
        <v>10</v>
      </c>
      <c r="D992" s="15" t="s">
        <v>1663</v>
      </c>
      <c r="E992" t="s">
        <v>8842</v>
      </c>
    </row>
    <row r="993" spans="1:5" outlineLevel="1" x14ac:dyDescent="0.3">
      <c r="A993" t="s">
        <v>1668</v>
      </c>
      <c r="B993" t="s">
        <v>269</v>
      </c>
      <c r="C993" s="15" t="s">
        <v>10</v>
      </c>
      <c r="D993" s="15" t="s">
        <v>1663</v>
      </c>
      <c r="E993" t="s">
        <v>8842</v>
      </c>
    </row>
    <row r="994" spans="1:5" outlineLevel="1" x14ac:dyDescent="0.3">
      <c r="A994" t="s">
        <v>1669</v>
      </c>
      <c r="B994" t="s">
        <v>269</v>
      </c>
      <c r="C994" s="15" t="s">
        <v>10</v>
      </c>
      <c r="D994" s="15" t="s">
        <v>1663</v>
      </c>
      <c r="E994" t="s">
        <v>8842</v>
      </c>
    </row>
    <row r="995" spans="1:5" outlineLevel="1" x14ac:dyDescent="0.3">
      <c r="A995" t="s">
        <v>1670</v>
      </c>
      <c r="B995" t="s">
        <v>269</v>
      </c>
      <c r="C995" s="15" t="s">
        <v>10</v>
      </c>
      <c r="D995" s="15" t="s">
        <v>1663</v>
      </c>
      <c r="E995" t="s">
        <v>8842</v>
      </c>
    </row>
    <row r="996" spans="1:5" outlineLevel="1" x14ac:dyDescent="0.3">
      <c r="A996" t="s">
        <v>1671</v>
      </c>
      <c r="B996" t="s">
        <v>269</v>
      </c>
      <c r="C996" s="15" t="s">
        <v>10</v>
      </c>
      <c r="D996" s="15" t="s">
        <v>1663</v>
      </c>
      <c r="E996" t="s">
        <v>8842</v>
      </c>
    </row>
    <row r="997" spans="1:5" outlineLevel="1" x14ac:dyDescent="0.3">
      <c r="A997" t="s">
        <v>1672</v>
      </c>
      <c r="B997" t="s">
        <v>269</v>
      </c>
      <c r="C997" s="15" t="s">
        <v>10</v>
      </c>
      <c r="D997" s="15" t="s">
        <v>1673</v>
      </c>
      <c r="E997" t="s">
        <v>8845</v>
      </c>
    </row>
    <row r="998" spans="1:5" outlineLevel="1" x14ac:dyDescent="0.3">
      <c r="A998" t="s">
        <v>1674</v>
      </c>
      <c r="B998" t="s">
        <v>269</v>
      </c>
      <c r="C998" s="15" t="s">
        <v>10</v>
      </c>
      <c r="D998" s="15" t="s">
        <v>1673</v>
      </c>
      <c r="E998" t="s">
        <v>8845</v>
      </c>
    </row>
    <row r="999" spans="1:5" outlineLevel="1" x14ac:dyDescent="0.3">
      <c r="A999" t="s">
        <v>1675</v>
      </c>
      <c r="B999" t="s">
        <v>269</v>
      </c>
      <c r="C999" s="15" t="s">
        <v>10</v>
      </c>
      <c r="D999" s="15" t="s">
        <v>1676</v>
      </c>
      <c r="E999" t="s">
        <v>8851</v>
      </c>
    </row>
    <row r="1000" spans="1:5" outlineLevel="1" x14ac:dyDescent="0.3">
      <c r="A1000" t="s">
        <v>1677</v>
      </c>
      <c r="B1000" t="s">
        <v>269</v>
      </c>
      <c r="C1000" s="15" t="s">
        <v>10</v>
      </c>
      <c r="D1000" s="15" t="s">
        <v>1678</v>
      </c>
      <c r="E1000" t="s">
        <v>8854</v>
      </c>
    </row>
    <row r="1001" spans="1:5" outlineLevel="1" x14ac:dyDescent="0.3">
      <c r="A1001" t="s">
        <v>1679</v>
      </c>
      <c r="B1001" t="s">
        <v>269</v>
      </c>
      <c r="C1001" s="15" t="s">
        <v>10</v>
      </c>
      <c r="D1001" s="15" t="s">
        <v>1680</v>
      </c>
      <c r="E1001" t="s">
        <v>8857</v>
      </c>
    </row>
    <row r="1002" spans="1:5" outlineLevel="1" x14ac:dyDescent="0.3">
      <c r="A1002" t="s">
        <v>1681</v>
      </c>
      <c r="B1002" t="s">
        <v>269</v>
      </c>
      <c r="C1002" s="15" t="s">
        <v>10</v>
      </c>
      <c r="D1002" s="15" t="s">
        <v>1682</v>
      </c>
      <c r="E1002" t="s">
        <v>8857</v>
      </c>
    </row>
    <row r="1003" spans="1:5" outlineLevel="1" x14ac:dyDescent="0.3">
      <c r="A1003" t="s">
        <v>1683</v>
      </c>
      <c r="B1003" t="s">
        <v>269</v>
      </c>
      <c r="C1003" s="15" t="s">
        <v>10</v>
      </c>
      <c r="D1003" s="15" t="s">
        <v>1684</v>
      </c>
      <c r="E1003" t="s">
        <v>8862</v>
      </c>
    </row>
    <row r="1004" spans="1:5" outlineLevel="1" x14ac:dyDescent="0.3">
      <c r="A1004" t="s">
        <v>1685</v>
      </c>
      <c r="B1004" t="s">
        <v>269</v>
      </c>
      <c r="C1004" s="15" t="s">
        <v>10</v>
      </c>
      <c r="D1004" s="15" t="s">
        <v>1684</v>
      </c>
      <c r="E1004" t="s">
        <v>8862</v>
      </c>
    </row>
    <row r="1005" spans="1:5" outlineLevel="1" x14ac:dyDescent="0.3">
      <c r="A1005" t="s">
        <v>1686</v>
      </c>
      <c r="B1005" t="s">
        <v>269</v>
      </c>
      <c r="C1005" s="15" t="s">
        <v>10</v>
      </c>
      <c r="D1005" s="15" t="s">
        <v>1684</v>
      </c>
      <c r="E1005" t="s">
        <v>8862</v>
      </c>
    </row>
    <row r="1006" spans="1:5" outlineLevel="1" x14ac:dyDescent="0.3">
      <c r="A1006" t="s">
        <v>1687</v>
      </c>
      <c r="B1006" t="s">
        <v>269</v>
      </c>
      <c r="C1006" s="15" t="s">
        <v>10</v>
      </c>
      <c r="D1006" s="15" t="s">
        <v>1684</v>
      </c>
      <c r="E1006" t="s">
        <v>8862</v>
      </c>
    </row>
    <row r="1007" spans="1:5" outlineLevel="1" x14ac:dyDescent="0.3">
      <c r="A1007" t="s">
        <v>1688</v>
      </c>
      <c r="B1007" t="s">
        <v>269</v>
      </c>
      <c r="C1007" s="15" t="s">
        <v>10</v>
      </c>
      <c r="D1007" s="15" t="s">
        <v>1684</v>
      </c>
      <c r="E1007" t="s">
        <v>8862</v>
      </c>
    </row>
    <row r="1008" spans="1:5" outlineLevel="1" x14ac:dyDescent="0.3">
      <c r="A1008" t="s">
        <v>1689</v>
      </c>
      <c r="B1008" t="s">
        <v>269</v>
      </c>
      <c r="C1008" s="15" t="s">
        <v>10</v>
      </c>
      <c r="D1008" s="15" t="s">
        <v>1690</v>
      </c>
      <c r="E1008" t="s">
        <v>9031</v>
      </c>
    </row>
    <row r="1009" spans="1:5" outlineLevel="1" x14ac:dyDescent="0.3">
      <c r="A1009" t="s">
        <v>1691</v>
      </c>
      <c r="B1009" t="s">
        <v>269</v>
      </c>
      <c r="C1009" s="15" t="s">
        <v>10</v>
      </c>
      <c r="D1009" s="15" t="s">
        <v>1692</v>
      </c>
      <c r="E1009" t="s">
        <v>9034</v>
      </c>
    </row>
    <row r="1010" spans="1:5" outlineLevel="1" x14ac:dyDescent="0.3">
      <c r="A1010" t="s">
        <v>1693</v>
      </c>
      <c r="B1010" t="s">
        <v>269</v>
      </c>
      <c r="C1010" s="15" t="s">
        <v>10</v>
      </c>
      <c r="D1010" s="15" t="s">
        <v>1694</v>
      </c>
      <c r="E1010" t="s">
        <v>9037</v>
      </c>
    </row>
    <row r="1011" spans="1:5" outlineLevel="1" x14ac:dyDescent="0.3">
      <c r="A1011" t="s">
        <v>1695</v>
      </c>
      <c r="B1011" t="s">
        <v>269</v>
      </c>
      <c r="C1011" s="15" t="s">
        <v>10</v>
      </c>
      <c r="D1011" s="15" t="s">
        <v>1696</v>
      </c>
      <c r="E1011" t="s">
        <v>9040</v>
      </c>
    </row>
    <row r="1012" spans="1:5" outlineLevel="1" x14ac:dyDescent="0.3">
      <c r="A1012" t="s">
        <v>1697</v>
      </c>
      <c r="B1012" t="s">
        <v>269</v>
      </c>
      <c r="C1012" s="15" t="s">
        <v>10</v>
      </c>
      <c r="D1012" s="15" t="s">
        <v>1698</v>
      </c>
      <c r="E1012" t="s">
        <v>9185</v>
      </c>
    </row>
    <row r="1013" spans="1:5" outlineLevel="1" x14ac:dyDescent="0.3">
      <c r="A1013" t="s">
        <v>1699</v>
      </c>
      <c r="B1013" t="s">
        <v>269</v>
      </c>
      <c r="C1013" s="15" t="s">
        <v>10</v>
      </c>
      <c r="D1013" s="15" t="s">
        <v>1700</v>
      </c>
      <c r="E1013" t="s">
        <v>9044</v>
      </c>
    </row>
    <row r="1014" spans="1:5" outlineLevel="1" x14ac:dyDescent="0.3">
      <c r="A1014" t="s">
        <v>1701</v>
      </c>
      <c r="B1014" t="s">
        <v>269</v>
      </c>
      <c r="C1014" s="15" t="s">
        <v>10</v>
      </c>
      <c r="D1014" s="15" t="s">
        <v>1702</v>
      </c>
      <c r="E1014" t="s">
        <v>9050</v>
      </c>
    </row>
    <row r="1015" spans="1:5" outlineLevel="1" x14ac:dyDescent="0.3">
      <c r="A1015" t="s">
        <v>1703</v>
      </c>
      <c r="B1015" t="s">
        <v>269</v>
      </c>
      <c r="C1015" s="15" t="s">
        <v>10</v>
      </c>
      <c r="D1015" s="15" t="s">
        <v>1704</v>
      </c>
      <c r="E1015" t="s">
        <v>9228</v>
      </c>
    </row>
    <row r="1016" spans="1:5" outlineLevel="1" x14ac:dyDescent="0.3">
      <c r="A1016" t="s">
        <v>1705</v>
      </c>
      <c r="B1016" t="s">
        <v>269</v>
      </c>
      <c r="C1016" s="15" t="s">
        <v>10</v>
      </c>
      <c r="D1016" s="15" t="s">
        <v>1706</v>
      </c>
      <c r="E1016" t="s">
        <v>9047</v>
      </c>
    </row>
    <row r="1017" spans="1:5" outlineLevel="1" x14ac:dyDescent="0.3">
      <c r="A1017" t="s">
        <v>1707</v>
      </c>
      <c r="B1017" t="s">
        <v>269</v>
      </c>
      <c r="C1017" s="15" t="s">
        <v>10</v>
      </c>
      <c r="D1017" s="15" t="s">
        <v>1708</v>
      </c>
      <c r="E1017" t="s">
        <v>9228</v>
      </c>
    </row>
    <row r="1018" spans="1:5" outlineLevel="1" x14ac:dyDescent="0.3">
      <c r="A1018" t="s">
        <v>1709</v>
      </c>
      <c r="B1018" t="s">
        <v>269</v>
      </c>
      <c r="C1018" s="15" t="s">
        <v>8</v>
      </c>
      <c r="D1018" s="15" t="s">
        <v>1710</v>
      </c>
      <c r="E1018" t="s">
        <v>9074</v>
      </c>
    </row>
    <row r="1019" spans="1:5" outlineLevel="1" x14ac:dyDescent="0.3">
      <c r="A1019" t="s">
        <v>1711</v>
      </c>
      <c r="B1019" t="s">
        <v>269</v>
      </c>
      <c r="C1019" s="15" t="s">
        <v>8</v>
      </c>
      <c r="D1019" s="15" t="s">
        <v>1710</v>
      </c>
      <c r="E1019" t="s">
        <v>9074</v>
      </c>
    </row>
    <row r="1020" spans="1:5" outlineLevel="1" x14ac:dyDescent="0.3">
      <c r="A1020" t="s">
        <v>1712</v>
      </c>
      <c r="B1020" t="s">
        <v>269</v>
      </c>
      <c r="C1020" s="15" t="s">
        <v>10</v>
      </c>
      <c r="D1020" s="15" t="s">
        <v>1713</v>
      </c>
      <c r="E1020" t="s">
        <v>9071</v>
      </c>
    </row>
    <row r="1021" spans="1:5" outlineLevel="1" x14ac:dyDescent="0.3">
      <c r="A1021" t="s">
        <v>1714</v>
      </c>
      <c r="B1021" t="s">
        <v>269</v>
      </c>
      <c r="C1021" s="15" t="s">
        <v>10</v>
      </c>
      <c r="D1021" s="15" t="s">
        <v>1715</v>
      </c>
      <c r="E1021" t="s">
        <v>9065</v>
      </c>
    </row>
    <row r="1022" spans="1:5" outlineLevel="1" x14ac:dyDescent="0.3">
      <c r="A1022" t="s">
        <v>1716</v>
      </c>
      <c r="B1022" t="s">
        <v>269</v>
      </c>
      <c r="C1022" s="15" t="s">
        <v>10</v>
      </c>
      <c r="D1022" s="15" t="s">
        <v>1717</v>
      </c>
      <c r="E1022" t="s">
        <v>9056</v>
      </c>
    </row>
    <row r="1023" spans="1:5" outlineLevel="1" x14ac:dyDescent="0.3">
      <c r="A1023" t="s">
        <v>1718</v>
      </c>
      <c r="B1023" t="s">
        <v>269</v>
      </c>
      <c r="C1023" s="15" t="s">
        <v>10</v>
      </c>
      <c r="D1023" s="15" t="s">
        <v>1719</v>
      </c>
      <c r="E1023" t="s">
        <v>9056</v>
      </c>
    </row>
    <row r="1024" spans="1:5" outlineLevel="1" x14ac:dyDescent="0.3">
      <c r="A1024" t="s">
        <v>1720</v>
      </c>
      <c r="B1024" t="s">
        <v>269</v>
      </c>
      <c r="C1024" s="15" t="s">
        <v>10</v>
      </c>
      <c r="D1024" s="15" t="s">
        <v>1721</v>
      </c>
      <c r="E1024" t="s">
        <v>9059</v>
      </c>
    </row>
    <row r="1025" spans="1:5" outlineLevel="1" x14ac:dyDescent="0.3">
      <c r="A1025" t="s">
        <v>1722</v>
      </c>
      <c r="B1025" t="s">
        <v>269</v>
      </c>
      <c r="C1025" s="15" t="s">
        <v>10</v>
      </c>
      <c r="D1025" s="15" t="s">
        <v>1723</v>
      </c>
      <c r="E1025" t="s">
        <v>9062</v>
      </c>
    </row>
    <row r="1026" spans="1:5" outlineLevel="1" x14ac:dyDescent="0.3">
      <c r="A1026" t="s">
        <v>1724</v>
      </c>
      <c r="B1026" t="s">
        <v>269</v>
      </c>
      <c r="C1026" s="15" t="s">
        <v>10</v>
      </c>
      <c r="D1026" s="15" t="s">
        <v>1715</v>
      </c>
      <c r="E1026" t="s">
        <v>9065</v>
      </c>
    </row>
    <row r="1027" spans="1:5" outlineLevel="1" x14ac:dyDescent="0.3">
      <c r="A1027" t="s">
        <v>1725</v>
      </c>
      <c r="B1027" t="s">
        <v>269</v>
      </c>
      <c r="C1027" s="15" t="s">
        <v>10</v>
      </c>
      <c r="D1027" s="15" t="s">
        <v>1698</v>
      </c>
      <c r="E1027" t="s">
        <v>9185</v>
      </c>
    </row>
    <row r="1028" spans="1:5" outlineLevel="1" x14ac:dyDescent="0.3">
      <c r="A1028" t="s">
        <v>1726</v>
      </c>
      <c r="B1028" t="s">
        <v>269</v>
      </c>
      <c r="C1028" s="15" t="s">
        <v>10</v>
      </c>
      <c r="D1028" s="15" t="s">
        <v>1698</v>
      </c>
      <c r="E1028" t="s">
        <v>9185</v>
      </c>
    </row>
    <row r="1029" spans="1:5" outlineLevel="1" x14ac:dyDescent="0.3">
      <c r="A1029" t="s">
        <v>1727</v>
      </c>
      <c r="B1029" t="s">
        <v>269</v>
      </c>
      <c r="C1029" s="15" t="s">
        <v>10</v>
      </c>
      <c r="D1029" s="15" t="s">
        <v>1698</v>
      </c>
      <c r="E1029" t="s">
        <v>9185</v>
      </c>
    </row>
    <row r="1030" spans="1:5" outlineLevel="1" x14ac:dyDescent="0.3">
      <c r="A1030" t="s">
        <v>1728</v>
      </c>
      <c r="B1030" t="s">
        <v>269</v>
      </c>
      <c r="C1030" s="15" t="s">
        <v>10</v>
      </c>
      <c r="D1030" s="15" t="s">
        <v>1698</v>
      </c>
      <c r="E1030" t="s">
        <v>9185</v>
      </c>
    </row>
    <row r="1031" spans="1:5" outlineLevel="1" x14ac:dyDescent="0.3">
      <c r="A1031" t="s">
        <v>1729</v>
      </c>
      <c r="B1031" t="s">
        <v>269</v>
      </c>
      <c r="C1031" s="15" t="s">
        <v>10</v>
      </c>
      <c r="D1031" s="15" t="s">
        <v>1698</v>
      </c>
      <c r="E1031" t="s">
        <v>9185</v>
      </c>
    </row>
    <row r="1032" spans="1:5" outlineLevel="1" x14ac:dyDescent="0.3">
      <c r="A1032" t="s">
        <v>1730</v>
      </c>
      <c r="B1032" t="s">
        <v>269</v>
      </c>
      <c r="C1032" s="15" t="s">
        <v>10</v>
      </c>
      <c r="D1032" s="15" t="s">
        <v>1698</v>
      </c>
      <c r="E1032" t="s">
        <v>9185</v>
      </c>
    </row>
    <row r="1033" spans="1:5" outlineLevel="1" x14ac:dyDescent="0.3">
      <c r="A1033" t="s">
        <v>1731</v>
      </c>
      <c r="B1033" t="s">
        <v>269</v>
      </c>
      <c r="C1033" s="15" t="s">
        <v>8</v>
      </c>
      <c r="D1033" s="15" t="s">
        <v>1732</v>
      </c>
      <c r="E1033" t="s">
        <v>9081</v>
      </c>
    </row>
    <row r="1034" spans="1:5" outlineLevel="1" x14ac:dyDescent="0.3">
      <c r="A1034" t="s">
        <v>1733</v>
      </c>
      <c r="B1034" t="s">
        <v>269</v>
      </c>
      <c r="C1034" s="15" t="s">
        <v>10</v>
      </c>
      <c r="D1034" s="15" t="s">
        <v>1734</v>
      </c>
      <c r="E1034" t="s">
        <v>8929</v>
      </c>
    </row>
    <row r="1035" spans="1:5" outlineLevel="1" x14ac:dyDescent="0.3">
      <c r="A1035" t="s">
        <v>1735</v>
      </c>
      <c r="B1035" t="s">
        <v>269</v>
      </c>
      <c r="C1035" s="15" t="s">
        <v>10</v>
      </c>
      <c r="D1035" s="15" t="s">
        <v>1734</v>
      </c>
      <c r="E1035" t="s">
        <v>8929</v>
      </c>
    </row>
    <row r="1036" spans="1:5" outlineLevel="1" x14ac:dyDescent="0.3">
      <c r="A1036" t="s">
        <v>1736</v>
      </c>
      <c r="B1036" t="s">
        <v>269</v>
      </c>
      <c r="C1036" s="15" t="s">
        <v>10</v>
      </c>
      <c r="D1036" s="15" t="s">
        <v>1734</v>
      </c>
      <c r="E1036" t="s">
        <v>8929</v>
      </c>
    </row>
    <row r="1037" spans="1:5" outlineLevel="1" x14ac:dyDescent="0.3">
      <c r="A1037" t="s">
        <v>1737</v>
      </c>
      <c r="B1037" t="s">
        <v>269</v>
      </c>
      <c r="C1037" s="15" t="s">
        <v>10</v>
      </c>
      <c r="D1037" s="15" t="s">
        <v>1734</v>
      </c>
      <c r="E1037" t="s">
        <v>8929</v>
      </c>
    </row>
    <row r="1038" spans="1:5" outlineLevel="1" x14ac:dyDescent="0.3">
      <c r="A1038" t="s">
        <v>1738</v>
      </c>
      <c r="B1038" t="s">
        <v>269</v>
      </c>
      <c r="C1038" s="15" t="s">
        <v>10</v>
      </c>
      <c r="D1038" s="15" t="s">
        <v>9196</v>
      </c>
      <c r="E1038" t="s">
        <v>8932</v>
      </c>
    </row>
    <row r="1039" spans="1:5" outlineLevel="1" x14ac:dyDescent="0.3">
      <c r="A1039" t="s">
        <v>1739</v>
      </c>
      <c r="B1039" t="s">
        <v>269</v>
      </c>
      <c r="C1039" s="15" t="s">
        <v>10</v>
      </c>
      <c r="D1039" s="15" t="s">
        <v>9197</v>
      </c>
      <c r="E1039" t="s">
        <v>8935</v>
      </c>
    </row>
    <row r="1040" spans="1:5" outlineLevel="1" x14ac:dyDescent="0.3">
      <c r="A1040" t="s">
        <v>1740</v>
      </c>
      <c r="B1040" t="s">
        <v>269</v>
      </c>
      <c r="C1040" s="15" t="s">
        <v>10</v>
      </c>
      <c r="D1040" s="15" t="s">
        <v>1741</v>
      </c>
      <c r="E1040" t="s">
        <v>8938</v>
      </c>
    </row>
    <row r="1041" spans="1:5" outlineLevel="1" x14ac:dyDescent="0.3">
      <c r="A1041" t="s">
        <v>1742</v>
      </c>
      <c r="B1041" t="s">
        <v>269</v>
      </c>
      <c r="C1041" s="15" t="s">
        <v>10</v>
      </c>
      <c r="D1041" s="15" t="s">
        <v>1743</v>
      </c>
      <c r="E1041" t="s">
        <v>8941</v>
      </c>
    </row>
    <row r="1042" spans="1:5" outlineLevel="1" x14ac:dyDescent="0.3">
      <c r="A1042" t="s">
        <v>1744</v>
      </c>
      <c r="B1042" t="s">
        <v>269</v>
      </c>
      <c r="C1042" s="15" t="s">
        <v>10</v>
      </c>
      <c r="D1042" s="15" t="s">
        <v>1745</v>
      </c>
      <c r="E1042" t="s">
        <v>8944</v>
      </c>
    </row>
    <row r="1043" spans="1:5" outlineLevel="1" x14ac:dyDescent="0.3">
      <c r="A1043" t="s">
        <v>1746</v>
      </c>
      <c r="B1043" t="s">
        <v>269</v>
      </c>
      <c r="C1043" s="15" t="s">
        <v>10</v>
      </c>
      <c r="D1043" s="15" t="s">
        <v>1747</v>
      </c>
      <c r="E1043" t="s">
        <v>8947</v>
      </c>
    </row>
    <row r="1044" spans="1:5" outlineLevel="1" x14ac:dyDescent="0.3">
      <c r="A1044" t="s">
        <v>1748</v>
      </c>
      <c r="B1044" t="s">
        <v>269</v>
      </c>
      <c r="C1044" s="15" t="s">
        <v>10</v>
      </c>
      <c r="D1044" s="15" t="s">
        <v>1749</v>
      </c>
      <c r="E1044" t="s">
        <v>8950</v>
      </c>
    </row>
    <row r="1045" spans="1:5" outlineLevel="1" x14ac:dyDescent="0.3">
      <c r="A1045" t="s">
        <v>1750</v>
      </c>
      <c r="B1045" t="s">
        <v>269</v>
      </c>
      <c r="C1045" s="15" t="s">
        <v>10</v>
      </c>
      <c r="D1045" s="15" t="s">
        <v>1751</v>
      </c>
      <c r="E1045" t="s">
        <v>8953</v>
      </c>
    </row>
    <row r="1046" spans="1:5" outlineLevel="1" x14ac:dyDescent="0.3">
      <c r="A1046" t="s">
        <v>1752</v>
      </c>
      <c r="B1046" t="s">
        <v>269</v>
      </c>
      <c r="C1046" s="15" t="s">
        <v>10</v>
      </c>
      <c r="D1046" s="15" t="s">
        <v>1753</v>
      </c>
      <c r="E1046" t="s">
        <v>8956</v>
      </c>
    </row>
    <row r="1047" spans="1:5" outlineLevel="1" x14ac:dyDescent="0.3">
      <c r="A1047" t="s">
        <v>1754</v>
      </c>
      <c r="B1047" t="s">
        <v>269</v>
      </c>
      <c r="C1047" s="15" t="s">
        <v>10</v>
      </c>
      <c r="D1047" s="15" t="s">
        <v>1755</v>
      </c>
      <c r="E1047" t="s">
        <v>8959</v>
      </c>
    </row>
    <row r="1048" spans="1:5" outlineLevel="1" x14ac:dyDescent="0.3">
      <c r="A1048" t="s">
        <v>1756</v>
      </c>
      <c r="B1048" t="s">
        <v>269</v>
      </c>
      <c r="C1048" s="15" t="s">
        <v>10</v>
      </c>
      <c r="D1048" s="15" t="s">
        <v>1757</v>
      </c>
      <c r="E1048" t="s">
        <v>8962</v>
      </c>
    </row>
    <row r="1049" spans="1:5" outlineLevel="1" x14ac:dyDescent="0.3">
      <c r="A1049" t="s">
        <v>1758</v>
      </c>
      <c r="B1049" t="s">
        <v>269</v>
      </c>
      <c r="C1049" s="15" t="s">
        <v>10</v>
      </c>
      <c r="D1049" s="15" t="s">
        <v>1759</v>
      </c>
      <c r="E1049" t="s">
        <v>8965</v>
      </c>
    </row>
    <row r="1050" spans="1:5" outlineLevel="1" x14ac:dyDescent="0.3">
      <c r="A1050" t="s">
        <v>1760</v>
      </c>
      <c r="B1050" t="s">
        <v>269</v>
      </c>
      <c r="C1050" s="15" t="s">
        <v>10</v>
      </c>
      <c r="D1050" s="15" t="s">
        <v>1761</v>
      </c>
      <c r="E1050" t="s">
        <v>8968</v>
      </c>
    </row>
    <row r="1051" spans="1:5" outlineLevel="1" x14ac:dyDescent="0.3">
      <c r="A1051" t="s">
        <v>1762</v>
      </c>
      <c r="B1051" t="s">
        <v>269</v>
      </c>
      <c r="C1051" s="15" t="s">
        <v>10</v>
      </c>
      <c r="D1051" s="15" t="s">
        <v>1763</v>
      </c>
      <c r="E1051" t="s">
        <v>8971</v>
      </c>
    </row>
    <row r="1052" spans="1:5" outlineLevel="1" x14ac:dyDescent="0.3">
      <c r="A1052" t="s">
        <v>1764</v>
      </c>
      <c r="B1052" t="s">
        <v>269</v>
      </c>
      <c r="C1052" s="15" t="s">
        <v>10</v>
      </c>
      <c r="D1052" s="15" t="s">
        <v>1765</v>
      </c>
      <c r="E1052" t="s">
        <v>8974</v>
      </c>
    </row>
    <row r="1053" spans="1:5" outlineLevel="1" x14ac:dyDescent="0.3">
      <c r="A1053" t="s">
        <v>1766</v>
      </c>
      <c r="B1053" t="s">
        <v>269</v>
      </c>
      <c r="C1053" s="15" t="s">
        <v>10</v>
      </c>
      <c r="D1053" s="15" t="s">
        <v>1767</v>
      </c>
      <c r="E1053" t="s">
        <v>8977</v>
      </c>
    </row>
    <row r="1054" spans="1:5" outlineLevel="1" x14ac:dyDescent="0.3">
      <c r="A1054" t="s">
        <v>1768</v>
      </c>
      <c r="B1054" t="s">
        <v>269</v>
      </c>
      <c r="C1054" s="15" t="s">
        <v>10</v>
      </c>
      <c r="D1054" s="15" t="s">
        <v>1769</v>
      </c>
      <c r="E1054" t="s">
        <v>8980</v>
      </c>
    </row>
    <row r="1055" spans="1:5" outlineLevel="1" x14ac:dyDescent="0.3">
      <c r="A1055" t="s">
        <v>1770</v>
      </c>
      <c r="B1055" t="s">
        <v>269</v>
      </c>
      <c r="C1055" s="15" t="s">
        <v>8</v>
      </c>
      <c r="D1055" s="15" t="s">
        <v>1771</v>
      </c>
      <c r="E1055" t="s">
        <v>9086</v>
      </c>
    </row>
    <row r="1056" spans="1:5" outlineLevel="1" x14ac:dyDescent="0.3">
      <c r="A1056" t="s">
        <v>1772</v>
      </c>
      <c r="B1056" t="s">
        <v>269</v>
      </c>
      <c r="C1056" s="15" t="s">
        <v>8</v>
      </c>
      <c r="D1056" s="15" t="s">
        <v>1771</v>
      </c>
      <c r="E1056" t="s">
        <v>9086</v>
      </c>
    </row>
    <row r="1057" spans="1:5" outlineLevel="1" x14ac:dyDescent="0.3">
      <c r="A1057" t="s">
        <v>1773</v>
      </c>
      <c r="B1057" t="s">
        <v>269</v>
      </c>
      <c r="C1057" s="15" t="s">
        <v>8</v>
      </c>
      <c r="D1057" s="15" t="s">
        <v>1771</v>
      </c>
      <c r="E1057" t="s">
        <v>9086</v>
      </c>
    </row>
    <row r="1058" spans="1:5" outlineLevel="1" x14ac:dyDescent="0.3">
      <c r="A1058" t="s">
        <v>1774</v>
      </c>
      <c r="B1058" t="s">
        <v>269</v>
      </c>
      <c r="C1058" s="15" t="s">
        <v>8</v>
      </c>
      <c r="D1058" s="15" t="s">
        <v>1771</v>
      </c>
      <c r="E1058" t="s">
        <v>9086</v>
      </c>
    </row>
    <row r="1059" spans="1:5" outlineLevel="1" x14ac:dyDescent="0.3">
      <c r="A1059" t="s">
        <v>1775</v>
      </c>
      <c r="B1059" t="s">
        <v>269</v>
      </c>
      <c r="C1059" s="15" t="s">
        <v>8</v>
      </c>
      <c r="D1059" s="15" t="s">
        <v>1776</v>
      </c>
      <c r="E1059" t="s">
        <v>9077</v>
      </c>
    </row>
    <row r="1060" spans="1:5" outlineLevel="1" x14ac:dyDescent="0.3">
      <c r="A1060" t="s">
        <v>1777</v>
      </c>
      <c r="B1060" t="s">
        <v>269</v>
      </c>
      <c r="C1060" s="15" t="s">
        <v>10</v>
      </c>
      <c r="D1060" s="15" t="s">
        <v>1778</v>
      </c>
      <c r="E1060" t="s">
        <v>8753</v>
      </c>
    </row>
    <row r="1061" spans="1:5" outlineLevel="1" x14ac:dyDescent="0.3">
      <c r="A1061" t="s">
        <v>1779</v>
      </c>
      <c r="B1061" t="s">
        <v>269</v>
      </c>
      <c r="C1061" s="15" t="s">
        <v>10</v>
      </c>
      <c r="D1061" s="15" t="s">
        <v>1778</v>
      </c>
      <c r="E1061" t="s">
        <v>8753</v>
      </c>
    </row>
    <row r="1062" spans="1:5" outlineLevel="1" x14ac:dyDescent="0.3">
      <c r="A1062" t="s">
        <v>1780</v>
      </c>
      <c r="B1062" t="s">
        <v>269</v>
      </c>
      <c r="C1062" s="15" t="s">
        <v>10</v>
      </c>
      <c r="D1062" s="15" t="s">
        <v>1778</v>
      </c>
      <c r="E1062" t="s">
        <v>8753</v>
      </c>
    </row>
    <row r="1063" spans="1:5" outlineLevel="1" x14ac:dyDescent="0.3">
      <c r="A1063" t="s">
        <v>1781</v>
      </c>
      <c r="B1063" t="s">
        <v>269</v>
      </c>
      <c r="C1063" s="15" t="s">
        <v>10</v>
      </c>
      <c r="D1063" s="15" t="s">
        <v>1778</v>
      </c>
      <c r="E1063" t="s">
        <v>8753</v>
      </c>
    </row>
    <row r="1064" spans="1:5" outlineLevel="1" x14ac:dyDescent="0.3">
      <c r="A1064" t="s">
        <v>1782</v>
      </c>
      <c r="B1064" t="s">
        <v>269</v>
      </c>
      <c r="C1064" s="15" t="s">
        <v>10</v>
      </c>
      <c r="D1064" s="15" t="s">
        <v>1778</v>
      </c>
      <c r="E1064" t="s">
        <v>8753</v>
      </c>
    </row>
    <row r="1065" spans="1:5" outlineLevel="1" x14ac:dyDescent="0.3">
      <c r="A1065" t="s">
        <v>1783</v>
      </c>
      <c r="B1065" t="s">
        <v>269</v>
      </c>
      <c r="C1065" s="15" t="s">
        <v>10</v>
      </c>
      <c r="D1065" s="15" t="s">
        <v>1778</v>
      </c>
      <c r="E1065" t="s">
        <v>8753</v>
      </c>
    </row>
    <row r="1066" spans="1:5" outlineLevel="1" x14ac:dyDescent="0.3">
      <c r="A1066" t="s">
        <v>1784</v>
      </c>
      <c r="B1066" t="s">
        <v>269</v>
      </c>
      <c r="C1066" s="15" t="s">
        <v>10</v>
      </c>
      <c r="D1066" s="15" t="s">
        <v>1778</v>
      </c>
      <c r="E1066" t="s">
        <v>8753</v>
      </c>
    </row>
    <row r="1067" spans="1:5" outlineLevel="1" x14ac:dyDescent="0.3">
      <c r="A1067" t="s">
        <v>1785</v>
      </c>
      <c r="B1067" t="s">
        <v>269</v>
      </c>
      <c r="C1067" s="15" t="s">
        <v>10</v>
      </c>
      <c r="D1067" s="15" t="s">
        <v>1778</v>
      </c>
      <c r="E1067" t="s">
        <v>8753</v>
      </c>
    </row>
    <row r="1068" spans="1:5" outlineLevel="1" x14ac:dyDescent="0.3">
      <c r="A1068" t="s">
        <v>1786</v>
      </c>
      <c r="B1068" t="s">
        <v>269</v>
      </c>
      <c r="C1068" s="15" t="s">
        <v>10</v>
      </c>
      <c r="D1068" s="15" t="s">
        <v>9198</v>
      </c>
      <c r="E1068" t="s">
        <v>8759</v>
      </c>
    </row>
    <row r="1069" spans="1:5" outlineLevel="1" x14ac:dyDescent="0.3">
      <c r="A1069" t="s">
        <v>1787</v>
      </c>
      <c r="B1069" t="s">
        <v>269</v>
      </c>
      <c r="C1069" s="15" t="s">
        <v>10</v>
      </c>
      <c r="D1069" s="15" t="s">
        <v>1788</v>
      </c>
      <c r="E1069" t="s">
        <v>8759</v>
      </c>
    </row>
    <row r="1070" spans="1:5" outlineLevel="1" x14ac:dyDescent="0.3">
      <c r="A1070" t="s">
        <v>1789</v>
      </c>
      <c r="B1070" t="s">
        <v>269</v>
      </c>
      <c r="C1070" s="15" t="s">
        <v>10</v>
      </c>
      <c r="D1070" s="15" t="s">
        <v>1788</v>
      </c>
      <c r="E1070" t="s">
        <v>8759</v>
      </c>
    </row>
    <row r="1071" spans="1:5" outlineLevel="1" x14ac:dyDescent="0.3">
      <c r="A1071" t="s">
        <v>1790</v>
      </c>
      <c r="B1071" t="s">
        <v>269</v>
      </c>
      <c r="C1071" s="15" t="s">
        <v>10</v>
      </c>
      <c r="D1071" s="15" t="s">
        <v>1791</v>
      </c>
      <c r="E1071" t="s">
        <v>8773</v>
      </c>
    </row>
    <row r="1072" spans="1:5" outlineLevel="1" x14ac:dyDescent="0.3">
      <c r="A1072" t="s">
        <v>1792</v>
      </c>
      <c r="B1072" t="s">
        <v>269</v>
      </c>
      <c r="C1072" s="15" t="s">
        <v>10</v>
      </c>
      <c r="D1072" s="15" t="s">
        <v>1791</v>
      </c>
      <c r="E1072" t="s">
        <v>8773</v>
      </c>
    </row>
    <row r="1073" spans="1:5" outlineLevel="1" x14ac:dyDescent="0.3">
      <c r="A1073" t="s">
        <v>1793</v>
      </c>
      <c r="B1073" t="s">
        <v>269</v>
      </c>
      <c r="C1073" s="15" t="s">
        <v>10</v>
      </c>
      <c r="D1073" s="15" t="s">
        <v>1791</v>
      </c>
      <c r="E1073" t="s">
        <v>8773</v>
      </c>
    </row>
    <row r="1074" spans="1:5" outlineLevel="1" x14ac:dyDescent="0.3">
      <c r="A1074" t="s">
        <v>1794</v>
      </c>
      <c r="B1074" t="s">
        <v>269</v>
      </c>
      <c r="C1074" t="s">
        <v>10</v>
      </c>
      <c r="D1074" t="s">
        <v>1795</v>
      </c>
      <c r="E1074" t="s">
        <v>8765</v>
      </c>
    </row>
    <row r="1075" spans="1:5" outlineLevel="1" x14ac:dyDescent="0.3">
      <c r="A1075" t="s">
        <v>1796</v>
      </c>
      <c r="B1075" t="s">
        <v>269</v>
      </c>
      <c r="C1075" t="s">
        <v>10</v>
      </c>
      <c r="D1075" t="s">
        <v>1797</v>
      </c>
      <c r="E1075" t="s">
        <v>8762</v>
      </c>
    </row>
    <row r="1076" spans="1:5" outlineLevel="1" x14ac:dyDescent="0.3">
      <c r="A1076" t="s">
        <v>1798</v>
      </c>
      <c r="B1076" t="s">
        <v>269</v>
      </c>
      <c r="C1076" t="s">
        <v>10</v>
      </c>
      <c r="D1076" t="s">
        <v>1797</v>
      </c>
      <c r="E1076" t="s">
        <v>8762</v>
      </c>
    </row>
    <row r="1077" spans="1:5" outlineLevel="1" x14ac:dyDescent="0.3">
      <c r="A1077" t="s">
        <v>1799</v>
      </c>
      <c r="B1077" t="s">
        <v>269</v>
      </c>
      <c r="C1077" t="s">
        <v>10</v>
      </c>
      <c r="D1077" t="s">
        <v>1797</v>
      </c>
      <c r="E1077" t="s">
        <v>8762</v>
      </c>
    </row>
    <row r="1078" spans="1:5" outlineLevel="1" x14ac:dyDescent="0.3">
      <c r="A1078" t="s">
        <v>1800</v>
      </c>
      <c r="B1078" t="s">
        <v>269</v>
      </c>
      <c r="C1078" t="s">
        <v>10</v>
      </c>
      <c r="D1078" t="s">
        <v>1801</v>
      </c>
      <c r="E1078" t="s">
        <v>8771</v>
      </c>
    </row>
    <row r="1079" spans="1:5" outlineLevel="1" x14ac:dyDescent="0.3">
      <c r="A1079" t="s">
        <v>1802</v>
      </c>
      <c r="B1079" t="s">
        <v>269</v>
      </c>
      <c r="C1079" s="15" t="s">
        <v>10</v>
      </c>
      <c r="D1079" s="15" t="s">
        <v>1803</v>
      </c>
      <c r="E1079" t="s">
        <v>8768</v>
      </c>
    </row>
    <row r="1080" spans="1:5" outlineLevel="1" x14ac:dyDescent="0.3">
      <c r="A1080" t="s">
        <v>1804</v>
      </c>
      <c r="B1080" t="s">
        <v>269</v>
      </c>
      <c r="C1080" s="15" t="s">
        <v>10</v>
      </c>
      <c r="D1080" s="15" t="s">
        <v>1803</v>
      </c>
      <c r="E1080" t="s">
        <v>8768</v>
      </c>
    </row>
    <row r="1081" spans="1:5" outlineLevel="1" x14ac:dyDescent="0.3">
      <c r="A1081" t="s">
        <v>1805</v>
      </c>
      <c r="B1081" t="s">
        <v>269</v>
      </c>
      <c r="C1081" s="15" t="s">
        <v>10</v>
      </c>
      <c r="D1081" s="15" t="s">
        <v>1803</v>
      </c>
      <c r="E1081" t="s">
        <v>8768</v>
      </c>
    </row>
    <row r="1082" spans="1:5" outlineLevel="1" x14ac:dyDescent="0.3">
      <c r="A1082" t="s">
        <v>1806</v>
      </c>
      <c r="B1082" t="s">
        <v>269</v>
      </c>
      <c r="C1082" s="15" t="s">
        <v>10</v>
      </c>
      <c r="D1082" s="15" t="s">
        <v>1803</v>
      </c>
      <c r="E1082" t="s">
        <v>8768</v>
      </c>
    </row>
    <row r="1083" spans="1:5" outlineLevel="1" x14ac:dyDescent="0.3">
      <c r="A1083" t="s">
        <v>1807</v>
      </c>
      <c r="B1083" t="s">
        <v>269</v>
      </c>
      <c r="C1083" s="15" t="s">
        <v>10</v>
      </c>
      <c r="D1083" s="15" t="s">
        <v>1778</v>
      </c>
      <c r="E1083" t="s">
        <v>8753</v>
      </c>
    </row>
    <row r="1084" spans="1:5" outlineLevel="1" x14ac:dyDescent="0.3">
      <c r="A1084" t="s">
        <v>1808</v>
      </c>
      <c r="B1084" t="s">
        <v>269</v>
      </c>
      <c r="C1084" s="15" t="s">
        <v>10</v>
      </c>
      <c r="D1084" s="15" t="s">
        <v>1809</v>
      </c>
      <c r="E1084" t="s">
        <v>9149</v>
      </c>
    </row>
    <row r="1085" spans="1:5" outlineLevel="1" x14ac:dyDescent="0.3">
      <c r="A1085" t="s">
        <v>1810</v>
      </c>
      <c r="B1085" t="s">
        <v>269</v>
      </c>
      <c r="C1085" s="15" t="s">
        <v>10</v>
      </c>
      <c r="D1085" s="15" t="s">
        <v>1809</v>
      </c>
      <c r="E1085" t="s">
        <v>9149</v>
      </c>
    </row>
    <row r="1086" spans="1:5" outlineLevel="1" x14ac:dyDescent="0.3">
      <c r="A1086" t="s">
        <v>1811</v>
      </c>
      <c r="B1086" t="s">
        <v>269</v>
      </c>
      <c r="C1086" s="15" t="s">
        <v>10</v>
      </c>
      <c r="D1086" s="15" t="s">
        <v>1812</v>
      </c>
      <c r="E1086" t="s">
        <v>9187</v>
      </c>
    </row>
    <row r="1087" spans="1:5" outlineLevel="1" x14ac:dyDescent="0.3">
      <c r="A1087" t="s">
        <v>1813</v>
      </c>
      <c r="B1087" t="s">
        <v>269</v>
      </c>
      <c r="C1087" s="15" t="s">
        <v>10</v>
      </c>
      <c r="D1087" s="15" t="s">
        <v>1812</v>
      </c>
      <c r="E1087" t="s">
        <v>9187</v>
      </c>
    </row>
    <row r="1088" spans="1:5" outlineLevel="1" x14ac:dyDescent="0.3">
      <c r="A1088" t="s">
        <v>1814</v>
      </c>
      <c r="B1088" t="s">
        <v>269</v>
      </c>
      <c r="C1088" s="15" t="s">
        <v>10</v>
      </c>
      <c r="D1088" s="15" t="s">
        <v>1812</v>
      </c>
      <c r="E1088" t="s">
        <v>9187</v>
      </c>
    </row>
    <row r="1089" spans="1:1024 1027:2048 2051:3072 3075:4096 4099:5120 5123:6144 6147:7168 7171:8192 8195:9216 9219:10240 10243:11264 11267:12288 12291:13312 13315:14336 14339:15360 15363:16384" outlineLevel="1" x14ac:dyDescent="0.3">
      <c r="A1089" t="s">
        <v>1815</v>
      </c>
      <c r="B1089" t="s">
        <v>269</v>
      </c>
      <c r="C1089" s="15" t="s">
        <v>10</v>
      </c>
      <c r="D1089" s="15" t="s">
        <v>1812</v>
      </c>
      <c r="E1089" t="s">
        <v>9187</v>
      </c>
    </row>
    <row r="1090" spans="1:1024 1027:2048 2051:3072 3075:4096 4099:5120 5123:6144 6147:7168 7171:8192 8195:9216 9219:10240 10243:11264 11267:12288 12291:13312 13315:14336 14339:15360 15363:16384" outlineLevel="1" x14ac:dyDescent="0.3">
      <c r="A1090" t="s">
        <v>1816</v>
      </c>
      <c r="B1090" t="s">
        <v>269</v>
      </c>
      <c r="C1090" s="15" t="s">
        <v>10</v>
      </c>
      <c r="D1090" s="15" t="s">
        <v>1812</v>
      </c>
      <c r="E1090" t="s">
        <v>9187</v>
      </c>
    </row>
    <row r="1091" spans="1:1024 1027:2048 2051:3072 3075:4096 4099:5120 5123:6144 6147:7168 7171:8192 8195:9216 9219:10240 10243:11264 11267:12288 12291:13312 13315:14336 14339:15360 15363:16384" outlineLevel="1" x14ac:dyDescent="0.3">
      <c r="A1091" t="s">
        <v>1817</v>
      </c>
      <c r="B1091" t="s">
        <v>269</v>
      </c>
      <c r="C1091" s="15" t="s">
        <v>10</v>
      </c>
      <c r="D1091" s="15" t="s">
        <v>1812</v>
      </c>
      <c r="E1091" t="s">
        <v>9187</v>
      </c>
    </row>
    <row r="1092" spans="1:1024 1027:2048 2051:3072 3075:4096 4099:5120 5123:6144 6147:7168 7171:8192 8195:9216 9219:10240 10243:11264 11267:12288 12291:13312 13315:14336 14339:15360 15363:16384" outlineLevel="1" x14ac:dyDescent="0.3">
      <c r="A1092" t="s">
        <v>1818</v>
      </c>
      <c r="B1092" t="s">
        <v>269</v>
      </c>
      <c r="C1092" s="15" t="s">
        <v>10</v>
      </c>
      <c r="D1092" s="15" t="s">
        <v>1812</v>
      </c>
      <c r="E1092" t="s">
        <v>9187</v>
      </c>
    </row>
    <row r="1093" spans="1:1024 1027:2048 2051:3072 3075:4096 4099:5120 5123:6144 6147:7168 7171:8192 8195:9216 9219:10240 10243:11264 11267:12288 12291:13312 13315:14336 14339:15360 15363:16384" outlineLevel="1" x14ac:dyDescent="0.3">
      <c r="A1093" t="s">
        <v>1819</v>
      </c>
      <c r="B1093" t="s">
        <v>269</v>
      </c>
      <c r="C1093" s="15" t="s">
        <v>10</v>
      </c>
      <c r="D1093" s="15" t="s">
        <v>1812</v>
      </c>
      <c r="E1093" t="s">
        <v>9187</v>
      </c>
    </row>
    <row r="1094" spans="1:1024 1027:2048 2051:3072 3075:4096 4099:5120 5123:6144 6147:7168 7171:8192 8195:9216 9219:10240 10243:11264 11267:12288 12291:13312 13315:14336 14339:15360 15363:16384" outlineLevel="1" x14ac:dyDescent="0.3">
      <c r="A1094" t="s">
        <v>1820</v>
      </c>
      <c r="B1094" t="s">
        <v>269</v>
      </c>
      <c r="C1094" s="15" t="s">
        <v>10</v>
      </c>
      <c r="D1094" s="15" t="s">
        <v>1809</v>
      </c>
      <c r="E1094" t="s">
        <v>9149</v>
      </c>
    </row>
    <row r="1095" spans="1:1024 1027:2048 2051:3072 3075:4096 4099:5120 5123:6144 6147:7168 7171:8192 8195:9216 9219:10240 10243:11264 11267:12288 12291:13312 13315:14336 14339:15360 15363:16384" outlineLevel="1" x14ac:dyDescent="0.3">
      <c r="A1095" t="s">
        <v>1821</v>
      </c>
      <c r="B1095" t="s">
        <v>269</v>
      </c>
      <c r="C1095" s="15" t="s">
        <v>10</v>
      </c>
      <c r="D1095" s="15" t="s">
        <v>1809</v>
      </c>
      <c r="E1095" t="s">
        <v>9149</v>
      </c>
    </row>
    <row r="1096" spans="1:1024 1027:2048 2051:3072 3075:4096 4099:5120 5123:6144 6147:7168 7171:8192 8195:9216 9219:10240 10243:11264 11267:12288 12291:13312 13315:14336 14339:15360 15363:16384" outlineLevel="1" x14ac:dyDescent="0.3">
      <c r="A1096" t="s">
        <v>1822</v>
      </c>
      <c r="B1096" t="s">
        <v>269</v>
      </c>
      <c r="C1096" s="15" t="s">
        <v>10</v>
      </c>
      <c r="D1096" s="15" t="s">
        <v>1812</v>
      </c>
      <c r="E1096" t="s">
        <v>9187</v>
      </c>
    </row>
    <row r="1097" spans="1:1024 1027:2048 2051:3072 3075:4096 4099:5120 5123:6144 6147:7168 7171:8192 8195:9216 9219:10240 10243:11264 11267:12288 12291:13312 13315:14336 14339:15360 15363:16384" outlineLevel="1" x14ac:dyDescent="0.3">
      <c r="A1097" t="s">
        <v>1823</v>
      </c>
      <c r="B1097" t="s">
        <v>269</v>
      </c>
      <c r="C1097" s="15" t="s">
        <v>10</v>
      </c>
      <c r="D1097" s="15" t="s">
        <v>1812</v>
      </c>
      <c r="E1097" t="s">
        <v>9187</v>
      </c>
    </row>
    <row r="1098" spans="1:1024 1027:2048 2051:3072 3075:4096 4099:5120 5123:6144 6147:7168 7171:8192 8195:9216 9219:10240 10243:11264 11267:12288 12291:13312 13315:14336 14339:15360 15363:16384" outlineLevel="1" x14ac:dyDescent="0.3">
      <c r="A1098" t="s">
        <v>1824</v>
      </c>
      <c r="B1098" t="s">
        <v>269</v>
      </c>
      <c r="C1098" s="15" t="s">
        <v>10</v>
      </c>
      <c r="D1098" s="15" t="s">
        <v>1812</v>
      </c>
      <c r="E1098" t="s">
        <v>9187</v>
      </c>
    </row>
    <row r="1099" spans="1:1024 1027:2048 2051:3072 3075:4096 4099:5120 5123:6144 6147:7168 7171:8192 8195:9216 9219:10240 10243:11264 11267:12288 12291:13312 13315:14336 14339:15360 15363:16384" outlineLevel="1" x14ac:dyDescent="0.3">
      <c r="A1099" t="s">
        <v>1825</v>
      </c>
      <c r="B1099" t="s">
        <v>269</v>
      </c>
      <c r="C1099" s="15" t="s">
        <v>10</v>
      </c>
      <c r="D1099" s="15" t="s">
        <v>1812</v>
      </c>
      <c r="E1099" t="s">
        <v>9187</v>
      </c>
    </row>
    <row r="1100" spans="1:1024 1027:2048 2051:3072 3075:4096 4099:5120 5123:6144 6147:7168 7171:8192 8195:9216 9219:10240 10243:11264 11267:12288 12291:13312 13315:14336 14339:15360 15363:16384" outlineLevel="1" x14ac:dyDescent="0.3">
      <c r="A1100" t="s">
        <v>1826</v>
      </c>
      <c r="B1100" t="s">
        <v>269</v>
      </c>
      <c r="C1100" s="15" t="s">
        <v>10</v>
      </c>
      <c r="D1100" s="15" t="s">
        <v>1812</v>
      </c>
      <c r="E1100" t="s">
        <v>9187</v>
      </c>
    </row>
    <row r="1101" spans="1:1024 1027:2048 2051:3072 3075:4096 4099:5120 5123:6144 6147:7168 7171:8192 8195:9216 9219:10240 10243:11264 11267:12288 12291:13312 13315:14336 14339:15360 15363:16384" outlineLevel="1" x14ac:dyDescent="0.3">
      <c r="A1101" t="s">
        <v>1827</v>
      </c>
      <c r="B1101" t="s">
        <v>269</v>
      </c>
      <c r="C1101" s="15" t="s">
        <v>10</v>
      </c>
      <c r="D1101" s="15" t="s">
        <v>1812</v>
      </c>
      <c r="E1101" t="s">
        <v>9187</v>
      </c>
    </row>
    <row r="1102" spans="1:1024 1027:2048 2051:3072 3075:4096 4099:5120 5123:6144 6147:7168 7171:8192 8195:9216 9219:10240 10243:11264 11267:12288 12291:13312 13315:14336 14339:15360 15363:16384" outlineLevel="1" x14ac:dyDescent="0.3">
      <c r="A1102" t="s">
        <v>1828</v>
      </c>
      <c r="B1102" t="s">
        <v>269</v>
      </c>
      <c r="C1102" s="15" t="s">
        <v>10</v>
      </c>
      <c r="D1102" s="15" t="s">
        <v>1812</v>
      </c>
      <c r="E1102" t="s">
        <v>9187</v>
      </c>
    </row>
    <row r="1103" spans="1:1024 1027:2048 2051:3072 3075:4096 4099:5120 5123:6144 6147:7168 7171:8192 8195:9216 9219:10240 10243:11264 11267:12288 12291:13312 13315:14336 14339:15360 15363:16384" outlineLevel="1" x14ac:dyDescent="0.3">
      <c r="A1103" t="s">
        <v>1829</v>
      </c>
      <c r="B1103" t="s">
        <v>269</v>
      </c>
      <c r="C1103" s="15" t="s">
        <v>10</v>
      </c>
      <c r="D1103" s="15" t="s">
        <v>1812</v>
      </c>
      <c r="E1103" t="s">
        <v>9187</v>
      </c>
      <c r="G1103" s="15"/>
      <c r="H1103" s="15"/>
      <c r="K1103" s="15"/>
      <c r="L1103" s="15"/>
      <c r="O1103" s="15"/>
      <c r="P1103" s="15"/>
      <c r="S1103" s="15"/>
      <c r="T1103" s="15"/>
      <c r="W1103" s="15"/>
      <c r="X1103" s="15"/>
      <c r="AA1103" s="15"/>
      <c r="AB1103" s="15"/>
      <c r="AE1103" s="15"/>
      <c r="AF1103" s="15"/>
      <c r="AI1103" s="15"/>
      <c r="AJ1103" s="15"/>
      <c r="AM1103" s="15"/>
      <c r="AN1103" s="15"/>
      <c r="AQ1103" s="15"/>
      <c r="AR1103" s="15"/>
      <c r="AU1103" s="15"/>
      <c r="AV1103" s="15"/>
      <c r="AY1103" s="15"/>
      <c r="AZ1103" s="15"/>
      <c r="BC1103" s="15"/>
      <c r="BD1103" s="15"/>
      <c r="BG1103" s="15"/>
      <c r="BH1103" s="15"/>
      <c r="BK1103" s="15"/>
      <c r="BL1103" s="15"/>
      <c r="BO1103" s="15"/>
      <c r="BP1103" s="15"/>
      <c r="BS1103" s="15"/>
      <c r="BT1103" s="15"/>
      <c r="BW1103" s="15"/>
      <c r="BX1103" s="15"/>
      <c r="CA1103" s="15"/>
      <c r="CB1103" s="15"/>
      <c r="CE1103" s="15"/>
      <c r="CF1103" s="15"/>
      <c r="CI1103" s="15"/>
      <c r="CJ1103" s="15"/>
      <c r="CM1103" s="15"/>
      <c r="CN1103" s="15"/>
      <c r="CQ1103" s="15"/>
      <c r="CR1103" s="15"/>
      <c r="CU1103" s="15"/>
      <c r="CV1103" s="15"/>
      <c r="CY1103" s="15"/>
      <c r="CZ1103" s="15"/>
      <c r="DC1103" s="15"/>
      <c r="DD1103" s="15"/>
      <c r="DG1103" s="15"/>
      <c r="DH1103" s="15"/>
      <c r="DK1103" s="15"/>
      <c r="DL1103" s="15"/>
      <c r="DO1103" s="15"/>
      <c r="DP1103" s="15"/>
      <c r="DS1103" s="15"/>
      <c r="DT1103" s="15"/>
      <c r="DW1103" s="15"/>
      <c r="DX1103" s="15"/>
      <c r="EA1103" s="15"/>
      <c r="EB1103" s="15"/>
      <c r="EE1103" s="15"/>
      <c r="EF1103" s="15"/>
      <c r="EI1103" s="15"/>
      <c r="EJ1103" s="15"/>
      <c r="EM1103" s="15"/>
      <c r="EN1103" s="15"/>
      <c r="EQ1103" s="15"/>
      <c r="ER1103" s="15"/>
      <c r="EU1103" s="15"/>
      <c r="EV1103" s="15"/>
      <c r="EY1103" s="15"/>
      <c r="EZ1103" s="15"/>
      <c r="FC1103" s="15"/>
      <c r="FD1103" s="15"/>
      <c r="FG1103" s="15"/>
      <c r="FH1103" s="15"/>
      <c r="FK1103" s="15"/>
      <c r="FL1103" s="15"/>
      <c r="FO1103" s="15"/>
      <c r="FP1103" s="15"/>
      <c r="FS1103" s="15"/>
      <c r="FT1103" s="15"/>
      <c r="FW1103" s="15"/>
      <c r="FX1103" s="15"/>
      <c r="GA1103" s="15"/>
      <c r="GB1103" s="15"/>
      <c r="GE1103" s="15"/>
      <c r="GF1103" s="15"/>
      <c r="GI1103" s="15"/>
      <c r="GJ1103" s="15"/>
      <c r="GM1103" s="15"/>
      <c r="GN1103" s="15"/>
      <c r="GQ1103" s="15"/>
      <c r="GR1103" s="15"/>
      <c r="GU1103" s="15"/>
      <c r="GV1103" s="15"/>
      <c r="GY1103" s="15"/>
      <c r="GZ1103" s="15"/>
      <c r="HC1103" s="15"/>
      <c r="HD1103" s="15"/>
      <c r="HG1103" s="15"/>
      <c r="HH1103" s="15"/>
      <c r="HK1103" s="15"/>
      <c r="HL1103" s="15"/>
      <c r="HO1103" s="15"/>
      <c r="HP1103" s="15"/>
      <c r="HS1103" s="15"/>
      <c r="HT1103" s="15"/>
      <c r="HW1103" s="15"/>
      <c r="HX1103" s="15"/>
      <c r="IA1103" s="15"/>
      <c r="IB1103" s="15"/>
      <c r="IE1103" s="15"/>
      <c r="IF1103" s="15"/>
      <c r="II1103" s="15"/>
      <c r="IJ1103" s="15"/>
      <c r="IM1103" s="15"/>
      <c r="IN1103" s="15"/>
      <c r="IQ1103" s="15"/>
      <c r="IR1103" s="15"/>
      <c r="IU1103" s="15"/>
      <c r="IV1103" s="15"/>
      <c r="IY1103" s="15"/>
      <c r="IZ1103" s="15"/>
      <c r="JC1103" s="15"/>
      <c r="JD1103" s="15"/>
      <c r="JG1103" s="15"/>
      <c r="JH1103" s="15"/>
      <c r="JK1103" s="15"/>
      <c r="JL1103" s="15"/>
      <c r="JO1103" s="15"/>
      <c r="JP1103" s="15"/>
      <c r="JS1103" s="15"/>
      <c r="JT1103" s="15"/>
      <c r="JW1103" s="15"/>
      <c r="JX1103" s="15"/>
      <c r="KA1103" s="15"/>
      <c r="KB1103" s="15"/>
      <c r="KE1103" s="15"/>
      <c r="KF1103" s="15"/>
      <c r="KI1103" s="15"/>
      <c r="KJ1103" s="15"/>
      <c r="KM1103" s="15"/>
      <c r="KN1103" s="15"/>
      <c r="KQ1103" s="15"/>
      <c r="KR1103" s="15"/>
      <c r="KU1103" s="15"/>
      <c r="KV1103" s="15"/>
      <c r="KY1103" s="15"/>
      <c r="KZ1103" s="15"/>
      <c r="LC1103" s="15"/>
      <c r="LD1103" s="15"/>
      <c r="LG1103" s="15"/>
      <c r="LH1103" s="15"/>
      <c r="LK1103" s="15"/>
      <c r="LL1103" s="15"/>
      <c r="LO1103" s="15"/>
      <c r="LP1103" s="15"/>
      <c r="LS1103" s="15"/>
      <c r="LT1103" s="15"/>
      <c r="LW1103" s="15"/>
      <c r="LX1103" s="15"/>
      <c r="MA1103" s="15"/>
      <c r="MB1103" s="15"/>
      <c r="ME1103" s="15"/>
      <c r="MF1103" s="15"/>
      <c r="MI1103" s="15"/>
      <c r="MJ1103" s="15"/>
      <c r="MM1103" s="15"/>
      <c r="MN1103" s="15"/>
      <c r="MQ1103" s="15"/>
      <c r="MR1103" s="15"/>
      <c r="MU1103" s="15"/>
      <c r="MV1103" s="15"/>
      <c r="MY1103" s="15"/>
      <c r="MZ1103" s="15"/>
      <c r="NC1103" s="15"/>
      <c r="ND1103" s="15"/>
      <c r="NG1103" s="15"/>
      <c r="NH1103" s="15"/>
      <c r="NK1103" s="15"/>
      <c r="NL1103" s="15"/>
      <c r="NO1103" s="15"/>
      <c r="NP1103" s="15"/>
      <c r="NS1103" s="15"/>
      <c r="NT1103" s="15"/>
      <c r="NW1103" s="15"/>
      <c r="NX1103" s="15"/>
      <c r="OA1103" s="15"/>
      <c r="OB1103" s="15"/>
      <c r="OE1103" s="15"/>
      <c r="OF1103" s="15"/>
      <c r="OI1103" s="15"/>
      <c r="OJ1103" s="15"/>
      <c r="OM1103" s="15"/>
      <c r="ON1103" s="15"/>
      <c r="OQ1103" s="15"/>
      <c r="OR1103" s="15"/>
      <c r="OU1103" s="15"/>
      <c r="OV1103" s="15"/>
      <c r="OY1103" s="15"/>
      <c r="OZ1103" s="15"/>
      <c r="PC1103" s="15"/>
      <c r="PD1103" s="15"/>
      <c r="PG1103" s="15"/>
      <c r="PH1103" s="15"/>
      <c r="PK1103" s="15"/>
      <c r="PL1103" s="15"/>
      <c r="PO1103" s="15"/>
      <c r="PP1103" s="15"/>
      <c r="PS1103" s="15"/>
      <c r="PT1103" s="15"/>
      <c r="PW1103" s="15"/>
      <c r="PX1103" s="15"/>
      <c r="QA1103" s="15"/>
      <c r="QB1103" s="15"/>
      <c r="QE1103" s="15"/>
      <c r="QF1103" s="15"/>
      <c r="QI1103" s="15"/>
      <c r="QJ1103" s="15"/>
      <c r="QM1103" s="15"/>
      <c r="QN1103" s="15"/>
      <c r="QQ1103" s="15"/>
      <c r="QR1103" s="15"/>
      <c r="QU1103" s="15"/>
      <c r="QV1103" s="15"/>
      <c r="QY1103" s="15"/>
      <c r="QZ1103" s="15"/>
      <c r="RC1103" s="15"/>
      <c r="RD1103" s="15"/>
      <c r="RG1103" s="15"/>
      <c r="RH1103" s="15"/>
      <c r="RK1103" s="15"/>
      <c r="RL1103" s="15"/>
      <c r="RO1103" s="15"/>
      <c r="RP1103" s="15"/>
      <c r="RS1103" s="15"/>
      <c r="RT1103" s="15"/>
      <c r="RW1103" s="15"/>
      <c r="RX1103" s="15"/>
      <c r="SA1103" s="15"/>
      <c r="SB1103" s="15"/>
      <c r="SE1103" s="15"/>
      <c r="SF1103" s="15"/>
      <c r="SI1103" s="15"/>
      <c r="SJ1103" s="15"/>
      <c r="SM1103" s="15"/>
      <c r="SN1103" s="15"/>
      <c r="SQ1103" s="15"/>
      <c r="SR1103" s="15"/>
      <c r="SU1103" s="15"/>
      <c r="SV1103" s="15"/>
      <c r="SY1103" s="15"/>
      <c r="SZ1103" s="15"/>
      <c r="TC1103" s="15"/>
      <c r="TD1103" s="15"/>
      <c r="TG1103" s="15"/>
      <c r="TH1103" s="15"/>
      <c r="TK1103" s="15"/>
      <c r="TL1103" s="15"/>
      <c r="TO1103" s="15"/>
      <c r="TP1103" s="15"/>
      <c r="TS1103" s="15"/>
      <c r="TT1103" s="15"/>
      <c r="TW1103" s="15"/>
      <c r="TX1103" s="15"/>
      <c r="UA1103" s="15"/>
      <c r="UB1103" s="15"/>
      <c r="UE1103" s="15"/>
      <c r="UF1103" s="15"/>
      <c r="UI1103" s="15"/>
      <c r="UJ1103" s="15"/>
      <c r="UM1103" s="15"/>
      <c r="UN1103" s="15"/>
      <c r="UQ1103" s="15"/>
      <c r="UR1103" s="15"/>
      <c r="UU1103" s="15"/>
      <c r="UV1103" s="15"/>
      <c r="UY1103" s="15"/>
      <c r="UZ1103" s="15"/>
      <c r="VC1103" s="15"/>
      <c r="VD1103" s="15"/>
      <c r="VG1103" s="15"/>
      <c r="VH1103" s="15"/>
      <c r="VK1103" s="15"/>
      <c r="VL1103" s="15"/>
      <c r="VO1103" s="15"/>
      <c r="VP1103" s="15"/>
      <c r="VS1103" s="15"/>
      <c r="VT1103" s="15"/>
      <c r="VW1103" s="15"/>
      <c r="VX1103" s="15"/>
      <c r="WA1103" s="15"/>
      <c r="WB1103" s="15"/>
      <c r="WE1103" s="15"/>
      <c r="WF1103" s="15"/>
      <c r="WI1103" s="15"/>
      <c r="WJ1103" s="15"/>
      <c r="WM1103" s="15"/>
      <c r="WN1103" s="15"/>
      <c r="WQ1103" s="15"/>
      <c r="WR1103" s="15"/>
      <c r="WU1103" s="15"/>
      <c r="WV1103" s="15"/>
      <c r="WY1103" s="15"/>
      <c r="WZ1103" s="15"/>
      <c r="XC1103" s="15"/>
      <c r="XD1103" s="15"/>
      <c r="XG1103" s="15"/>
      <c r="XH1103" s="15"/>
      <c r="XK1103" s="15"/>
      <c r="XL1103" s="15"/>
      <c r="XO1103" s="15"/>
      <c r="XP1103" s="15"/>
      <c r="XS1103" s="15"/>
      <c r="XT1103" s="15"/>
      <c r="XW1103" s="15"/>
      <c r="XX1103" s="15"/>
      <c r="YA1103" s="15"/>
      <c r="YB1103" s="15"/>
      <c r="YE1103" s="15"/>
      <c r="YF1103" s="15"/>
      <c r="YI1103" s="15"/>
      <c r="YJ1103" s="15"/>
      <c r="YM1103" s="15"/>
      <c r="YN1103" s="15"/>
      <c r="YQ1103" s="15"/>
      <c r="YR1103" s="15"/>
      <c r="YU1103" s="15"/>
      <c r="YV1103" s="15"/>
      <c r="YY1103" s="15"/>
      <c r="YZ1103" s="15"/>
      <c r="ZC1103" s="15"/>
      <c r="ZD1103" s="15"/>
      <c r="ZG1103" s="15"/>
      <c r="ZH1103" s="15"/>
      <c r="ZK1103" s="15"/>
      <c r="ZL1103" s="15"/>
      <c r="ZO1103" s="15"/>
      <c r="ZP1103" s="15"/>
      <c r="ZS1103" s="15"/>
      <c r="ZT1103" s="15"/>
      <c r="ZW1103" s="15"/>
      <c r="ZX1103" s="15"/>
      <c r="AAA1103" s="15"/>
      <c r="AAB1103" s="15"/>
      <c r="AAE1103" s="15"/>
      <c r="AAF1103" s="15"/>
      <c r="AAI1103" s="15"/>
      <c r="AAJ1103" s="15"/>
      <c r="AAM1103" s="15"/>
      <c r="AAN1103" s="15"/>
      <c r="AAQ1103" s="15"/>
      <c r="AAR1103" s="15"/>
      <c r="AAU1103" s="15"/>
      <c r="AAV1103" s="15"/>
      <c r="AAY1103" s="15"/>
      <c r="AAZ1103" s="15"/>
      <c r="ABC1103" s="15"/>
      <c r="ABD1103" s="15"/>
      <c r="ABG1103" s="15"/>
      <c r="ABH1103" s="15"/>
      <c r="ABK1103" s="15"/>
      <c r="ABL1103" s="15"/>
      <c r="ABO1103" s="15"/>
      <c r="ABP1103" s="15"/>
      <c r="ABS1103" s="15"/>
      <c r="ABT1103" s="15"/>
      <c r="ABW1103" s="15"/>
      <c r="ABX1103" s="15"/>
      <c r="ACA1103" s="15"/>
      <c r="ACB1103" s="15"/>
      <c r="ACE1103" s="15"/>
      <c r="ACF1103" s="15"/>
      <c r="ACI1103" s="15"/>
      <c r="ACJ1103" s="15"/>
      <c r="ACM1103" s="15"/>
      <c r="ACN1103" s="15"/>
      <c r="ACQ1103" s="15"/>
      <c r="ACR1103" s="15"/>
      <c r="ACU1103" s="15"/>
      <c r="ACV1103" s="15"/>
      <c r="ACY1103" s="15"/>
      <c r="ACZ1103" s="15"/>
      <c r="ADC1103" s="15"/>
      <c r="ADD1103" s="15"/>
      <c r="ADG1103" s="15"/>
      <c r="ADH1103" s="15"/>
      <c r="ADK1103" s="15"/>
      <c r="ADL1103" s="15"/>
      <c r="ADO1103" s="15"/>
      <c r="ADP1103" s="15"/>
      <c r="ADS1103" s="15"/>
      <c r="ADT1103" s="15"/>
      <c r="ADW1103" s="15"/>
      <c r="ADX1103" s="15"/>
      <c r="AEA1103" s="15"/>
      <c r="AEB1103" s="15"/>
      <c r="AEE1103" s="15"/>
      <c r="AEF1103" s="15"/>
      <c r="AEI1103" s="15"/>
      <c r="AEJ1103" s="15"/>
      <c r="AEM1103" s="15"/>
      <c r="AEN1103" s="15"/>
      <c r="AEQ1103" s="15"/>
      <c r="AER1103" s="15"/>
      <c r="AEU1103" s="15"/>
      <c r="AEV1103" s="15"/>
      <c r="AEY1103" s="15"/>
      <c r="AEZ1103" s="15"/>
      <c r="AFC1103" s="15"/>
      <c r="AFD1103" s="15"/>
      <c r="AFG1103" s="15"/>
      <c r="AFH1103" s="15"/>
      <c r="AFK1103" s="15"/>
      <c r="AFL1103" s="15"/>
      <c r="AFO1103" s="15"/>
      <c r="AFP1103" s="15"/>
      <c r="AFS1103" s="15"/>
      <c r="AFT1103" s="15"/>
      <c r="AFW1103" s="15"/>
      <c r="AFX1103" s="15"/>
      <c r="AGA1103" s="15"/>
      <c r="AGB1103" s="15"/>
      <c r="AGE1103" s="15"/>
      <c r="AGF1103" s="15"/>
      <c r="AGI1103" s="15"/>
      <c r="AGJ1103" s="15"/>
      <c r="AGM1103" s="15"/>
      <c r="AGN1103" s="15"/>
      <c r="AGQ1103" s="15"/>
      <c r="AGR1103" s="15"/>
      <c r="AGU1103" s="15"/>
      <c r="AGV1103" s="15"/>
      <c r="AGY1103" s="15"/>
      <c r="AGZ1103" s="15"/>
      <c r="AHC1103" s="15"/>
      <c r="AHD1103" s="15"/>
      <c r="AHG1103" s="15"/>
      <c r="AHH1103" s="15"/>
      <c r="AHK1103" s="15"/>
      <c r="AHL1103" s="15"/>
      <c r="AHO1103" s="15"/>
      <c r="AHP1103" s="15"/>
      <c r="AHS1103" s="15"/>
      <c r="AHT1103" s="15"/>
      <c r="AHW1103" s="15"/>
      <c r="AHX1103" s="15"/>
      <c r="AIA1103" s="15"/>
      <c r="AIB1103" s="15"/>
      <c r="AIE1103" s="15"/>
      <c r="AIF1103" s="15"/>
      <c r="AII1103" s="15"/>
      <c r="AIJ1103" s="15"/>
      <c r="AIM1103" s="15"/>
      <c r="AIN1103" s="15"/>
      <c r="AIQ1103" s="15"/>
      <c r="AIR1103" s="15"/>
      <c r="AIU1103" s="15"/>
      <c r="AIV1103" s="15"/>
      <c r="AIY1103" s="15"/>
      <c r="AIZ1103" s="15"/>
      <c r="AJC1103" s="15"/>
      <c r="AJD1103" s="15"/>
      <c r="AJG1103" s="15"/>
      <c r="AJH1103" s="15"/>
      <c r="AJK1103" s="15"/>
      <c r="AJL1103" s="15"/>
      <c r="AJO1103" s="15"/>
      <c r="AJP1103" s="15"/>
      <c r="AJS1103" s="15"/>
      <c r="AJT1103" s="15"/>
      <c r="AJW1103" s="15"/>
      <c r="AJX1103" s="15"/>
      <c r="AKA1103" s="15"/>
      <c r="AKB1103" s="15"/>
      <c r="AKE1103" s="15"/>
      <c r="AKF1103" s="15"/>
      <c r="AKI1103" s="15"/>
      <c r="AKJ1103" s="15"/>
      <c r="AKM1103" s="15"/>
      <c r="AKN1103" s="15"/>
      <c r="AKQ1103" s="15"/>
      <c r="AKR1103" s="15"/>
      <c r="AKU1103" s="15"/>
      <c r="AKV1103" s="15"/>
      <c r="AKY1103" s="15"/>
      <c r="AKZ1103" s="15"/>
      <c r="ALC1103" s="15"/>
      <c r="ALD1103" s="15"/>
      <c r="ALG1103" s="15"/>
      <c r="ALH1103" s="15"/>
      <c r="ALK1103" s="15"/>
      <c r="ALL1103" s="15"/>
      <c r="ALO1103" s="15"/>
      <c r="ALP1103" s="15"/>
      <c r="ALS1103" s="15"/>
      <c r="ALT1103" s="15"/>
      <c r="ALW1103" s="15"/>
      <c r="ALX1103" s="15"/>
      <c r="AMA1103" s="15"/>
      <c r="AMB1103" s="15"/>
      <c r="AME1103" s="15"/>
      <c r="AMF1103" s="15"/>
      <c r="AMI1103" s="15"/>
      <c r="AMJ1103" s="15"/>
      <c r="AMM1103" s="15"/>
      <c r="AMN1103" s="15"/>
      <c r="AMQ1103" s="15"/>
      <c r="AMR1103" s="15"/>
      <c r="AMU1103" s="15"/>
      <c r="AMV1103" s="15"/>
      <c r="AMY1103" s="15"/>
      <c r="AMZ1103" s="15"/>
      <c r="ANC1103" s="15"/>
      <c r="AND1103" s="15"/>
      <c r="ANG1103" s="15"/>
      <c r="ANH1103" s="15"/>
      <c r="ANK1103" s="15"/>
      <c r="ANL1103" s="15"/>
      <c r="ANO1103" s="15"/>
      <c r="ANP1103" s="15"/>
      <c r="ANS1103" s="15"/>
      <c r="ANT1103" s="15"/>
      <c r="ANW1103" s="15"/>
      <c r="ANX1103" s="15"/>
      <c r="AOA1103" s="15"/>
      <c r="AOB1103" s="15"/>
      <c r="AOE1103" s="15"/>
      <c r="AOF1103" s="15"/>
      <c r="AOI1103" s="15"/>
      <c r="AOJ1103" s="15"/>
      <c r="AOM1103" s="15"/>
      <c r="AON1103" s="15"/>
      <c r="AOQ1103" s="15"/>
      <c r="AOR1103" s="15"/>
      <c r="AOU1103" s="15"/>
      <c r="AOV1103" s="15"/>
      <c r="AOY1103" s="15"/>
      <c r="AOZ1103" s="15"/>
      <c r="APC1103" s="15"/>
      <c r="APD1103" s="15"/>
      <c r="APG1103" s="15"/>
      <c r="APH1103" s="15"/>
      <c r="APK1103" s="15"/>
      <c r="APL1103" s="15"/>
      <c r="APO1103" s="15"/>
      <c r="APP1103" s="15"/>
      <c r="APS1103" s="15"/>
      <c r="APT1103" s="15"/>
      <c r="APW1103" s="15"/>
      <c r="APX1103" s="15"/>
      <c r="AQA1103" s="15"/>
      <c r="AQB1103" s="15"/>
      <c r="AQE1103" s="15"/>
      <c r="AQF1103" s="15"/>
      <c r="AQI1103" s="15"/>
      <c r="AQJ1103" s="15"/>
      <c r="AQM1103" s="15"/>
      <c r="AQN1103" s="15"/>
      <c r="AQQ1103" s="15"/>
      <c r="AQR1103" s="15"/>
      <c r="AQU1103" s="15"/>
      <c r="AQV1103" s="15"/>
      <c r="AQY1103" s="15"/>
      <c r="AQZ1103" s="15"/>
      <c r="ARC1103" s="15"/>
      <c r="ARD1103" s="15"/>
      <c r="ARG1103" s="15"/>
      <c r="ARH1103" s="15"/>
      <c r="ARK1103" s="15"/>
      <c r="ARL1103" s="15"/>
      <c r="ARO1103" s="15"/>
      <c r="ARP1103" s="15"/>
      <c r="ARS1103" s="15"/>
      <c r="ART1103" s="15"/>
      <c r="ARW1103" s="15"/>
      <c r="ARX1103" s="15"/>
      <c r="ASA1103" s="15"/>
      <c r="ASB1103" s="15"/>
      <c r="ASE1103" s="15"/>
      <c r="ASF1103" s="15"/>
      <c r="ASI1103" s="15"/>
      <c r="ASJ1103" s="15"/>
      <c r="ASM1103" s="15"/>
      <c r="ASN1103" s="15"/>
      <c r="ASQ1103" s="15"/>
      <c r="ASR1103" s="15"/>
      <c r="ASU1103" s="15"/>
      <c r="ASV1103" s="15"/>
      <c r="ASY1103" s="15"/>
      <c r="ASZ1103" s="15"/>
      <c r="ATC1103" s="15"/>
      <c r="ATD1103" s="15"/>
      <c r="ATG1103" s="15"/>
      <c r="ATH1103" s="15"/>
      <c r="ATK1103" s="15"/>
      <c r="ATL1103" s="15"/>
      <c r="ATO1103" s="15"/>
      <c r="ATP1103" s="15"/>
      <c r="ATS1103" s="15"/>
      <c r="ATT1103" s="15"/>
      <c r="ATW1103" s="15"/>
      <c r="ATX1103" s="15"/>
      <c r="AUA1103" s="15"/>
      <c r="AUB1103" s="15"/>
      <c r="AUE1103" s="15"/>
      <c r="AUF1103" s="15"/>
      <c r="AUI1103" s="15"/>
      <c r="AUJ1103" s="15"/>
      <c r="AUM1103" s="15"/>
      <c r="AUN1103" s="15"/>
      <c r="AUQ1103" s="15"/>
      <c r="AUR1103" s="15"/>
      <c r="AUU1103" s="15"/>
      <c r="AUV1103" s="15"/>
      <c r="AUY1103" s="15"/>
      <c r="AUZ1103" s="15"/>
      <c r="AVC1103" s="15"/>
      <c r="AVD1103" s="15"/>
      <c r="AVG1103" s="15"/>
      <c r="AVH1103" s="15"/>
      <c r="AVK1103" s="15"/>
      <c r="AVL1103" s="15"/>
      <c r="AVO1103" s="15"/>
      <c r="AVP1103" s="15"/>
      <c r="AVS1103" s="15"/>
      <c r="AVT1103" s="15"/>
      <c r="AVW1103" s="15"/>
      <c r="AVX1103" s="15"/>
      <c r="AWA1103" s="15"/>
      <c r="AWB1103" s="15"/>
      <c r="AWE1103" s="15"/>
      <c r="AWF1103" s="15"/>
      <c r="AWI1103" s="15"/>
      <c r="AWJ1103" s="15"/>
      <c r="AWM1103" s="15"/>
      <c r="AWN1103" s="15"/>
      <c r="AWQ1103" s="15"/>
      <c r="AWR1103" s="15"/>
      <c r="AWU1103" s="15"/>
      <c r="AWV1103" s="15"/>
      <c r="AWY1103" s="15"/>
      <c r="AWZ1103" s="15"/>
      <c r="AXC1103" s="15"/>
      <c r="AXD1103" s="15"/>
      <c r="AXG1103" s="15"/>
      <c r="AXH1103" s="15"/>
      <c r="AXK1103" s="15"/>
      <c r="AXL1103" s="15"/>
      <c r="AXO1103" s="15"/>
      <c r="AXP1103" s="15"/>
      <c r="AXS1103" s="15"/>
      <c r="AXT1103" s="15"/>
      <c r="AXW1103" s="15"/>
      <c r="AXX1103" s="15"/>
      <c r="AYA1103" s="15"/>
      <c r="AYB1103" s="15"/>
      <c r="AYE1103" s="15"/>
      <c r="AYF1103" s="15"/>
      <c r="AYI1103" s="15"/>
      <c r="AYJ1103" s="15"/>
      <c r="AYM1103" s="15"/>
      <c r="AYN1103" s="15"/>
      <c r="AYQ1103" s="15"/>
      <c r="AYR1103" s="15"/>
      <c r="AYU1103" s="15"/>
      <c r="AYV1103" s="15"/>
      <c r="AYY1103" s="15"/>
      <c r="AYZ1103" s="15"/>
      <c r="AZC1103" s="15"/>
      <c r="AZD1103" s="15"/>
      <c r="AZG1103" s="15"/>
      <c r="AZH1103" s="15"/>
      <c r="AZK1103" s="15"/>
      <c r="AZL1103" s="15"/>
      <c r="AZO1103" s="15"/>
      <c r="AZP1103" s="15"/>
      <c r="AZS1103" s="15"/>
      <c r="AZT1103" s="15"/>
      <c r="AZW1103" s="15"/>
      <c r="AZX1103" s="15"/>
      <c r="BAA1103" s="15"/>
      <c r="BAB1103" s="15"/>
      <c r="BAE1103" s="15"/>
      <c r="BAF1103" s="15"/>
      <c r="BAI1103" s="15"/>
      <c r="BAJ1103" s="15"/>
      <c r="BAM1103" s="15"/>
      <c r="BAN1103" s="15"/>
      <c r="BAQ1103" s="15"/>
      <c r="BAR1103" s="15"/>
      <c r="BAU1103" s="15"/>
      <c r="BAV1103" s="15"/>
      <c r="BAY1103" s="15"/>
      <c r="BAZ1103" s="15"/>
      <c r="BBC1103" s="15"/>
      <c r="BBD1103" s="15"/>
      <c r="BBG1103" s="15"/>
      <c r="BBH1103" s="15"/>
      <c r="BBK1103" s="15"/>
      <c r="BBL1103" s="15"/>
      <c r="BBO1103" s="15"/>
      <c r="BBP1103" s="15"/>
      <c r="BBS1103" s="15"/>
      <c r="BBT1103" s="15"/>
      <c r="BBW1103" s="15"/>
      <c r="BBX1103" s="15"/>
      <c r="BCA1103" s="15"/>
      <c r="BCB1103" s="15"/>
      <c r="BCE1103" s="15"/>
      <c r="BCF1103" s="15"/>
      <c r="BCI1103" s="15"/>
      <c r="BCJ1103" s="15"/>
      <c r="BCM1103" s="15"/>
      <c r="BCN1103" s="15"/>
      <c r="BCQ1103" s="15"/>
      <c r="BCR1103" s="15"/>
      <c r="BCU1103" s="15"/>
      <c r="BCV1103" s="15"/>
      <c r="BCY1103" s="15"/>
      <c r="BCZ1103" s="15"/>
      <c r="BDC1103" s="15"/>
      <c r="BDD1103" s="15"/>
      <c r="BDG1103" s="15"/>
      <c r="BDH1103" s="15"/>
      <c r="BDK1103" s="15"/>
      <c r="BDL1103" s="15"/>
      <c r="BDO1103" s="15"/>
      <c r="BDP1103" s="15"/>
      <c r="BDS1103" s="15"/>
      <c r="BDT1103" s="15"/>
      <c r="BDW1103" s="15"/>
      <c r="BDX1103" s="15"/>
      <c r="BEA1103" s="15"/>
      <c r="BEB1103" s="15"/>
      <c r="BEE1103" s="15"/>
      <c r="BEF1103" s="15"/>
      <c r="BEI1103" s="15"/>
      <c r="BEJ1103" s="15"/>
      <c r="BEM1103" s="15"/>
      <c r="BEN1103" s="15"/>
      <c r="BEQ1103" s="15"/>
      <c r="BER1103" s="15"/>
      <c r="BEU1103" s="15"/>
      <c r="BEV1103" s="15"/>
      <c r="BEY1103" s="15"/>
      <c r="BEZ1103" s="15"/>
      <c r="BFC1103" s="15"/>
      <c r="BFD1103" s="15"/>
      <c r="BFG1103" s="15"/>
      <c r="BFH1103" s="15"/>
      <c r="BFK1103" s="15"/>
      <c r="BFL1103" s="15"/>
      <c r="BFO1103" s="15"/>
      <c r="BFP1103" s="15"/>
      <c r="BFS1103" s="15"/>
      <c r="BFT1103" s="15"/>
      <c r="BFW1103" s="15"/>
      <c r="BFX1103" s="15"/>
      <c r="BGA1103" s="15"/>
      <c r="BGB1103" s="15"/>
      <c r="BGE1103" s="15"/>
      <c r="BGF1103" s="15"/>
      <c r="BGI1103" s="15"/>
      <c r="BGJ1103" s="15"/>
      <c r="BGM1103" s="15"/>
      <c r="BGN1103" s="15"/>
      <c r="BGQ1103" s="15"/>
      <c r="BGR1103" s="15"/>
      <c r="BGU1103" s="15"/>
      <c r="BGV1103" s="15"/>
      <c r="BGY1103" s="15"/>
      <c r="BGZ1103" s="15"/>
      <c r="BHC1103" s="15"/>
      <c r="BHD1103" s="15"/>
      <c r="BHG1103" s="15"/>
      <c r="BHH1103" s="15"/>
      <c r="BHK1103" s="15"/>
      <c r="BHL1103" s="15"/>
      <c r="BHO1103" s="15"/>
      <c r="BHP1103" s="15"/>
      <c r="BHS1103" s="15"/>
      <c r="BHT1103" s="15"/>
      <c r="BHW1103" s="15"/>
      <c r="BHX1103" s="15"/>
      <c r="BIA1103" s="15"/>
      <c r="BIB1103" s="15"/>
      <c r="BIE1103" s="15"/>
      <c r="BIF1103" s="15"/>
      <c r="BII1103" s="15"/>
      <c r="BIJ1103" s="15"/>
      <c r="BIM1103" s="15"/>
      <c r="BIN1103" s="15"/>
      <c r="BIQ1103" s="15"/>
      <c r="BIR1103" s="15"/>
      <c r="BIU1103" s="15"/>
      <c r="BIV1103" s="15"/>
      <c r="BIY1103" s="15"/>
      <c r="BIZ1103" s="15"/>
      <c r="BJC1103" s="15"/>
      <c r="BJD1103" s="15"/>
      <c r="BJG1103" s="15"/>
      <c r="BJH1103" s="15"/>
      <c r="BJK1103" s="15"/>
      <c r="BJL1103" s="15"/>
      <c r="BJO1103" s="15"/>
      <c r="BJP1103" s="15"/>
      <c r="BJS1103" s="15"/>
      <c r="BJT1103" s="15"/>
      <c r="BJW1103" s="15"/>
      <c r="BJX1103" s="15"/>
      <c r="BKA1103" s="15"/>
      <c r="BKB1103" s="15"/>
      <c r="BKE1103" s="15"/>
      <c r="BKF1103" s="15"/>
      <c r="BKI1103" s="15"/>
      <c r="BKJ1103" s="15"/>
      <c r="BKM1103" s="15"/>
      <c r="BKN1103" s="15"/>
      <c r="BKQ1103" s="15"/>
      <c r="BKR1103" s="15"/>
      <c r="BKU1103" s="15"/>
      <c r="BKV1103" s="15"/>
      <c r="BKY1103" s="15"/>
      <c r="BKZ1103" s="15"/>
      <c r="BLC1103" s="15"/>
      <c r="BLD1103" s="15"/>
      <c r="BLG1103" s="15"/>
      <c r="BLH1103" s="15"/>
      <c r="BLK1103" s="15"/>
      <c r="BLL1103" s="15"/>
      <c r="BLO1103" s="15"/>
      <c r="BLP1103" s="15"/>
      <c r="BLS1103" s="15"/>
      <c r="BLT1103" s="15"/>
      <c r="BLW1103" s="15"/>
      <c r="BLX1103" s="15"/>
      <c r="BMA1103" s="15"/>
      <c r="BMB1103" s="15"/>
      <c r="BME1103" s="15"/>
      <c r="BMF1103" s="15"/>
      <c r="BMI1103" s="15"/>
      <c r="BMJ1103" s="15"/>
      <c r="BMM1103" s="15"/>
      <c r="BMN1103" s="15"/>
      <c r="BMQ1103" s="15"/>
      <c r="BMR1103" s="15"/>
      <c r="BMU1103" s="15"/>
      <c r="BMV1103" s="15"/>
      <c r="BMY1103" s="15"/>
      <c r="BMZ1103" s="15"/>
      <c r="BNC1103" s="15"/>
      <c r="BND1103" s="15"/>
      <c r="BNG1103" s="15"/>
      <c r="BNH1103" s="15"/>
      <c r="BNK1103" s="15"/>
      <c r="BNL1103" s="15"/>
      <c r="BNO1103" s="15"/>
      <c r="BNP1103" s="15"/>
      <c r="BNS1103" s="15"/>
      <c r="BNT1103" s="15"/>
      <c r="BNW1103" s="15"/>
      <c r="BNX1103" s="15"/>
      <c r="BOA1103" s="15"/>
      <c r="BOB1103" s="15"/>
      <c r="BOE1103" s="15"/>
      <c r="BOF1103" s="15"/>
      <c r="BOI1103" s="15"/>
      <c r="BOJ1103" s="15"/>
      <c r="BOM1103" s="15"/>
      <c r="BON1103" s="15"/>
      <c r="BOQ1103" s="15"/>
      <c r="BOR1103" s="15"/>
      <c r="BOU1103" s="15"/>
      <c r="BOV1103" s="15"/>
      <c r="BOY1103" s="15"/>
      <c r="BOZ1103" s="15"/>
      <c r="BPC1103" s="15"/>
      <c r="BPD1103" s="15"/>
      <c r="BPG1103" s="15"/>
      <c r="BPH1103" s="15"/>
      <c r="BPK1103" s="15"/>
      <c r="BPL1103" s="15"/>
      <c r="BPO1103" s="15"/>
      <c r="BPP1103" s="15"/>
      <c r="BPS1103" s="15"/>
      <c r="BPT1103" s="15"/>
      <c r="BPW1103" s="15"/>
      <c r="BPX1103" s="15"/>
      <c r="BQA1103" s="15"/>
      <c r="BQB1103" s="15"/>
      <c r="BQE1103" s="15"/>
      <c r="BQF1103" s="15"/>
      <c r="BQI1103" s="15"/>
      <c r="BQJ1103" s="15"/>
      <c r="BQM1103" s="15"/>
      <c r="BQN1103" s="15"/>
      <c r="BQQ1103" s="15"/>
      <c r="BQR1103" s="15"/>
      <c r="BQU1103" s="15"/>
      <c r="BQV1103" s="15"/>
      <c r="BQY1103" s="15"/>
      <c r="BQZ1103" s="15"/>
      <c r="BRC1103" s="15"/>
      <c r="BRD1103" s="15"/>
      <c r="BRG1103" s="15"/>
      <c r="BRH1103" s="15"/>
      <c r="BRK1103" s="15"/>
      <c r="BRL1103" s="15"/>
      <c r="BRO1103" s="15"/>
      <c r="BRP1103" s="15"/>
      <c r="BRS1103" s="15"/>
      <c r="BRT1103" s="15"/>
      <c r="BRW1103" s="15"/>
      <c r="BRX1103" s="15"/>
      <c r="BSA1103" s="15"/>
      <c r="BSB1103" s="15"/>
      <c r="BSE1103" s="15"/>
      <c r="BSF1103" s="15"/>
      <c r="BSI1103" s="15"/>
      <c r="BSJ1103" s="15"/>
      <c r="BSM1103" s="15"/>
      <c r="BSN1103" s="15"/>
      <c r="BSQ1103" s="15"/>
      <c r="BSR1103" s="15"/>
      <c r="BSU1103" s="15"/>
      <c r="BSV1103" s="15"/>
      <c r="BSY1103" s="15"/>
      <c r="BSZ1103" s="15"/>
      <c r="BTC1103" s="15"/>
      <c r="BTD1103" s="15"/>
      <c r="BTG1103" s="15"/>
      <c r="BTH1103" s="15"/>
      <c r="BTK1103" s="15"/>
      <c r="BTL1103" s="15"/>
      <c r="BTO1103" s="15"/>
      <c r="BTP1103" s="15"/>
      <c r="BTS1103" s="15"/>
      <c r="BTT1103" s="15"/>
      <c r="BTW1103" s="15"/>
      <c r="BTX1103" s="15"/>
      <c r="BUA1103" s="15"/>
      <c r="BUB1103" s="15"/>
      <c r="BUE1103" s="15"/>
      <c r="BUF1103" s="15"/>
      <c r="BUI1103" s="15"/>
      <c r="BUJ1103" s="15"/>
      <c r="BUM1103" s="15"/>
      <c r="BUN1103" s="15"/>
      <c r="BUQ1103" s="15"/>
      <c r="BUR1103" s="15"/>
      <c r="BUU1103" s="15"/>
      <c r="BUV1103" s="15"/>
      <c r="BUY1103" s="15"/>
      <c r="BUZ1103" s="15"/>
      <c r="BVC1103" s="15"/>
      <c r="BVD1103" s="15"/>
      <c r="BVG1103" s="15"/>
      <c r="BVH1103" s="15"/>
      <c r="BVK1103" s="15"/>
      <c r="BVL1103" s="15"/>
      <c r="BVO1103" s="15"/>
      <c r="BVP1103" s="15"/>
      <c r="BVS1103" s="15"/>
      <c r="BVT1103" s="15"/>
      <c r="BVW1103" s="15"/>
      <c r="BVX1103" s="15"/>
      <c r="BWA1103" s="15"/>
      <c r="BWB1103" s="15"/>
      <c r="BWE1103" s="15"/>
      <c r="BWF1103" s="15"/>
      <c r="BWI1103" s="15"/>
      <c r="BWJ1103" s="15"/>
      <c r="BWM1103" s="15"/>
      <c r="BWN1103" s="15"/>
      <c r="BWQ1103" s="15"/>
      <c r="BWR1103" s="15"/>
      <c r="BWU1103" s="15"/>
      <c r="BWV1103" s="15"/>
      <c r="BWY1103" s="15"/>
      <c r="BWZ1103" s="15"/>
      <c r="BXC1103" s="15"/>
      <c r="BXD1103" s="15"/>
      <c r="BXG1103" s="15"/>
      <c r="BXH1103" s="15"/>
      <c r="BXK1103" s="15"/>
      <c r="BXL1103" s="15"/>
      <c r="BXO1103" s="15"/>
      <c r="BXP1103" s="15"/>
      <c r="BXS1103" s="15"/>
      <c r="BXT1103" s="15"/>
      <c r="BXW1103" s="15"/>
      <c r="BXX1103" s="15"/>
      <c r="BYA1103" s="15"/>
      <c r="BYB1103" s="15"/>
      <c r="BYE1103" s="15"/>
      <c r="BYF1103" s="15"/>
      <c r="BYI1103" s="15"/>
      <c r="BYJ1103" s="15"/>
      <c r="BYM1103" s="15"/>
      <c r="BYN1103" s="15"/>
      <c r="BYQ1103" s="15"/>
      <c r="BYR1103" s="15"/>
      <c r="BYU1103" s="15"/>
      <c r="BYV1103" s="15"/>
      <c r="BYY1103" s="15"/>
      <c r="BYZ1103" s="15"/>
      <c r="BZC1103" s="15"/>
      <c r="BZD1103" s="15"/>
      <c r="BZG1103" s="15"/>
      <c r="BZH1103" s="15"/>
      <c r="BZK1103" s="15"/>
      <c r="BZL1103" s="15"/>
      <c r="BZO1103" s="15"/>
      <c r="BZP1103" s="15"/>
      <c r="BZS1103" s="15"/>
      <c r="BZT1103" s="15"/>
      <c r="BZW1103" s="15"/>
      <c r="BZX1103" s="15"/>
      <c r="CAA1103" s="15"/>
      <c r="CAB1103" s="15"/>
      <c r="CAE1103" s="15"/>
      <c r="CAF1103" s="15"/>
      <c r="CAI1103" s="15"/>
      <c r="CAJ1103" s="15"/>
      <c r="CAM1103" s="15"/>
      <c r="CAN1103" s="15"/>
      <c r="CAQ1103" s="15"/>
      <c r="CAR1103" s="15"/>
      <c r="CAU1103" s="15"/>
      <c r="CAV1103" s="15"/>
      <c r="CAY1103" s="15"/>
      <c r="CAZ1103" s="15"/>
      <c r="CBC1103" s="15"/>
      <c r="CBD1103" s="15"/>
      <c r="CBG1103" s="15"/>
      <c r="CBH1103" s="15"/>
      <c r="CBK1103" s="15"/>
      <c r="CBL1103" s="15"/>
      <c r="CBO1103" s="15"/>
      <c r="CBP1103" s="15"/>
      <c r="CBS1103" s="15"/>
      <c r="CBT1103" s="15"/>
      <c r="CBW1103" s="15"/>
      <c r="CBX1103" s="15"/>
      <c r="CCA1103" s="15"/>
      <c r="CCB1103" s="15"/>
      <c r="CCE1103" s="15"/>
      <c r="CCF1103" s="15"/>
      <c r="CCI1103" s="15"/>
      <c r="CCJ1103" s="15"/>
      <c r="CCM1103" s="15"/>
      <c r="CCN1103" s="15"/>
      <c r="CCQ1103" s="15"/>
      <c r="CCR1103" s="15"/>
      <c r="CCU1103" s="15"/>
      <c r="CCV1103" s="15"/>
      <c r="CCY1103" s="15"/>
      <c r="CCZ1103" s="15"/>
      <c r="CDC1103" s="15"/>
      <c r="CDD1103" s="15"/>
      <c r="CDG1103" s="15"/>
      <c r="CDH1103" s="15"/>
      <c r="CDK1103" s="15"/>
      <c r="CDL1103" s="15"/>
      <c r="CDO1103" s="15"/>
      <c r="CDP1103" s="15"/>
      <c r="CDS1103" s="15"/>
      <c r="CDT1103" s="15"/>
      <c r="CDW1103" s="15"/>
      <c r="CDX1103" s="15"/>
      <c r="CEA1103" s="15"/>
      <c r="CEB1103" s="15"/>
      <c r="CEE1103" s="15"/>
      <c r="CEF1103" s="15"/>
      <c r="CEI1103" s="15"/>
      <c r="CEJ1103" s="15"/>
      <c r="CEM1103" s="15"/>
      <c r="CEN1103" s="15"/>
      <c r="CEQ1103" s="15"/>
      <c r="CER1103" s="15"/>
      <c r="CEU1103" s="15"/>
      <c r="CEV1103" s="15"/>
      <c r="CEY1103" s="15"/>
      <c r="CEZ1103" s="15"/>
      <c r="CFC1103" s="15"/>
      <c r="CFD1103" s="15"/>
      <c r="CFG1103" s="15"/>
      <c r="CFH1103" s="15"/>
      <c r="CFK1103" s="15"/>
      <c r="CFL1103" s="15"/>
      <c r="CFO1103" s="15"/>
      <c r="CFP1103" s="15"/>
      <c r="CFS1103" s="15"/>
      <c r="CFT1103" s="15"/>
      <c r="CFW1103" s="15"/>
      <c r="CFX1103" s="15"/>
      <c r="CGA1103" s="15"/>
      <c r="CGB1103" s="15"/>
      <c r="CGE1103" s="15"/>
      <c r="CGF1103" s="15"/>
      <c r="CGI1103" s="15"/>
      <c r="CGJ1103" s="15"/>
      <c r="CGM1103" s="15"/>
      <c r="CGN1103" s="15"/>
      <c r="CGQ1103" s="15"/>
      <c r="CGR1103" s="15"/>
      <c r="CGU1103" s="15"/>
      <c r="CGV1103" s="15"/>
      <c r="CGY1103" s="15"/>
      <c r="CGZ1103" s="15"/>
      <c r="CHC1103" s="15"/>
      <c r="CHD1103" s="15"/>
      <c r="CHG1103" s="15"/>
      <c r="CHH1103" s="15"/>
      <c r="CHK1103" s="15"/>
      <c r="CHL1103" s="15"/>
      <c r="CHO1103" s="15"/>
      <c r="CHP1103" s="15"/>
      <c r="CHS1103" s="15"/>
      <c r="CHT1103" s="15"/>
      <c r="CHW1103" s="15"/>
      <c r="CHX1103" s="15"/>
      <c r="CIA1103" s="15"/>
      <c r="CIB1103" s="15"/>
      <c r="CIE1103" s="15"/>
      <c r="CIF1103" s="15"/>
      <c r="CII1103" s="15"/>
      <c r="CIJ1103" s="15"/>
      <c r="CIM1103" s="15"/>
      <c r="CIN1103" s="15"/>
      <c r="CIQ1103" s="15"/>
      <c r="CIR1103" s="15"/>
      <c r="CIU1103" s="15"/>
      <c r="CIV1103" s="15"/>
      <c r="CIY1103" s="15"/>
      <c r="CIZ1103" s="15"/>
      <c r="CJC1103" s="15"/>
      <c r="CJD1103" s="15"/>
      <c r="CJG1103" s="15"/>
      <c r="CJH1103" s="15"/>
      <c r="CJK1103" s="15"/>
      <c r="CJL1103" s="15"/>
      <c r="CJO1103" s="15"/>
      <c r="CJP1103" s="15"/>
      <c r="CJS1103" s="15"/>
      <c r="CJT1103" s="15"/>
      <c r="CJW1103" s="15"/>
      <c r="CJX1103" s="15"/>
      <c r="CKA1103" s="15"/>
      <c r="CKB1103" s="15"/>
      <c r="CKE1103" s="15"/>
      <c r="CKF1103" s="15"/>
      <c r="CKI1103" s="15"/>
      <c r="CKJ1103" s="15"/>
      <c r="CKM1103" s="15"/>
      <c r="CKN1103" s="15"/>
      <c r="CKQ1103" s="15"/>
      <c r="CKR1103" s="15"/>
      <c r="CKU1103" s="15"/>
      <c r="CKV1103" s="15"/>
      <c r="CKY1103" s="15"/>
      <c r="CKZ1103" s="15"/>
      <c r="CLC1103" s="15"/>
      <c r="CLD1103" s="15"/>
      <c r="CLG1103" s="15"/>
      <c r="CLH1103" s="15"/>
      <c r="CLK1103" s="15"/>
      <c r="CLL1103" s="15"/>
      <c r="CLO1103" s="15"/>
      <c r="CLP1103" s="15"/>
      <c r="CLS1103" s="15"/>
      <c r="CLT1103" s="15"/>
      <c r="CLW1103" s="15"/>
      <c r="CLX1103" s="15"/>
      <c r="CMA1103" s="15"/>
      <c r="CMB1103" s="15"/>
      <c r="CME1103" s="15"/>
      <c r="CMF1103" s="15"/>
      <c r="CMI1103" s="15"/>
      <c r="CMJ1103" s="15"/>
      <c r="CMM1103" s="15"/>
      <c r="CMN1103" s="15"/>
      <c r="CMQ1103" s="15"/>
      <c r="CMR1103" s="15"/>
      <c r="CMU1103" s="15"/>
      <c r="CMV1103" s="15"/>
      <c r="CMY1103" s="15"/>
      <c r="CMZ1103" s="15"/>
      <c r="CNC1103" s="15"/>
      <c r="CND1103" s="15"/>
      <c r="CNG1103" s="15"/>
      <c r="CNH1103" s="15"/>
      <c r="CNK1103" s="15"/>
      <c r="CNL1103" s="15"/>
      <c r="CNO1103" s="15"/>
      <c r="CNP1103" s="15"/>
      <c r="CNS1103" s="15"/>
      <c r="CNT1103" s="15"/>
      <c r="CNW1103" s="15"/>
      <c r="CNX1103" s="15"/>
      <c r="COA1103" s="15"/>
      <c r="COB1103" s="15"/>
      <c r="COE1103" s="15"/>
      <c r="COF1103" s="15"/>
      <c r="COI1103" s="15"/>
      <c r="COJ1103" s="15"/>
      <c r="COM1103" s="15"/>
      <c r="CON1103" s="15"/>
      <c r="COQ1103" s="15"/>
      <c r="COR1103" s="15"/>
      <c r="COU1103" s="15"/>
      <c r="COV1103" s="15"/>
      <c r="COY1103" s="15"/>
      <c r="COZ1103" s="15"/>
      <c r="CPC1103" s="15"/>
      <c r="CPD1103" s="15"/>
      <c r="CPG1103" s="15"/>
      <c r="CPH1103" s="15"/>
      <c r="CPK1103" s="15"/>
      <c r="CPL1103" s="15"/>
      <c r="CPO1103" s="15"/>
      <c r="CPP1103" s="15"/>
      <c r="CPS1103" s="15"/>
      <c r="CPT1103" s="15"/>
      <c r="CPW1103" s="15"/>
      <c r="CPX1103" s="15"/>
      <c r="CQA1103" s="15"/>
      <c r="CQB1103" s="15"/>
      <c r="CQE1103" s="15"/>
      <c r="CQF1103" s="15"/>
      <c r="CQI1103" s="15"/>
      <c r="CQJ1103" s="15"/>
      <c r="CQM1103" s="15"/>
      <c r="CQN1103" s="15"/>
      <c r="CQQ1103" s="15"/>
      <c r="CQR1103" s="15"/>
      <c r="CQU1103" s="15"/>
      <c r="CQV1103" s="15"/>
      <c r="CQY1103" s="15"/>
      <c r="CQZ1103" s="15"/>
      <c r="CRC1103" s="15"/>
      <c r="CRD1103" s="15"/>
      <c r="CRG1103" s="15"/>
      <c r="CRH1103" s="15"/>
      <c r="CRK1103" s="15"/>
      <c r="CRL1103" s="15"/>
      <c r="CRO1103" s="15"/>
      <c r="CRP1103" s="15"/>
      <c r="CRS1103" s="15"/>
      <c r="CRT1103" s="15"/>
      <c r="CRW1103" s="15"/>
      <c r="CRX1103" s="15"/>
      <c r="CSA1103" s="15"/>
      <c r="CSB1103" s="15"/>
      <c r="CSE1103" s="15"/>
      <c r="CSF1103" s="15"/>
      <c r="CSI1103" s="15"/>
      <c r="CSJ1103" s="15"/>
      <c r="CSM1103" s="15"/>
      <c r="CSN1103" s="15"/>
      <c r="CSQ1103" s="15"/>
      <c r="CSR1103" s="15"/>
      <c r="CSU1103" s="15"/>
      <c r="CSV1103" s="15"/>
      <c r="CSY1103" s="15"/>
      <c r="CSZ1103" s="15"/>
      <c r="CTC1103" s="15"/>
      <c r="CTD1103" s="15"/>
      <c r="CTG1103" s="15"/>
      <c r="CTH1103" s="15"/>
      <c r="CTK1103" s="15"/>
      <c r="CTL1103" s="15"/>
      <c r="CTO1103" s="15"/>
      <c r="CTP1103" s="15"/>
      <c r="CTS1103" s="15"/>
      <c r="CTT1103" s="15"/>
      <c r="CTW1103" s="15"/>
      <c r="CTX1103" s="15"/>
      <c r="CUA1103" s="15"/>
      <c r="CUB1103" s="15"/>
      <c r="CUE1103" s="15"/>
      <c r="CUF1103" s="15"/>
      <c r="CUI1103" s="15"/>
      <c r="CUJ1103" s="15"/>
      <c r="CUM1103" s="15"/>
      <c r="CUN1103" s="15"/>
      <c r="CUQ1103" s="15"/>
      <c r="CUR1103" s="15"/>
      <c r="CUU1103" s="15"/>
      <c r="CUV1103" s="15"/>
      <c r="CUY1103" s="15"/>
      <c r="CUZ1103" s="15"/>
      <c r="CVC1103" s="15"/>
      <c r="CVD1103" s="15"/>
      <c r="CVG1103" s="15"/>
      <c r="CVH1103" s="15"/>
      <c r="CVK1103" s="15"/>
      <c r="CVL1103" s="15"/>
      <c r="CVO1103" s="15"/>
      <c r="CVP1103" s="15"/>
      <c r="CVS1103" s="15"/>
      <c r="CVT1103" s="15"/>
      <c r="CVW1103" s="15"/>
      <c r="CVX1103" s="15"/>
      <c r="CWA1103" s="15"/>
      <c r="CWB1103" s="15"/>
      <c r="CWE1103" s="15"/>
      <c r="CWF1103" s="15"/>
      <c r="CWI1103" s="15"/>
      <c r="CWJ1103" s="15"/>
      <c r="CWM1103" s="15"/>
      <c r="CWN1103" s="15"/>
      <c r="CWQ1103" s="15"/>
      <c r="CWR1103" s="15"/>
      <c r="CWU1103" s="15"/>
      <c r="CWV1103" s="15"/>
      <c r="CWY1103" s="15"/>
      <c r="CWZ1103" s="15"/>
      <c r="CXC1103" s="15"/>
      <c r="CXD1103" s="15"/>
      <c r="CXG1103" s="15"/>
      <c r="CXH1103" s="15"/>
      <c r="CXK1103" s="15"/>
      <c r="CXL1103" s="15"/>
      <c r="CXO1103" s="15"/>
      <c r="CXP1103" s="15"/>
      <c r="CXS1103" s="15"/>
      <c r="CXT1103" s="15"/>
      <c r="CXW1103" s="15"/>
      <c r="CXX1103" s="15"/>
      <c r="CYA1103" s="15"/>
      <c r="CYB1103" s="15"/>
      <c r="CYE1103" s="15"/>
      <c r="CYF1103" s="15"/>
      <c r="CYI1103" s="15"/>
      <c r="CYJ1103" s="15"/>
      <c r="CYM1103" s="15"/>
      <c r="CYN1103" s="15"/>
      <c r="CYQ1103" s="15"/>
      <c r="CYR1103" s="15"/>
      <c r="CYU1103" s="15"/>
      <c r="CYV1103" s="15"/>
      <c r="CYY1103" s="15"/>
      <c r="CYZ1103" s="15"/>
      <c r="CZC1103" s="15"/>
      <c r="CZD1103" s="15"/>
      <c r="CZG1103" s="15"/>
      <c r="CZH1103" s="15"/>
      <c r="CZK1103" s="15"/>
      <c r="CZL1103" s="15"/>
      <c r="CZO1103" s="15"/>
      <c r="CZP1103" s="15"/>
      <c r="CZS1103" s="15"/>
      <c r="CZT1103" s="15"/>
      <c r="CZW1103" s="15"/>
      <c r="CZX1103" s="15"/>
      <c r="DAA1103" s="15"/>
      <c r="DAB1103" s="15"/>
      <c r="DAE1103" s="15"/>
      <c r="DAF1103" s="15"/>
      <c r="DAI1103" s="15"/>
      <c r="DAJ1103" s="15"/>
      <c r="DAM1103" s="15"/>
      <c r="DAN1103" s="15"/>
      <c r="DAQ1103" s="15"/>
      <c r="DAR1103" s="15"/>
      <c r="DAU1103" s="15"/>
      <c r="DAV1103" s="15"/>
      <c r="DAY1103" s="15"/>
      <c r="DAZ1103" s="15"/>
      <c r="DBC1103" s="15"/>
      <c r="DBD1103" s="15"/>
      <c r="DBG1103" s="15"/>
      <c r="DBH1103" s="15"/>
      <c r="DBK1103" s="15"/>
      <c r="DBL1103" s="15"/>
      <c r="DBO1103" s="15"/>
      <c r="DBP1103" s="15"/>
      <c r="DBS1103" s="15"/>
      <c r="DBT1103" s="15"/>
      <c r="DBW1103" s="15"/>
      <c r="DBX1103" s="15"/>
      <c r="DCA1103" s="15"/>
      <c r="DCB1103" s="15"/>
      <c r="DCE1103" s="15"/>
      <c r="DCF1103" s="15"/>
      <c r="DCI1103" s="15"/>
      <c r="DCJ1103" s="15"/>
      <c r="DCM1103" s="15"/>
      <c r="DCN1103" s="15"/>
      <c r="DCQ1103" s="15"/>
      <c r="DCR1103" s="15"/>
      <c r="DCU1103" s="15"/>
      <c r="DCV1103" s="15"/>
      <c r="DCY1103" s="15"/>
      <c r="DCZ1103" s="15"/>
      <c r="DDC1103" s="15"/>
      <c r="DDD1103" s="15"/>
      <c r="DDG1103" s="15"/>
      <c r="DDH1103" s="15"/>
      <c r="DDK1103" s="15"/>
      <c r="DDL1103" s="15"/>
      <c r="DDO1103" s="15"/>
      <c r="DDP1103" s="15"/>
      <c r="DDS1103" s="15"/>
      <c r="DDT1103" s="15"/>
      <c r="DDW1103" s="15"/>
      <c r="DDX1103" s="15"/>
      <c r="DEA1103" s="15"/>
      <c r="DEB1103" s="15"/>
      <c r="DEE1103" s="15"/>
      <c r="DEF1103" s="15"/>
      <c r="DEI1103" s="15"/>
      <c r="DEJ1103" s="15"/>
      <c r="DEM1103" s="15"/>
      <c r="DEN1103" s="15"/>
      <c r="DEQ1103" s="15"/>
      <c r="DER1103" s="15"/>
      <c r="DEU1103" s="15"/>
      <c r="DEV1103" s="15"/>
      <c r="DEY1103" s="15"/>
      <c r="DEZ1103" s="15"/>
      <c r="DFC1103" s="15"/>
      <c r="DFD1103" s="15"/>
      <c r="DFG1103" s="15"/>
      <c r="DFH1103" s="15"/>
      <c r="DFK1103" s="15"/>
      <c r="DFL1103" s="15"/>
      <c r="DFO1103" s="15"/>
      <c r="DFP1103" s="15"/>
      <c r="DFS1103" s="15"/>
      <c r="DFT1103" s="15"/>
      <c r="DFW1103" s="15"/>
      <c r="DFX1103" s="15"/>
      <c r="DGA1103" s="15"/>
      <c r="DGB1103" s="15"/>
      <c r="DGE1103" s="15"/>
      <c r="DGF1103" s="15"/>
      <c r="DGI1103" s="15"/>
      <c r="DGJ1103" s="15"/>
      <c r="DGM1103" s="15"/>
      <c r="DGN1103" s="15"/>
      <c r="DGQ1103" s="15"/>
      <c r="DGR1103" s="15"/>
      <c r="DGU1103" s="15"/>
      <c r="DGV1103" s="15"/>
      <c r="DGY1103" s="15"/>
      <c r="DGZ1103" s="15"/>
      <c r="DHC1103" s="15"/>
      <c r="DHD1103" s="15"/>
      <c r="DHG1103" s="15"/>
      <c r="DHH1103" s="15"/>
      <c r="DHK1103" s="15"/>
      <c r="DHL1103" s="15"/>
      <c r="DHO1103" s="15"/>
      <c r="DHP1103" s="15"/>
      <c r="DHS1103" s="15"/>
      <c r="DHT1103" s="15"/>
      <c r="DHW1103" s="15"/>
      <c r="DHX1103" s="15"/>
      <c r="DIA1103" s="15"/>
      <c r="DIB1103" s="15"/>
      <c r="DIE1103" s="15"/>
      <c r="DIF1103" s="15"/>
      <c r="DII1103" s="15"/>
      <c r="DIJ1103" s="15"/>
      <c r="DIM1103" s="15"/>
      <c r="DIN1103" s="15"/>
      <c r="DIQ1103" s="15"/>
      <c r="DIR1103" s="15"/>
      <c r="DIU1103" s="15"/>
      <c r="DIV1103" s="15"/>
      <c r="DIY1103" s="15"/>
      <c r="DIZ1103" s="15"/>
      <c r="DJC1103" s="15"/>
      <c r="DJD1103" s="15"/>
      <c r="DJG1103" s="15"/>
      <c r="DJH1103" s="15"/>
      <c r="DJK1103" s="15"/>
      <c r="DJL1103" s="15"/>
      <c r="DJO1103" s="15"/>
      <c r="DJP1103" s="15"/>
      <c r="DJS1103" s="15"/>
      <c r="DJT1103" s="15"/>
      <c r="DJW1103" s="15"/>
      <c r="DJX1103" s="15"/>
      <c r="DKA1103" s="15"/>
      <c r="DKB1103" s="15"/>
      <c r="DKE1103" s="15"/>
      <c r="DKF1103" s="15"/>
      <c r="DKI1103" s="15"/>
      <c r="DKJ1103" s="15"/>
      <c r="DKM1103" s="15"/>
      <c r="DKN1103" s="15"/>
      <c r="DKQ1103" s="15"/>
      <c r="DKR1103" s="15"/>
      <c r="DKU1103" s="15"/>
      <c r="DKV1103" s="15"/>
      <c r="DKY1103" s="15"/>
      <c r="DKZ1103" s="15"/>
      <c r="DLC1103" s="15"/>
      <c r="DLD1103" s="15"/>
      <c r="DLG1103" s="15"/>
      <c r="DLH1103" s="15"/>
      <c r="DLK1103" s="15"/>
      <c r="DLL1103" s="15"/>
      <c r="DLO1103" s="15"/>
      <c r="DLP1103" s="15"/>
      <c r="DLS1103" s="15"/>
      <c r="DLT1103" s="15"/>
      <c r="DLW1103" s="15"/>
      <c r="DLX1103" s="15"/>
      <c r="DMA1103" s="15"/>
      <c r="DMB1103" s="15"/>
      <c r="DME1103" s="15"/>
      <c r="DMF1103" s="15"/>
      <c r="DMI1103" s="15"/>
      <c r="DMJ1103" s="15"/>
      <c r="DMM1103" s="15"/>
      <c r="DMN1103" s="15"/>
      <c r="DMQ1103" s="15"/>
      <c r="DMR1103" s="15"/>
      <c r="DMU1103" s="15"/>
      <c r="DMV1103" s="15"/>
      <c r="DMY1103" s="15"/>
      <c r="DMZ1103" s="15"/>
      <c r="DNC1103" s="15"/>
      <c r="DND1103" s="15"/>
      <c r="DNG1103" s="15"/>
      <c r="DNH1103" s="15"/>
      <c r="DNK1103" s="15"/>
      <c r="DNL1103" s="15"/>
      <c r="DNO1103" s="15"/>
      <c r="DNP1103" s="15"/>
      <c r="DNS1103" s="15"/>
      <c r="DNT1103" s="15"/>
      <c r="DNW1103" s="15"/>
      <c r="DNX1103" s="15"/>
      <c r="DOA1103" s="15"/>
      <c r="DOB1103" s="15"/>
      <c r="DOE1103" s="15"/>
      <c r="DOF1103" s="15"/>
      <c r="DOI1103" s="15"/>
      <c r="DOJ1103" s="15"/>
      <c r="DOM1103" s="15"/>
      <c r="DON1103" s="15"/>
      <c r="DOQ1103" s="15"/>
      <c r="DOR1103" s="15"/>
      <c r="DOU1103" s="15"/>
      <c r="DOV1103" s="15"/>
      <c r="DOY1103" s="15"/>
      <c r="DOZ1103" s="15"/>
      <c r="DPC1103" s="15"/>
      <c r="DPD1103" s="15"/>
      <c r="DPG1103" s="15"/>
      <c r="DPH1103" s="15"/>
      <c r="DPK1103" s="15"/>
      <c r="DPL1103" s="15"/>
      <c r="DPO1103" s="15"/>
      <c r="DPP1103" s="15"/>
      <c r="DPS1103" s="15"/>
      <c r="DPT1103" s="15"/>
      <c r="DPW1103" s="15"/>
      <c r="DPX1103" s="15"/>
      <c r="DQA1103" s="15"/>
      <c r="DQB1103" s="15"/>
      <c r="DQE1103" s="15"/>
      <c r="DQF1103" s="15"/>
      <c r="DQI1103" s="15"/>
      <c r="DQJ1103" s="15"/>
      <c r="DQM1103" s="15"/>
      <c r="DQN1103" s="15"/>
      <c r="DQQ1103" s="15"/>
      <c r="DQR1103" s="15"/>
      <c r="DQU1103" s="15"/>
      <c r="DQV1103" s="15"/>
      <c r="DQY1103" s="15"/>
      <c r="DQZ1103" s="15"/>
      <c r="DRC1103" s="15"/>
      <c r="DRD1103" s="15"/>
      <c r="DRG1103" s="15"/>
      <c r="DRH1103" s="15"/>
      <c r="DRK1103" s="15"/>
      <c r="DRL1103" s="15"/>
      <c r="DRO1103" s="15"/>
      <c r="DRP1103" s="15"/>
      <c r="DRS1103" s="15"/>
      <c r="DRT1103" s="15"/>
      <c r="DRW1103" s="15"/>
      <c r="DRX1103" s="15"/>
      <c r="DSA1103" s="15"/>
      <c r="DSB1103" s="15"/>
      <c r="DSE1103" s="15"/>
      <c r="DSF1103" s="15"/>
      <c r="DSI1103" s="15"/>
      <c r="DSJ1103" s="15"/>
      <c r="DSM1103" s="15"/>
      <c r="DSN1103" s="15"/>
      <c r="DSQ1103" s="15"/>
      <c r="DSR1103" s="15"/>
      <c r="DSU1103" s="15"/>
      <c r="DSV1103" s="15"/>
      <c r="DSY1103" s="15"/>
      <c r="DSZ1103" s="15"/>
      <c r="DTC1103" s="15"/>
      <c r="DTD1103" s="15"/>
      <c r="DTG1103" s="15"/>
      <c r="DTH1103" s="15"/>
      <c r="DTK1103" s="15"/>
      <c r="DTL1103" s="15"/>
      <c r="DTO1103" s="15"/>
      <c r="DTP1103" s="15"/>
      <c r="DTS1103" s="15"/>
      <c r="DTT1103" s="15"/>
      <c r="DTW1103" s="15"/>
      <c r="DTX1103" s="15"/>
      <c r="DUA1103" s="15"/>
      <c r="DUB1103" s="15"/>
      <c r="DUE1103" s="15"/>
      <c r="DUF1103" s="15"/>
      <c r="DUI1103" s="15"/>
      <c r="DUJ1103" s="15"/>
      <c r="DUM1103" s="15"/>
      <c r="DUN1103" s="15"/>
      <c r="DUQ1103" s="15"/>
      <c r="DUR1103" s="15"/>
      <c r="DUU1103" s="15"/>
      <c r="DUV1103" s="15"/>
      <c r="DUY1103" s="15"/>
      <c r="DUZ1103" s="15"/>
      <c r="DVC1103" s="15"/>
      <c r="DVD1103" s="15"/>
      <c r="DVG1103" s="15"/>
      <c r="DVH1103" s="15"/>
      <c r="DVK1103" s="15"/>
      <c r="DVL1103" s="15"/>
      <c r="DVO1103" s="15"/>
      <c r="DVP1103" s="15"/>
      <c r="DVS1103" s="15"/>
      <c r="DVT1103" s="15"/>
      <c r="DVW1103" s="15"/>
      <c r="DVX1103" s="15"/>
      <c r="DWA1103" s="15"/>
      <c r="DWB1103" s="15"/>
      <c r="DWE1103" s="15"/>
      <c r="DWF1103" s="15"/>
      <c r="DWI1103" s="15"/>
      <c r="DWJ1103" s="15"/>
      <c r="DWM1103" s="15"/>
      <c r="DWN1103" s="15"/>
      <c r="DWQ1103" s="15"/>
      <c r="DWR1103" s="15"/>
      <c r="DWU1103" s="15"/>
      <c r="DWV1103" s="15"/>
      <c r="DWY1103" s="15"/>
      <c r="DWZ1103" s="15"/>
      <c r="DXC1103" s="15"/>
      <c r="DXD1103" s="15"/>
      <c r="DXG1103" s="15"/>
      <c r="DXH1103" s="15"/>
      <c r="DXK1103" s="15"/>
      <c r="DXL1103" s="15"/>
      <c r="DXO1103" s="15"/>
      <c r="DXP1103" s="15"/>
      <c r="DXS1103" s="15"/>
      <c r="DXT1103" s="15"/>
      <c r="DXW1103" s="15"/>
      <c r="DXX1103" s="15"/>
      <c r="DYA1103" s="15"/>
      <c r="DYB1103" s="15"/>
      <c r="DYE1103" s="15"/>
      <c r="DYF1103" s="15"/>
      <c r="DYI1103" s="15"/>
      <c r="DYJ1103" s="15"/>
      <c r="DYM1103" s="15"/>
      <c r="DYN1103" s="15"/>
      <c r="DYQ1103" s="15"/>
      <c r="DYR1103" s="15"/>
      <c r="DYU1103" s="15"/>
      <c r="DYV1103" s="15"/>
      <c r="DYY1103" s="15"/>
      <c r="DYZ1103" s="15"/>
      <c r="DZC1103" s="15"/>
      <c r="DZD1103" s="15"/>
      <c r="DZG1103" s="15"/>
      <c r="DZH1103" s="15"/>
      <c r="DZK1103" s="15"/>
      <c r="DZL1103" s="15"/>
      <c r="DZO1103" s="15"/>
      <c r="DZP1103" s="15"/>
      <c r="DZS1103" s="15"/>
      <c r="DZT1103" s="15"/>
      <c r="DZW1103" s="15"/>
      <c r="DZX1103" s="15"/>
      <c r="EAA1103" s="15"/>
      <c r="EAB1103" s="15"/>
      <c r="EAE1103" s="15"/>
      <c r="EAF1103" s="15"/>
      <c r="EAI1103" s="15"/>
      <c r="EAJ1103" s="15"/>
      <c r="EAM1103" s="15"/>
      <c r="EAN1103" s="15"/>
      <c r="EAQ1103" s="15"/>
      <c r="EAR1103" s="15"/>
      <c r="EAU1103" s="15"/>
      <c r="EAV1103" s="15"/>
      <c r="EAY1103" s="15"/>
      <c r="EAZ1103" s="15"/>
      <c r="EBC1103" s="15"/>
      <c r="EBD1103" s="15"/>
      <c r="EBG1103" s="15"/>
      <c r="EBH1103" s="15"/>
      <c r="EBK1103" s="15"/>
      <c r="EBL1103" s="15"/>
      <c r="EBO1103" s="15"/>
      <c r="EBP1103" s="15"/>
      <c r="EBS1103" s="15"/>
      <c r="EBT1103" s="15"/>
      <c r="EBW1103" s="15"/>
      <c r="EBX1103" s="15"/>
      <c r="ECA1103" s="15"/>
      <c r="ECB1103" s="15"/>
      <c r="ECE1103" s="15"/>
      <c r="ECF1103" s="15"/>
      <c r="ECI1103" s="15"/>
      <c r="ECJ1103" s="15"/>
      <c r="ECM1103" s="15"/>
      <c r="ECN1103" s="15"/>
      <c r="ECQ1103" s="15"/>
      <c r="ECR1103" s="15"/>
      <c r="ECU1103" s="15"/>
      <c r="ECV1103" s="15"/>
      <c r="ECY1103" s="15"/>
      <c r="ECZ1103" s="15"/>
      <c r="EDC1103" s="15"/>
      <c r="EDD1103" s="15"/>
      <c r="EDG1103" s="15"/>
      <c r="EDH1103" s="15"/>
      <c r="EDK1103" s="15"/>
      <c r="EDL1103" s="15"/>
      <c r="EDO1103" s="15"/>
      <c r="EDP1103" s="15"/>
      <c r="EDS1103" s="15"/>
      <c r="EDT1103" s="15"/>
      <c r="EDW1103" s="15"/>
      <c r="EDX1103" s="15"/>
      <c r="EEA1103" s="15"/>
      <c r="EEB1103" s="15"/>
      <c r="EEE1103" s="15"/>
      <c r="EEF1103" s="15"/>
      <c r="EEI1103" s="15"/>
      <c r="EEJ1103" s="15"/>
      <c r="EEM1103" s="15"/>
      <c r="EEN1103" s="15"/>
      <c r="EEQ1103" s="15"/>
      <c r="EER1103" s="15"/>
      <c r="EEU1103" s="15"/>
      <c r="EEV1103" s="15"/>
      <c r="EEY1103" s="15"/>
      <c r="EEZ1103" s="15"/>
      <c r="EFC1103" s="15"/>
      <c r="EFD1103" s="15"/>
      <c r="EFG1103" s="15"/>
      <c r="EFH1103" s="15"/>
      <c r="EFK1103" s="15"/>
      <c r="EFL1103" s="15"/>
      <c r="EFO1103" s="15"/>
      <c r="EFP1103" s="15"/>
      <c r="EFS1103" s="15"/>
      <c r="EFT1103" s="15"/>
      <c r="EFW1103" s="15"/>
      <c r="EFX1103" s="15"/>
      <c r="EGA1103" s="15"/>
      <c r="EGB1103" s="15"/>
      <c r="EGE1103" s="15"/>
      <c r="EGF1103" s="15"/>
      <c r="EGI1103" s="15"/>
      <c r="EGJ1103" s="15"/>
      <c r="EGM1103" s="15"/>
      <c r="EGN1103" s="15"/>
      <c r="EGQ1103" s="15"/>
      <c r="EGR1103" s="15"/>
      <c r="EGU1103" s="15"/>
      <c r="EGV1103" s="15"/>
      <c r="EGY1103" s="15"/>
      <c r="EGZ1103" s="15"/>
      <c r="EHC1103" s="15"/>
      <c r="EHD1103" s="15"/>
      <c r="EHG1103" s="15"/>
      <c r="EHH1103" s="15"/>
      <c r="EHK1103" s="15"/>
      <c r="EHL1103" s="15"/>
      <c r="EHO1103" s="15"/>
      <c r="EHP1103" s="15"/>
      <c r="EHS1103" s="15"/>
      <c r="EHT1103" s="15"/>
      <c r="EHW1103" s="15"/>
      <c r="EHX1103" s="15"/>
      <c r="EIA1103" s="15"/>
      <c r="EIB1103" s="15"/>
      <c r="EIE1103" s="15"/>
      <c r="EIF1103" s="15"/>
      <c r="EII1103" s="15"/>
      <c r="EIJ1103" s="15"/>
      <c r="EIM1103" s="15"/>
      <c r="EIN1103" s="15"/>
      <c r="EIQ1103" s="15"/>
      <c r="EIR1103" s="15"/>
      <c r="EIU1103" s="15"/>
      <c r="EIV1103" s="15"/>
      <c r="EIY1103" s="15"/>
      <c r="EIZ1103" s="15"/>
      <c r="EJC1103" s="15"/>
      <c r="EJD1103" s="15"/>
      <c r="EJG1103" s="15"/>
      <c r="EJH1103" s="15"/>
      <c r="EJK1103" s="15"/>
      <c r="EJL1103" s="15"/>
      <c r="EJO1103" s="15"/>
      <c r="EJP1103" s="15"/>
      <c r="EJS1103" s="15"/>
      <c r="EJT1103" s="15"/>
      <c r="EJW1103" s="15"/>
      <c r="EJX1103" s="15"/>
      <c r="EKA1103" s="15"/>
      <c r="EKB1103" s="15"/>
      <c r="EKE1103" s="15"/>
      <c r="EKF1103" s="15"/>
      <c r="EKI1103" s="15"/>
      <c r="EKJ1103" s="15"/>
      <c r="EKM1103" s="15"/>
      <c r="EKN1103" s="15"/>
      <c r="EKQ1103" s="15"/>
      <c r="EKR1103" s="15"/>
      <c r="EKU1103" s="15"/>
      <c r="EKV1103" s="15"/>
      <c r="EKY1103" s="15"/>
      <c r="EKZ1103" s="15"/>
      <c r="ELC1103" s="15"/>
      <c r="ELD1103" s="15"/>
      <c r="ELG1103" s="15"/>
      <c r="ELH1103" s="15"/>
      <c r="ELK1103" s="15"/>
      <c r="ELL1103" s="15"/>
      <c r="ELO1103" s="15"/>
      <c r="ELP1103" s="15"/>
      <c r="ELS1103" s="15"/>
      <c r="ELT1103" s="15"/>
      <c r="ELW1103" s="15"/>
      <c r="ELX1103" s="15"/>
      <c r="EMA1103" s="15"/>
      <c r="EMB1103" s="15"/>
      <c r="EME1103" s="15"/>
      <c r="EMF1103" s="15"/>
      <c r="EMI1103" s="15"/>
      <c r="EMJ1103" s="15"/>
      <c r="EMM1103" s="15"/>
      <c r="EMN1103" s="15"/>
      <c r="EMQ1103" s="15"/>
      <c r="EMR1103" s="15"/>
      <c r="EMU1103" s="15"/>
      <c r="EMV1103" s="15"/>
      <c r="EMY1103" s="15"/>
      <c r="EMZ1103" s="15"/>
      <c r="ENC1103" s="15"/>
      <c r="END1103" s="15"/>
      <c r="ENG1103" s="15"/>
      <c r="ENH1103" s="15"/>
      <c r="ENK1103" s="15"/>
      <c r="ENL1103" s="15"/>
      <c r="ENO1103" s="15"/>
      <c r="ENP1103" s="15"/>
      <c r="ENS1103" s="15"/>
      <c r="ENT1103" s="15"/>
      <c r="ENW1103" s="15"/>
      <c r="ENX1103" s="15"/>
      <c r="EOA1103" s="15"/>
      <c r="EOB1103" s="15"/>
      <c r="EOE1103" s="15"/>
      <c r="EOF1103" s="15"/>
      <c r="EOI1103" s="15"/>
      <c r="EOJ1103" s="15"/>
      <c r="EOM1103" s="15"/>
      <c r="EON1103" s="15"/>
      <c r="EOQ1103" s="15"/>
      <c r="EOR1103" s="15"/>
      <c r="EOU1103" s="15"/>
      <c r="EOV1103" s="15"/>
      <c r="EOY1103" s="15"/>
      <c r="EOZ1103" s="15"/>
      <c r="EPC1103" s="15"/>
      <c r="EPD1103" s="15"/>
      <c r="EPG1103" s="15"/>
      <c r="EPH1103" s="15"/>
      <c r="EPK1103" s="15"/>
      <c r="EPL1103" s="15"/>
      <c r="EPO1103" s="15"/>
      <c r="EPP1103" s="15"/>
      <c r="EPS1103" s="15"/>
      <c r="EPT1103" s="15"/>
      <c r="EPW1103" s="15"/>
      <c r="EPX1103" s="15"/>
      <c r="EQA1103" s="15"/>
      <c r="EQB1103" s="15"/>
      <c r="EQE1103" s="15"/>
      <c r="EQF1103" s="15"/>
      <c r="EQI1103" s="15"/>
      <c r="EQJ1103" s="15"/>
      <c r="EQM1103" s="15"/>
      <c r="EQN1103" s="15"/>
      <c r="EQQ1103" s="15"/>
      <c r="EQR1103" s="15"/>
      <c r="EQU1103" s="15"/>
      <c r="EQV1103" s="15"/>
      <c r="EQY1103" s="15"/>
      <c r="EQZ1103" s="15"/>
      <c r="ERC1103" s="15"/>
      <c r="ERD1103" s="15"/>
      <c r="ERG1103" s="15"/>
      <c r="ERH1103" s="15"/>
      <c r="ERK1103" s="15"/>
      <c r="ERL1103" s="15"/>
      <c r="ERO1103" s="15"/>
      <c r="ERP1103" s="15"/>
      <c r="ERS1103" s="15"/>
      <c r="ERT1103" s="15"/>
      <c r="ERW1103" s="15"/>
      <c r="ERX1103" s="15"/>
      <c r="ESA1103" s="15"/>
      <c r="ESB1103" s="15"/>
      <c r="ESE1103" s="15"/>
      <c r="ESF1103" s="15"/>
      <c r="ESI1103" s="15"/>
      <c r="ESJ1103" s="15"/>
      <c r="ESM1103" s="15"/>
      <c r="ESN1103" s="15"/>
      <c r="ESQ1103" s="15"/>
      <c r="ESR1103" s="15"/>
      <c r="ESU1103" s="15"/>
      <c r="ESV1103" s="15"/>
      <c r="ESY1103" s="15"/>
      <c r="ESZ1103" s="15"/>
      <c r="ETC1103" s="15"/>
      <c r="ETD1103" s="15"/>
      <c r="ETG1103" s="15"/>
      <c r="ETH1103" s="15"/>
      <c r="ETK1103" s="15"/>
      <c r="ETL1103" s="15"/>
      <c r="ETO1103" s="15"/>
      <c r="ETP1103" s="15"/>
      <c r="ETS1103" s="15"/>
      <c r="ETT1103" s="15"/>
      <c r="ETW1103" s="15"/>
      <c r="ETX1103" s="15"/>
      <c r="EUA1103" s="15"/>
      <c r="EUB1103" s="15"/>
      <c r="EUE1103" s="15"/>
      <c r="EUF1103" s="15"/>
      <c r="EUI1103" s="15"/>
      <c r="EUJ1103" s="15"/>
      <c r="EUM1103" s="15"/>
      <c r="EUN1103" s="15"/>
      <c r="EUQ1103" s="15"/>
      <c r="EUR1103" s="15"/>
      <c r="EUU1103" s="15"/>
      <c r="EUV1103" s="15"/>
      <c r="EUY1103" s="15"/>
      <c r="EUZ1103" s="15"/>
      <c r="EVC1103" s="15"/>
      <c r="EVD1103" s="15"/>
      <c r="EVG1103" s="15"/>
      <c r="EVH1103" s="15"/>
      <c r="EVK1103" s="15"/>
      <c r="EVL1103" s="15"/>
      <c r="EVO1103" s="15"/>
      <c r="EVP1103" s="15"/>
      <c r="EVS1103" s="15"/>
      <c r="EVT1103" s="15"/>
      <c r="EVW1103" s="15"/>
      <c r="EVX1103" s="15"/>
      <c r="EWA1103" s="15"/>
      <c r="EWB1103" s="15"/>
      <c r="EWE1103" s="15"/>
      <c r="EWF1103" s="15"/>
      <c r="EWI1103" s="15"/>
      <c r="EWJ1103" s="15"/>
      <c r="EWM1103" s="15"/>
      <c r="EWN1103" s="15"/>
      <c r="EWQ1103" s="15"/>
      <c r="EWR1103" s="15"/>
      <c r="EWU1103" s="15"/>
      <c r="EWV1103" s="15"/>
      <c r="EWY1103" s="15"/>
      <c r="EWZ1103" s="15"/>
      <c r="EXC1103" s="15"/>
      <c r="EXD1103" s="15"/>
      <c r="EXG1103" s="15"/>
      <c r="EXH1103" s="15"/>
      <c r="EXK1103" s="15"/>
      <c r="EXL1103" s="15"/>
      <c r="EXO1103" s="15"/>
      <c r="EXP1103" s="15"/>
      <c r="EXS1103" s="15"/>
      <c r="EXT1103" s="15"/>
      <c r="EXW1103" s="15"/>
      <c r="EXX1103" s="15"/>
      <c r="EYA1103" s="15"/>
      <c r="EYB1103" s="15"/>
      <c r="EYE1103" s="15"/>
      <c r="EYF1103" s="15"/>
      <c r="EYI1103" s="15"/>
      <c r="EYJ1103" s="15"/>
      <c r="EYM1103" s="15"/>
      <c r="EYN1103" s="15"/>
      <c r="EYQ1103" s="15"/>
      <c r="EYR1103" s="15"/>
      <c r="EYU1103" s="15"/>
      <c r="EYV1103" s="15"/>
      <c r="EYY1103" s="15"/>
      <c r="EYZ1103" s="15"/>
      <c r="EZC1103" s="15"/>
      <c r="EZD1103" s="15"/>
      <c r="EZG1103" s="15"/>
      <c r="EZH1103" s="15"/>
      <c r="EZK1103" s="15"/>
      <c r="EZL1103" s="15"/>
      <c r="EZO1103" s="15"/>
      <c r="EZP1103" s="15"/>
      <c r="EZS1103" s="15"/>
      <c r="EZT1103" s="15"/>
      <c r="EZW1103" s="15"/>
      <c r="EZX1103" s="15"/>
      <c r="FAA1103" s="15"/>
      <c r="FAB1103" s="15"/>
      <c r="FAE1103" s="15"/>
      <c r="FAF1103" s="15"/>
      <c r="FAI1103" s="15"/>
      <c r="FAJ1103" s="15"/>
      <c r="FAM1103" s="15"/>
      <c r="FAN1103" s="15"/>
      <c r="FAQ1103" s="15"/>
      <c r="FAR1103" s="15"/>
      <c r="FAU1103" s="15"/>
      <c r="FAV1103" s="15"/>
      <c r="FAY1103" s="15"/>
      <c r="FAZ1103" s="15"/>
      <c r="FBC1103" s="15"/>
      <c r="FBD1103" s="15"/>
      <c r="FBG1103" s="15"/>
      <c r="FBH1103" s="15"/>
      <c r="FBK1103" s="15"/>
      <c r="FBL1103" s="15"/>
      <c r="FBO1103" s="15"/>
      <c r="FBP1103" s="15"/>
      <c r="FBS1103" s="15"/>
      <c r="FBT1103" s="15"/>
      <c r="FBW1103" s="15"/>
      <c r="FBX1103" s="15"/>
      <c r="FCA1103" s="15"/>
      <c r="FCB1103" s="15"/>
      <c r="FCE1103" s="15"/>
      <c r="FCF1103" s="15"/>
      <c r="FCI1103" s="15"/>
      <c r="FCJ1103" s="15"/>
      <c r="FCM1103" s="15"/>
      <c r="FCN1103" s="15"/>
      <c r="FCQ1103" s="15"/>
      <c r="FCR1103" s="15"/>
      <c r="FCU1103" s="15"/>
      <c r="FCV1103" s="15"/>
      <c r="FCY1103" s="15"/>
      <c r="FCZ1103" s="15"/>
      <c r="FDC1103" s="15"/>
      <c r="FDD1103" s="15"/>
      <c r="FDG1103" s="15"/>
      <c r="FDH1103" s="15"/>
      <c r="FDK1103" s="15"/>
      <c r="FDL1103" s="15"/>
      <c r="FDO1103" s="15"/>
      <c r="FDP1103" s="15"/>
      <c r="FDS1103" s="15"/>
      <c r="FDT1103" s="15"/>
      <c r="FDW1103" s="15"/>
      <c r="FDX1103" s="15"/>
      <c r="FEA1103" s="15"/>
      <c r="FEB1103" s="15"/>
      <c r="FEE1103" s="15"/>
      <c r="FEF1103" s="15"/>
      <c r="FEI1103" s="15"/>
      <c r="FEJ1103" s="15"/>
      <c r="FEM1103" s="15"/>
      <c r="FEN1103" s="15"/>
      <c r="FEQ1103" s="15"/>
      <c r="FER1103" s="15"/>
      <c r="FEU1103" s="15"/>
      <c r="FEV1103" s="15"/>
      <c r="FEY1103" s="15"/>
      <c r="FEZ1103" s="15"/>
      <c r="FFC1103" s="15"/>
      <c r="FFD1103" s="15"/>
      <c r="FFG1103" s="15"/>
      <c r="FFH1103" s="15"/>
      <c r="FFK1103" s="15"/>
      <c r="FFL1103" s="15"/>
      <c r="FFO1103" s="15"/>
      <c r="FFP1103" s="15"/>
      <c r="FFS1103" s="15"/>
      <c r="FFT1103" s="15"/>
      <c r="FFW1103" s="15"/>
      <c r="FFX1103" s="15"/>
      <c r="FGA1103" s="15"/>
      <c r="FGB1103" s="15"/>
      <c r="FGE1103" s="15"/>
      <c r="FGF1103" s="15"/>
      <c r="FGI1103" s="15"/>
      <c r="FGJ1103" s="15"/>
      <c r="FGM1103" s="15"/>
      <c r="FGN1103" s="15"/>
      <c r="FGQ1103" s="15"/>
      <c r="FGR1103" s="15"/>
      <c r="FGU1103" s="15"/>
      <c r="FGV1103" s="15"/>
      <c r="FGY1103" s="15"/>
      <c r="FGZ1103" s="15"/>
      <c r="FHC1103" s="15"/>
      <c r="FHD1103" s="15"/>
      <c r="FHG1103" s="15"/>
      <c r="FHH1103" s="15"/>
      <c r="FHK1103" s="15"/>
      <c r="FHL1103" s="15"/>
      <c r="FHO1103" s="15"/>
      <c r="FHP1103" s="15"/>
      <c r="FHS1103" s="15"/>
      <c r="FHT1103" s="15"/>
      <c r="FHW1103" s="15"/>
      <c r="FHX1103" s="15"/>
      <c r="FIA1103" s="15"/>
      <c r="FIB1103" s="15"/>
      <c r="FIE1103" s="15"/>
      <c r="FIF1103" s="15"/>
      <c r="FII1103" s="15"/>
      <c r="FIJ1103" s="15"/>
      <c r="FIM1103" s="15"/>
      <c r="FIN1103" s="15"/>
      <c r="FIQ1103" s="15"/>
      <c r="FIR1103" s="15"/>
      <c r="FIU1103" s="15"/>
      <c r="FIV1103" s="15"/>
      <c r="FIY1103" s="15"/>
      <c r="FIZ1103" s="15"/>
      <c r="FJC1103" s="15"/>
      <c r="FJD1103" s="15"/>
      <c r="FJG1103" s="15"/>
      <c r="FJH1103" s="15"/>
      <c r="FJK1103" s="15"/>
      <c r="FJL1103" s="15"/>
      <c r="FJO1103" s="15"/>
      <c r="FJP1103" s="15"/>
      <c r="FJS1103" s="15"/>
      <c r="FJT1103" s="15"/>
      <c r="FJW1103" s="15"/>
      <c r="FJX1103" s="15"/>
      <c r="FKA1103" s="15"/>
      <c r="FKB1103" s="15"/>
      <c r="FKE1103" s="15"/>
      <c r="FKF1103" s="15"/>
      <c r="FKI1103" s="15"/>
      <c r="FKJ1103" s="15"/>
      <c r="FKM1103" s="15"/>
      <c r="FKN1103" s="15"/>
      <c r="FKQ1103" s="15"/>
      <c r="FKR1103" s="15"/>
      <c r="FKU1103" s="15"/>
      <c r="FKV1103" s="15"/>
      <c r="FKY1103" s="15"/>
      <c r="FKZ1103" s="15"/>
      <c r="FLC1103" s="15"/>
      <c r="FLD1103" s="15"/>
      <c r="FLG1103" s="15"/>
      <c r="FLH1103" s="15"/>
      <c r="FLK1103" s="15"/>
      <c r="FLL1103" s="15"/>
      <c r="FLO1103" s="15"/>
      <c r="FLP1103" s="15"/>
      <c r="FLS1103" s="15"/>
      <c r="FLT1103" s="15"/>
      <c r="FLW1103" s="15"/>
      <c r="FLX1103" s="15"/>
      <c r="FMA1103" s="15"/>
      <c r="FMB1103" s="15"/>
      <c r="FME1103" s="15"/>
      <c r="FMF1103" s="15"/>
      <c r="FMI1103" s="15"/>
      <c r="FMJ1103" s="15"/>
      <c r="FMM1103" s="15"/>
      <c r="FMN1103" s="15"/>
      <c r="FMQ1103" s="15"/>
      <c r="FMR1103" s="15"/>
      <c r="FMU1103" s="15"/>
      <c r="FMV1103" s="15"/>
      <c r="FMY1103" s="15"/>
      <c r="FMZ1103" s="15"/>
      <c r="FNC1103" s="15"/>
      <c r="FND1103" s="15"/>
      <c r="FNG1103" s="15"/>
      <c r="FNH1103" s="15"/>
      <c r="FNK1103" s="15"/>
      <c r="FNL1103" s="15"/>
      <c r="FNO1103" s="15"/>
      <c r="FNP1103" s="15"/>
      <c r="FNS1103" s="15"/>
      <c r="FNT1103" s="15"/>
      <c r="FNW1103" s="15"/>
      <c r="FNX1103" s="15"/>
      <c r="FOA1103" s="15"/>
      <c r="FOB1103" s="15"/>
      <c r="FOE1103" s="15"/>
      <c r="FOF1103" s="15"/>
      <c r="FOI1103" s="15"/>
      <c r="FOJ1103" s="15"/>
      <c r="FOM1103" s="15"/>
      <c r="FON1103" s="15"/>
      <c r="FOQ1103" s="15"/>
      <c r="FOR1103" s="15"/>
      <c r="FOU1103" s="15"/>
      <c r="FOV1103" s="15"/>
      <c r="FOY1103" s="15"/>
      <c r="FOZ1103" s="15"/>
      <c r="FPC1103" s="15"/>
      <c r="FPD1103" s="15"/>
      <c r="FPG1103" s="15"/>
      <c r="FPH1103" s="15"/>
      <c r="FPK1103" s="15"/>
      <c r="FPL1103" s="15"/>
      <c r="FPO1103" s="15"/>
      <c r="FPP1103" s="15"/>
      <c r="FPS1103" s="15"/>
      <c r="FPT1103" s="15"/>
      <c r="FPW1103" s="15"/>
      <c r="FPX1103" s="15"/>
      <c r="FQA1103" s="15"/>
      <c r="FQB1103" s="15"/>
      <c r="FQE1103" s="15"/>
      <c r="FQF1103" s="15"/>
      <c r="FQI1103" s="15"/>
      <c r="FQJ1103" s="15"/>
      <c r="FQM1103" s="15"/>
      <c r="FQN1103" s="15"/>
      <c r="FQQ1103" s="15"/>
      <c r="FQR1103" s="15"/>
      <c r="FQU1103" s="15"/>
      <c r="FQV1103" s="15"/>
      <c r="FQY1103" s="15"/>
      <c r="FQZ1103" s="15"/>
      <c r="FRC1103" s="15"/>
      <c r="FRD1103" s="15"/>
      <c r="FRG1103" s="15"/>
      <c r="FRH1103" s="15"/>
      <c r="FRK1103" s="15"/>
      <c r="FRL1103" s="15"/>
      <c r="FRO1103" s="15"/>
      <c r="FRP1103" s="15"/>
      <c r="FRS1103" s="15"/>
      <c r="FRT1103" s="15"/>
      <c r="FRW1103" s="15"/>
      <c r="FRX1103" s="15"/>
      <c r="FSA1103" s="15"/>
      <c r="FSB1103" s="15"/>
      <c r="FSE1103" s="15"/>
      <c r="FSF1103" s="15"/>
      <c r="FSI1103" s="15"/>
      <c r="FSJ1103" s="15"/>
      <c r="FSM1103" s="15"/>
      <c r="FSN1103" s="15"/>
      <c r="FSQ1103" s="15"/>
      <c r="FSR1103" s="15"/>
      <c r="FSU1103" s="15"/>
      <c r="FSV1103" s="15"/>
      <c r="FSY1103" s="15"/>
      <c r="FSZ1103" s="15"/>
      <c r="FTC1103" s="15"/>
      <c r="FTD1103" s="15"/>
      <c r="FTG1103" s="15"/>
      <c r="FTH1103" s="15"/>
      <c r="FTK1103" s="15"/>
      <c r="FTL1103" s="15"/>
      <c r="FTO1103" s="15"/>
      <c r="FTP1103" s="15"/>
      <c r="FTS1103" s="15"/>
      <c r="FTT1103" s="15"/>
      <c r="FTW1103" s="15"/>
      <c r="FTX1103" s="15"/>
      <c r="FUA1103" s="15"/>
      <c r="FUB1103" s="15"/>
      <c r="FUE1103" s="15"/>
      <c r="FUF1103" s="15"/>
      <c r="FUI1103" s="15"/>
      <c r="FUJ1103" s="15"/>
      <c r="FUM1103" s="15"/>
      <c r="FUN1103" s="15"/>
      <c r="FUQ1103" s="15"/>
      <c r="FUR1103" s="15"/>
      <c r="FUU1103" s="15"/>
      <c r="FUV1103" s="15"/>
      <c r="FUY1103" s="15"/>
      <c r="FUZ1103" s="15"/>
      <c r="FVC1103" s="15"/>
      <c r="FVD1103" s="15"/>
      <c r="FVG1103" s="15"/>
      <c r="FVH1103" s="15"/>
      <c r="FVK1103" s="15"/>
      <c r="FVL1103" s="15"/>
      <c r="FVO1103" s="15"/>
      <c r="FVP1103" s="15"/>
      <c r="FVS1103" s="15"/>
      <c r="FVT1103" s="15"/>
      <c r="FVW1103" s="15"/>
      <c r="FVX1103" s="15"/>
      <c r="FWA1103" s="15"/>
      <c r="FWB1103" s="15"/>
      <c r="FWE1103" s="15"/>
      <c r="FWF1103" s="15"/>
      <c r="FWI1103" s="15"/>
      <c r="FWJ1103" s="15"/>
      <c r="FWM1103" s="15"/>
      <c r="FWN1103" s="15"/>
      <c r="FWQ1103" s="15"/>
      <c r="FWR1103" s="15"/>
      <c r="FWU1103" s="15"/>
      <c r="FWV1103" s="15"/>
      <c r="FWY1103" s="15"/>
      <c r="FWZ1103" s="15"/>
      <c r="FXC1103" s="15"/>
      <c r="FXD1103" s="15"/>
      <c r="FXG1103" s="15"/>
      <c r="FXH1103" s="15"/>
      <c r="FXK1103" s="15"/>
      <c r="FXL1103" s="15"/>
      <c r="FXO1103" s="15"/>
      <c r="FXP1103" s="15"/>
      <c r="FXS1103" s="15"/>
      <c r="FXT1103" s="15"/>
      <c r="FXW1103" s="15"/>
      <c r="FXX1103" s="15"/>
      <c r="FYA1103" s="15"/>
      <c r="FYB1103" s="15"/>
      <c r="FYE1103" s="15"/>
      <c r="FYF1103" s="15"/>
      <c r="FYI1103" s="15"/>
      <c r="FYJ1103" s="15"/>
      <c r="FYM1103" s="15"/>
      <c r="FYN1103" s="15"/>
      <c r="FYQ1103" s="15"/>
      <c r="FYR1103" s="15"/>
      <c r="FYU1103" s="15"/>
      <c r="FYV1103" s="15"/>
      <c r="FYY1103" s="15"/>
      <c r="FYZ1103" s="15"/>
      <c r="FZC1103" s="15"/>
      <c r="FZD1103" s="15"/>
      <c r="FZG1103" s="15"/>
      <c r="FZH1103" s="15"/>
      <c r="FZK1103" s="15"/>
      <c r="FZL1103" s="15"/>
      <c r="FZO1103" s="15"/>
      <c r="FZP1103" s="15"/>
      <c r="FZS1103" s="15"/>
      <c r="FZT1103" s="15"/>
      <c r="FZW1103" s="15"/>
      <c r="FZX1103" s="15"/>
      <c r="GAA1103" s="15"/>
      <c r="GAB1103" s="15"/>
      <c r="GAE1103" s="15"/>
      <c r="GAF1103" s="15"/>
      <c r="GAI1103" s="15"/>
      <c r="GAJ1103" s="15"/>
      <c r="GAM1103" s="15"/>
      <c r="GAN1103" s="15"/>
      <c r="GAQ1103" s="15"/>
      <c r="GAR1103" s="15"/>
      <c r="GAU1103" s="15"/>
      <c r="GAV1103" s="15"/>
      <c r="GAY1103" s="15"/>
      <c r="GAZ1103" s="15"/>
      <c r="GBC1103" s="15"/>
      <c r="GBD1103" s="15"/>
      <c r="GBG1103" s="15"/>
      <c r="GBH1103" s="15"/>
      <c r="GBK1103" s="15"/>
      <c r="GBL1103" s="15"/>
      <c r="GBO1103" s="15"/>
      <c r="GBP1103" s="15"/>
      <c r="GBS1103" s="15"/>
      <c r="GBT1103" s="15"/>
      <c r="GBW1103" s="15"/>
      <c r="GBX1103" s="15"/>
      <c r="GCA1103" s="15"/>
      <c r="GCB1103" s="15"/>
      <c r="GCE1103" s="15"/>
      <c r="GCF1103" s="15"/>
      <c r="GCI1103" s="15"/>
      <c r="GCJ1103" s="15"/>
      <c r="GCM1103" s="15"/>
      <c r="GCN1103" s="15"/>
      <c r="GCQ1103" s="15"/>
      <c r="GCR1103" s="15"/>
      <c r="GCU1103" s="15"/>
      <c r="GCV1103" s="15"/>
      <c r="GCY1103" s="15"/>
      <c r="GCZ1103" s="15"/>
      <c r="GDC1103" s="15"/>
      <c r="GDD1103" s="15"/>
      <c r="GDG1103" s="15"/>
      <c r="GDH1103" s="15"/>
      <c r="GDK1103" s="15"/>
      <c r="GDL1103" s="15"/>
      <c r="GDO1103" s="15"/>
      <c r="GDP1103" s="15"/>
      <c r="GDS1103" s="15"/>
      <c r="GDT1103" s="15"/>
      <c r="GDW1103" s="15"/>
      <c r="GDX1103" s="15"/>
      <c r="GEA1103" s="15"/>
      <c r="GEB1103" s="15"/>
      <c r="GEE1103" s="15"/>
      <c r="GEF1103" s="15"/>
      <c r="GEI1103" s="15"/>
      <c r="GEJ1103" s="15"/>
      <c r="GEM1103" s="15"/>
      <c r="GEN1103" s="15"/>
      <c r="GEQ1103" s="15"/>
      <c r="GER1103" s="15"/>
      <c r="GEU1103" s="15"/>
      <c r="GEV1103" s="15"/>
      <c r="GEY1103" s="15"/>
      <c r="GEZ1103" s="15"/>
      <c r="GFC1103" s="15"/>
      <c r="GFD1103" s="15"/>
      <c r="GFG1103" s="15"/>
      <c r="GFH1103" s="15"/>
      <c r="GFK1103" s="15"/>
      <c r="GFL1103" s="15"/>
      <c r="GFO1103" s="15"/>
      <c r="GFP1103" s="15"/>
      <c r="GFS1103" s="15"/>
      <c r="GFT1103" s="15"/>
      <c r="GFW1103" s="15"/>
      <c r="GFX1103" s="15"/>
      <c r="GGA1103" s="15"/>
      <c r="GGB1103" s="15"/>
      <c r="GGE1103" s="15"/>
      <c r="GGF1103" s="15"/>
      <c r="GGI1103" s="15"/>
      <c r="GGJ1103" s="15"/>
      <c r="GGM1103" s="15"/>
      <c r="GGN1103" s="15"/>
      <c r="GGQ1103" s="15"/>
      <c r="GGR1103" s="15"/>
      <c r="GGU1103" s="15"/>
      <c r="GGV1103" s="15"/>
      <c r="GGY1103" s="15"/>
      <c r="GGZ1103" s="15"/>
      <c r="GHC1103" s="15"/>
      <c r="GHD1103" s="15"/>
      <c r="GHG1103" s="15"/>
      <c r="GHH1103" s="15"/>
      <c r="GHK1103" s="15"/>
      <c r="GHL1103" s="15"/>
      <c r="GHO1103" s="15"/>
      <c r="GHP1103" s="15"/>
      <c r="GHS1103" s="15"/>
      <c r="GHT1103" s="15"/>
      <c r="GHW1103" s="15"/>
      <c r="GHX1103" s="15"/>
      <c r="GIA1103" s="15"/>
      <c r="GIB1103" s="15"/>
      <c r="GIE1103" s="15"/>
      <c r="GIF1103" s="15"/>
      <c r="GII1103" s="15"/>
      <c r="GIJ1103" s="15"/>
      <c r="GIM1103" s="15"/>
      <c r="GIN1103" s="15"/>
      <c r="GIQ1103" s="15"/>
      <c r="GIR1103" s="15"/>
      <c r="GIU1103" s="15"/>
      <c r="GIV1103" s="15"/>
      <c r="GIY1103" s="15"/>
      <c r="GIZ1103" s="15"/>
      <c r="GJC1103" s="15"/>
      <c r="GJD1103" s="15"/>
      <c r="GJG1103" s="15"/>
      <c r="GJH1103" s="15"/>
      <c r="GJK1103" s="15"/>
      <c r="GJL1103" s="15"/>
      <c r="GJO1103" s="15"/>
      <c r="GJP1103" s="15"/>
      <c r="GJS1103" s="15"/>
      <c r="GJT1103" s="15"/>
      <c r="GJW1103" s="15"/>
      <c r="GJX1103" s="15"/>
      <c r="GKA1103" s="15"/>
      <c r="GKB1103" s="15"/>
      <c r="GKE1103" s="15"/>
      <c r="GKF1103" s="15"/>
      <c r="GKI1103" s="15"/>
      <c r="GKJ1103" s="15"/>
      <c r="GKM1103" s="15"/>
      <c r="GKN1103" s="15"/>
      <c r="GKQ1103" s="15"/>
      <c r="GKR1103" s="15"/>
      <c r="GKU1103" s="15"/>
      <c r="GKV1103" s="15"/>
      <c r="GKY1103" s="15"/>
      <c r="GKZ1103" s="15"/>
      <c r="GLC1103" s="15"/>
      <c r="GLD1103" s="15"/>
      <c r="GLG1103" s="15"/>
      <c r="GLH1103" s="15"/>
      <c r="GLK1103" s="15"/>
      <c r="GLL1103" s="15"/>
      <c r="GLO1103" s="15"/>
      <c r="GLP1103" s="15"/>
      <c r="GLS1103" s="15"/>
      <c r="GLT1103" s="15"/>
      <c r="GLW1103" s="15"/>
      <c r="GLX1103" s="15"/>
      <c r="GMA1103" s="15"/>
      <c r="GMB1103" s="15"/>
      <c r="GME1103" s="15"/>
      <c r="GMF1103" s="15"/>
      <c r="GMI1103" s="15"/>
      <c r="GMJ1103" s="15"/>
      <c r="GMM1103" s="15"/>
      <c r="GMN1103" s="15"/>
      <c r="GMQ1103" s="15"/>
      <c r="GMR1103" s="15"/>
      <c r="GMU1103" s="15"/>
      <c r="GMV1103" s="15"/>
      <c r="GMY1103" s="15"/>
      <c r="GMZ1103" s="15"/>
      <c r="GNC1103" s="15"/>
      <c r="GND1103" s="15"/>
      <c r="GNG1103" s="15"/>
      <c r="GNH1103" s="15"/>
      <c r="GNK1103" s="15"/>
      <c r="GNL1103" s="15"/>
      <c r="GNO1103" s="15"/>
      <c r="GNP1103" s="15"/>
      <c r="GNS1103" s="15"/>
      <c r="GNT1103" s="15"/>
      <c r="GNW1103" s="15"/>
      <c r="GNX1103" s="15"/>
      <c r="GOA1103" s="15"/>
      <c r="GOB1103" s="15"/>
      <c r="GOE1103" s="15"/>
      <c r="GOF1103" s="15"/>
      <c r="GOI1103" s="15"/>
      <c r="GOJ1103" s="15"/>
      <c r="GOM1103" s="15"/>
      <c r="GON1103" s="15"/>
      <c r="GOQ1103" s="15"/>
      <c r="GOR1103" s="15"/>
      <c r="GOU1103" s="15"/>
      <c r="GOV1103" s="15"/>
      <c r="GOY1103" s="15"/>
      <c r="GOZ1103" s="15"/>
      <c r="GPC1103" s="15"/>
      <c r="GPD1103" s="15"/>
      <c r="GPG1103" s="15"/>
      <c r="GPH1103" s="15"/>
      <c r="GPK1103" s="15"/>
      <c r="GPL1103" s="15"/>
      <c r="GPO1103" s="15"/>
      <c r="GPP1103" s="15"/>
      <c r="GPS1103" s="15"/>
      <c r="GPT1103" s="15"/>
      <c r="GPW1103" s="15"/>
      <c r="GPX1103" s="15"/>
      <c r="GQA1103" s="15"/>
      <c r="GQB1103" s="15"/>
      <c r="GQE1103" s="15"/>
      <c r="GQF1103" s="15"/>
      <c r="GQI1103" s="15"/>
      <c r="GQJ1103" s="15"/>
      <c r="GQM1103" s="15"/>
      <c r="GQN1103" s="15"/>
      <c r="GQQ1103" s="15"/>
      <c r="GQR1103" s="15"/>
      <c r="GQU1103" s="15"/>
      <c r="GQV1103" s="15"/>
      <c r="GQY1103" s="15"/>
      <c r="GQZ1103" s="15"/>
      <c r="GRC1103" s="15"/>
      <c r="GRD1103" s="15"/>
      <c r="GRG1103" s="15"/>
      <c r="GRH1103" s="15"/>
      <c r="GRK1103" s="15"/>
      <c r="GRL1103" s="15"/>
      <c r="GRO1103" s="15"/>
      <c r="GRP1103" s="15"/>
      <c r="GRS1103" s="15"/>
      <c r="GRT1103" s="15"/>
      <c r="GRW1103" s="15"/>
      <c r="GRX1103" s="15"/>
      <c r="GSA1103" s="15"/>
      <c r="GSB1103" s="15"/>
      <c r="GSE1103" s="15"/>
      <c r="GSF1103" s="15"/>
      <c r="GSI1103" s="15"/>
      <c r="GSJ1103" s="15"/>
      <c r="GSM1103" s="15"/>
      <c r="GSN1103" s="15"/>
      <c r="GSQ1103" s="15"/>
      <c r="GSR1103" s="15"/>
      <c r="GSU1103" s="15"/>
      <c r="GSV1103" s="15"/>
      <c r="GSY1103" s="15"/>
      <c r="GSZ1103" s="15"/>
      <c r="GTC1103" s="15"/>
      <c r="GTD1103" s="15"/>
      <c r="GTG1103" s="15"/>
      <c r="GTH1103" s="15"/>
      <c r="GTK1103" s="15"/>
      <c r="GTL1103" s="15"/>
      <c r="GTO1103" s="15"/>
      <c r="GTP1103" s="15"/>
      <c r="GTS1103" s="15"/>
      <c r="GTT1103" s="15"/>
      <c r="GTW1103" s="15"/>
      <c r="GTX1103" s="15"/>
      <c r="GUA1103" s="15"/>
      <c r="GUB1103" s="15"/>
      <c r="GUE1103" s="15"/>
      <c r="GUF1103" s="15"/>
      <c r="GUI1103" s="15"/>
      <c r="GUJ1103" s="15"/>
      <c r="GUM1103" s="15"/>
      <c r="GUN1103" s="15"/>
      <c r="GUQ1103" s="15"/>
      <c r="GUR1103" s="15"/>
      <c r="GUU1103" s="15"/>
      <c r="GUV1103" s="15"/>
      <c r="GUY1103" s="15"/>
      <c r="GUZ1103" s="15"/>
      <c r="GVC1103" s="15"/>
      <c r="GVD1103" s="15"/>
      <c r="GVG1103" s="15"/>
      <c r="GVH1103" s="15"/>
      <c r="GVK1103" s="15"/>
      <c r="GVL1103" s="15"/>
      <c r="GVO1103" s="15"/>
      <c r="GVP1103" s="15"/>
      <c r="GVS1103" s="15"/>
      <c r="GVT1103" s="15"/>
      <c r="GVW1103" s="15"/>
      <c r="GVX1103" s="15"/>
      <c r="GWA1103" s="15"/>
      <c r="GWB1103" s="15"/>
      <c r="GWE1103" s="15"/>
      <c r="GWF1103" s="15"/>
      <c r="GWI1103" s="15"/>
      <c r="GWJ1103" s="15"/>
      <c r="GWM1103" s="15"/>
      <c r="GWN1103" s="15"/>
      <c r="GWQ1103" s="15"/>
      <c r="GWR1103" s="15"/>
      <c r="GWU1103" s="15"/>
      <c r="GWV1103" s="15"/>
      <c r="GWY1103" s="15"/>
      <c r="GWZ1103" s="15"/>
      <c r="GXC1103" s="15"/>
      <c r="GXD1103" s="15"/>
      <c r="GXG1103" s="15"/>
      <c r="GXH1103" s="15"/>
      <c r="GXK1103" s="15"/>
      <c r="GXL1103" s="15"/>
      <c r="GXO1103" s="15"/>
      <c r="GXP1103" s="15"/>
      <c r="GXS1103" s="15"/>
      <c r="GXT1103" s="15"/>
      <c r="GXW1103" s="15"/>
      <c r="GXX1103" s="15"/>
      <c r="GYA1103" s="15"/>
      <c r="GYB1103" s="15"/>
      <c r="GYE1103" s="15"/>
      <c r="GYF1103" s="15"/>
      <c r="GYI1103" s="15"/>
      <c r="GYJ1103" s="15"/>
      <c r="GYM1103" s="15"/>
      <c r="GYN1103" s="15"/>
      <c r="GYQ1103" s="15"/>
      <c r="GYR1103" s="15"/>
      <c r="GYU1103" s="15"/>
      <c r="GYV1103" s="15"/>
      <c r="GYY1103" s="15"/>
      <c r="GYZ1103" s="15"/>
      <c r="GZC1103" s="15"/>
      <c r="GZD1103" s="15"/>
      <c r="GZG1103" s="15"/>
      <c r="GZH1103" s="15"/>
      <c r="GZK1103" s="15"/>
      <c r="GZL1103" s="15"/>
      <c r="GZO1103" s="15"/>
      <c r="GZP1103" s="15"/>
      <c r="GZS1103" s="15"/>
      <c r="GZT1103" s="15"/>
      <c r="GZW1103" s="15"/>
      <c r="GZX1103" s="15"/>
      <c r="HAA1103" s="15"/>
      <c r="HAB1103" s="15"/>
      <c r="HAE1103" s="15"/>
      <c r="HAF1103" s="15"/>
      <c r="HAI1103" s="15"/>
      <c r="HAJ1103" s="15"/>
      <c r="HAM1103" s="15"/>
      <c r="HAN1103" s="15"/>
      <c r="HAQ1103" s="15"/>
      <c r="HAR1103" s="15"/>
      <c r="HAU1103" s="15"/>
      <c r="HAV1103" s="15"/>
      <c r="HAY1103" s="15"/>
      <c r="HAZ1103" s="15"/>
      <c r="HBC1103" s="15"/>
      <c r="HBD1103" s="15"/>
      <c r="HBG1103" s="15"/>
      <c r="HBH1103" s="15"/>
      <c r="HBK1103" s="15"/>
      <c r="HBL1103" s="15"/>
      <c r="HBO1103" s="15"/>
      <c r="HBP1103" s="15"/>
      <c r="HBS1103" s="15"/>
      <c r="HBT1103" s="15"/>
      <c r="HBW1103" s="15"/>
      <c r="HBX1103" s="15"/>
      <c r="HCA1103" s="15"/>
      <c r="HCB1103" s="15"/>
      <c r="HCE1103" s="15"/>
      <c r="HCF1103" s="15"/>
      <c r="HCI1103" s="15"/>
      <c r="HCJ1103" s="15"/>
      <c r="HCM1103" s="15"/>
      <c r="HCN1103" s="15"/>
      <c r="HCQ1103" s="15"/>
      <c r="HCR1103" s="15"/>
      <c r="HCU1103" s="15"/>
      <c r="HCV1103" s="15"/>
      <c r="HCY1103" s="15"/>
      <c r="HCZ1103" s="15"/>
      <c r="HDC1103" s="15"/>
      <c r="HDD1103" s="15"/>
      <c r="HDG1103" s="15"/>
      <c r="HDH1103" s="15"/>
      <c r="HDK1103" s="15"/>
      <c r="HDL1103" s="15"/>
      <c r="HDO1103" s="15"/>
      <c r="HDP1103" s="15"/>
      <c r="HDS1103" s="15"/>
      <c r="HDT1103" s="15"/>
      <c r="HDW1103" s="15"/>
      <c r="HDX1103" s="15"/>
      <c r="HEA1103" s="15"/>
      <c r="HEB1103" s="15"/>
      <c r="HEE1103" s="15"/>
      <c r="HEF1103" s="15"/>
      <c r="HEI1103" s="15"/>
      <c r="HEJ1103" s="15"/>
      <c r="HEM1103" s="15"/>
      <c r="HEN1103" s="15"/>
      <c r="HEQ1103" s="15"/>
      <c r="HER1103" s="15"/>
      <c r="HEU1103" s="15"/>
      <c r="HEV1103" s="15"/>
      <c r="HEY1103" s="15"/>
      <c r="HEZ1103" s="15"/>
      <c r="HFC1103" s="15"/>
      <c r="HFD1103" s="15"/>
      <c r="HFG1103" s="15"/>
      <c r="HFH1103" s="15"/>
      <c r="HFK1103" s="15"/>
      <c r="HFL1103" s="15"/>
      <c r="HFO1103" s="15"/>
      <c r="HFP1103" s="15"/>
      <c r="HFS1103" s="15"/>
      <c r="HFT1103" s="15"/>
      <c r="HFW1103" s="15"/>
      <c r="HFX1103" s="15"/>
      <c r="HGA1103" s="15"/>
      <c r="HGB1103" s="15"/>
      <c r="HGE1103" s="15"/>
      <c r="HGF1103" s="15"/>
      <c r="HGI1103" s="15"/>
      <c r="HGJ1103" s="15"/>
      <c r="HGM1103" s="15"/>
      <c r="HGN1103" s="15"/>
      <c r="HGQ1103" s="15"/>
      <c r="HGR1103" s="15"/>
      <c r="HGU1103" s="15"/>
      <c r="HGV1103" s="15"/>
      <c r="HGY1103" s="15"/>
      <c r="HGZ1103" s="15"/>
      <c r="HHC1103" s="15"/>
      <c r="HHD1103" s="15"/>
      <c r="HHG1103" s="15"/>
      <c r="HHH1103" s="15"/>
      <c r="HHK1103" s="15"/>
      <c r="HHL1103" s="15"/>
      <c r="HHO1103" s="15"/>
      <c r="HHP1103" s="15"/>
      <c r="HHS1103" s="15"/>
      <c r="HHT1103" s="15"/>
      <c r="HHW1103" s="15"/>
      <c r="HHX1103" s="15"/>
      <c r="HIA1103" s="15"/>
      <c r="HIB1103" s="15"/>
      <c r="HIE1103" s="15"/>
      <c r="HIF1103" s="15"/>
      <c r="HII1103" s="15"/>
      <c r="HIJ1103" s="15"/>
      <c r="HIM1103" s="15"/>
      <c r="HIN1103" s="15"/>
      <c r="HIQ1103" s="15"/>
      <c r="HIR1103" s="15"/>
      <c r="HIU1103" s="15"/>
      <c r="HIV1103" s="15"/>
      <c r="HIY1103" s="15"/>
      <c r="HIZ1103" s="15"/>
      <c r="HJC1103" s="15"/>
      <c r="HJD1103" s="15"/>
      <c r="HJG1103" s="15"/>
      <c r="HJH1103" s="15"/>
      <c r="HJK1103" s="15"/>
      <c r="HJL1103" s="15"/>
      <c r="HJO1103" s="15"/>
      <c r="HJP1103" s="15"/>
      <c r="HJS1103" s="15"/>
      <c r="HJT1103" s="15"/>
      <c r="HJW1103" s="15"/>
      <c r="HJX1103" s="15"/>
      <c r="HKA1103" s="15"/>
      <c r="HKB1103" s="15"/>
      <c r="HKE1103" s="15"/>
      <c r="HKF1103" s="15"/>
      <c r="HKI1103" s="15"/>
      <c r="HKJ1103" s="15"/>
      <c r="HKM1103" s="15"/>
      <c r="HKN1103" s="15"/>
      <c r="HKQ1103" s="15"/>
      <c r="HKR1103" s="15"/>
      <c r="HKU1103" s="15"/>
      <c r="HKV1103" s="15"/>
      <c r="HKY1103" s="15"/>
      <c r="HKZ1103" s="15"/>
      <c r="HLC1103" s="15"/>
      <c r="HLD1103" s="15"/>
      <c r="HLG1103" s="15"/>
      <c r="HLH1103" s="15"/>
      <c r="HLK1103" s="15"/>
      <c r="HLL1103" s="15"/>
      <c r="HLO1103" s="15"/>
      <c r="HLP1103" s="15"/>
      <c r="HLS1103" s="15"/>
      <c r="HLT1103" s="15"/>
      <c r="HLW1103" s="15"/>
      <c r="HLX1103" s="15"/>
      <c r="HMA1103" s="15"/>
      <c r="HMB1103" s="15"/>
      <c r="HME1103" s="15"/>
      <c r="HMF1103" s="15"/>
      <c r="HMI1103" s="15"/>
      <c r="HMJ1103" s="15"/>
      <c r="HMM1103" s="15"/>
      <c r="HMN1103" s="15"/>
      <c r="HMQ1103" s="15"/>
      <c r="HMR1103" s="15"/>
      <c r="HMU1103" s="15"/>
      <c r="HMV1103" s="15"/>
      <c r="HMY1103" s="15"/>
      <c r="HMZ1103" s="15"/>
      <c r="HNC1103" s="15"/>
      <c r="HND1103" s="15"/>
      <c r="HNG1103" s="15"/>
      <c r="HNH1103" s="15"/>
      <c r="HNK1103" s="15"/>
      <c r="HNL1103" s="15"/>
      <c r="HNO1103" s="15"/>
      <c r="HNP1103" s="15"/>
      <c r="HNS1103" s="15"/>
      <c r="HNT1103" s="15"/>
      <c r="HNW1103" s="15"/>
      <c r="HNX1103" s="15"/>
      <c r="HOA1103" s="15"/>
      <c r="HOB1103" s="15"/>
      <c r="HOE1103" s="15"/>
      <c r="HOF1103" s="15"/>
      <c r="HOI1103" s="15"/>
      <c r="HOJ1103" s="15"/>
      <c r="HOM1103" s="15"/>
      <c r="HON1103" s="15"/>
      <c r="HOQ1103" s="15"/>
      <c r="HOR1103" s="15"/>
      <c r="HOU1103" s="15"/>
      <c r="HOV1103" s="15"/>
      <c r="HOY1103" s="15"/>
      <c r="HOZ1103" s="15"/>
      <c r="HPC1103" s="15"/>
      <c r="HPD1103" s="15"/>
      <c r="HPG1103" s="15"/>
      <c r="HPH1103" s="15"/>
      <c r="HPK1103" s="15"/>
      <c r="HPL1103" s="15"/>
      <c r="HPO1103" s="15"/>
      <c r="HPP1103" s="15"/>
      <c r="HPS1103" s="15"/>
      <c r="HPT1103" s="15"/>
      <c r="HPW1103" s="15"/>
      <c r="HPX1103" s="15"/>
      <c r="HQA1103" s="15"/>
      <c r="HQB1103" s="15"/>
      <c r="HQE1103" s="15"/>
      <c r="HQF1103" s="15"/>
      <c r="HQI1103" s="15"/>
      <c r="HQJ1103" s="15"/>
      <c r="HQM1103" s="15"/>
      <c r="HQN1103" s="15"/>
      <c r="HQQ1103" s="15"/>
      <c r="HQR1103" s="15"/>
      <c r="HQU1103" s="15"/>
      <c r="HQV1103" s="15"/>
      <c r="HQY1103" s="15"/>
      <c r="HQZ1103" s="15"/>
      <c r="HRC1103" s="15"/>
      <c r="HRD1103" s="15"/>
      <c r="HRG1103" s="15"/>
      <c r="HRH1103" s="15"/>
      <c r="HRK1103" s="15"/>
      <c r="HRL1103" s="15"/>
      <c r="HRO1103" s="15"/>
      <c r="HRP1103" s="15"/>
      <c r="HRS1103" s="15"/>
      <c r="HRT1103" s="15"/>
      <c r="HRW1103" s="15"/>
      <c r="HRX1103" s="15"/>
      <c r="HSA1103" s="15"/>
      <c r="HSB1103" s="15"/>
      <c r="HSE1103" s="15"/>
      <c r="HSF1103" s="15"/>
      <c r="HSI1103" s="15"/>
      <c r="HSJ1103" s="15"/>
      <c r="HSM1103" s="15"/>
      <c r="HSN1103" s="15"/>
      <c r="HSQ1103" s="15"/>
      <c r="HSR1103" s="15"/>
      <c r="HSU1103" s="15"/>
      <c r="HSV1103" s="15"/>
      <c r="HSY1103" s="15"/>
      <c r="HSZ1103" s="15"/>
      <c r="HTC1103" s="15"/>
      <c r="HTD1103" s="15"/>
      <c r="HTG1103" s="15"/>
      <c r="HTH1103" s="15"/>
      <c r="HTK1103" s="15"/>
      <c r="HTL1103" s="15"/>
      <c r="HTO1103" s="15"/>
      <c r="HTP1103" s="15"/>
      <c r="HTS1103" s="15"/>
      <c r="HTT1103" s="15"/>
      <c r="HTW1103" s="15"/>
      <c r="HTX1103" s="15"/>
      <c r="HUA1103" s="15"/>
      <c r="HUB1103" s="15"/>
      <c r="HUE1103" s="15"/>
      <c r="HUF1103" s="15"/>
      <c r="HUI1103" s="15"/>
      <c r="HUJ1103" s="15"/>
      <c r="HUM1103" s="15"/>
      <c r="HUN1103" s="15"/>
      <c r="HUQ1103" s="15"/>
      <c r="HUR1103" s="15"/>
      <c r="HUU1103" s="15"/>
      <c r="HUV1103" s="15"/>
      <c r="HUY1103" s="15"/>
      <c r="HUZ1103" s="15"/>
      <c r="HVC1103" s="15"/>
      <c r="HVD1103" s="15"/>
      <c r="HVG1103" s="15"/>
      <c r="HVH1103" s="15"/>
      <c r="HVK1103" s="15"/>
      <c r="HVL1103" s="15"/>
      <c r="HVO1103" s="15"/>
      <c r="HVP1103" s="15"/>
      <c r="HVS1103" s="15"/>
      <c r="HVT1103" s="15"/>
      <c r="HVW1103" s="15"/>
      <c r="HVX1103" s="15"/>
      <c r="HWA1103" s="15"/>
      <c r="HWB1103" s="15"/>
      <c r="HWE1103" s="15"/>
      <c r="HWF1103" s="15"/>
      <c r="HWI1103" s="15"/>
      <c r="HWJ1103" s="15"/>
      <c r="HWM1103" s="15"/>
      <c r="HWN1103" s="15"/>
      <c r="HWQ1103" s="15"/>
      <c r="HWR1103" s="15"/>
      <c r="HWU1103" s="15"/>
      <c r="HWV1103" s="15"/>
      <c r="HWY1103" s="15"/>
      <c r="HWZ1103" s="15"/>
      <c r="HXC1103" s="15"/>
      <c r="HXD1103" s="15"/>
      <c r="HXG1103" s="15"/>
      <c r="HXH1103" s="15"/>
      <c r="HXK1103" s="15"/>
      <c r="HXL1103" s="15"/>
      <c r="HXO1103" s="15"/>
      <c r="HXP1103" s="15"/>
      <c r="HXS1103" s="15"/>
      <c r="HXT1103" s="15"/>
      <c r="HXW1103" s="15"/>
      <c r="HXX1103" s="15"/>
      <c r="HYA1103" s="15"/>
      <c r="HYB1103" s="15"/>
      <c r="HYE1103" s="15"/>
      <c r="HYF1103" s="15"/>
      <c r="HYI1103" s="15"/>
      <c r="HYJ1103" s="15"/>
      <c r="HYM1103" s="15"/>
      <c r="HYN1103" s="15"/>
      <c r="HYQ1103" s="15"/>
      <c r="HYR1103" s="15"/>
      <c r="HYU1103" s="15"/>
      <c r="HYV1103" s="15"/>
      <c r="HYY1103" s="15"/>
      <c r="HYZ1103" s="15"/>
      <c r="HZC1103" s="15"/>
      <c r="HZD1103" s="15"/>
      <c r="HZG1103" s="15"/>
      <c r="HZH1103" s="15"/>
      <c r="HZK1103" s="15"/>
      <c r="HZL1103" s="15"/>
      <c r="HZO1103" s="15"/>
      <c r="HZP1103" s="15"/>
      <c r="HZS1103" s="15"/>
      <c r="HZT1103" s="15"/>
      <c r="HZW1103" s="15"/>
      <c r="HZX1103" s="15"/>
      <c r="IAA1103" s="15"/>
      <c r="IAB1103" s="15"/>
      <c r="IAE1103" s="15"/>
      <c r="IAF1103" s="15"/>
      <c r="IAI1103" s="15"/>
      <c r="IAJ1103" s="15"/>
      <c r="IAM1103" s="15"/>
      <c r="IAN1103" s="15"/>
      <c r="IAQ1103" s="15"/>
      <c r="IAR1103" s="15"/>
      <c r="IAU1103" s="15"/>
      <c r="IAV1103" s="15"/>
      <c r="IAY1103" s="15"/>
      <c r="IAZ1103" s="15"/>
      <c r="IBC1103" s="15"/>
      <c r="IBD1103" s="15"/>
      <c r="IBG1103" s="15"/>
      <c r="IBH1103" s="15"/>
      <c r="IBK1103" s="15"/>
      <c r="IBL1103" s="15"/>
      <c r="IBO1103" s="15"/>
      <c r="IBP1103" s="15"/>
      <c r="IBS1103" s="15"/>
      <c r="IBT1103" s="15"/>
      <c r="IBW1103" s="15"/>
      <c r="IBX1103" s="15"/>
      <c r="ICA1103" s="15"/>
      <c r="ICB1103" s="15"/>
      <c r="ICE1103" s="15"/>
      <c r="ICF1103" s="15"/>
      <c r="ICI1103" s="15"/>
      <c r="ICJ1103" s="15"/>
      <c r="ICM1103" s="15"/>
      <c r="ICN1103" s="15"/>
      <c r="ICQ1103" s="15"/>
      <c r="ICR1103" s="15"/>
      <c r="ICU1103" s="15"/>
      <c r="ICV1103" s="15"/>
      <c r="ICY1103" s="15"/>
      <c r="ICZ1103" s="15"/>
      <c r="IDC1103" s="15"/>
      <c r="IDD1103" s="15"/>
      <c r="IDG1103" s="15"/>
      <c r="IDH1103" s="15"/>
      <c r="IDK1103" s="15"/>
      <c r="IDL1103" s="15"/>
      <c r="IDO1103" s="15"/>
      <c r="IDP1103" s="15"/>
      <c r="IDS1103" s="15"/>
      <c r="IDT1103" s="15"/>
      <c r="IDW1103" s="15"/>
      <c r="IDX1103" s="15"/>
      <c r="IEA1103" s="15"/>
      <c r="IEB1103" s="15"/>
      <c r="IEE1103" s="15"/>
      <c r="IEF1103" s="15"/>
      <c r="IEI1103" s="15"/>
      <c r="IEJ1103" s="15"/>
      <c r="IEM1103" s="15"/>
      <c r="IEN1103" s="15"/>
      <c r="IEQ1103" s="15"/>
      <c r="IER1103" s="15"/>
      <c r="IEU1103" s="15"/>
      <c r="IEV1103" s="15"/>
      <c r="IEY1103" s="15"/>
      <c r="IEZ1103" s="15"/>
      <c r="IFC1103" s="15"/>
      <c r="IFD1103" s="15"/>
      <c r="IFG1103" s="15"/>
      <c r="IFH1103" s="15"/>
      <c r="IFK1103" s="15"/>
      <c r="IFL1103" s="15"/>
      <c r="IFO1103" s="15"/>
      <c r="IFP1103" s="15"/>
      <c r="IFS1103" s="15"/>
      <c r="IFT1103" s="15"/>
      <c r="IFW1103" s="15"/>
      <c r="IFX1103" s="15"/>
      <c r="IGA1103" s="15"/>
      <c r="IGB1103" s="15"/>
      <c r="IGE1103" s="15"/>
      <c r="IGF1103" s="15"/>
      <c r="IGI1103" s="15"/>
      <c r="IGJ1103" s="15"/>
      <c r="IGM1103" s="15"/>
      <c r="IGN1103" s="15"/>
      <c r="IGQ1103" s="15"/>
      <c r="IGR1103" s="15"/>
      <c r="IGU1103" s="15"/>
      <c r="IGV1103" s="15"/>
      <c r="IGY1103" s="15"/>
      <c r="IGZ1103" s="15"/>
      <c r="IHC1103" s="15"/>
      <c r="IHD1103" s="15"/>
      <c r="IHG1103" s="15"/>
      <c r="IHH1103" s="15"/>
      <c r="IHK1103" s="15"/>
      <c r="IHL1103" s="15"/>
      <c r="IHO1103" s="15"/>
      <c r="IHP1103" s="15"/>
      <c r="IHS1103" s="15"/>
      <c r="IHT1103" s="15"/>
      <c r="IHW1103" s="15"/>
      <c r="IHX1103" s="15"/>
      <c r="IIA1103" s="15"/>
      <c r="IIB1103" s="15"/>
      <c r="IIE1103" s="15"/>
      <c r="IIF1103" s="15"/>
      <c r="III1103" s="15"/>
      <c r="IIJ1103" s="15"/>
      <c r="IIM1103" s="15"/>
      <c r="IIN1103" s="15"/>
      <c r="IIQ1103" s="15"/>
      <c r="IIR1103" s="15"/>
      <c r="IIU1103" s="15"/>
      <c r="IIV1103" s="15"/>
      <c r="IIY1103" s="15"/>
      <c r="IIZ1103" s="15"/>
      <c r="IJC1103" s="15"/>
      <c r="IJD1103" s="15"/>
      <c r="IJG1103" s="15"/>
      <c r="IJH1103" s="15"/>
      <c r="IJK1103" s="15"/>
      <c r="IJL1103" s="15"/>
      <c r="IJO1103" s="15"/>
      <c r="IJP1103" s="15"/>
      <c r="IJS1103" s="15"/>
      <c r="IJT1103" s="15"/>
      <c r="IJW1103" s="15"/>
      <c r="IJX1103" s="15"/>
      <c r="IKA1103" s="15"/>
      <c r="IKB1103" s="15"/>
      <c r="IKE1103" s="15"/>
      <c r="IKF1103" s="15"/>
      <c r="IKI1103" s="15"/>
      <c r="IKJ1103" s="15"/>
      <c r="IKM1103" s="15"/>
      <c r="IKN1103" s="15"/>
      <c r="IKQ1103" s="15"/>
      <c r="IKR1103" s="15"/>
      <c r="IKU1103" s="15"/>
      <c r="IKV1103" s="15"/>
      <c r="IKY1103" s="15"/>
      <c r="IKZ1103" s="15"/>
      <c r="ILC1103" s="15"/>
      <c r="ILD1103" s="15"/>
      <c r="ILG1103" s="15"/>
      <c r="ILH1103" s="15"/>
      <c r="ILK1103" s="15"/>
      <c r="ILL1103" s="15"/>
      <c r="ILO1103" s="15"/>
      <c r="ILP1103" s="15"/>
      <c r="ILS1103" s="15"/>
      <c r="ILT1103" s="15"/>
      <c r="ILW1103" s="15"/>
      <c r="ILX1103" s="15"/>
      <c r="IMA1103" s="15"/>
      <c r="IMB1103" s="15"/>
      <c r="IME1103" s="15"/>
      <c r="IMF1103" s="15"/>
      <c r="IMI1103" s="15"/>
      <c r="IMJ1103" s="15"/>
      <c r="IMM1103" s="15"/>
      <c r="IMN1103" s="15"/>
      <c r="IMQ1103" s="15"/>
      <c r="IMR1103" s="15"/>
      <c r="IMU1103" s="15"/>
      <c r="IMV1103" s="15"/>
      <c r="IMY1103" s="15"/>
      <c r="IMZ1103" s="15"/>
      <c r="INC1103" s="15"/>
      <c r="IND1103" s="15"/>
      <c r="ING1103" s="15"/>
      <c r="INH1103" s="15"/>
      <c r="INK1103" s="15"/>
      <c r="INL1103" s="15"/>
      <c r="INO1103" s="15"/>
      <c r="INP1103" s="15"/>
      <c r="INS1103" s="15"/>
      <c r="INT1103" s="15"/>
      <c r="INW1103" s="15"/>
      <c r="INX1103" s="15"/>
      <c r="IOA1103" s="15"/>
      <c r="IOB1103" s="15"/>
      <c r="IOE1103" s="15"/>
      <c r="IOF1103" s="15"/>
      <c r="IOI1103" s="15"/>
      <c r="IOJ1103" s="15"/>
      <c r="IOM1103" s="15"/>
      <c r="ION1103" s="15"/>
      <c r="IOQ1103" s="15"/>
      <c r="IOR1103" s="15"/>
      <c r="IOU1103" s="15"/>
      <c r="IOV1103" s="15"/>
      <c r="IOY1103" s="15"/>
      <c r="IOZ1103" s="15"/>
      <c r="IPC1103" s="15"/>
      <c r="IPD1103" s="15"/>
      <c r="IPG1103" s="15"/>
      <c r="IPH1103" s="15"/>
      <c r="IPK1103" s="15"/>
      <c r="IPL1103" s="15"/>
      <c r="IPO1103" s="15"/>
      <c r="IPP1103" s="15"/>
      <c r="IPS1103" s="15"/>
      <c r="IPT1103" s="15"/>
      <c r="IPW1103" s="15"/>
      <c r="IPX1103" s="15"/>
      <c r="IQA1103" s="15"/>
      <c r="IQB1103" s="15"/>
      <c r="IQE1103" s="15"/>
      <c r="IQF1103" s="15"/>
      <c r="IQI1103" s="15"/>
      <c r="IQJ1103" s="15"/>
      <c r="IQM1103" s="15"/>
      <c r="IQN1103" s="15"/>
      <c r="IQQ1103" s="15"/>
      <c r="IQR1103" s="15"/>
      <c r="IQU1103" s="15"/>
      <c r="IQV1103" s="15"/>
      <c r="IQY1103" s="15"/>
      <c r="IQZ1103" s="15"/>
      <c r="IRC1103" s="15"/>
      <c r="IRD1103" s="15"/>
      <c r="IRG1103" s="15"/>
      <c r="IRH1103" s="15"/>
      <c r="IRK1103" s="15"/>
      <c r="IRL1103" s="15"/>
      <c r="IRO1103" s="15"/>
      <c r="IRP1103" s="15"/>
      <c r="IRS1103" s="15"/>
      <c r="IRT1103" s="15"/>
      <c r="IRW1103" s="15"/>
      <c r="IRX1103" s="15"/>
      <c r="ISA1103" s="15"/>
      <c r="ISB1103" s="15"/>
      <c r="ISE1103" s="15"/>
      <c r="ISF1103" s="15"/>
      <c r="ISI1103" s="15"/>
      <c r="ISJ1103" s="15"/>
      <c r="ISM1103" s="15"/>
      <c r="ISN1103" s="15"/>
      <c r="ISQ1103" s="15"/>
      <c r="ISR1103" s="15"/>
      <c r="ISU1103" s="15"/>
      <c r="ISV1103" s="15"/>
      <c r="ISY1103" s="15"/>
      <c r="ISZ1103" s="15"/>
      <c r="ITC1103" s="15"/>
      <c r="ITD1103" s="15"/>
      <c r="ITG1103" s="15"/>
      <c r="ITH1103" s="15"/>
      <c r="ITK1103" s="15"/>
      <c r="ITL1103" s="15"/>
      <c r="ITO1103" s="15"/>
      <c r="ITP1103" s="15"/>
      <c r="ITS1103" s="15"/>
      <c r="ITT1103" s="15"/>
      <c r="ITW1103" s="15"/>
      <c r="ITX1103" s="15"/>
      <c r="IUA1103" s="15"/>
      <c r="IUB1103" s="15"/>
      <c r="IUE1103" s="15"/>
      <c r="IUF1103" s="15"/>
      <c r="IUI1103" s="15"/>
      <c r="IUJ1103" s="15"/>
      <c r="IUM1103" s="15"/>
      <c r="IUN1103" s="15"/>
      <c r="IUQ1103" s="15"/>
      <c r="IUR1103" s="15"/>
      <c r="IUU1103" s="15"/>
      <c r="IUV1103" s="15"/>
      <c r="IUY1103" s="15"/>
      <c r="IUZ1103" s="15"/>
      <c r="IVC1103" s="15"/>
      <c r="IVD1103" s="15"/>
      <c r="IVG1103" s="15"/>
      <c r="IVH1103" s="15"/>
      <c r="IVK1103" s="15"/>
      <c r="IVL1103" s="15"/>
      <c r="IVO1103" s="15"/>
      <c r="IVP1103" s="15"/>
      <c r="IVS1103" s="15"/>
      <c r="IVT1103" s="15"/>
      <c r="IVW1103" s="15"/>
      <c r="IVX1103" s="15"/>
      <c r="IWA1103" s="15"/>
      <c r="IWB1103" s="15"/>
      <c r="IWE1103" s="15"/>
      <c r="IWF1103" s="15"/>
      <c r="IWI1103" s="15"/>
      <c r="IWJ1103" s="15"/>
      <c r="IWM1103" s="15"/>
      <c r="IWN1103" s="15"/>
      <c r="IWQ1103" s="15"/>
      <c r="IWR1103" s="15"/>
      <c r="IWU1103" s="15"/>
      <c r="IWV1103" s="15"/>
      <c r="IWY1103" s="15"/>
      <c r="IWZ1103" s="15"/>
      <c r="IXC1103" s="15"/>
      <c r="IXD1103" s="15"/>
      <c r="IXG1103" s="15"/>
      <c r="IXH1103" s="15"/>
      <c r="IXK1103" s="15"/>
      <c r="IXL1103" s="15"/>
      <c r="IXO1103" s="15"/>
      <c r="IXP1103" s="15"/>
      <c r="IXS1103" s="15"/>
      <c r="IXT1103" s="15"/>
      <c r="IXW1103" s="15"/>
      <c r="IXX1103" s="15"/>
      <c r="IYA1103" s="15"/>
      <c r="IYB1103" s="15"/>
      <c r="IYE1103" s="15"/>
      <c r="IYF1103" s="15"/>
      <c r="IYI1103" s="15"/>
      <c r="IYJ1103" s="15"/>
      <c r="IYM1103" s="15"/>
      <c r="IYN1103" s="15"/>
      <c r="IYQ1103" s="15"/>
      <c r="IYR1103" s="15"/>
      <c r="IYU1103" s="15"/>
      <c r="IYV1103" s="15"/>
      <c r="IYY1103" s="15"/>
      <c r="IYZ1103" s="15"/>
      <c r="IZC1103" s="15"/>
      <c r="IZD1103" s="15"/>
      <c r="IZG1103" s="15"/>
      <c r="IZH1103" s="15"/>
      <c r="IZK1103" s="15"/>
      <c r="IZL1103" s="15"/>
      <c r="IZO1103" s="15"/>
      <c r="IZP1103" s="15"/>
      <c r="IZS1103" s="15"/>
      <c r="IZT1103" s="15"/>
      <c r="IZW1103" s="15"/>
      <c r="IZX1103" s="15"/>
      <c r="JAA1103" s="15"/>
      <c r="JAB1103" s="15"/>
      <c r="JAE1103" s="15"/>
      <c r="JAF1103" s="15"/>
      <c r="JAI1103" s="15"/>
      <c r="JAJ1103" s="15"/>
      <c r="JAM1103" s="15"/>
      <c r="JAN1103" s="15"/>
      <c r="JAQ1103" s="15"/>
      <c r="JAR1103" s="15"/>
      <c r="JAU1103" s="15"/>
      <c r="JAV1103" s="15"/>
      <c r="JAY1103" s="15"/>
      <c r="JAZ1103" s="15"/>
      <c r="JBC1103" s="15"/>
      <c r="JBD1103" s="15"/>
      <c r="JBG1103" s="15"/>
      <c r="JBH1103" s="15"/>
      <c r="JBK1103" s="15"/>
      <c r="JBL1103" s="15"/>
      <c r="JBO1103" s="15"/>
      <c r="JBP1103" s="15"/>
      <c r="JBS1103" s="15"/>
      <c r="JBT1103" s="15"/>
      <c r="JBW1103" s="15"/>
      <c r="JBX1103" s="15"/>
      <c r="JCA1103" s="15"/>
      <c r="JCB1103" s="15"/>
      <c r="JCE1103" s="15"/>
      <c r="JCF1103" s="15"/>
      <c r="JCI1103" s="15"/>
      <c r="JCJ1103" s="15"/>
      <c r="JCM1103" s="15"/>
      <c r="JCN1103" s="15"/>
      <c r="JCQ1103" s="15"/>
      <c r="JCR1103" s="15"/>
      <c r="JCU1103" s="15"/>
      <c r="JCV1103" s="15"/>
      <c r="JCY1103" s="15"/>
      <c r="JCZ1103" s="15"/>
      <c r="JDC1103" s="15"/>
      <c r="JDD1103" s="15"/>
      <c r="JDG1103" s="15"/>
      <c r="JDH1103" s="15"/>
      <c r="JDK1103" s="15"/>
      <c r="JDL1103" s="15"/>
      <c r="JDO1103" s="15"/>
      <c r="JDP1103" s="15"/>
      <c r="JDS1103" s="15"/>
      <c r="JDT1103" s="15"/>
      <c r="JDW1103" s="15"/>
      <c r="JDX1103" s="15"/>
      <c r="JEA1103" s="15"/>
      <c r="JEB1103" s="15"/>
      <c r="JEE1103" s="15"/>
      <c r="JEF1103" s="15"/>
      <c r="JEI1103" s="15"/>
      <c r="JEJ1103" s="15"/>
      <c r="JEM1103" s="15"/>
      <c r="JEN1103" s="15"/>
      <c r="JEQ1103" s="15"/>
      <c r="JER1103" s="15"/>
      <c r="JEU1103" s="15"/>
      <c r="JEV1103" s="15"/>
      <c r="JEY1103" s="15"/>
      <c r="JEZ1103" s="15"/>
      <c r="JFC1103" s="15"/>
      <c r="JFD1103" s="15"/>
      <c r="JFG1103" s="15"/>
      <c r="JFH1103" s="15"/>
      <c r="JFK1103" s="15"/>
      <c r="JFL1103" s="15"/>
      <c r="JFO1103" s="15"/>
      <c r="JFP1103" s="15"/>
      <c r="JFS1103" s="15"/>
      <c r="JFT1103" s="15"/>
      <c r="JFW1103" s="15"/>
      <c r="JFX1103" s="15"/>
      <c r="JGA1103" s="15"/>
      <c r="JGB1103" s="15"/>
      <c r="JGE1103" s="15"/>
      <c r="JGF1103" s="15"/>
      <c r="JGI1103" s="15"/>
      <c r="JGJ1103" s="15"/>
      <c r="JGM1103" s="15"/>
      <c r="JGN1103" s="15"/>
      <c r="JGQ1103" s="15"/>
      <c r="JGR1103" s="15"/>
      <c r="JGU1103" s="15"/>
      <c r="JGV1103" s="15"/>
      <c r="JGY1103" s="15"/>
      <c r="JGZ1103" s="15"/>
      <c r="JHC1103" s="15"/>
      <c r="JHD1103" s="15"/>
      <c r="JHG1103" s="15"/>
      <c r="JHH1103" s="15"/>
      <c r="JHK1103" s="15"/>
      <c r="JHL1103" s="15"/>
      <c r="JHO1103" s="15"/>
      <c r="JHP1103" s="15"/>
      <c r="JHS1103" s="15"/>
      <c r="JHT1103" s="15"/>
      <c r="JHW1103" s="15"/>
      <c r="JHX1103" s="15"/>
      <c r="JIA1103" s="15"/>
      <c r="JIB1103" s="15"/>
      <c r="JIE1103" s="15"/>
      <c r="JIF1103" s="15"/>
      <c r="JII1103" s="15"/>
      <c r="JIJ1103" s="15"/>
      <c r="JIM1103" s="15"/>
      <c r="JIN1103" s="15"/>
      <c r="JIQ1103" s="15"/>
      <c r="JIR1103" s="15"/>
      <c r="JIU1103" s="15"/>
      <c r="JIV1103" s="15"/>
      <c r="JIY1103" s="15"/>
      <c r="JIZ1103" s="15"/>
      <c r="JJC1103" s="15"/>
      <c r="JJD1103" s="15"/>
      <c r="JJG1103" s="15"/>
      <c r="JJH1103" s="15"/>
      <c r="JJK1103" s="15"/>
      <c r="JJL1103" s="15"/>
      <c r="JJO1103" s="15"/>
      <c r="JJP1103" s="15"/>
      <c r="JJS1103" s="15"/>
      <c r="JJT1103" s="15"/>
      <c r="JJW1103" s="15"/>
      <c r="JJX1103" s="15"/>
      <c r="JKA1103" s="15"/>
      <c r="JKB1103" s="15"/>
      <c r="JKE1103" s="15"/>
      <c r="JKF1103" s="15"/>
      <c r="JKI1103" s="15"/>
      <c r="JKJ1103" s="15"/>
      <c r="JKM1103" s="15"/>
      <c r="JKN1103" s="15"/>
      <c r="JKQ1103" s="15"/>
      <c r="JKR1103" s="15"/>
      <c r="JKU1103" s="15"/>
      <c r="JKV1103" s="15"/>
      <c r="JKY1103" s="15"/>
      <c r="JKZ1103" s="15"/>
      <c r="JLC1103" s="15"/>
      <c r="JLD1103" s="15"/>
      <c r="JLG1103" s="15"/>
      <c r="JLH1103" s="15"/>
      <c r="JLK1103" s="15"/>
      <c r="JLL1103" s="15"/>
      <c r="JLO1103" s="15"/>
      <c r="JLP1103" s="15"/>
      <c r="JLS1103" s="15"/>
      <c r="JLT1103" s="15"/>
      <c r="JLW1103" s="15"/>
      <c r="JLX1103" s="15"/>
      <c r="JMA1103" s="15"/>
      <c r="JMB1103" s="15"/>
      <c r="JME1103" s="15"/>
      <c r="JMF1103" s="15"/>
      <c r="JMI1103" s="15"/>
      <c r="JMJ1103" s="15"/>
      <c r="JMM1103" s="15"/>
      <c r="JMN1103" s="15"/>
      <c r="JMQ1103" s="15"/>
      <c r="JMR1103" s="15"/>
      <c r="JMU1103" s="15"/>
      <c r="JMV1103" s="15"/>
      <c r="JMY1103" s="15"/>
      <c r="JMZ1103" s="15"/>
      <c r="JNC1103" s="15"/>
      <c r="JND1103" s="15"/>
      <c r="JNG1103" s="15"/>
      <c r="JNH1103" s="15"/>
      <c r="JNK1103" s="15"/>
      <c r="JNL1103" s="15"/>
      <c r="JNO1103" s="15"/>
      <c r="JNP1103" s="15"/>
      <c r="JNS1103" s="15"/>
      <c r="JNT1103" s="15"/>
      <c r="JNW1103" s="15"/>
      <c r="JNX1103" s="15"/>
      <c r="JOA1103" s="15"/>
      <c r="JOB1103" s="15"/>
      <c r="JOE1103" s="15"/>
      <c r="JOF1103" s="15"/>
      <c r="JOI1103" s="15"/>
      <c r="JOJ1103" s="15"/>
      <c r="JOM1103" s="15"/>
      <c r="JON1103" s="15"/>
      <c r="JOQ1103" s="15"/>
      <c r="JOR1103" s="15"/>
      <c r="JOU1103" s="15"/>
      <c r="JOV1103" s="15"/>
      <c r="JOY1103" s="15"/>
      <c r="JOZ1103" s="15"/>
      <c r="JPC1103" s="15"/>
      <c r="JPD1103" s="15"/>
      <c r="JPG1103" s="15"/>
      <c r="JPH1103" s="15"/>
      <c r="JPK1103" s="15"/>
      <c r="JPL1103" s="15"/>
      <c r="JPO1103" s="15"/>
      <c r="JPP1103" s="15"/>
      <c r="JPS1103" s="15"/>
      <c r="JPT1103" s="15"/>
      <c r="JPW1103" s="15"/>
      <c r="JPX1103" s="15"/>
      <c r="JQA1103" s="15"/>
      <c r="JQB1103" s="15"/>
      <c r="JQE1103" s="15"/>
      <c r="JQF1103" s="15"/>
      <c r="JQI1103" s="15"/>
      <c r="JQJ1103" s="15"/>
      <c r="JQM1103" s="15"/>
      <c r="JQN1103" s="15"/>
      <c r="JQQ1103" s="15"/>
      <c r="JQR1103" s="15"/>
      <c r="JQU1103" s="15"/>
      <c r="JQV1103" s="15"/>
      <c r="JQY1103" s="15"/>
      <c r="JQZ1103" s="15"/>
      <c r="JRC1103" s="15"/>
      <c r="JRD1103" s="15"/>
      <c r="JRG1103" s="15"/>
      <c r="JRH1103" s="15"/>
      <c r="JRK1103" s="15"/>
      <c r="JRL1103" s="15"/>
      <c r="JRO1103" s="15"/>
      <c r="JRP1103" s="15"/>
      <c r="JRS1103" s="15"/>
      <c r="JRT1103" s="15"/>
      <c r="JRW1103" s="15"/>
      <c r="JRX1103" s="15"/>
      <c r="JSA1103" s="15"/>
      <c r="JSB1103" s="15"/>
      <c r="JSE1103" s="15"/>
      <c r="JSF1103" s="15"/>
      <c r="JSI1103" s="15"/>
      <c r="JSJ1103" s="15"/>
      <c r="JSM1103" s="15"/>
      <c r="JSN1103" s="15"/>
      <c r="JSQ1103" s="15"/>
      <c r="JSR1103" s="15"/>
      <c r="JSU1103" s="15"/>
      <c r="JSV1103" s="15"/>
      <c r="JSY1103" s="15"/>
      <c r="JSZ1103" s="15"/>
      <c r="JTC1103" s="15"/>
      <c r="JTD1103" s="15"/>
      <c r="JTG1103" s="15"/>
      <c r="JTH1103" s="15"/>
      <c r="JTK1103" s="15"/>
      <c r="JTL1103" s="15"/>
      <c r="JTO1103" s="15"/>
      <c r="JTP1103" s="15"/>
      <c r="JTS1103" s="15"/>
      <c r="JTT1103" s="15"/>
      <c r="JTW1103" s="15"/>
      <c r="JTX1103" s="15"/>
      <c r="JUA1103" s="15"/>
      <c r="JUB1103" s="15"/>
      <c r="JUE1103" s="15"/>
      <c r="JUF1103" s="15"/>
      <c r="JUI1103" s="15"/>
      <c r="JUJ1103" s="15"/>
      <c r="JUM1103" s="15"/>
      <c r="JUN1103" s="15"/>
      <c r="JUQ1103" s="15"/>
      <c r="JUR1103" s="15"/>
      <c r="JUU1103" s="15"/>
      <c r="JUV1103" s="15"/>
      <c r="JUY1103" s="15"/>
      <c r="JUZ1103" s="15"/>
      <c r="JVC1103" s="15"/>
      <c r="JVD1103" s="15"/>
      <c r="JVG1103" s="15"/>
      <c r="JVH1103" s="15"/>
      <c r="JVK1103" s="15"/>
      <c r="JVL1103" s="15"/>
      <c r="JVO1103" s="15"/>
      <c r="JVP1103" s="15"/>
      <c r="JVS1103" s="15"/>
      <c r="JVT1103" s="15"/>
      <c r="JVW1103" s="15"/>
      <c r="JVX1103" s="15"/>
      <c r="JWA1103" s="15"/>
      <c r="JWB1103" s="15"/>
      <c r="JWE1103" s="15"/>
      <c r="JWF1103" s="15"/>
      <c r="JWI1103" s="15"/>
      <c r="JWJ1103" s="15"/>
      <c r="JWM1103" s="15"/>
      <c r="JWN1103" s="15"/>
      <c r="JWQ1103" s="15"/>
      <c r="JWR1103" s="15"/>
      <c r="JWU1103" s="15"/>
      <c r="JWV1103" s="15"/>
      <c r="JWY1103" s="15"/>
      <c r="JWZ1103" s="15"/>
      <c r="JXC1103" s="15"/>
      <c r="JXD1103" s="15"/>
      <c r="JXG1103" s="15"/>
      <c r="JXH1103" s="15"/>
      <c r="JXK1103" s="15"/>
      <c r="JXL1103" s="15"/>
      <c r="JXO1103" s="15"/>
      <c r="JXP1103" s="15"/>
      <c r="JXS1103" s="15"/>
      <c r="JXT1103" s="15"/>
      <c r="JXW1103" s="15"/>
      <c r="JXX1103" s="15"/>
      <c r="JYA1103" s="15"/>
      <c r="JYB1103" s="15"/>
      <c r="JYE1103" s="15"/>
      <c r="JYF1103" s="15"/>
      <c r="JYI1103" s="15"/>
      <c r="JYJ1103" s="15"/>
      <c r="JYM1103" s="15"/>
      <c r="JYN1103" s="15"/>
      <c r="JYQ1103" s="15"/>
      <c r="JYR1103" s="15"/>
      <c r="JYU1103" s="15"/>
      <c r="JYV1103" s="15"/>
      <c r="JYY1103" s="15"/>
      <c r="JYZ1103" s="15"/>
      <c r="JZC1103" s="15"/>
      <c r="JZD1103" s="15"/>
      <c r="JZG1103" s="15"/>
      <c r="JZH1103" s="15"/>
      <c r="JZK1103" s="15"/>
      <c r="JZL1103" s="15"/>
      <c r="JZO1103" s="15"/>
      <c r="JZP1103" s="15"/>
      <c r="JZS1103" s="15"/>
      <c r="JZT1103" s="15"/>
      <c r="JZW1103" s="15"/>
      <c r="JZX1103" s="15"/>
      <c r="KAA1103" s="15"/>
      <c r="KAB1103" s="15"/>
      <c r="KAE1103" s="15"/>
      <c r="KAF1103" s="15"/>
      <c r="KAI1103" s="15"/>
      <c r="KAJ1103" s="15"/>
      <c r="KAM1103" s="15"/>
      <c r="KAN1103" s="15"/>
      <c r="KAQ1103" s="15"/>
      <c r="KAR1103" s="15"/>
      <c r="KAU1103" s="15"/>
      <c r="KAV1103" s="15"/>
      <c r="KAY1103" s="15"/>
      <c r="KAZ1103" s="15"/>
      <c r="KBC1103" s="15"/>
      <c r="KBD1103" s="15"/>
      <c r="KBG1103" s="15"/>
      <c r="KBH1103" s="15"/>
      <c r="KBK1103" s="15"/>
      <c r="KBL1103" s="15"/>
      <c r="KBO1103" s="15"/>
      <c r="KBP1103" s="15"/>
      <c r="KBS1103" s="15"/>
      <c r="KBT1103" s="15"/>
      <c r="KBW1103" s="15"/>
      <c r="KBX1103" s="15"/>
      <c r="KCA1103" s="15"/>
      <c r="KCB1103" s="15"/>
      <c r="KCE1103" s="15"/>
      <c r="KCF1103" s="15"/>
      <c r="KCI1103" s="15"/>
      <c r="KCJ1103" s="15"/>
      <c r="KCM1103" s="15"/>
      <c r="KCN1103" s="15"/>
      <c r="KCQ1103" s="15"/>
      <c r="KCR1103" s="15"/>
      <c r="KCU1103" s="15"/>
      <c r="KCV1103" s="15"/>
      <c r="KCY1103" s="15"/>
      <c r="KCZ1103" s="15"/>
      <c r="KDC1103" s="15"/>
      <c r="KDD1103" s="15"/>
      <c r="KDG1103" s="15"/>
      <c r="KDH1103" s="15"/>
      <c r="KDK1103" s="15"/>
      <c r="KDL1103" s="15"/>
      <c r="KDO1103" s="15"/>
      <c r="KDP1103" s="15"/>
      <c r="KDS1103" s="15"/>
      <c r="KDT1103" s="15"/>
      <c r="KDW1103" s="15"/>
      <c r="KDX1103" s="15"/>
      <c r="KEA1103" s="15"/>
      <c r="KEB1103" s="15"/>
      <c r="KEE1103" s="15"/>
      <c r="KEF1103" s="15"/>
      <c r="KEI1103" s="15"/>
      <c r="KEJ1103" s="15"/>
      <c r="KEM1103" s="15"/>
      <c r="KEN1103" s="15"/>
      <c r="KEQ1103" s="15"/>
      <c r="KER1103" s="15"/>
      <c r="KEU1103" s="15"/>
      <c r="KEV1103" s="15"/>
      <c r="KEY1103" s="15"/>
      <c r="KEZ1103" s="15"/>
      <c r="KFC1103" s="15"/>
      <c r="KFD1103" s="15"/>
      <c r="KFG1103" s="15"/>
      <c r="KFH1103" s="15"/>
      <c r="KFK1103" s="15"/>
      <c r="KFL1103" s="15"/>
      <c r="KFO1103" s="15"/>
      <c r="KFP1103" s="15"/>
      <c r="KFS1103" s="15"/>
      <c r="KFT1103" s="15"/>
      <c r="KFW1103" s="15"/>
      <c r="KFX1103" s="15"/>
      <c r="KGA1103" s="15"/>
      <c r="KGB1103" s="15"/>
      <c r="KGE1103" s="15"/>
      <c r="KGF1103" s="15"/>
      <c r="KGI1103" s="15"/>
      <c r="KGJ1103" s="15"/>
      <c r="KGM1103" s="15"/>
      <c r="KGN1103" s="15"/>
      <c r="KGQ1103" s="15"/>
      <c r="KGR1103" s="15"/>
      <c r="KGU1103" s="15"/>
      <c r="KGV1103" s="15"/>
      <c r="KGY1103" s="15"/>
      <c r="KGZ1103" s="15"/>
      <c r="KHC1103" s="15"/>
      <c r="KHD1103" s="15"/>
      <c r="KHG1103" s="15"/>
      <c r="KHH1103" s="15"/>
      <c r="KHK1103" s="15"/>
      <c r="KHL1103" s="15"/>
      <c r="KHO1103" s="15"/>
      <c r="KHP1103" s="15"/>
      <c r="KHS1103" s="15"/>
      <c r="KHT1103" s="15"/>
      <c r="KHW1103" s="15"/>
      <c r="KHX1103" s="15"/>
      <c r="KIA1103" s="15"/>
      <c r="KIB1103" s="15"/>
      <c r="KIE1103" s="15"/>
      <c r="KIF1103" s="15"/>
      <c r="KII1103" s="15"/>
      <c r="KIJ1103" s="15"/>
      <c r="KIM1103" s="15"/>
      <c r="KIN1103" s="15"/>
      <c r="KIQ1103" s="15"/>
      <c r="KIR1103" s="15"/>
      <c r="KIU1103" s="15"/>
      <c r="KIV1103" s="15"/>
      <c r="KIY1103" s="15"/>
      <c r="KIZ1103" s="15"/>
      <c r="KJC1103" s="15"/>
      <c r="KJD1103" s="15"/>
      <c r="KJG1103" s="15"/>
      <c r="KJH1103" s="15"/>
      <c r="KJK1103" s="15"/>
      <c r="KJL1103" s="15"/>
      <c r="KJO1103" s="15"/>
      <c r="KJP1103" s="15"/>
      <c r="KJS1103" s="15"/>
      <c r="KJT1103" s="15"/>
      <c r="KJW1103" s="15"/>
      <c r="KJX1103" s="15"/>
      <c r="KKA1103" s="15"/>
      <c r="KKB1103" s="15"/>
      <c r="KKE1103" s="15"/>
      <c r="KKF1103" s="15"/>
      <c r="KKI1103" s="15"/>
      <c r="KKJ1103" s="15"/>
      <c r="KKM1103" s="15"/>
      <c r="KKN1103" s="15"/>
      <c r="KKQ1103" s="15"/>
      <c r="KKR1103" s="15"/>
      <c r="KKU1103" s="15"/>
      <c r="KKV1103" s="15"/>
      <c r="KKY1103" s="15"/>
      <c r="KKZ1103" s="15"/>
      <c r="KLC1103" s="15"/>
      <c r="KLD1103" s="15"/>
      <c r="KLG1103" s="15"/>
      <c r="KLH1103" s="15"/>
      <c r="KLK1103" s="15"/>
      <c r="KLL1103" s="15"/>
      <c r="KLO1103" s="15"/>
      <c r="KLP1103" s="15"/>
      <c r="KLS1103" s="15"/>
      <c r="KLT1103" s="15"/>
      <c r="KLW1103" s="15"/>
      <c r="KLX1103" s="15"/>
      <c r="KMA1103" s="15"/>
      <c r="KMB1103" s="15"/>
      <c r="KME1103" s="15"/>
      <c r="KMF1103" s="15"/>
      <c r="KMI1103" s="15"/>
      <c r="KMJ1103" s="15"/>
      <c r="KMM1103" s="15"/>
      <c r="KMN1103" s="15"/>
      <c r="KMQ1103" s="15"/>
      <c r="KMR1103" s="15"/>
      <c r="KMU1103" s="15"/>
      <c r="KMV1103" s="15"/>
      <c r="KMY1103" s="15"/>
      <c r="KMZ1103" s="15"/>
      <c r="KNC1103" s="15"/>
      <c r="KND1103" s="15"/>
      <c r="KNG1103" s="15"/>
      <c r="KNH1103" s="15"/>
      <c r="KNK1103" s="15"/>
      <c r="KNL1103" s="15"/>
      <c r="KNO1103" s="15"/>
      <c r="KNP1103" s="15"/>
      <c r="KNS1103" s="15"/>
      <c r="KNT1103" s="15"/>
      <c r="KNW1103" s="15"/>
      <c r="KNX1103" s="15"/>
      <c r="KOA1103" s="15"/>
      <c r="KOB1103" s="15"/>
      <c r="KOE1103" s="15"/>
      <c r="KOF1103" s="15"/>
      <c r="KOI1103" s="15"/>
      <c r="KOJ1103" s="15"/>
      <c r="KOM1103" s="15"/>
      <c r="KON1103" s="15"/>
      <c r="KOQ1103" s="15"/>
      <c r="KOR1103" s="15"/>
      <c r="KOU1103" s="15"/>
      <c r="KOV1103" s="15"/>
      <c r="KOY1103" s="15"/>
      <c r="KOZ1103" s="15"/>
      <c r="KPC1103" s="15"/>
      <c r="KPD1103" s="15"/>
      <c r="KPG1103" s="15"/>
      <c r="KPH1103" s="15"/>
      <c r="KPK1103" s="15"/>
      <c r="KPL1103" s="15"/>
      <c r="KPO1103" s="15"/>
      <c r="KPP1103" s="15"/>
      <c r="KPS1103" s="15"/>
      <c r="KPT1103" s="15"/>
      <c r="KPW1103" s="15"/>
      <c r="KPX1103" s="15"/>
      <c r="KQA1103" s="15"/>
      <c r="KQB1103" s="15"/>
      <c r="KQE1103" s="15"/>
      <c r="KQF1103" s="15"/>
      <c r="KQI1103" s="15"/>
      <c r="KQJ1103" s="15"/>
      <c r="KQM1103" s="15"/>
      <c r="KQN1103" s="15"/>
      <c r="KQQ1103" s="15"/>
      <c r="KQR1103" s="15"/>
      <c r="KQU1103" s="15"/>
      <c r="KQV1103" s="15"/>
      <c r="KQY1103" s="15"/>
      <c r="KQZ1103" s="15"/>
      <c r="KRC1103" s="15"/>
      <c r="KRD1103" s="15"/>
      <c r="KRG1103" s="15"/>
      <c r="KRH1103" s="15"/>
      <c r="KRK1103" s="15"/>
      <c r="KRL1103" s="15"/>
      <c r="KRO1103" s="15"/>
      <c r="KRP1103" s="15"/>
      <c r="KRS1103" s="15"/>
      <c r="KRT1103" s="15"/>
      <c r="KRW1103" s="15"/>
      <c r="KRX1103" s="15"/>
      <c r="KSA1103" s="15"/>
      <c r="KSB1103" s="15"/>
      <c r="KSE1103" s="15"/>
      <c r="KSF1103" s="15"/>
      <c r="KSI1103" s="15"/>
      <c r="KSJ1103" s="15"/>
      <c r="KSM1103" s="15"/>
      <c r="KSN1103" s="15"/>
      <c r="KSQ1103" s="15"/>
      <c r="KSR1103" s="15"/>
      <c r="KSU1103" s="15"/>
      <c r="KSV1103" s="15"/>
      <c r="KSY1103" s="15"/>
      <c r="KSZ1103" s="15"/>
      <c r="KTC1103" s="15"/>
      <c r="KTD1103" s="15"/>
      <c r="KTG1103" s="15"/>
      <c r="KTH1103" s="15"/>
      <c r="KTK1103" s="15"/>
      <c r="KTL1103" s="15"/>
      <c r="KTO1103" s="15"/>
      <c r="KTP1103" s="15"/>
      <c r="KTS1103" s="15"/>
      <c r="KTT1103" s="15"/>
      <c r="KTW1103" s="15"/>
      <c r="KTX1103" s="15"/>
      <c r="KUA1103" s="15"/>
      <c r="KUB1103" s="15"/>
      <c r="KUE1103" s="15"/>
      <c r="KUF1103" s="15"/>
      <c r="KUI1103" s="15"/>
      <c r="KUJ1103" s="15"/>
      <c r="KUM1103" s="15"/>
      <c r="KUN1103" s="15"/>
      <c r="KUQ1103" s="15"/>
      <c r="KUR1103" s="15"/>
      <c r="KUU1103" s="15"/>
      <c r="KUV1103" s="15"/>
      <c r="KUY1103" s="15"/>
      <c r="KUZ1103" s="15"/>
      <c r="KVC1103" s="15"/>
      <c r="KVD1103" s="15"/>
      <c r="KVG1103" s="15"/>
      <c r="KVH1103" s="15"/>
      <c r="KVK1103" s="15"/>
      <c r="KVL1103" s="15"/>
      <c r="KVO1103" s="15"/>
      <c r="KVP1103" s="15"/>
      <c r="KVS1103" s="15"/>
      <c r="KVT1103" s="15"/>
      <c r="KVW1103" s="15"/>
      <c r="KVX1103" s="15"/>
      <c r="KWA1103" s="15"/>
      <c r="KWB1103" s="15"/>
      <c r="KWE1103" s="15"/>
      <c r="KWF1103" s="15"/>
      <c r="KWI1103" s="15"/>
      <c r="KWJ1103" s="15"/>
      <c r="KWM1103" s="15"/>
      <c r="KWN1103" s="15"/>
      <c r="KWQ1103" s="15"/>
      <c r="KWR1103" s="15"/>
      <c r="KWU1103" s="15"/>
      <c r="KWV1103" s="15"/>
      <c r="KWY1103" s="15"/>
      <c r="KWZ1103" s="15"/>
      <c r="KXC1103" s="15"/>
      <c r="KXD1103" s="15"/>
      <c r="KXG1103" s="15"/>
      <c r="KXH1103" s="15"/>
      <c r="KXK1103" s="15"/>
      <c r="KXL1103" s="15"/>
      <c r="KXO1103" s="15"/>
      <c r="KXP1103" s="15"/>
      <c r="KXS1103" s="15"/>
      <c r="KXT1103" s="15"/>
      <c r="KXW1103" s="15"/>
      <c r="KXX1103" s="15"/>
      <c r="KYA1103" s="15"/>
      <c r="KYB1103" s="15"/>
      <c r="KYE1103" s="15"/>
      <c r="KYF1103" s="15"/>
      <c r="KYI1103" s="15"/>
      <c r="KYJ1103" s="15"/>
      <c r="KYM1103" s="15"/>
      <c r="KYN1103" s="15"/>
      <c r="KYQ1103" s="15"/>
      <c r="KYR1103" s="15"/>
      <c r="KYU1103" s="15"/>
      <c r="KYV1103" s="15"/>
      <c r="KYY1103" s="15"/>
      <c r="KYZ1103" s="15"/>
      <c r="KZC1103" s="15"/>
      <c r="KZD1103" s="15"/>
      <c r="KZG1103" s="15"/>
      <c r="KZH1103" s="15"/>
      <c r="KZK1103" s="15"/>
      <c r="KZL1103" s="15"/>
      <c r="KZO1103" s="15"/>
      <c r="KZP1103" s="15"/>
      <c r="KZS1103" s="15"/>
      <c r="KZT1103" s="15"/>
      <c r="KZW1103" s="15"/>
      <c r="KZX1103" s="15"/>
      <c r="LAA1103" s="15"/>
      <c r="LAB1103" s="15"/>
      <c r="LAE1103" s="15"/>
      <c r="LAF1103" s="15"/>
      <c r="LAI1103" s="15"/>
      <c r="LAJ1103" s="15"/>
      <c r="LAM1103" s="15"/>
      <c r="LAN1103" s="15"/>
      <c r="LAQ1103" s="15"/>
      <c r="LAR1103" s="15"/>
      <c r="LAU1103" s="15"/>
      <c r="LAV1103" s="15"/>
      <c r="LAY1103" s="15"/>
      <c r="LAZ1103" s="15"/>
      <c r="LBC1103" s="15"/>
      <c r="LBD1103" s="15"/>
      <c r="LBG1103" s="15"/>
      <c r="LBH1103" s="15"/>
      <c r="LBK1103" s="15"/>
      <c r="LBL1103" s="15"/>
      <c r="LBO1103" s="15"/>
      <c r="LBP1103" s="15"/>
      <c r="LBS1103" s="15"/>
      <c r="LBT1103" s="15"/>
      <c r="LBW1103" s="15"/>
      <c r="LBX1103" s="15"/>
      <c r="LCA1103" s="15"/>
      <c r="LCB1103" s="15"/>
      <c r="LCE1103" s="15"/>
      <c r="LCF1103" s="15"/>
      <c r="LCI1103" s="15"/>
      <c r="LCJ1103" s="15"/>
      <c r="LCM1103" s="15"/>
      <c r="LCN1103" s="15"/>
      <c r="LCQ1103" s="15"/>
      <c r="LCR1103" s="15"/>
      <c r="LCU1103" s="15"/>
      <c r="LCV1103" s="15"/>
      <c r="LCY1103" s="15"/>
      <c r="LCZ1103" s="15"/>
      <c r="LDC1103" s="15"/>
      <c r="LDD1103" s="15"/>
      <c r="LDG1103" s="15"/>
      <c r="LDH1103" s="15"/>
      <c r="LDK1103" s="15"/>
      <c r="LDL1103" s="15"/>
      <c r="LDO1103" s="15"/>
      <c r="LDP1103" s="15"/>
      <c r="LDS1103" s="15"/>
      <c r="LDT1103" s="15"/>
      <c r="LDW1103" s="15"/>
      <c r="LDX1103" s="15"/>
      <c r="LEA1103" s="15"/>
      <c r="LEB1103" s="15"/>
      <c r="LEE1103" s="15"/>
      <c r="LEF1103" s="15"/>
      <c r="LEI1103" s="15"/>
      <c r="LEJ1103" s="15"/>
      <c r="LEM1103" s="15"/>
      <c r="LEN1103" s="15"/>
      <c r="LEQ1103" s="15"/>
      <c r="LER1103" s="15"/>
      <c r="LEU1103" s="15"/>
      <c r="LEV1103" s="15"/>
      <c r="LEY1103" s="15"/>
      <c r="LEZ1103" s="15"/>
      <c r="LFC1103" s="15"/>
      <c r="LFD1103" s="15"/>
      <c r="LFG1103" s="15"/>
      <c r="LFH1103" s="15"/>
      <c r="LFK1103" s="15"/>
      <c r="LFL1103" s="15"/>
      <c r="LFO1103" s="15"/>
      <c r="LFP1103" s="15"/>
      <c r="LFS1103" s="15"/>
      <c r="LFT1103" s="15"/>
      <c r="LFW1103" s="15"/>
      <c r="LFX1103" s="15"/>
      <c r="LGA1103" s="15"/>
      <c r="LGB1103" s="15"/>
      <c r="LGE1103" s="15"/>
      <c r="LGF1103" s="15"/>
      <c r="LGI1103" s="15"/>
      <c r="LGJ1103" s="15"/>
      <c r="LGM1103" s="15"/>
      <c r="LGN1103" s="15"/>
      <c r="LGQ1103" s="15"/>
      <c r="LGR1103" s="15"/>
      <c r="LGU1103" s="15"/>
      <c r="LGV1103" s="15"/>
      <c r="LGY1103" s="15"/>
      <c r="LGZ1103" s="15"/>
      <c r="LHC1103" s="15"/>
      <c r="LHD1103" s="15"/>
      <c r="LHG1103" s="15"/>
      <c r="LHH1103" s="15"/>
      <c r="LHK1103" s="15"/>
      <c r="LHL1103" s="15"/>
      <c r="LHO1103" s="15"/>
      <c r="LHP1103" s="15"/>
      <c r="LHS1103" s="15"/>
      <c r="LHT1103" s="15"/>
      <c r="LHW1103" s="15"/>
      <c r="LHX1103" s="15"/>
      <c r="LIA1103" s="15"/>
      <c r="LIB1103" s="15"/>
      <c r="LIE1103" s="15"/>
      <c r="LIF1103" s="15"/>
      <c r="LII1103" s="15"/>
      <c r="LIJ1103" s="15"/>
      <c r="LIM1103" s="15"/>
      <c r="LIN1103" s="15"/>
      <c r="LIQ1103" s="15"/>
      <c r="LIR1103" s="15"/>
      <c r="LIU1103" s="15"/>
      <c r="LIV1103" s="15"/>
      <c r="LIY1103" s="15"/>
      <c r="LIZ1103" s="15"/>
      <c r="LJC1103" s="15"/>
      <c r="LJD1103" s="15"/>
      <c r="LJG1103" s="15"/>
      <c r="LJH1103" s="15"/>
      <c r="LJK1103" s="15"/>
      <c r="LJL1103" s="15"/>
      <c r="LJO1103" s="15"/>
      <c r="LJP1103" s="15"/>
      <c r="LJS1103" s="15"/>
      <c r="LJT1103" s="15"/>
      <c r="LJW1103" s="15"/>
      <c r="LJX1103" s="15"/>
      <c r="LKA1103" s="15"/>
      <c r="LKB1103" s="15"/>
      <c r="LKE1103" s="15"/>
      <c r="LKF1103" s="15"/>
      <c r="LKI1103" s="15"/>
      <c r="LKJ1103" s="15"/>
      <c r="LKM1103" s="15"/>
      <c r="LKN1103" s="15"/>
      <c r="LKQ1103" s="15"/>
      <c r="LKR1103" s="15"/>
      <c r="LKU1103" s="15"/>
      <c r="LKV1103" s="15"/>
      <c r="LKY1103" s="15"/>
      <c r="LKZ1103" s="15"/>
      <c r="LLC1103" s="15"/>
      <c r="LLD1103" s="15"/>
      <c r="LLG1103" s="15"/>
      <c r="LLH1103" s="15"/>
      <c r="LLK1103" s="15"/>
      <c r="LLL1103" s="15"/>
      <c r="LLO1103" s="15"/>
      <c r="LLP1103" s="15"/>
      <c r="LLS1103" s="15"/>
      <c r="LLT1103" s="15"/>
      <c r="LLW1103" s="15"/>
      <c r="LLX1103" s="15"/>
      <c r="LMA1103" s="15"/>
      <c r="LMB1103" s="15"/>
      <c r="LME1103" s="15"/>
      <c r="LMF1103" s="15"/>
      <c r="LMI1103" s="15"/>
      <c r="LMJ1103" s="15"/>
      <c r="LMM1103" s="15"/>
      <c r="LMN1103" s="15"/>
      <c r="LMQ1103" s="15"/>
      <c r="LMR1103" s="15"/>
      <c r="LMU1103" s="15"/>
      <c r="LMV1103" s="15"/>
      <c r="LMY1103" s="15"/>
      <c r="LMZ1103" s="15"/>
      <c r="LNC1103" s="15"/>
      <c r="LND1103" s="15"/>
      <c r="LNG1103" s="15"/>
      <c r="LNH1103" s="15"/>
      <c r="LNK1103" s="15"/>
      <c r="LNL1103" s="15"/>
      <c r="LNO1103" s="15"/>
      <c r="LNP1103" s="15"/>
      <c r="LNS1103" s="15"/>
      <c r="LNT1103" s="15"/>
      <c r="LNW1103" s="15"/>
      <c r="LNX1103" s="15"/>
      <c r="LOA1103" s="15"/>
      <c r="LOB1103" s="15"/>
      <c r="LOE1103" s="15"/>
      <c r="LOF1103" s="15"/>
      <c r="LOI1103" s="15"/>
      <c r="LOJ1103" s="15"/>
      <c r="LOM1103" s="15"/>
      <c r="LON1103" s="15"/>
      <c r="LOQ1103" s="15"/>
      <c r="LOR1103" s="15"/>
      <c r="LOU1103" s="15"/>
      <c r="LOV1103" s="15"/>
      <c r="LOY1103" s="15"/>
      <c r="LOZ1103" s="15"/>
      <c r="LPC1103" s="15"/>
      <c r="LPD1103" s="15"/>
      <c r="LPG1103" s="15"/>
      <c r="LPH1103" s="15"/>
      <c r="LPK1103" s="15"/>
      <c r="LPL1103" s="15"/>
      <c r="LPO1103" s="15"/>
      <c r="LPP1103" s="15"/>
      <c r="LPS1103" s="15"/>
      <c r="LPT1103" s="15"/>
      <c r="LPW1103" s="15"/>
      <c r="LPX1103" s="15"/>
      <c r="LQA1103" s="15"/>
      <c r="LQB1103" s="15"/>
      <c r="LQE1103" s="15"/>
      <c r="LQF1103" s="15"/>
      <c r="LQI1103" s="15"/>
      <c r="LQJ1103" s="15"/>
      <c r="LQM1103" s="15"/>
      <c r="LQN1103" s="15"/>
      <c r="LQQ1103" s="15"/>
      <c r="LQR1103" s="15"/>
      <c r="LQU1103" s="15"/>
      <c r="LQV1103" s="15"/>
      <c r="LQY1103" s="15"/>
      <c r="LQZ1103" s="15"/>
      <c r="LRC1103" s="15"/>
      <c r="LRD1103" s="15"/>
      <c r="LRG1103" s="15"/>
      <c r="LRH1103" s="15"/>
      <c r="LRK1103" s="15"/>
      <c r="LRL1103" s="15"/>
      <c r="LRO1103" s="15"/>
      <c r="LRP1103" s="15"/>
      <c r="LRS1103" s="15"/>
      <c r="LRT1103" s="15"/>
      <c r="LRW1103" s="15"/>
      <c r="LRX1103" s="15"/>
      <c r="LSA1103" s="15"/>
      <c r="LSB1103" s="15"/>
      <c r="LSE1103" s="15"/>
      <c r="LSF1103" s="15"/>
      <c r="LSI1103" s="15"/>
      <c r="LSJ1103" s="15"/>
      <c r="LSM1103" s="15"/>
      <c r="LSN1103" s="15"/>
      <c r="LSQ1103" s="15"/>
      <c r="LSR1103" s="15"/>
      <c r="LSU1103" s="15"/>
      <c r="LSV1103" s="15"/>
      <c r="LSY1103" s="15"/>
      <c r="LSZ1103" s="15"/>
      <c r="LTC1103" s="15"/>
      <c r="LTD1103" s="15"/>
      <c r="LTG1103" s="15"/>
      <c r="LTH1103" s="15"/>
      <c r="LTK1103" s="15"/>
      <c r="LTL1103" s="15"/>
      <c r="LTO1103" s="15"/>
      <c r="LTP1103" s="15"/>
      <c r="LTS1103" s="15"/>
      <c r="LTT1103" s="15"/>
      <c r="LTW1103" s="15"/>
      <c r="LTX1103" s="15"/>
      <c r="LUA1103" s="15"/>
      <c r="LUB1103" s="15"/>
      <c r="LUE1103" s="15"/>
      <c r="LUF1103" s="15"/>
      <c r="LUI1103" s="15"/>
      <c r="LUJ1103" s="15"/>
      <c r="LUM1103" s="15"/>
      <c r="LUN1103" s="15"/>
      <c r="LUQ1103" s="15"/>
      <c r="LUR1103" s="15"/>
      <c r="LUU1103" s="15"/>
      <c r="LUV1103" s="15"/>
      <c r="LUY1103" s="15"/>
      <c r="LUZ1103" s="15"/>
      <c r="LVC1103" s="15"/>
      <c r="LVD1103" s="15"/>
      <c r="LVG1103" s="15"/>
      <c r="LVH1103" s="15"/>
      <c r="LVK1103" s="15"/>
      <c r="LVL1103" s="15"/>
      <c r="LVO1103" s="15"/>
      <c r="LVP1103" s="15"/>
      <c r="LVS1103" s="15"/>
      <c r="LVT1103" s="15"/>
      <c r="LVW1103" s="15"/>
      <c r="LVX1103" s="15"/>
      <c r="LWA1103" s="15"/>
      <c r="LWB1103" s="15"/>
      <c r="LWE1103" s="15"/>
      <c r="LWF1103" s="15"/>
      <c r="LWI1103" s="15"/>
      <c r="LWJ1103" s="15"/>
      <c r="LWM1103" s="15"/>
      <c r="LWN1103" s="15"/>
      <c r="LWQ1103" s="15"/>
      <c r="LWR1103" s="15"/>
      <c r="LWU1103" s="15"/>
      <c r="LWV1103" s="15"/>
      <c r="LWY1103" s="15"/>
      <c r="LWZ1103" s="15"/>
      <c r="LXC1103" s="15"/>
      <c r="LXD1103" s="15"/>
      <c r="LXG1103" s="15"/>
      <c r="LXH1103" s="15"/>
      <c r="LXK1103" s="15"/>
      <c r="LXL1103" s="15"/>
      <c r="LXO1103" s="15"/>
      <c r="LXP1103" s="15"/>
      <c r="LXS1103" s="15"/>
      <c r="LXT1103" s="15"/>
      <c r="LXW1103" s="15"/>
      <c r="LXX1103" s="15"/>
      <c r="LYA1103" s="15"/>
      <c r="LYB1103" s="15"/>
      <c r="LYE1103" s="15"/>
      <c r="LYF1103" s="15"/>
      <c r="LYI1103" s="15"/>
      <c r="LYJ1103" s="15"/>
      <c r="LYM1103" s="15"/>
      <c r="LYN1103" s="15"/>
      <c r="LYQ1103" s="15"/>
      <c r="LYR1103" s="15"/>
      <c r="LYU1103" s="15"/>
      <c r="LYV1103" s="15"/>
      <c r="LYY1103" s="15"/>
      <c r="LYZ1103" s="15"/>
      <c r="LZC1103" s="15"/>
      <c r="LZD1103" s="15"/>
      <c r="LZG1103" s="15"/>
      <c r="LZH1103" s="15"/>
      <c r="LZK1103" s="15"/>
      <c r="LZL1103" s="15"/>
      <c r="LZO1103" s="15"/>
      <c r="LZP1103" s="15"/>
      <c r="LZS1103" s="15"/>
      <c r="LZT1103" s="15"/>
      <c r="LZW1103" s="15"/>
      <c r="LZX1103" s="15"/>
      <c r="MAA1103" s="15"/>
      <c r="MAB1103" s="15"/>
      <c r="MAE1103" s="15"/>
      <c r="MAF1103" s="15"/>
      <c r="MAI1103" s="15"/>
      <c r="MAJ1103" s="15"/>
      <c r="MAM1103" s="15"/>
      <c r="MAN1103" s="15"/>
      <c r="MAQ1103" s="15"/>
      <c r="MAR1103" s="15"/>
      <c r="MAU1103" s="15"/>
      <c r="MAV1103" s="15"/>
      <c r="MAY1103" s="15"/>
      <c r="MAZ1103" s="15"/>
      <c r="MBC1103" s="15"/>
      <c r="MBD1103" s="15"/>
      <c r="MBG1103" s="15"/>
      <c r="MBH1103" s="15"/>
      <c r="MBK1103" s="15"/>
      <c r="MBL1103" s="15"/>
      <c r="MBO1103" s="15"/>
      <c r="MBP1103" s="15"/>
      <c r="MBS1103" s="15"/>
      <c r="MBT1103" s="15"/>
      <c r="MBW1103" s="15"/>
      <c r="MBX1103" s="15"/>
      <c r="MCA1103" s="15"/>
      <c r="MCB1103" s="15"/>
      <c r="MCE1103" s="15"/>
      <c r="MCF1103" s="15"/>
      <c r="MCI1103" s="15"/>
      <c r="MCJ1103" s="15"/>
      <c r="MCM1103" s="15"/>
      <c r="MCN1103" s="15"/>
      <c r="MCQ1103" s="15"/>
      <c r="MCR1103" s="15"/>
      <c r="MCU1103" s="15"/>
      <c r="MCV1103" s="15"/>
      <c r="MCY1103" s="15"/>
      <c r="MCZ1103" s="15"/>
      <c r="MDC1103" s="15"/>
      <c r="MDD1103" s="15"/>
      <c r="MDG1103" s="15"/>
      <c r="MDH1103" s="15"/>
      <c r="MDK1103" s="15"/>
      <c r="MDL1103" s="15"/>
      <c r="MDO1103" s="15"/>
      <c r="MDP1103" s="15"/>
      <c r="MDS1103" s="15"/>
      <c r="MDT1103" s="15"/>
      <c r="MDW1103" s="15"/>
      <c r="MDX1103" s="15"/>
      <c r="MEA1103" s="15"/>
      <c r="MEB1103" s="15"/>
      <c r="MEE1103" s="15"/>
      <c r="MEF1103" s="15"/>
      <c r="MEI1103" s="15"/>
      <c r="MEJ1103" s="15"/>
      <c r="MEM1103" s="15"/>
      <c r="MEN1103" s="15"/>
      <c r="MEQ1103" s="15"/>
      <c r="MER1103" s="15"/>
      <c r="MEU1103" s="15"/>
      <c r="MEV1103" s="15"/>
      <c r="MEY1103" s="15"/>
      <c r="MEZ1103" s="15"/>
      <c r="MFC1103" s="15"/>
      <c r="MFD1103" s="15"/>
      <c r="MFG1103" s="15"/>
      <c r="MFH1103" s="15"/>
      <c r="MFK1103" s="15"/>
      <c r="MFL1103" s="15"/>
      <c r="MFO1103" s="15"/>
      <c r="MFP1103" s="15"/>
      <c r="MFS1103" s="15"/>
      <c r="MFT1103" s="15"/>
      <c r="MFW1103" s="15"/>
      <c r="MFX1103" s="15"/>
      <c r="MGA1103" s="15"/>
      <c r="MGB1103" s="15"/>
      <c r="MGE1103" s="15"/>
      <c r="MGF1103" s="15"/>
      <c r="MGI1103" s="15"/>
      <c r="MGJ1103" s="15"/>
      <c r="MGM1103" s="15"/>
      <c r="MGN1103" s="15"/>
      <c r="MGQ1103" s="15"/>
      <c r="MGR1103" s="15"/>
      <c r="MGU1103" s="15"/>
      <c r="MGV1103" s="15"/>
      <c r="MGY1103" s="15"/>
      <c r="MGZ1103" s="15"/>
      <c r="MHC1103" s="15"/>
      <c r="MHD1103" s="15"/>
      <c r="MHG1103" s="15"/>
      <c r="MHH1103" s="15"/>
      <c r="MHK1103" s="15"/>
      <c r="MHL1103" s="15"/>
      <c r="MHO1103" s="15"/>
      <c r="MHP1103" s="15"/>
      <c r="MHS1103" s="15"/>
      <c r="MHT1103" s="15"/>
      <c r="MHW1103" s="15"/>
      <c r="MHX1103" s="15"/>
      <c r="MIA1103" s="15"/>
      <c r="MIB1103" s="15"/>
      <c r="MIE1103" s="15"/>
      <c r="MIF1103" s="15"/>
      <c r="MII1103" s="15"/>
      <c r="MIJ1103" s="15"/>
      <c r="MIM1103" s="15"/>
      <c r="MIN1103" s="15"/>
      <c r="MIQ1103" s="15"/>
      <c r="MIR1103" s="15"/>
      <c r="MIU1103" s="15"/>
      <c r="MIV1103" s="15"/>
      <c r="MIY1103" s="15"/>
      <c r="MIZ1103" s="15"/>
      <c r="MJC1103" s="15"/>
      <c r="MJD1103" s="15"/>
      <c r="MJG1103" s="15"/>
      <c r="MJH1103" s="15"/>
      <c r="MJK1103" s="15"/>
      <c r="MJL1103" s="15"/>
      <c r="MJO1103" s="15"/>
      <c r="MJP1103" s="15"/>
      <c r="MJS1103" s="15"/>
      <c r="MJT1103" s="15"/>
      <c r="MJW1103" s="15"/>
      <c r="MJX1103" s="15"/>
      <c r="MKA1103" s="15"/>
      <c r="MKB1103" s="15"/>
      <c r="MKE1103" s="15"/>
      <c r="MKF1103" s="15"/>
      <c r="MKI1103" s="15"/>
      <c r="MKJ1103" s="15"/>
      <c r="MKM1103" s="15"/>
      <c r="MKN1103" s="15"/>
      <c r="MKQ1103" s="15"/>
      <c r="MKR1103" s="15"/>
      <c r="MKU1103" s="15"/>
      <c r="MKV1103" s="15"/>
      <c r="MKY1103" s="15"/>
      <c r="MKZ1103" s="15"/>
      <c r="MLC1103" s="15"/>
      <c r="MLD1103" s="15"/>
      <c r="MLG1103" s="15"/>
      <c r="MLH1103" s="15"/>
      <c r="MLK1103" s="15"/>
      <c r="MLL1103" s="15"/>
      <c r="MLO1103" s="15"/>
      <c r="MLP1103" s="15"/>
      <c r="MLS1103" s="15"/>
      <c r="MLT1103" s="15"/>
      <c r="MLW1103" s="15"/>
      <c r="MLX1103" s="15"/>
      <c r="MMA1103" s="15"/>
      <c r="MMB1103" s="15"/>
      <c r="MME1103" s="15"/>
      <c r="MMF1103" s="15"/>
      <c r="MMI1103" s="15"/>
      <c r="MMJ1103" s="15"/>
      <c r="MMM1103" s="15"/>
      <c r="MMN1103" s="15"/>
      <c r="MMQ1103" s="15"/>
      <c r="MMR1103" s="15"/>
      <c r="MMU1103" s="15"/>
      <c r="MMV1103" s="15"/>
      <c r="MMY1103" s="15"/>
      <c r="MMZ1103" s="15"/>
      <c r="MNC1103" s="15"/>
      <c r="MND1103" s="15"/>
      <c r="MNG1103" s="15"/>
      <c r="MNH1103" s="15"/>
      <c r="MNK1103" s="15"/>
      <c r="MNL1103" s="15"/>
      <c r="MNO1103" s="15"/>
      <c r="MNP1103" s="15"/>
      <c r="MNS1103" s="15"/>
      <c r="MNT1103" s="15"/>
      <c r="MNW1103" s="15"/>
      <c r="MNX1103" s="15"/>
      <c r="MOA1103" s="15"/>
      <c r="MOB1103" s="15"/>
      <c r="MOE1103" s="15"/>
      <c r="MOF1103" s="15"/>
      <c r="MOI1103" s="15"/>
      <c r="MOJ1103" s="15"/>
      <c r="MOM1103" s="15"/>
      <c r="MON1103" s="15"/>
      <c r="MOQ1103" s="15"/>
      <c r="MOR1103" s="15"/>
      <c r="MOU1103" s="15"/>
      <c r="MOV1103" s="15"/>
      <c r="MOY1103" s="15"/>
      <c r="MOZ1103" s="15"/>
      <c r="MPC1103" s="15"/>
      <c r="MPD1103" s="15"/>
      <c r="MPG1103" s="15"/>
      <c r="MPH1103" s="15"/>
      <c r="MPK1103" s="15"/>
      <c r="MPL1103" s="15"/>
      <c r="MPO1103" s="15"/>
      <c r="MPP1103" s="15"/>
      <c r="MPS1103" s="15"/>
      <c r="MPT1103" s="15"/>
      <c r="MPW1103" s="15"/>
      <c r="MPX1103" s="15"/>
      <c r="MQA1103" s="15"/>
      <c r="MQB1103" s="15"/>
      <c r="MQE1103" s="15"/>
      <c r="MQF1103" s="15"/>
      <c r="MQI1103" s="15"/>
      <c r="MQJ1103" s="15"/>
      <c r="MQM1103" s="15"/>
      <c r="MQN1103" s="15"/>
      <c r="MQQ1103" s="15"/>
      <c r="MQR1103" s="15"/>
      <c r="MQU1103" s="15"/>
      <c r="MQV1103" s="15"/>
      <c r="MQY1103" s="15"/>
      <c r="MQZ1103" s="15"/>
      <c r="MRC1103" s="15"/>
      <c r="MRD1103" s="15"/>
      <c r="MRG1103" s="15"/>
      <c r="MRH1103" s="15"/>
      <c r="MRK1103" s="15"/>
      <c r="MRL1103" s="15"/>
      <c r="MRO1103" s="15"/>
      <c r="MRP1103" s="15"/>
      <c r="MRS1103" s="15"/>
      <c r="MRT1103" s="15"/>
      <c r="MRW1103" s="15"/>
      <c r="MRX1103" s="15"/>
      <c r="MSA1103" s="15"/>
      <c r="MSB1103" s="15"/>
      <c r="MSE1103" s="15"/>
      <c r="MSF1103" s="15"/>
      <c r="MSI1103" s="15"/>
      <c r="MSJ1103" s="15"/>
      <c r="MSM1103" s="15"/>
      <c r="MSN1103" s="15"/>
      <c r="MSQ1103" s="15"/>
      <c r="MSR1103" s="15"/>
      <c r="MSU1103" s="15"/>
      <c r="MSV1103" s="15"/>
      <c r="MSY1103" s="15"/>
      <c r="MSZ1103" s="15"/>
      <c r="MTC1103" s="15"/>
      <c r="MTD1103" s="15"/>
      <c r="MTG1103" s="15"/>
      <c r="MTH1103" s="15"/>
      <c r="MTK1103" s="15"/>
      <c r="MTL1103" s="15"/>
      <c r="MTO1103" s="15"/>
      <c r="MTP1103" s="15"/>
      <c r="MTS1103" s="15"/>
      <c r="MTT1103" s="15"/>
      <c r="MTW1103" s="15"/>
      <c r="MTX1103" s="15"/>
      <c r="MUA1103" s="15"/>
      <c r="MUB1103" s="15"/>
      <c r="MUE1103" s="15"/>
      <c r="MUF1103" s="15"/>
      <c r="MUI1103" s="15"/>
      <c r="MUJ1103" s="15"/>
      <c r="MUM1103" s="15"/>
      <c r="MUN1103" s="15"/>
      <c r="MUQ1103" s="15"/>
      <c r="MUR1103" s="15"/>
      <c r="MUU1103" s="15"/>
      <c r="MUV1103" s="15"/>
      <c r="MUY1103" s="15"/>
      <c r="MUZ1103" s="15"/>
      <c r="MVC1103" s="15"/>
      <c r="MVD1103" s="15"/>
      <c r="MVG1103" s="15"/>
      <c r="MVH1103" s="15"/>
      <c r="MVK1103" s="15"/>
      <c r="MVL1103" s="15"/>
      <c r="MVO1103" s="15"/>
      <c r="MVP1103" s="15"/>
      <c r="MVS1103" s="15"/>
      <c r="MVT1103" s="15"/>
      <c r="MVW1103" s="15"/>
      <c r="MVX1103" s="15"/>
      <c r="MWA1103" s="15"/>
      <c r="MWB1103" s="15"/>
      <c r="MWE1103" s="15"/>
      <c r="MWF1103" s="15"/>
      <c r="MWI1103" s="15"/>
      <c r="MWJ1103" s="15"/>
      <c r="MWM1103" s="15"/>
      <c r="MWN1103" s="15"/>
      <c r="MWQ1103" s="15"/>
      <c r="MWR1103" s="15"/>
      <c r="MWU1103" s="15"/>
      <c r="MWV1103" s="15"/>
      <c r="MWY1103" s="15"/>
      <c r="MWZ1103" s="15"/>
      <c r="MXC1103" s="15"/>
      <c r="MXD1103" s="15"/>
      <c r="MXG1103" s="15"/>
      <c r="MXH1103" s="15"/>
      <c r="MXK1103" s="15"/>
      <c r="MXL1103" s="15"/>
      <c r="MXO1103" s="15"/>
      <c r="MXP1103" s="15"/>
      <c r="MXS1103" s="15"/>
      <c r="MXT1103" s="15"/>
      <c r="MXW1103" s="15"/>
      <c r="MXX1103" s="15"/>
      <c r="MYA1103" s="15"/>
      <c r="MYB1103" s="15"/>
      <c r="MYE1103" s="15"/>
      <c r="MYF1103" s="15"/>
      <c r="MYI1103" s="15"/>
      <c r="MYJ1103" s="15"/>
      <c r="MYM1103" s="15"/>
      <c r="MYN1103" s="15"/>
      <c r="MYQ1103" s="15"/>
      <c r="MYR1103" s="15"/>
      <c r="MYU1103" s="15"/>
      <c r="MYV1103" s="15"/>
      <c r="MYY1103" s="15"/>
      <c r="MYZ1103" s="15"/>
      <c r="MZC1103" s="15"/>
      <c r="MZD1103" s="15"/>
      <c r="MZG1103" s="15"/>
      <c r="MZH1103" s="15"/>
      <c r="MZK1103" s="15"/>
      <c r="MZL1103" s="15"/>
      <c r="MZO1103" s="15"/>
      <c r="MZP1103" s="15"/>
      <c r="MZS1103" s="15"/>
      <c r="MZT1103" s="15"/>
      <c r="MZW1103" s="15"/>
      <c r="MZX1103" s="15"/>
      <c r="NAA1103" s="15"/>
      <c r="NAB1103" s="15"/>
      <c r="NAE1103" s="15"/>
      <c r="NAF1103" s="15"/>
      <c r="NAI1103" s="15"/>
      <c r="NAJ1103" s="15"/>
      <c r="NAM1103" s="15"/>
      <c r="NAN1103" s="15"/>
      <c r="NAQ1103" s="15"/>
      <c r="NAR1103" s="15"/>
      <c r="NAU1103" s="15"/>
      <c r="NAV1103" s="15"/>
      <c r="NAY1103" s="15"/>
      <c r="NAZ1103" s="15"/>
      <c r="NBC1103" s="15"/>
      <c r="NBD1103" s="15"/>
      <c r="NBG1103" s="15"/>
      <c r="NBH1103" s="15"/>
      <c r="NBK1103" s="15"/>
      <c r="NBL1103" s="15"/>
      <c r="NBO1103" s="15"/>
      <c r="NBP1103" s="15"/>
      <c r="NBS1103" s="15"/>
      <c r="NBT1103" s="15"/>
      <c r="NBW1103" s="15"/>
      <c r="NBX1103" s="15"/>
      <c r="NCA1103" s="15"/>
      <c r="NCB1103" s="15"/>
      <c r="NCE1103" s="15"/>
      <c r="NCF1103" s="15"/>
      <c r="NCI1103" s="15"/>
      <c r="NCJ1103" s="15"/>
      <c r="NCM1103" s="15"/>
      <c r="NCN1103" s="15"/>
      <c r="NCQ1103" s="15"/>
      <c r="NCR1103" s="15"/>
      <c r="NCU1103" s="15"/>
      <c r="NCV1103" s="15"/>
      <c r="NCY1103" s="15"/>
      <c r="NCZ1103" s="15"/>
      <c r="NDC1103" s="15"/>
      <c r="NDD1103" s="15"/>
      <c r="NDG1103" s="15"/>
      <c r="NDH1103" s="15"/>
      <c r="NDK1103" s="15"/>
      <c r="NDL1103" s="15"/>
      <c r="NDO1103" s="15"/>
      <c r="NDP1103" s="15"/>
      <c r="NDS1103" s="15"/>
      <c r="NDT1103" s="15"/>
      <c r="NDW1103" s="15"/>
      <c r="NDX1103" s="15"/>
      <c r="NEA1103" s="15"/>
      <c r="NEB1103" s="15"/>
      <c r="NEE1103" s="15"/>
      <c r="NEF1103" s="15"/>
      <c r="NEI1103" s="15"/>
      <c r="NEJ1103" s="15"/>
      <c r="NEM1103" s="15"/>
      <c r="NEN1103" s="15"/>
      <c r="NEQ1103" s="15"/>
      <c r="NER1103" s="15"/>
      <c r="NEU1103" s="15"/>
      <c r="NEV1103" s="15"/>
      <c r="NEY1103" s="15"/>
      <c r="NEZ1103" s="15"/>
      <c r="NFC1103" s="15"/>
      <c r="NFD1103" s="15"/>
      <c r="NFG1103" s="15"/>
      <c r="NFH1103" s="15"/>
      <c r="NFK1103" s="15"/>
      <c r="NFL1103" s="15"/>
      <c r="NFO1103" s="15"/>
      <c r="NFP1103" s="15"/>
      <c r="NFS1103" s="15"/>
      <c r="NFT1103" s="15"/>
      <c r="NFW1103" s="15"/>
      <c r="NFX1103" s="15"/>
      <c r="NGA1103" s="15"/>
      <c r="NGB1103" s="15"/>
      <c r="NGE1103" s="15"/>
      <c r="NGF1103" s="15"/>
      <c r="NGI1103" s="15"/>
      <c r="NGJ1103" s="15"/>
      <c r="NGM1103" s="15"/>
      <c r="NGN1103" s="15"/>
      <c r="NGQ1103" s="15"/>
      <c r="NGR1103" s="15"/>
      <c r="NGU1103" s="15"/>
      <c r="NGV1103" s="15"/>
      <c r="NGY1103" s="15"/>
      <c r="NGZ1103" s="15"/>
      <c r="NHC1103" s="15"/>
      <c r="NHD1103" s="15"/>
      <c r="NHG1103" s="15"/>
      <c r="NHH1103" s="15"/>
      <c r="NHK1103" s="15"/>
      <c r="NHL1103" s="15"/>
      <c r="NHO1103" s="15"/>
      <c r="NHP1103" s="15"/>
      <c r="NHS1103" s="15"/>
      <c r="NHT1103" s="15"/>
      <c r="NHW1103" s="15"/>
      <c r="NHX1103" s="15"/>
      <c r="NIA1103" s="15"/>
      <c r="NIB1103" s="15"/>
      <c r="NIE1103" s="15"/>
      <c r="NIF1103" s="15"/>
      <c r="NII1103" s="15"/>
      <c r="NIJ1103" s="15"/>
      <c r="NIM1103" s="15"/>
      <c r="NIN1103" s="15"/>
      <c r="NIQ1103" s="15"/>
      <c r="NIR1103" s="15"/>
      <c r="NIU1103" s="15"/>
      <c r="NIV1103" s="15"/>
      <c r="NIY1103" s="15"/>
      <c r="NIZ1103" s="15"/>
      <c r="NJC1103" s="15"/>
      <c r="NJD1103" s="15"/>
      <c r="NJG1103" s="15"/>
      <c r="NJH1103" s="15"/>
      <c r="NJK1103" s="15"/>
      <c r="NJL1103" s="15"/>
      <c r="NJO1103" s="15"/>
      <c r="NJP1103" s="15"/>
      <c r="NJS1103" s="15"/>
      <c r="NJT1103" s="15"/>
      <c r="NJW1103" s="15"/>
      <c r="NJX1103" s="15"/>
      <c r="NKA1103" s="15"/>
      <c r="NKB1103" s="15"/>
      <c r="NKE1103" s="15"/>
      <c r="NKF1103" s="15"/>
      <c r="NKI1103" s="15"/>
      <c r="NKJ1103" s="15"/>
      <c r="NKM1103" s="15"/>
      <c r="NKN1103" s="15"/>
      <c r="NKQ1103" s="15"/>
      <c r="NKR1103" s="15"/>
      <c r="NKU1103" s="15"/>
      <c r="NKV1103" s="15"/>
      <c r="NKY1103" s="15"/>
      <c r="NKZ1103" s="15"/>
      <c r="NLC1103" s="15"/>
      <c r="NLD1103" s="15"/>
      <c r="NLG1103" s="15"/>
      <c r="NLH1103" s="15"/>
      <c r="NLK1103" s="15"/>
      <c r="NLL1103" s="15"/>
      <c r="NLO1103" s="15"/>
      <c r="NLP1103" s="15"/>
      <c r="NLS1103" s="15"/>
      <c r="NLT1103" s="15"/>
      <c r="NLW1103" s="15"/>
      <c r="NLX1103" s="15"/>
      <c r="NMA1103" s="15"/>
      <c r="NMB1103" s="15"/>
      <c r="NME1103" s="15"/>
      <c r="NMF1103" s="15"/>
      <c r="NMI1103" s="15"/>
      <c r="NMJ1103" s="15"/>
      <c r="NMM1103" s="15"/>
      <c r="NMN1103" s="15"/>
      <c r="NMQ1103" s="15"/>
      <c r="NMR1103" s="15"/>
      <c r="NMU1103" s="15"/>
      <c r="NMV1103" s="15"/>
      <c r="NMY1103" s="15"/>
      <c r="NMZ1103" s="15"/>
      <c r="NNC1103" s="15"/>
      <c r="NND1103" s="15"/>
      <c r="NNG1103" s="15"/>
      <c r="NNH1103" s="15"/>
      <c r="NNK1103" s="15"/>
      <c r="NNL1103" s="15"/>
      <c r="NNO1103" s="15"/>
      <c r="NNP1103" s="15"/>
      <c r="NNS1103" s="15"/>
      <c r="NNT1103" s="15"/>
      <c r="NNW1103" s="15"/>
      <c r="NNX1103" s="15"/>
      <c r="NOA1103" s="15"/>
      <c r="NOB1103" s="15"/>
      <c r="NOE1103" s="15"/>
      <c r="NOF1103" s="15"/>
      <c r="NOI1103" s="15"/>
      <c r="NOJ1103" s="15"/>
      <c r="NOM1103" s="15"/>
      <c r="NON1103" s="15"/>
      <c r="NOQ1103" s="15"/>
      <c r="NOR1103" s="15"/>
      <c r="NOU1103" s="15"/>
      <c r="NOV1103" s="15"/>
      <c r="NOY1103" s="15"/>
      <c r="NOZ1103" s="15"/>
      <c r="NPC1103" s="15"/>
      <c r="NPD1103" s="15"/>
      <c r="NPG1103" s="15"/>
      <c r="NPH1103" s="15"/>
      <c r="NPK1103" s="15"/>
      <c r="NPL1103" s="15"/>
      <c r="NPO1103" s="15"/>
      <c r="NPP1103" s="15"/>
      <c r="NPS1103" s="15"/>
      <c r="NPT1103" s="15"/>
      <c r="NPW1103" s="15"/>
      <c r="NPX1103" s="15"/>
      <c r="NQA1103" s="15"/>
      <c r="NQB1103" s="15"/>
      <c r="NQE1103" s="15"/>
      <c r="NQF1103" s="15"/>
      <c r="NQI1103" s="15"/>
      <c r="NQJ1103" s="15"/>
      <c r="NQM1103" s="15"/>
      <c r="NQN1103" s="15"/>
      <c r="NQQ1103" s="15"/>
      <c r="NQR1103" s="15"/>
      <c r="NQU1103" s="15"/>
      <c r="NQV1103" s="15"/>
      <c r="NQY1103" s="15"/>
      <c r="NQZ1103" s="15"/>
      <c r="NRC1103" s="15"/>
      <c r="NRD1103" s="15"/>
      <c r="NRG1103" s="15"/>
      <c r="NRH1103" s="15"/>
      <c r="NRK1103" s="15"/>
      <c r="NRL1103" s="15"/>
      <c r="NRO1103" s="15"/>
      <c r="NRP1103" s="15"/>
      <c r="NRS1103" s="15"/>
      <c r="NRT1103" s="15"/>
      <c r="NRW1103" s="15"/>
      <c r="NRX1103" s="15"/>
      <c r="NSA1103" s="15"/>
      <c r="NSB1103" s="15"/>
      <c r="NSE1103" s="15"/>
      <c r="NSF1103" s="15"/>
      <c r="NSI1103" s="15"/>
      <c r="NSJ1103" s="15"/>
      <c r="NSM1103" s="15"/>
      <c r="NSN1103" s="15"/>
      <c r="NSQ1103" s="15"/>
      <c r="NSR1103" s="15"/>
      <c r="NSU1103" s="15"/>
      <c r="NSV1103" s="15"/>
      <c r="NSY1103" s="15"/>
      <c r="NSZ1103" s="15"/>
      <c r="NTC1103" s="15"/>
      <c r="NTD1103" s="15"/>
      <c r="NTG1103" s="15"/>
      <c r="NTH1103" s="15"/>
      <c r="NTK1103" s="15"/>
      <c r="NTL1103" s="15"/>
      <c r="NTO1103" s="15"/>
      <c r="NTP1103" s="15"/>
      <c r="NTS1103" s="15"/>
      <c r="NTT1103" s="15"/>
      <c r="NTW1103" s="15"/>
      <c r="NTX1103" s="15"/>
      <c r="NUA1103" s="15"/>
      <c r="NUB1103" s="15"/>
      <c r="NUE1103" s="15"/>
      <c r="NUF1103" s="15"/>
      <c r="NUI1103" s="15"/>
      <c r="NUJ1103" s="15"/>
      <c r="NUM1103" s="15"/>
      <c r="NUN1103" s="15"/>
      <c r="NUQ1103" s="15"/>
      <c r="NUR1103" s="15"/>
      <c r="NUU1103" s="15"/>
      <c r="NUV1103" s="15"/>
      <c r="NUY1103" s="15"/>
      <c r="NUZ1103" s="15"/>
      <c r="NVC1103" s="15"/>
      <c r="NVD1103" s="15"/>
      <c r="NVG1103" s="15"/>
      <c r="NVH1103" s="15"/>
      <c r="NVK1103" s="15"/>
      <c r="NVL1103" s="15"/>
      <c r="NVO1103" s="15"/>
      <c r="NVP1103" s="15"/>
      <c r="NVS1103" s="15"/>
      <c r="NVT1103" s="15"/>
      <c r="NVW1103" s="15"/>
      <c r="NVX1103" s="15"/>
      <c r="NWA1103" s="15"/>
      <c r="NWB1103" s="15"/>
      <c r="NWE1103" s="15"/>
      <c r="NWF1103" s="15"/>
      <c r="NWI1103" s="15"/>
      <c r="NWJ1103" s="15"/>
      <c r="NWM1103" s="15"/>
      <c r="NWN1103" s="15"/>
      <c r="NWQ1103" s="15"/>
      <c r="NWR1103" s="15"/>
      <c r="NWU1103" s="15"/>
      <c r="NWV1103" s="15"/>
      <c r="NWY1103" s="15"/>
      <c r="NWZ1103" s="15"/>
      <c r="NXC1103" s="15"/>
      <c r="NXD1103" s="15"/>
      <c r="NXG1103" s="15"/>
      <c r="NXH1103" s="15"/>
      <c r="NXK1103" s="15"/>
      <c r="NXL1103" s="15"/>
      <c r="NXO1103" s="15"/>
      <c r="NXP1103" s="15"/>
      <c r="NXS1103" s="15"/>
      <c r="NXT1103" s="15"/>
      <c r="NXW1103" s="15"/>
      <c r="NXX1103" s="15"/>
      <c r="NYA1103" s="15"/>
      <c r="NYB1103" s="15"/>
      <c r="NYE1103" s="15"/>
      <c r="NYF1103" s="15"/>
      <c r="NYI1103" s="15"/>
      <c r="NYJ1103" s="15"/>
      <c r="NYM1103" s="15"/>
      <c r="NYN1103" s="15"/>
      <c r="NYQ1103" s="15"/>
      <c r="NYR1103" s="15"/>
      <c r="NYU1103" s="15"/>
      <c r="NYV1103" s="15"/>
      <c r="NYY1103" s="15"/>
      <c r="NYZ1103" s="15"/>
      <c r="NZC1103" s="15"/>
      <c r="NZD1103" s="15"/>
      <c r="NZG1103" s="15"/>
      <c r="NZH1103" s="15"/>
      <c r="NZK1103" s="15"/>
      <c r="NZL1103" s="15"/>
      <c r="NZO1103" s="15"/>
      <c r="NZP1103" s="15"/>
      <c r="NZS1103" s="15"/>
      <c r="NZT1103" s="15"/>
      <c r="NZW1103" s="15"/>
      <c r="NZX1103" s="15"/>
      <c r="OAA1103" s="15"/>
      <c r="OAB1103" s="15"/>
      <c r="OAE1103" s="15"/>
      <c r="OAF1103" s="15"/>
      <c r="OAI1103" s="15"/>
      <c r="OAJ1103" s="15"/>
      <c r="OAM1103" s="15"/>
      <c r="OAN1103" s="15"/>
      <c r="OAQ1103" s="15"/>
      <c r="OAR1103" s="15"/>
      <c r="OAU1103" s="15"/>
      <c r="OAV1103" s="15"/>
      <c r="OAY1103" s="15"/>
      <c r="OAZ1103" s="15"/>
      <c r="OBC1103" s="15"/>
      <c r="OBD1103" s="15"/>
      <c r="OBG1103" s="15"/>
      <c r="OBH1103" s="15"/>
      <c r="OBK1103" s="15"/>
      <c r="OBL1103" s="15"/>
      <c r="OBO1103" s="15"/>
      <c r="OBP1103" s="15"/>
      <c r="OBS1103" s="15"/>
      <c r="OBT1103" s="15"/>
      <c r="OBW1103" s="15"/>
      <c r="OBX1103" s="15"/>
      <c r="OCA1103" s="15"/>
      <c r="OCB1103" s="15"/>
      <c r="OCE1103" s="15"/>
      <c r="OCF1103" s="15"/>
      <c r="OCI1103" s="15"/>
      <c r="OCJ1103" s="15"/>
      <c r="OCM1103" s="15"/>
      <c r="OCN1103" s="15"/>
      <c r="OCQ1103" s="15"/>
      <c r="OCR1103" s="15"/>
      <c r="OCU1103" s="15"/>
      <c r="OCV1103" s="15"/>
      <c r="OCY1103" s="15"/>
      <c r="OCZ1103" s="15"/>
      <c r="ODC1103" s="15"/>
      <c r="ODD1103" s="15"/>
      <c r="ODG1103" s="15"/>
      <c r="ODH1103" s="15"/>
      <c r="ODK1103" s="15"/>
      <c r="ODL1103" s="15"/>
      <c r="ODO1103" s="15"/>
      <c r="ODP1103" s="15"/>
      <c r="ODS1103" s="15"/>
      <c r="ODT1103" s="15"/>
      <c r="ODW1103" s="15"/>
      <c r="ODX1103" s="15"/>
      <c r="OEA1103" s="15"/>
      <c r="OEB1103" s="15"/>
      <c r="OEE1103" s="15"/>
      <c r="OEF1103" s="15"/>
      <c r="OEI1103" s="15"/>
      <c r="OEJ1103" s="15"/>
      <c r="OEM1103" s="15"/>
      <c r="OEN1103" s="15"/>
      <c r="OEQ1103" s="15"/>
      <c r="OER1103" s="15"/>
      <c r="OEU1103" s="15"/>
      <c r="OEV1103" s="15"/>
      <c r="OEY1103" s="15"/>
      <c r="OEZ1103" s="15"/>
      <c r="OFC1103" s="15"/>
      <c r="OFD1103" s="15"/>
      <c r="OFG1103" s="15"/>
      <c r="OFH1103" s="15"/>
      <c r="OFK1103" s="15"/>
      <c r="OFL1103" s="15"/>
      <c r="OFO1103" s="15"/>
      <c r="OFP1103" s="15"/>
      <c r="OFS1103" s="15"/>
      <c r="OFT1103" s="15"/>
      <c r="OFW1103" s="15"/>
      <c r="OFX1103" s="15"/>
      <c r="OGA1103" s="15"/>
      <c r="OGB1103" s="15"/>
      <c r="OGE1103" s="15"/>
      <c r="OGF1103" s="15"/>
      <c r="OGI1103" s="15"/>
      <c r="OGJ1103" s="15"/>
      <c r="OGM1103" s="15"/>
      <c r="OGN1103" s="15"/>
      <c r="OGQ1103" s="15"/>
      <c r="OGR1103" s="15"/>
      <c r="OGU1103" s="15"/>
      <c r="OGV1103" s="15"/>
      <c r="OGY1103" s="15"/>
      <c r="OGZ1103" s="15"/>
      <c r="OHC1103" s="15"/>
      <c r="OHD1103" s="15"/>
      <c r="OHG1103" s="15"/>
      <c r="OHH1103" s="15"/>
      <c r="OHK1103" s="15"/>
      <c r="OHL1103" s="15"/>
      <c r="OHO1103" s="15"/>
      <c r="OHP1103" s="15"/>
      <c r="OHS1103" s="15"/>
      <c r="OHT1103" s="15"/>
      <c r="OHW1103" s="15"/>
      <c r="OHX1103" s="15"/>
      <c r="OIA1103" s="15"/>
      <c r="OIB1103" s="15"/>
      <c r="OIE1103" s="15"/>
      <c r="OIF1103" s="15"/>
      <c r="OII1103" s="15"/>
      <c r="OIJ1103" s="15"/>
      <c r="OIM1103" s="15"/>
      <c r="OIN1103" s="15"/>
      <c r="OIQ1103" s="15"/>
      <c r="OIR1103" s="15"/>
      <c r="OIU1103" s="15"/>
      <c r="OIV1103" s="15"/>
      <c r="OIY1103" s="15"/>
      <c r="OIZ1103" s="15"/>
      <c r="OJC1103" s="15"/>
      <c r="OJD1103" s="15"/>
      <c r="OJG1103" s="15"/>
      <c r="OJH1103" s="15"/>
      <c r="OJK1103" s="15"/>
      <c r="OJL1103" s="15"/>
      <c r="OJO1103" s="15"/>
      <c r="OJP1103" s="15"/>
      <c r="OJS1103" s="15"/>
      <c r="OJT1103" s="15"/>
      <c r="OJW1103" s="15"/>
      <c r="OJX1103" s="15"/>
      <c r="OKA1103" s="15"/>
      <c r="OKB1103" s="15"/>
      <c r="OKE1103" s="15"/>
      <c r="OKF1103" s="15"/>
      <c r="OKI1103" s="15"/>
      <c r="OKJ1103" s="15"/>
      <c r="OKM1103" s="15"/>
      <c r="OKN1103" s="15"/>
      <c r="OKQ1103" s="15"/>
      <c r="OKR1103" s="15"/>
      <c r="OKU1103" s="15"/>
      <c r="OKV1103" s="15"/>
      <c r="OKY1103" s="15"/>
      <c r="OKZ1103" s="15"/>
      <c r="OLC1103" s="15"/>
      <c r="OLD1103" s="15"/>
      <c r="OLG1103" s="15"/>
      <c r="OLH1103" s="15"/>
      <c r="OLK1103" s="15"/>
      <c r="OLL1103" s="15"/>
      <c r="OLO1103" s="15"/>
      <c r="OLP1103" s="15"/>
      <c r="OLS1103" s="15"/>
      <c r="OLT1103" s="15"/>
      <c r="OLW1103" s="15"/>
      <c r="OLX1103" s="15"/>
      <c r="OMA1103" s="15"/>
      <c r="OMB1103" s="15"/>
      <c r="OME1103" s="15"/>
      <c r="OMF1103" s="15"/>
      <c r="OMI1103" s="15"/>
      <c r="OMJ1103" s="15"/>
      <c r="OMM1103" s="15"/>
      <c r="OMN1103" s="15"/>
      <c r="OMQ1103" s="15"/>
      <c r="OMR1103" s="15"/>
      <c r="OMU1103" s="15"/>
      <c r="OMV1103" s="15"/>
      <c r="OMY1103" s="15"/>
      <c r="OMZ1103" s="15"/>
      <c r="ONC1103" s="15"/>
      <c r="OND1103" s="15"/>
      <c r="ONG1103" s="15"/>
      <c r="ONH1103" s="15"/>
      <c r="ONK1103" s="15"/>
      <c r="ONL1103" s="15"/>
      <c r="ONO1103" s="15"/>
      <c r="ONP1103" s="15"/>
      <c r="ONS1103" s="15"/>
      <c r="ONT1103" s="15"/>
      <c r="ONW1103" s="15"/>
      <c r="ONX1103" s="15"/>
      <c r="OOA1103" s="15"/>
      <c r="OOB1103" s="15"/>
      <c r="OOE1103" s="15"/>
      <c r="OOF1103" s="15"/>
      <c r="OOI1103" s="15"/>
      <c r="OOJ1103" s="15"/>
      <c r="OOM1103" s="15"/>
      <c r="OON1103" s="15"/>
      <c r="OOQ1103" s="15"/>
      <c r="OOR1103" s="15"/>
      <c r="OOU1103" s="15"/>
      <c r="OOV1103" s="15"/>
      <c r="OOY1103" s="15"/>
      <c r="OOZ1103" s="15"/>
      <c r="OPC1103" s="15"/>
      <c r="OPD1103" s="15"/>
      <c r="OPG1103" s="15"/>
      <c r="OPH1103" s="15"/>
      <c r="OPK1103" s="15"/>
      <c r="OPL1103" s="15"/>
      <c r="OPO1103" s="15"/>
      <c r="OPP1103" s="15"/>
      <c r="OPS1103" s="15"/>
      <c r="OPT1103" s="15"/>
      <c r="OPW1103" s="15"/>
      <c r="OPX1103" s="15"/>
      <c r="OQA1103" s="15"/>
      <c r="OQB1103" s="15"/>
      <c r="OQE1103" s="15"/>
      <c r="OQF1103" s="15"/>
      <c r="OQI1103" s="15"/>
      <c r="OQJ1103" s="15"/>
      <c r="OQM1103" s="15"/>
      <c r="OQN1103" s="15"/>
      <c r="OQQ1103" s="15"/>
      <c r="OQR1103" s="15"/>
      <c r="OQU1103" s="15"/>
      <c r="OQV1103" s="15"/>
      <c r="OQY1103" s="15"/>
      <c r="OQZ1103" s="15"/>
      <c r="ORC1103" s="15"/>
      <c r="ORD1103" s="15"/>
      <c r="ORG1103" s="15"/>
      <c r="ORH1103" s="15"/>
      <c r="ORK1103" s="15"/>
      <c r="ORL1103" s="15"/>
      <c r="ORO1103" s="15"/>
      <c r="ORP1103" s="15"/>
      <c r="ORS1103" s="15"/>
      <c r="ORT1103" s="15"/>
      <c r="ORW1103" s="15"/>
      <c r="ORX1103" s="15"/>
      <c r="OSA1103" s="15"/>
      <c r="OSB1103" s="15"/>
      <c r="OSE1103" s="15"/>
      <c r="OSF1103" s="15"/>
      <c r="OSI1103" s="15"/>
      <c r="OSJ1103" s="15"/>
      <c r="OSM1103" s="15"/>
      <c r="OSN1103" s="15"/>
      <c r="OSQ1103" s="15"/>
      <c r="OSR1103" s="15"/>
      <c r="OSU1103" s="15"/>
      <c r="OSV1103" s="15"/>
      <c r="OSY1103" s="15"/>
      <c r="OSZ1103" s="15"/>
      <c r="OTC1103" s="15"/>
      <c r="OTD1103" s="15"/>
      <c r="OTG1103" s="15"/>
      <c r="OTH1103" s="15"/>
      <c r="OTK1103" s="15"/>
      <c r="OTL1103" s="15"/>
      <c r="OTO1103" s="15"/>
      <c r="OTP1103" s="15"/>
      <c r="OTS1103" s="15"/>
      <c r="OTT1103" s="15"/>
      <c r="OTW1103" s="15"/>
      <c r="OTX1103" s="15"/>
      <c r="OUA1103" s="15"/>
      <c r="OUB1103" s="15"/>
      <c r="OUE1103" s="15"/>
      <c r="OUF1103" s="15"/>
      <c r="OUI1103" s="15"/>
      <c r="OUJ1103" s="15"/>
      <c r="OUM1103" s="15"/>
      <c r="OUN1103" s="15"/>
      <c r="OUQ1103" s="15"/>
      <c r="OUR1103" s="15"/>
      <c r="OUU1103" s="15"/>
      <c r="OUV1103" s="15"/>
      <c r="OUY1103" s="15"/>
      <c r="OUZ1103" s="15"/>
      <c r="OVC1103" s="15"/>
      <c r="OVD1103" s="15"/>
      <c r="OVG1103" s="15"/>
      <c r="OVH1103" s="15"/>
      <c r="OVK1103" s="15"/>
      <c r="OVL1103" s="15"/>
      <c r="OVO1103" s="15"/>
      <c r="OVP1103" s="15"/>
      <c r="OVS1103" s="15"/>
      <c r="OVT1103" s="15"/>
      <c r="OVW1103" s="15"/>
      <c r="OVX1103" s="15"/>
      <c r="OWA1103" s="15"/>
      <c r="OWB1103" s="15"/>
      <c r="OWE1103" s="15"/>
      <c r="OWF1103" s="15"/>
      <c r="OWI1103" s="15"/>
      <c r="OWJ1103" s="15"/>
      <c r="OWM1103" s="15"/>
      <c r="OWN1103" s="15"/>
      <c r="OWQ1103" s="15"/>
      <c r="OWR1103" s="15"/>
      <c r="OWU1103" s="15"/>
      <c r="OWV1103" s="15"/>
      <c r="OWY1103" s="15"/>
      <c r="OWZ1103" s="15"/>
      <c r="OXC1103" s="15"/>
      <c r="OXD1103" s="15"/>
      <c r="OXG1103" s="15"/>
      <c r="OXH1103" s="15"/>
      <c r="OXK1103" s="15"/>
      <c r="OXL1103" s="15"/>
      <c r="OXO1103" s="15"/>
      <c r="OXP1103" s="15"/>
      <c r="OXS1103" s="15"/>
      <c r="OXT1103" s="15"/>
      <c r="OXW1103" s="15"/>
      <c r="OXX1103" s="15"/>
      <c r="OYA1103" s="15"/>
      <c r="OYB1103" s="15"/>
      <c r="OYE1103" s="15"/>
      <c r="OYF1103" s="15"/>
      <c r="OYI1103" s="15"/>
      <c r="OYJ1103" s="15"/>
      <c r="OYM1103" s="15"/>
      <c r="OYN1103" s="15"/>
      <c r="OYQ1103" s="15"/>
      <c r="OYR1103" s="15"/>
      <c r="OYU1103" s="15"/>
      <c r="OYV1103" s="15"/>
      <c r="OYY1103" s="15"/>
      <c r="OYZ1103" s="15"/>
      <c r="OZC1103" s="15"/>
      <c r="OZD1103" s="15"/>
      <c r="OZG1103" s="15"/>
      <c r="OZH1103" s="15"/>
      <c r="OZK1103" s="15"/>
      <c r="OZL1103" s="15"/>
      <c r="OZO1103" s="15"/>
      <c r="OZP1103" s="15"/>
      <c r="OZS1103" s="15"/>
      <c r="OZT1103" s="15"/>
      <c r="OZW1103" s="15"/>
      <c r="OZX1103" s="15"/>
      <c r="PAA1103" s="15"/>
      <c r="PAB1103" s="15"/>
      <c r="PAE1103" s="15"/>
      <c r="PAF1103" s="15"/>
      <c r="PAI1103" s="15"/>
      <c r="PAJ1103" s="15"/>
      <c r="PAM1103" s="15"/>
      <c r="PAN1103" s="15"/>
      <c r="PAQ1103" s="15"/>
      <c r="PAR1103" s="15"/>
      <c r="PAU1103" s="15"/>
      <c r="PAV1103" s="15"/>
      <c r="PAY1103" s="15"/>
      <c r="PAZ1103" s="15"/>
      <c r="PBC1103" s="15"/>
      <c r="PBD1103" s="15"/>
      <c r="PBG1103" s="15"/>
      <c r="PBH1103" s="15"/>
      <c r="PBK1103" s="15"/>
      <c r="PBL1103" s="15"/>
      <c r="PBO1103" s="15"/>
      <c r="PBP1103" s="15"/>
      <c r="PBS1103" s="15"/>
      <c r="PBT1103" s="15"/>
      <c r="PBW1103" s="15"/>
      <c r="PBX1103" s="15"/>
      <c r="PCA1103" s="15"/>
      <c r="PCB1103" s="15"/>
      <c r="PCE1103" s="15"/>
      <c r="PCF1103" s="15"/>
      <c r="PCI1103" s="15"/>
      <c r="PCJ1103" s="15"/>
      <c r="PCM1103" s="15"/>
      <c r="PCN1103" s="15"/>
      <c r="PCQ1103" s="15"/>
      <c r="PCR1103" s="15"/>
      <c r="PCU1103" s="15"/>
      <c r="PCV1103" s="15"/>
      <c r="PCY1103" s="15"/>
      <c r="PCZ1103" s="15"/>
      <c r="PDC1103" s="15"/>
      <c r="PDD1103" s="15"/>
      <c r="PDG1103" s="15"/>
      <c r="PDH1103" s="15"/>
      <c r="PDK1103" s="15"/>
      <c r="PDL1103" s="15"/>
      <c r="PDO1103" s="15"/>
      <c r="PDP1103" s="15"/>
      <c r="PDS1103" s="15"/>
      <c r="PDT1103" s="15"/>
      <c r="PDW1103" s="15"/>
      <c r="PDX1103" s="15"/>
      <c r="PEA1103" s="15"/>
      <c r="PEB1103" s="15"/>
      <c r="PEE1103" s="15"/>
      <c r="PEF1103" s="15"/>
      <c r="PEI1103" s="15"/>
      <c r="PEJ1103" s="15"/>
      <c r="PEM1103" s="15"/>
      <c r="PEN1103" s="15"/>
      <c r="PEQ1103" s="15"/>
      <c r="PER1103" s="15"/>
      <c r="PEU1103" s="15"/>
      <c r="PEV1103" s="15"/>
      <c r="PEY1103" s="15"/>
      <c r="PEZ1103" s="15"/>
      <c r="PFC1103" s="15"/>
      <c r="PFD1103" s="15"/>
      <c r="PFG1103" s="15"/>
      <c r="PFH1103" s="15"/>
      <c r="PFK1103" s="15"/>
      <c r="PFL1103" s="15"/>
      <c r="PFO1103" s="15"/>
      <c r="PFP1103" s="15"/>
      <c r="PFS1103" s="15"/>
      <c r="PFT1103" s="15"/>
      <c r="PFW1103" s="15"/>
      <c r="PFX1103" s="15"/>
      <c r="PGA1103" s="15"/>
      <c r="PGB1103" s="15"/>
      <c r="PGE1103" s="15"/>
      <c r="PGF1103" s="15"/>
      <c r="PGI1103" s="15"/>
      <c r="PGJ1103" s="15"/>
      <c r="PGM1103" s="15"/>
      <c r="PGN1103" s="15"/>
      <c r="PGQ1103" s="15"/>
      <c r="PGR1103" s="15"/>
      <c r="PGU1103" s="15"/>
      <c r="PGV1103" s="15"/>
      <c r="PGY1103" s="15"/>
      <c r="PGZ1103" s="15"/>
      <c r="PHC1103" s="15"/>
      <c r="PHD1103" s="15"/>
      <c r="PHG1103" s="15"/>
      <c r="PHH1103" s="15"/>
      <c r="PHK1103" s="15"/>
      <c r="PHL1103" s="15"/>
      <c r="PHO1103" s="15"/>
      <c r="PHP1103" s="15"/>
      <c r="PHS1103" s="15"/>
      <c r="PHT1103" s="15"/>
      <c r="PHW1103" s="15"/>
      <c r="PHX1103" s="15"/>
      <c r="PIA1103" s="15"/>
      <c r="PIB1103" s="15"/>
      <c r="PIE1103" s="15"/>
      <c r="PIF1103" s="15"/>
      <c r="PII1103" s="15"/>
      <c r="PIJ1103" s="15"/>
      <c r="PIM1103" s="15"/>
      <c r="PIN1103" s="15"/>
      <c r="PIQ1103" s="15"/>
      <c r="PIR1103" s="15"/>
      <c r="PIU1103" s="15"/>
      <c r="PIV1103" s="15"/>
      <c r="PIY1103" s="15"/>
      <c r="PIZ1103" s="15"/>
      <c r="PJC1103" s="15"/>
      <c r="PJD1103" s="15"/>
      <c r="PJG1103" s="15"/>
      <c r="PJH1103" s="15"/>
      <c r="PJK1103" s="15"/>
      <c r="PJL1103" s="15"/>
      <c r="PJO1103" s="15"/>
      <c r="PJP1103" s="15"/>
      <c r="PJS1103" s="15"/>
      <c r="PJT1103" s="15"/>
      <c r="PJW1103" s="15"/>
      <c r="PJX1103" s="15"/>
      <c r="PKA1103" s="15"/>
      <c r="PKB1103" s="15"/>
      <c r="PKE1103" s="15"/>
      <c r="PKF1103" s="15"/>
      <c r="PKI1103" s="15"/>
      <c r="PKJ1103" s="15"/>
      <c r="PKM1103" s="15"/>
      <c r="PKN1103" s="15"/>
      <c r="PKQ1103" s="15"/>
      <c r="PKR1103" s="15"/>
      <c r="PKU1103" s="15"/>
      <c r="PKV1103" s="15"/>
      <c r="PKY1103" s="15"/>
      <c r="PKZ1103" s="15"/>
      <c r="PLC1103" s="15"/>
      <c r="PLD1103" s="15"/>
      <c r="PLG1103" s="15"/>
      <c r="PLH1103" s="15"/>
      <c r="PLK1103" s="15"/>
      <c r="PLL1103" s="15"/>
      <c r="PLO1103" s="15"/>
      <c r="PLP1103" s="15"/>
      <c r="PLS1103" s="15"/>
      <c r="PLT1103" s="15"/>
      <c r="PLW1103" s="15"/>
      <c r="PLX1103" s="15"/>
      <c r="PMA1103" s="15"/>
      <c r="PMB1103" s="15"/>
      <c r="PME1103" s="15"/>
      <c r="PMF1103" s="15"/>
      <c r="PMI1103" s="15"/>
      <c r="PMJ1103" s="15"/>
      <c r="PMM1103" s="15"/>
      <c r="PMN1103" s="15"/>
      <c r="PMQ1103" s="15"/>
      <c r="PMR1103" s="15"/>
      <c r="PMU1103" s="15"/>
      <c r="PMV1103" s="15"/>
      <c r="PMY1103" s="15"/>
      <c r="PMZ1103" s="15"/>
      <c r="PNC1103" s="15"/>
      <c r="PND1103" s="15"/>
      <c r="PNG1103" s="15"/>
      <c r="PNH1103" s="15"/>
      <c r="PNK1103" s="15"/>
      <c r="PNL1103" s="15"/>
      <c r="PNO1103" s="15"/>
      <c r="PNP1103" s="15"/>
      <c r="PNS1103" s="15"/>
      <c r="PNT1103" s="15"/>
      <c r="PNW1103" s="15"/>
      <c r="PNX1103" s="15"/>
      <c r="POA1103" s="15"/>
      <c r="POB1103" s="15"/>
      <c r="POE1103" s="15"/>
      <c r="POF1103" s="15"/>
      <c r="POI1103" s="15"/>
      <c r="POJ1103" s="15"/>
      <c r="POM1103" s="15"/>
      <c r="PON1103" s="15"/>
      <c r="POQ1103" s="15"/>
      <c r="POR1103" s="15"/>
      <c r="POU1103" s="15"/>
      <c r="POV1103" s="15"/>
      <c r="POY1103" s="15"/>
      <c r="POZ1103" s="15"/>
      <c r="PPC1103" s="15"/>
      <c r="PPD1103" s="15"/>
      <c r="PPG1103" s="15"/>
      <c r="PPH1103" s="15"/>
      <c r="PPK1103" s="15"/>
      <c r="PPL1103" s="15"/>
      <c r="PPO1103" s="15"/>
      <c r="PPP1103" s="15"/>
      <c r="PPS1103" s="15"/>
      <c r="PPT1103" s="15"/>
      <c r="PPW1103" s="15"/>
      <c r="PPX1103" s="15"/>
      <c r="PQA1103" s="15"/>
      <c r="PQB1103" s="15"/>
      <c r="PQE1103" s="15"/>
      <c r="PQF1103" s="15"/>
      <c r="PQI1103" s="15"/>
      <c r="PQJ1103" s="15"/>
      <c r="PQM1103" s="15"/>
      <c r="PQN1103" s="15"/>
      <c r="PQQ1103" s="15"/>
      <c r="PQR1103" s="15"/>
      <c r="PQU1103" s="15"/>
      <c r="PQV1103" s="15"/>
      <c r="PQY1103" s="15"/>
      <c r="PQZ1103" s="15"/>
      <c r="PRC1103" s="15"/>
      <c r="PRD1103" s="15"/>
      <c r="PRG1103" s="15"/>
      <c r="PRH1103" s="15"/>
      <c r="PRK1103" s="15"/>
      <c r="PRL1103" s="15"/>
      <c r="PRO1103" s="15"/>
      <c r="PRP1103" s="15"/>
      <c r="PRS1103" s="15"/>
      <c r="PRT1103" s="15"/>
      <c r="PRW1103" s="15"/>
      <c r="PRX1103" s="15"/>
      <c r="PSA1103" s="15"/>
      <c r="PSB1103" s="15"/>
      <c r="PSE1103" s="15"/>
      <c r="PSF1103" s="15"/>
      <c r="PSI1103" s="15"/>
      <c r="PSJ1103" s="15"/>
      <c r="PSM1103" s="15"/>
      <c r="PSN1103" s="15"/>
      <c r="PSQ1103" s="15"/>
      <c r="PSR1103" s="15"/>
      <c r="PSU1103" s="15"/>
      <c r="PSV1103" s="15"/>
      <c r="PSY1103" s="15"/>
      <c r="PSZ1103" s="15"/>
      <c r="PTC1103" s="15"/>
      <c r="PTD1103" s="15"/>
      <c r="PTG1103" s="15"/>
      <c r="PTH1103" s="15"/>
      <c r="PTK1103" s="15"/>
      <c r="PTL1103" s="15"/>
      <c r="PTO1103" s="15"/>
      <c r="PTP1103" s="15"/>
      <c r="PTS1103" s="15"/>
      <c r="PTT1103" s="15"/>
      <c r="PTW1103" s="15"/>
      <c r="PTX1103" s="15"/>
      <c r="PUA1103" s="15"/>
      <c r="PUB1103" s="15"/>
      <c r="PUE1103" s="15"/>
      <c r="PUF1103" s="15"/>
      <c r="PUI1103" s="15"/>
      <c r="PUJ1103" s="15"/>
      <c r="PUM1103" s="15"/>
      <c r="PUN1103" s="15"/>
      <c r="PUQ1103" s="15"/>
      <c r="PUR1103" s="15"/>
      <c r="PUU1103" s="15"/>
      <c r="PUV1103" s="15"/>
      <c r="PUY1103" s="15"/>
      <c r="PUZ1103" s="15"/>
      <c r="PVC1103" s="15"/>
      <c r="PVD1103" s="15"/>
      <c r="PVG1103" s="15"/>
      <c r="PVH1103" s="15"/>
      <c r="PVK1103" s="15"/>
      <c r="PVL1103" s="15"/>
      <c r="PVO1103" s="15"/>
      <c r="PVP1103" s="15"/>
      <c r="PVS1103" s="15"/>
      <c r="PVT1103" s="15"/>
      <c r="PVW1103" s="15"/>
      <c r="PVX1103" s="15"/>
      <c r="PWA1103" s="15"/>
      <c r="PWB1103" s="15"/>
      <c r="PWE1103" s="15"/>
      <c r="PWF1103" s="15"/>
      <c r="PWI1103" s="15"/>
      <c r="PWJ1103" s="15"/>
      <c r="PWM1103" s="15"/>
      <c r="PWN1103" s="15"/>
      <c r="PWQ1103" s="15"/>
      <c r="PWR1103" s="15"/>
      <c r="PWU1103" s="15"/>
      <c r="PWV1103" s="15"/>
      <c r="PWY1103" s="15"/>
      <c r="PWZ1103" s="15"/>
      <c r="PXC1103" s="15"/>
      <c r="PXD1103" s="15"/>
      <c r="PXG1103" s="15"/>
      <c r="PXH1103" s="15"/>
      <c r="PXK1103" s="15"/>
      <c r="PXL1103" s="15"/>
      <c r="PXO1103" s="15"/>
      <c r="PXP1103" s="15"/>
      <c r="PXS1103" s="15"/>
      <c r="PXT1103" s="15"/>
      <c r="PXW1103" s="15"/>
      <c r="PXX1103" s="15"/>
      <c r="PYA1103" s="15"/>
      <c r="PYB1103" s="15"/>
      <c r="PYE1103" s="15"/>
      <c r="PYF1103" s="15"/>
      <c r="PYI1103" s="15"/>
      <c r="PYJ1103" s="15"/>
      <c r="PYM1103" s="15"/>
      <c r="PYN1103" s="15"/>
      <c r="PYQ1103" s="15"/>
      <c r="PYR1103" s="15"/>
      <c r="PYU1103" s="15"/>
      <c r="PYV1103" s="15"/>
      <c r="PYY1103" s="15"/>
      <c r="PYZ1103" s="15"/>
      <c r="PZC1103" s="15"/>
      <c r="PZD1103" s="15"/>
      <c r="PZG1103" s="15"/>
      <c r="PZH1103" s="15"/>
      <c r="PZK1103" s="15"/>
      <c r="PZL1103" s="15"/>
      <c r="PZO1103" s="15"/>
      <c r="PZP1103" s="15"/>
      <c r="PZS1103" s="15"/>
      <c r="PZT1103" s="15"/>
      <c r="PZW1103" s="15"/>
      <c r="PZX1103" s="15"/>
      <c r="QAA1103" s="15"/>
      <c r="QAB1103" s="15"/>
      <c r="QAE1103" s="15"/>
      <c r="QAF1103" s="15"/>
      <c r="QAI1103" s="15"/>
      <c r="QAJ1103" s="15"/>
      <c r="QAM1103" s="15"/>
      <c r="QAN1103" s="15"/>
      <c r="QAQ1103" s="15"/>
      <c r="QAR1103" s="15"/>
      <c r="QAU1103" s="15"/>
      <c r="QAV1103" s="15"/>
      <c r="QAY1103" s="15"/>
      <c r="QAZ1103" s="15"/>
      <c r="QBC1103" s="15"/>
      <c r="QBD1103" s="15"/>
      <c r="QBG1103" s="15"/>
      <c r="QBH1103" s="15"/>
      <c r="QBK1103" s="15"/>
      <c r="QBL1103" s="15"/>
      <c r="QBO1103" s="15"/>
      <c r="QBP1103" s="15"/>
      <c r="QBS1103" s="15"/>
      <c r="QBT1103" s="15"/>
      <c r="QBW1103" s="15"/>
      <c r="QBX1103" s="15"/>
      <c r="QCA1103" s="15"/>
      <c r="QCB1103" s="15"/>
      <c r="QCE1103" s="15"/>
      <c r="QCF1103" s="15"/>
      <c r="QCI1103" s="15"/>
      <c r="QCJ1103" s="15"/>
      <c r="QCM1103" s="15"/>
      <c r="QCN1103" s="15"/>
      <c r="QCQ1103" s="15"/>
      <c r="QCR1103" s="15"/>
      <c r="QCU1103" s="15"/>
      <c r="QCV1103" s="15"/>
      <c r="QCY1103" s="15"/>
      <c r="QCZ1103" s="15"/>
      <c r="QDC1103" s="15"/>
      <c r="QDD1103" s="15"/>
      <c r="QDG1103" s="15"/>
      <c r="QDH1103" s="15"/>
      <c r="QDK1103" s="15"/>
      <c r="QDL1103" s="15"/>
      <c r="QDO1103" s="15"/>
      <c r="QDP1103" s="15"/>
      <c r="QDS1103" s="15"/>
      <c r="QDT1103" s="15"/>
      <c r="QDW1103" s="15"/>
      <c r="QDX1103" s="15"/>
      <c r="QEA1103" s="15"/>
      <c r="QEB1103" s="15"/>
      <c r="QEE1103" s="15"/>
      <c r="QEF1103" s="15"/>
      <c r="QEI1103" s="15"/>
      <c r="QEJ1103" s="15"/>
      <c r="QEM1103" s="15"/>
      <c r="QEN1103" s="15"/>
      <c r="QEQ1103" s="15"/>
      <c r="QER1103" s="15"/>
      <c r="QEU1103" s="15"/>
      <c r="QEV1103" s="15"/>
      <c r="QEY1103" s="15"/>
      <c r="QEZ1103" s="15"/>
      <c r="QFC1103" s="15"/>
      <c r="QFD1103" s="15"/>
      <c r="QFG1103" s="15"/>
      <c r="QFH1103" s="15"/>
      <c r="QFK1103" s="15"/>
      <c r="QFL1103" s="15"/>
      <c r="QFO1103" s="15"/>
      <c r="QFP1103" s="15"/>
      <c r="QFS1103" s="15"/>
      <c r="QFT1103" s="15"/>
      <c r="QFW1103" s="15"/>
      <c r="QFX1103" s="15"/>
      <c r="QGA1103" s="15"/>
      <c r="QGB1103" s="15"/>
      <c r="QGE1103" s="15"/>
      <c r="QGF1103" s="15"/>
      <c r="QGI1103" s="15"/>
      <c r="QGJ1103" s="15"/>
      <c r="QGM1103" s="15"/>
      <c r="QGN1103" s="15"/>
      <c r="QGQ1103" s="15"/>
      <c r="QGR1103" s="15"/>
      <c r="QGU1103" s="15"/>
      <c r="QGV1103" s="15"/>
      <c r="QGY1103" s="15"/>
      <c r="QGZ1103" s="15"/>
      <c r="QHC1103" s="15"/>
      <c r="QHD1103" s="15"/>
      <c r="QHG1103" s="15"/>
      <c r="QHH1103" s="15"/>
      <c r="QHK1103" s="15"/>
      <c r="QHL1103" s="15"/>
      <c r="QHO1103" s="15"/>
      <c r="QHP1103" s="15"/>
      <c r="QHS1103" s="15"/>
      <c r="QHT1103" s="15"/>
      <c r="QHW1103" s="15"/>
      <c r="QHX1103" s="15"/>
      <c r="QIA1103" s="15"/>
      <c r="QIB1103" s="15"/>
      <c r="QIE1103" s="15"/>
      <c r="QIF1103" s="15"/>
      <c r="QII1103" s="15"/>
      <c r="QIJ1103" s="15"/>
      <c r="QIM1103" s="15"/>
      <c r="QIN1103" s="15"/>
      <c r="QIQ1103" s="15"/>
      <c r="QIR1103" s="15"/>
      <c r="QIU1103" s="15"/>
      <c r="QIV1103" s="15"/>
      <c r="QIY1103" s="15"/>
      <c r="QIZ1103" s="15"/>
      <c r="QJC1103" s="15"/>
      <c r="QJD1103" s="15"/>
      <c r="QJG1103" s="15"/>
      <c r="QJH1103" s="15"/>
      <c r="QJK1103" s="15"/>
      <c r="QJL1103" s="15"/>
      <c r="QJO1103" s="15"/>
      <c r="QJP1103" s="15"/>
      <c r="QJS1103" s="15"/>
      <c r="QJT1103" s="15"/>
      <c r="QJW1103" s="15"/>
      <c r="QJX1103" s="15"/>
      <c r="QKA1103" s="15"/>
      <c r="QKB1103" s="15"/>
      <c r="QKE1103" s="15"/>
      <c r="QKF1103" s="15"/>
      <c r="QKI1103" s="15"/>
      <c r="QKJ1103" s="15"/>
      <c r="QKM1103" s="15"/>
      <c r="QKN1103" s="15"/>
      <c r="QKQ1103" s="15"/>
      <c r="QKR1103" s="15"/>
      <c r="QKU1103" s="15"/>
      <c r="QKV1103" s="15"/>
      <c r="QKY1103" s="15"/>
      <c r="QKZ1103" s="15"/>
      <c r="QLC1103" s="15"/>
      <c r="QLD1103" s="15"/>
      <c r="QLG1103" s="15"/>
      <c r="QLH1103" s="15"/>
      <c r="QLK1103" s="15"/>
      <c r="QLL1103" s="15"/>
      <c r="QLO1103" s="15"/>
      <c r="QLP1103" s="15"/>
      <c r="QLS1103" s="15"/>
      <c r="QLT1103" s="15"/>
      <c r="QLW1103" s="15"/>
      <c r="QLX1103" s="15"/>
      <c r="QMA1103" s="15"/>
      <c r="QMB1103" s="15"/>
      <c r="QME1103" s="15"/>
      <c r="QMF1103" s="15"/>
      <c r="QMI1103" s="15"/>
      <c r="QMJ1103" s="15"/>
      <c r="QMM1103" s="15"/>
      <c r="QMN1103" s="15"/>
      <c r="QMQ1103" s="15"/>
      <c r="QMR1103" s="15"/>
      <c r="QMU1103" s="15"/>
      <c r="QMV1103" s="15"/>
      <c r="QMY1103" s="15"/>
      <c r="QMZ1103" s="15"/>
      <c r="QNC1103" s="15"/>
      <c r="QND1103" s="15"/>
      <c r="QNG1103" s="15"/>
      <c r="QNH1103" s="15"/>
      <c r="QNK1103" s="15"/>
      <c r="QNL1103" s="15"/>
      <c r="QNO1103" s="15"/>
      <c r="QNP1103" s="15"/>
      <c r="QNS1103" s="15"/>
      <c r="QNT1103" s="15"/>
      <c r="QNW1103" s="15"/>
      <c r="QNX1103" s="15"/>
      <c r="QOA1103" s="15"/>
      <c r="QOB1103" s="15"/>
      <c r="QOE1103" s="15"/>
      <c r="QOF1103" s="15"/>
      <c r="QOI1103" s="15"/>
      <c r="QOJ1103" s="15"/>
      <c r="QOM1103" s="15"/>
      <c r="QON1103" s="15"/>
      <c r="QOQ1103" s="15"/>
      <c r="QOR1103" s="15"/>
      <c r="QOU1103" s="15"/>
      <c r="QOV1103" s="15"/>
      <c r="QOY1103" s="15"/>
      <c r="QOZ1103" s="15"/>
      <c r="QPC1103" s="15"/>
      <c r="QPD1103" s="15"/>
      <c r="QPG1103" s="15"/>
      <c r="QPH1103" s="15"/>
      <c r="QPK1103" s="15"/>
      <c r="QPL1103" s="15"/>
      <c r="QPO1103" s="15"/>
      <c r="QPP1103" s="15"/>
      <c r="QPS1103" s="15"/>
      <c r="QPT1103" s="15"/>
      <c r="QPW1103" s="15"/>
      <c r="QPX1103" s="15"/>
      <c r="QQA1103" s="15"/>
      <c r="QQB1103" s="15"/>
      <c r="QQE1103" s="15"/>
      <c r="QQF1103" s="15"/>
      <c r="QQI1103" s="15"/>
      <c r="QQJ1103" s="15"/>
      <c r="QQM1103" s="15"/>
      <c r="QQN1103" s="15"/>
      <c r="QQQ1103" s="15"/>
      <c r="QQR1103" s="15"/>
      <c r="QQU1103" s="15"/>
      <c r="QQV1103" s="15"/>
      <c r="QQY1103" s="15"/>
      <c r="QQZ1103" s="15"/>
      <c r="QRC1103" s="15"/>
      <c r="QRD1103" s="15"/>
      <c r="QRG1103" s="15"/>
      <c r="QRH1103" s="15"/>
      <c r="QRK1103" s="15"/>
      <c r="QRL1103" s="15"/>
      <c r="QRO1103" s="15"/>
      <c r="QRP1103" s="15"/>
      <c r="QRS1103" s="15"/>
      <c r="QRT1103" s="15"/>
      <c r="QRW1103" s="15"/>
      <c r="QRX1103" s="15"/>
      <c r="QSA1103" s="15"/>
      <c r="QSB1103" s="15"/>
      <c r="QSE1103" s="15"/>
      <c r="QSF1103" s="15"/>
      <c r="QSI1103" s="15"/>
      <c r="QSJ1103" s="15"/>
      <c r="QSM1103" s="15"/>
      <c r="QSN1103" s="15"/>
      <c r="QSQ1103" s="15"/>
      <c r="QSR1103" s="15"/>
      <c r="QSU1103" s="15"/>
      <c r="QSV1103" s="15"/>
      <c r="QSY1103" s="15"/>
      <c r="QSZ1103" s="15"/>
      <c r="QTC1103" s="15"/>
      <c r="QTD1103" s="15"/>
      <c r="QTG1103" s="15"/>
      <c r="QTH1103" s="15"/>
      <c r="QTK1103" s="15"/>
      <c r="QTL1103" s="15"/>
      <c r="QTO1103" s="15"/>
      <c r="QTP1103" s="15"/>
      <c r="QTS1103" s="15"/>
      <c r="QTT1103" s="15"/>
      <c r="QTW1103" s="15"/>
      <c r="QTX1103" s="15"/>
      <c r="QUA1103" s="15"/>
      <c r="QUB1103" s="15"/>
      <c r="QUE1103" s="15"/>
      <c r="QUF1103" s="15"/>
      <c r="QUI1103" s="15"/>
      <c r="QUJ1103" s="15"/>
      <c r="QUM1103" s="15"/>
      <c r="QUN1103" s="15"/>
      <c r="QUQ1103" s="15"/>
      <c r="QUR1103" s="15"/>
      <c r="QUU1103" s="15"/>
      <c r="QUV1103" s="15"/>
      <c r="QUY1103" s="15"/>
      <c r="QUZ1103" s="15"/>
      <c r="QVC1103" s="15"/>
      <c r="QVD1103" s="15"/>
      <c r="QVG1103" s="15"/>
      <c r="QVH1103" s="15"/>
      <c r="QVK1103" s="15"/>
      <c r="QVL1103" s="15"/>
      <c r="QVO1103" s="15"/>
      <c r="QVP1103" s="15"/>
      <c r="QVS1103" s="15"/>
      <c r="QVT1103" s="15"/>
      <c r="QVW1103" s="15"/>
      <c r="QVX1103" s="15"/>
      <c r="QWA1103" s="15"/>
      <c r="QWB1103" s="15"/>
      <c r="QWE1103" s="15"/>
      <c r="QWF1103" s="15"/>
      <c r="QWI1103" s="15"/>
      <c r="QWJ1103" s="15"/>
      <c r="QWM1103" s="15"/>
      <c r="QWN1103" s="15"/>
      <c r="QWQ1103" s="15"/>
      <c r="QWR1103" s="15"/>
      <c r="QWU1103" s="15"/>
      <c r="QWV1103" s="15"/>
      <c r="QWY1103" s="15"/>
      <c r="QWZ1103" s="15"/>
      <c r="QXC1103" s="15"/>
      <c r="QXD1103" s="15"/>
      <c r="QXG1103" s="15"/>
      <c r="QXH1103" s="15"/>
      <c r="QXK1103" s="15"/>
      <c r="QXL1103" s="15"/>
      <c r="QXO1103" s="15"/>
      <c r="QXP1103" s="15"/>
      <c r="QXS1103" s="15"/>
      <c r="QXT1103" s="15"/>
      <c r="QXW1103" s="15"/>
      <c r="QXX1103" s="15"/>
      <c r="QYA1103" s="15"/>
      <c r="QYB1103" s="15"/>
      <c r="QYE1103" s="15"/>
      <c r="QYF1103" s="15"/>
      <c r="QYI1103" s="15"/>
      <c r="QYJ1103" s="15"/>
      <c r="QYM1103" s="15"/>
      <c r="QYN1103" s="15"/>
      <c r="QYQ1103" s="15"/>
      <c r="QYR1103" s="15"/>
      <c r="QYU1103" s="15"/>
      <c r="QYV1103" s="15"/>
      <c r="QYY1103" s="15"/>
      <c r="QYZ1103" s="15"/>
      <c r="QZC1103" s="15"/>
      <c r="QZD1103" s="15"/>
      <c r="QZG1103" s="15"/>
      <c r="QZH1103" s="15"/>
      <c r="QZK1103" s="15"/>
      <c r="QZL1103" s="15"/>
      <c r="QZO1103" s="15"/>
      <c r="QZP1103" s="15"/>
      <c r="QZS1103" s="15"/>
      <c r="QZT1103" s="15"/>
      <c r="QZW1103" s="15"/>
      <c r="QZX1103" s="15"/>
      <c r="RAA1103" s="15"/>
      <c r="RAB1103" s="15"/>
      <c r="RAE1103" s="15"/>
      <c r="RAF1103" s="15"/>
      <c r="RAI1103" s="15"/>
      <c r="RAJ1103" s="15"/>
      <c r="RAM1103" s="15"/>
      <c r="RAN1103" s="15"/>
      <c r="RAQ1103" s="15"/>
      <c r="RAR1103" s="15"/>
      <c r="RAU1103" s="15"/>
      <c r="RAV1103" s="15"/>
      <c r="RAY1103" s="15"/>
      <c r="RAZ1103" s="15"/>
      <c r="RBC1103" s="15"/>
      <c r="RBD1103" s="15"/>
      <c r="RBG1103" s="15"/>
      <c r="RBH1103" s="15"/>
      <c r="RBK1103" s="15"/>
      <c r="RBL1103" s="15"/>
      <c r="RBO1103" s="15"/>
      <c r="RBP1103" s="15"/>
      <c r="RBS1103" s="15"/>
      <c r="RBT1103" s="15"/>
      <c r="RBW1103" s="15"/>
      <c r="RBX1103" s="15"/>
      <c r="RCA1103" s="15"/>
      <c r="RCB1103" s="15"/>
      <c r="RCE1103" s="15"/>
      <c r="RCF1103" s="15"/>
      <c r="RCI1103" s="15"/>
      <c r="RCJ1103" s="15"/>
      <c r="RCM1103" s="15"/>
      <c r="RCN1103" s="15"/>
      <c r="RCQ1103" s="15"/>
      <c r="RCR1103" s="15"/>
      <c r="RCU1103" s="15"/>
      <c r="RCV1103" s="15"/>
      <c r="RCY1103" s="15"/>
      <c r="RCZ1103" s="15"/>
      <c r="RDC1103" s="15"/>
      <c r="RDD1103" s="15"/>
      <c r="RDG1103" s="15"/>
      <c r="RDH1103" s="15"/>
      <c r="RDK1103" s="15"/>
      <c r="RDL1103" s="15"/>
      <c r="RDO1103" s="15"/>
      <c r="RDP1103" s="15"/>
      <c r="RDS1103" s="15"/>
      <c r="RDT1103" s="15"/>
      <c r="RDW1103" s="15"/>
      <c r="RDX1103" s="15"/>
      <c r="REA1103" s="15"/>
      <c r="REB1103" s="15"/>
      <c r="REE1103" s="15"/>
      <c r="REF1103" s="15"/>
      <c r="REI1103" s="15"/>
      <c r="REJ1103" s="15"/>
      <c r="REM1103" s="15"/>
      <c r="REN1103" s="15"/>
      <c r="REQ1103" s="15"/>
      <c r="RER1103" s="15"/>
      <c r="REU1103" s="15"/>
      <c r="REV1103" s="15"/>
      <c r="REY1103" s="15"/>
      <c r="REZ1103" s="15"/>
      <c r="RFC1103" s="15"/>
      <c r="RFD1103" s="15"/>
      <c r="RFG1103" s="15"/>
      <c r="RFH1103" s="15"/>
      <c r="RFK1103" s="15"/>
      <c r="RFL1103" s="15"/>
      <c r="RFO1103" s="15"/>
      <c r="RFP1103" s="15"/>
      <c r="RFS1103" s="15"/>
      <c r="RFT1103" s="15"/>
      <c r="RFW1103" s="15"/>
      <c r="RFX1103" s="15"/>
      <c r="RGA1103" s="15"/>
      <c r="RGB1103" s="15"/>
      <c r="RGE1103" s="15"/>
      <c r="RGF1103" s="15"/>
      <c r="RGI1103" s="15"/>
      <c r="RGJ1103" s="15"/>
      <c r="RGM1103" s="15"/>
      <c r="RGN1103" s="15"/>
      <c r="RGQ1103" s="15"/>
      <c r="RGR1103" s="15"/>
      <c r="RGU1103" s="15"/>
      <c r="RGV1103" s="15"/>
      <c r="RGY1103" s="15"/>
      <c r="RGZ1103" s="15"/>
      <c r="RHC1103" s="15"/>
      <c r="RHD1103" s="15"/>
      <c r="RHG1103" s="15"/>
      <c r="RHH1103" s="15"/>
      <c r="RHK1103" s="15"/>
      <c r="RHL1103" s="15"/>
      <c r="RHO1103" s="15"/>
      <c r="RHP1103" s="15"/>
      <c r="RHS1103" s="15"/>
      <c r="RHT1103" s="15"/>
      <c r="RHW1103" s="15"/>
      <c r="RHX1103" s="15"/>
      <c r="RIA1103" s="15"/>
      <c r="RIB1103" s="15"/>
      <c r="RIE1103" s="15"/>
      <c r="RIF1103" s="15"/>
      <c r="RII1103" s="15"/>
      <c r="RIJ1103" s="15"/>
      <c r="RIM1103" s="15"/>
      <c r="RIN1103" s="15"/>
      <c r="RIQ1103" s="15"/>
      <c r="RIR1103" s="15"/>
      <c r="RIU1103" s="15"/>
      <c r="RIV1103" s="15"/>
      <c r="RIY1103" s="15"/>
      <c r="RIZ1103" s="15"/>
      <c r="RJC1103" s="15"/>
      <c r="RJD1103" s="15"/>
      <c r="RJG1103" s="15"/>
      <c r="RJH1103" s="15"/>
      <c r="RJK1103" s="15"/>
      <c r="RJL1103" s="15"/>
      <c r="RJO1103" s="15"/>
      <c r="RJP1103" s="15"/>
      <c r="RJS1103" s="15"/>
      <c r="RJT1103" s="15"/>
      <c r="RJW1103" s="15"/>
      <c r="RJX1103" s="15"/>
      <c r="RKA1103" s="15"/>
      <c r="RKB1103" s="15"/>
      <c r="RKE1103" s="15"/>
      <c r="RKF1103" s="15"/>
      <c r="RKI1103" s="15"/>
      <c r="RKJ1103" s="15"/>
      <c r="RKM1103" s="15"/>
      <c r="RKN1103" s="15"/>
      <c r="RKQ1103" s="15"/>
      <c r="RKR1103" s="15"/>
      <c r="RKU1103" s="15"/>
      <c r="RKV1103" s="15"/>
      <c r="RKY1103" s="15"/>
      <c r="RKZ1103" s="15"/>
      <c r="RLC1103" s="15"/>
      <c r="RLD1103" s="15"/>
      <c r="RLG1103" s="15"/>
      <c r="RLH1103" s="15"/>
      <c r="RLK1103" s="15"/>
      <c r="RLL1103" s="15"/>
      <c r="RLO1103" s="15"/>
      <c r="RLP1103" s="15"/>
      <c r="RLS1103" s="15"/>
      <c r="RLT1103" s="15"/>
      <c r="RLW1103" s="15"/>
      <c r="RLX1103" s="15"/>
      <c r="RMA1103" s="15"/>
      <c r="RMB1103" s="15"/>
      <c r="RME1103" s="15"/>
      <c r="RMF1103" s="15"/>
      <c r="RMI1103" s="15"/>
      <c r="RMJ1103" s="15"/>
      <c r="RMM1103" s="15"/>
      <c r="RMN1103" s="15"/>
      <c r="RMQ1103" s="15"/>
      <c r="RMR1103" s="15"/>
      <c r="RMU1103" s="15"/>
      <c r="RMV1103" s="15"/>
      <c r="RMY1103" s="15"/>
      <c r="RMZ1103" s="15"/>
      <c r="RNC1103" s="15"/>
      <c r="RND1103" s="15"/>
      <c r="RNG1103" s="15"/>
      <c r="RNH1103" s="15"/>
      <c r="RNK1103" s="15"/>
      <c r="RNL1103" s="15"/>
      <c r="RNO1103" s="15"/>
      <c r="RNP1103" s="15"/>
      <c r="RNS1103" s="15"/>
      <c r="RNT1103" s="15"/>
      <c r="RNW1103" s="15"/>
      <c r="RNX1103" s="15"/>
      <c r="ROA1103" s="15"/>
      <c r="ROB1103" s="15"/>
      <c r="ROE1103" s="15"/>
      <c r="ROF1103" s="15"/>
      <c r="ROI1103" s="15"/>
      <c r="ROJ1103" s="15"/>
      <c r="ROM1103" s="15"/>
      <c r="RON1103" s="15"/>
      <c r="ROQ1103" s="15"/>
      <c r="ROR1103" s="15"/>
      <c r="ROU1103" s="15"/>
      <c r="ROV1103" s="15"/>
      <c r="ROY1103" s="15"/>
      <c r="ROZ1103" s="15"/>
      <c r="RPC1103" s="15"/>
      <c r="RPD1103" s="15"/>
      <c r="RPG1103" s="15"/>
      <c r="RPH1103" s="15"/>
      <c r="RPK1103" s="15"/>
      <c r="RPL1103" s="15"/>
      <c r="RPO1103" s="15"/>
      <c r="RPP1103" s="15"/>
      <c r="RPS1103" s="15"/>
      <c r="RPT1103" s="15"/>
      <c r="RPW1103" s="15"/>
      <c r="RPX1103" s="15"/>
      <c r="RQA1103" s="15"/>
      <c r="RQB1103" s="15"/>
      <c r="RQE1103" s="15"/>
      <c r="RQF1103" s="15"/>
      <c r="RQI1103" s="15"/>
      <c r="RQJ1103" s="15"/>
      <c r="RQM1103" s="15"/>
      <c r="RQN1103" s="15"/>
      <c r="RQQ1103" s="15"/>
      <c r="RQR1103" s="15"/>
      <c r="RQU1103" s="15"/>
      <c r="RQV1103" s="15"/>
      <c r="RQY1103" s="15"/>
      <c r="RQZ1103" s="15"/>
      <c r="RRC1103" s="15"/>
      <c r="RRD1103" s="15"/>
      <c r="RRG1103" s="15"/>
      <c r="RRH1103" s="15"/>
      <c r="RRK1103" s="15"/>
      <c r="RRL1103" s="15"/>
      <c r="RRO1103" s="15"/>
      <c r="RRP1103" s="15"/>
      <c r="RRS1103" s="15"/>
      <c r="RRT1103" s="15"/>
      <c r="RRW1103" s="15"/>
      <c r="RRX1103" s="15"/>
      <c r="RSA1103" s="15"/>
      <c r="RSB1103" s="15"/>
      <c r="RSE1103" s="15"/>
      <c r="RSF1103" s="15"/>
      <c r="RSI1103" s="15"/>
      <c r="RSJ1103" s="15"/>
      <c r="RSM1103" s="15"/>
      <c r="RSN1103" s="15"/>
      <c r="RSQ1103" s="15"/>
      <c r="RSR1103" s="15"/>
      <c r="RSU1103" s="15"/>
      <c r="RSV1103" s="15"/>
      <c r="RSY1103" s="15"/>
      <c r="RSZ1103" s="15"/>
      <c r="RTC1103" s="15"/>
      <c r="RTD1103" s="15"/>
      <c r="RTG1103" s="15"/>
      <c r="RTH1103" s="15"/>
      <c r="RTK1103" s="15"/>
      <c r="RTL1103" s="15"/>
      <c r="RTO1103" s="15"/>
      <c r="RTP1103" s="15"/>
      <c r="RTS1103" s="15"/>
      <c r="RTT1103" s="15"/>
      <c r="RTW1103" s="15"/>
      <c r="RTX1103" s="15"/>
      <c r="RUA1103" s="15"/>
      <c r="RUB1103" s="15"/>
      <c r="RUE1103" s="15"/>
      <c r="RUF1103" s="15"/>
      <c r="RUI1103" s="15"/>
      <c r="RUJ1103" s="15"/>
      <c r="RUM1103" s="15"/>
      <c r="RUN1103" s="15"/>
      <c r="RUQ1103" s="15"/>
      <c r="RUR1103" s="15"/>
      <c r="RUU1103" s="15"/>
      <c r="RUV1103" s="15"/>
      <c r="RUY1103" s="15"/>
      <c r="RUZ1103" s="15"/>
      <c r="RVC1103" s="15"/>
      <c r="RVD1103" s="15"/>
      <c r="RVG1103" s="15"/>
      <c r="RVH1103" s="15"/>
      <c r="RVK1103" s="15"/>
      <c r="RVL1103" s="15"/>
      <c r="RVO1103" s="15"/>
      <c r="RVP1103" s="15"/>
      <c r="RVS1103" s="15"/>
      <c r="RVT1103" s="15"/>
      <c r="RVW1103" s="15"/>
      <c r="RVX1103" s="15"/>
      <c r="RWA1103" s="15"/>
      <c r="RWB1103" s="15"/>
      <c r="RWE1103" s="15"/>
      <c r="RWF1103" s="15"/>
      <c r="RWI1103" s="15"/>
      <c r="RWJ1103" s="15"/>
      <c r="RWM1103" s="15"/>
      <c r="RWN1103" s="15"/>
      <c r="RWQ1103" s="15"/>
      <c r="RWR1103" s="15"/>
      <c r="RWU1103" s="15"/>
      <c r="RWV1103" s="15"/>
      <c r="RWY1103" s="15"/>
      <c r="RWZ1103" s="15"/>
      <c r="RXC1103" s="15"/>
      <c r="RXD1103" s="15"/>
      <c r="RXG1103" s="15"/>
      <c r="RXH1103" s="15"/>
      <c r="RXK1103" s="15"/>
      <c r="RXL1103" s="15"/>
      <c r="RXO1103" s="15"/>
      <c r="RXP1103" s="15"/>
      <c r="RXS1103" s="15"/>
      <c r="RXT1103" s="15"/>
      <c r="RXW1103" s="15"/>
      <c r="RXX1103" s="15"/>
      <c r="RYA1103" s="15"/>
      <c r="RYB1103" s="15"/>
      <c r="RYE1103" s="15"/>
      <c r="RYF1103" s="15"/>
      <c r="RYI1103" s="15"/>
      <c r="RYJ1103" s="15"/>
      <c r="RYM1103" s="15"/>
      <c r="RYN1103" s="15"/>
      <c r="RYQ1103" s="15"/>
      <c r="RYR1103" s="15"/>
      <c r="RYU1103" s="15"/>
      <c r="RYV1103" s="15"/>
      <c r="RYY1103" s="15"/>
      <c r="RYZ1103" s="15"/>
      <c r="RZC1103" s="15"/>
      <c r="RZD1103" s="15"/>
      <c r="RZG1103" s="15"/>
      <c r="RZH1103" s="15"/>
      <c r="RZK1103" s="15"/>
      <c r="RZL1103" s="15"/>
      <c r="RZO1103" s="15"/>
      <c r="RZP1103" s="15"/>
      <c r="RZS1103" s="15"/>
      <c r="RZT1103" s="15"/>
      <c r="RZW1103" s="15"/>
      <c r="RZX1103" s="15"/>
      <c r="SAA1103" s="15"/>
      <c r="SAB1103" s="15"/>
      <c r="SAE1103" s="15"/>
      <c r="SAF1103" s="15"/>
      <c r="SAI1103" s="15"/>
      <c r="SAJ1103" s="15"/>
      <c r="SAM1103" s="15"/>
      <c r="SAN1103" s="15"/>
      <c r="SAQ1103" s="15"/>
      <c r="SAR1103" s="15"/>
      <c r="SAU1103" s="15"/>
      <c r="SAV1103" s="15"/>
      <c r="SAY1103" s="15"/>
      <c r="SAZ1103" s="15"/>
      <c r="SBC1103" s="15"/>
      <c r="SBD1103" s="15"/>
      <c r="SBG1103" s="15"/>
      <c r="SBH1103" s="15"/>
      <c r="SBK1103" s="15"/>
      <c r="SBL1103" s="15"/>
      <c r="SBO1103" s="15"/>
      <c r="SBP1103" s="15"/>
      <c r="SBS1103" s="15"/>
      <c r="SBT1103" s="15"/>
      <c r="SBW1103" s="15"/>
      <c r="SBX1103" s="15"/>
      <c r="SCA1103" s="15"/>
      <c r="SCB1103" s="15"/>
      <c r="SCE1103" s="15"/>
      <c r="SCF1103" s="15"/>
      <c r="SCI1103" s="15"/>
      <c r="SCJ1103" s="15"/>
      <c r="SCM1103" s="15"/>
      <c r="SCN1103" s="15"/>
      <c r="SCQ1103" s="15"/>
      <c r="SCR1103" s="15"/>
      <c r="SCU1103" s="15"/>
      <c r="SCV1103" s="15"/>
      <c r="SCY1103" s="15"/>
      <c r="SCZ1103" s="15"/>
      <c r="SDC1103" s="15"/>
      <c r="SDD1103" s="15"/>
      <c r="SDG1103" s="15"/>
      <c r="SDH1103" s="15"/>
      <c r="SDK1103" s="15"/>
      <c r="SDL1103" s="15"/>
      <c r="SDO1103" s="15"/>
      <c r="SDP1103" s="15"/>
      <c r="SDS1103" s="15"/>
      <c r="SDT1103" s="15"/>
      <c r="SDW1103" s="15"/>
      <c r="SDX1103" s="15"/>
      <c r="SEA1103" s="15"/>
      <c r="SEB1103" s="15"/>
      <c r="SEE1103" s="15"/>
      <c r="SEF1103" s="15"/>
      <c r="SEI1103" s="15"/>
      <c r="SEJ1103" s="15"/>
      <c r="SEM1103" s="15"/>
      <c r="SEN1103" s="15"/>
      <c r="SEQ1103" s="15"/>
      <c r="SER1103" s="15"/>
      <c r="SEU1103" s="15"/>
      <c r="SEV1103" s="15"/>
      <c r="SEY1103" s="15"/>
      <c r="SEZ1103" s="15"/>
      <c r="SFC1103" s="15"/>
      <c r="SFD1103" s="15"/>
      <c r="SFG1103" s="15"/>
      <c r="SFH1103" s="15"/>
      <c r="SFK1103" s="15"/>
      <c r="SFL1103" s="15"/>
      <c r="SFO1103" s="15"/>
      <c r="SFP1103" s="15"/>
      <c r="SFS1103" s="15"/>
      <c r="SFT1103" s="15"/>
      <c r="SFW1103" s="15"/>
      <c r="SFX1103" s="15"/>
      <c r="SGA1103" s="15"/>
      <c r="SGB1103" s="15"/>
      <c r="SGE1103" s="15"/>
      <c r="SGF1103" s="15"/>
      <c r="SGI1103" s="15"/>
      <c r="SGJ1103" s="15"/>
      <c r="SGM1103" s="15"/>
      <c r="SGN1103" s="15"/>
      <c r="SGQ1103" s="15"/>
      <c r="SGR1103" s="15"/>
      <c r="SGU1103" s="15"/>
      <c r="SGV1103" s="15"/>
      <c r="SGY1103" s="15"/>
      <c r="SGZ1103" s="15"/>
      <c r="SHC1103" s="15"/>
      <c r="SHD1103" s="15"/>
      <c r="SHG1103" s="15"/>
      <c r="SHH1103" s="15"/>
      <c r="SHK1103" s="15"/>
      <c r="SHL1103" s="15"/>
      <c r="SHO1103" s="15"/>
      <c r="SHP1103" s="15"/>
      <c r="SHS1103" s="15"/>
      <c r="SHT1103" s="15"/>
      <c r="SHW1103" s="15"/>
      <c r="SHX1103" s="15"/>
      <c r="SIA1103" s="15"/>
      <c r="SIB1103" s="15"/>
      <c r="SIE1103" s="15"/>
      <c r="SIF1103" s="15"/>
      <c r="SII1103" s="15"/>
      <c r="SIJ1103" s="15"/>
      <c r="SIM1103" s="15"/>
      <c r="SIN1103" s="15"/>
      <c r="SIQ1103" s="15"/>
      <c r="SIR1103" s="15"/>
      <c r="SIU1103" s="15"/>
      <c r="SIV1103" s="15"/>
      <c r="SIY1103" s="15"/>
      <c r="SIZ1103" s="15"/>
      <c r="SJC1103" s="15"/>
      <c r="SJD1103" s="15"/>
      <c r="SJG1103" s="15"/>
      <c r="SJH1103" s="15"/>
      <c r="SJK1103" s="15"/>
      <c r="SJL1103" s="15"/>
      <c r="SJO1103" s="15"/>
      <c r="SJP1103" s="15"/>
      <c r="SJS1103" s="15"/>
      <c r="SJT1103" s="15"/>
      <c r="SJW1103" s="15"/>
      <c r="SJX1103" s="15"/>
      <c r="SKA1103" s="15"/>
      <c r="SKB1103" s="15"/>
      <c r="SKE1103" s="15"/>
      <c r="SKF1103" s="15"/>
      <c r="SKI1103" s="15"/>
      <c r="SKJ1103" s="15"/>
      <c r="SKM1103" s="15"/>
      <c r="SKN1103" s="15"/>
      <c r="SKQ1103" s="15"/>
      <c r="SKR1103" s="15"/>
      <c r="SKU1103" s="15"/>
      <c r="SKV1103" s="15"/>
      <c r="SKY1103" s="15"/>
      <c r="SKZ1103" s="15"/>
      <c r="SLC1103" s="15"/>
      <c r="SLD1103" s="15"/>
      <c r="SLG1103" s="15"/>
      <c r="SLH1103" s="15"/>
      <c r="SLK1103" s="15"/>
      <c r="SLL1103" s="15"/>
      <c r="SLO1103" s="15"/>
      <c r="SLP1103" s="15"/>
      <c r="SLS1103" s="15"/>
      <c r="SLT1103" s="15"/>
      <c r="SLW1103" s="15"/>
      <c r="SLX1103" s="15"/>
      <c r="SMA1103" s="15"/>
      <c r="SMB1103" s="15"/>
      <c r="SME1103" s="15"/>
      <c r="SMF1103" s="15"/>
      <c r="SMI1103" s="15"/>
      <c r="SMJ1103" s="15"/>
      <c r="SMM1103" s="15"/>
      <c r="SMN1103" s="15"/>
      <c r="SMQ1103" s="15"/>
      <c r="SMR1103" s="15"/>
      <c r="SMU1103" s="15"/>
      <c r="SMV1103" s="15"/>
      <c r="SMY1103" s="15"/>
      <c r="SMZ1103" s="15"/>
      <c r="SNC1103" s="15"/>
      <c r="SND1103" s="15"/>
      <c r="SNG1103" s="15"/>
      <c r="SNH1103" s="15"/>
      <c r="SNK1103" s="15"/>
      <c r="SNL1103" s="15"/>
      <c r="SNO1103" s="15"/>
      <c r="SNP1103" s="15"/>
      <c r="SNS1103" s="15"/>
      <c r="SNT1103" s="15"/>
      <c r="SNW1103" s="15"/>
      <c r="SNX1103" s="15"/>
      <c r="SOA1103" s="15"/>
      <c r="SOB1103" s="15"/>
      <c r="SOE1103" s="15"/>
      <c r="SOF1103" s="15"/>
      <c r="SOI1103" s="15"/>
      <c r="SOJ1103" s="15"/>
      <c r="SOM1103" s="15"/>
      <c r="SON1103" s="15"/>
      <c r="SOQ1103" s="15"/>
      <c r="SOR1103" s="15"/>
      <c r="SOU1103" s="15"/>
      <c r="SOV1103" s="15"/>
      <c r="SOY1103" s="15"/>
      <c r="SOZ1103" s="15"/>
      <c r="SPC1103" s="15"/>
      <c r="SPD1103" s="15"/>
      <c r="SPG1103" s="15"/>
      <c r="SPH1103" s="15"/>
      <c r="SPK1103" s="15"/>
      <c r="SPL1103" s="15"/>
      <c r="SPO1103" s="15"/>
      <c r="SPP1103" s="15"/>
      <c r="SPS1103" s="15"/>
      <c r="SPT1103" s="15"/>
      <c r="SPW1103" s="15"/>
      <c r="SPX1103" s="15"/>
      <c r="SQA1103" s="15"/>
      <c r="SQB1103" s="15"/>
      <c r="SQE1103" s="15"/>
      <c r="SQF1103" s="15"/>
      <c r="SQI1103" s="15"/>
      <c r="SQJ1103" s="15"/>
      <c r="SQM1103" s="15"/>
      <c r="SQN1103" s="15"/>
      <c r="SQQ1103" s="15"/>
      <c r="SQR1103" s="15"/>
      <c r="SQU1103" s="15"/>
      <c r="SQV1103" s="15"/>
      <c r="SQY1103" s="15"/>
      <c r="SQZ1103" s="15"/>
      <c r="SRC1103" s="15"/>
      <c r="SRD1103" s="15"/>
      <c r="SRG1103" s="15"/>
      <c r="SRH1103" s="15"/>
      <c r="SRK1103" s="15"/>
      <c r="SRL1103" s="15"/>
      <c r="SRO1103" s="15"/>
      <c r="SRP1103" s="15"/>
      <c r="SRS1103" s="15"/>
      <c r="SRT1103" s="15"/>
      <c r="SRW1103" s="15"/>
      <c r="SRX1103" s="15"/>
      <c r="SSA1103" s="15"/>
      <c r="SSB1103" s="15"/>
      <c r="SSE1103" s="15"/>
      <c r="SSF1103" s="15"/>
      <c r="SSI1103" s="15"/>
      <c r="SSJ1103" s="15"/>
      <c r="SSM1103" s="15"/>
      <c r="SSN1103" s="15"/>
      <c r="SSQ1103" s="15"/>
      <c r="SSR1103" s="15"/>
      <c r="SSU1103" s="15"/>
      <c r="SSV1103" s="15"/>
      <c r="SSY1103" s="15"/>
      <c r="SSZ1103" s="15"/>
      <c r="STC1103" s="15"/>
      <c r="STD1103" s="15"/>
      <c r="STG1103" s="15"/>
      <c r="STH1103" s="15"/>
      <c r="STK1103" s="15"/>
      <c r="STL1103" s="15"/>
      <c r="STO1103" s="15"/>
      <c r="STP1103" s="15"/>
      <c r="STS1103" s="15"/>
      <c r="STT1103" s="15"/>
      <c r="STW1103" s="15"/>
      <c r="STX1103" s="15"/>
      <c r="SUA1103" s="15"/>
      <c r="SUB1103" s="15"/>
      <c r="SUE1103" s="15"/>
      <c r="SUF1103" s="15"/>
      <c r="SUI1103" s="15"/>
      <c r="SUJ1103" s="15"/>
      <c r="SUM1103" s="15"/>
      <c r="SUN1103" s="15"/>
      <c r="SUQ1103" s="15"/>
      <c r="SUR1103" s="15"/>
      <c r="SUU1103" s="15"/>
      <c r="SUV1103" s="15"/>
      <c r="SUY1103" s="15"/>
      <c r="SUZ1103" s="15"/>
      <c r="SVC1103" s="15"/>
      <c r="SVD1103" s="15"/>
      <c r="SVG1103" s="15"/>
      <c r="SVH1103" s="15"/>
      <c r="SVK1103" s="15"/>
      <c r="SVL1103" s="15"/>
      <c r="SVO1103" s="15"/>
      <c r="SVP1103" s="15"/>
      <c r="SVS1103" s="15"/>
      <c r="SVT1103" s="15"/>
      <c r="SVW1103" s="15"/>
      <c r="SVX1103" s="15"/>
      <c r="SWA1103" s="15"/>
      <c r="SWB1103" s="15"/>
      <c r="SWE1103" s="15"/>
      <c r="SWF1103" s="15"/>
      <c r="SWI1103" s="15"/>
      <c r="SWJ1103" s="15"/>
      <c r="SWM1103" s="15"/>
      <c r="SWN1103" s="15"/>
      <c r="SWQ1103" s="15"/>
      <c r="SWR1103" s="15"/>
      <c r="SWU1103" s="15"/>
      <c r="SWV1103" s="15"/>
      <c r="SWY1103" s="15"/>
      <c r="SWZ1103" s="15"/>
      <c r="SXC1103" s="15"/>
      <c r="SXD1103" s="15"/>
      <c r="SXG1103" s="15"/>
      <c r="SXH1103" s="15"/>
      <c r="SXK1103" s="15"/>
      <c r="SXL1103" s="15"/>
      <c r="SXO1103" s="15"/>
      <c r="SXP1103" s="15"/>
      <c r="SXS1103" s="15"/>
      <c r="SXT1103" s="15"/>
      <c r="SXW1103" s="15"/>
      <c r="SXX1103" s="15"/>
      <c r="SYA1103" s="15"/>
      <c r="SYB1103" s="15"/>
      <c r="SYE1103" s="15"/>
      <c r="SYF1103" s="15"/>
      <c r="SYI1103" s="15"/>
      <c r="SYJ1103" s="15"/>
      <c r="SYM1103" s="15"/>
      <c r="SYN1103" s="15"/>
      <c r="SYQ1103" s="15"/>
      <c r="SYR1103" s="15"/>
      <c r="SYU1103" s="15"/>
      <c r="SYV1103" s="15"/>
      <c r="SYY1103" s="15"/>
      <c r="SYZ1103" s="15"/>
      <c r="SZC1103" s="15"/>
      <c r="SZD1103" s="15"/>
      <c r="SZG1103" s="15"/>
      <c r="SZH1103" s="15"/>
      <c r="SZK1103" s="15"/>
      <c r="SZL1103" s="15"/>
      <c r="SZO1103" s="15"/>
      <c r="SZP1103" s="15"/>
      <c r="SZS1103" s="15"/>
      <c r="SZT1103" s="15"/>
      <c r="SZW1103" s="15"/>
      <c r="SZX1103" s="15"/>
      <c r="TAA1103" s="15"/>
      <c r="TAB1103" s="15"/>
      <c r="TAE1103" s="15"/>
      <c r="TAF1103" s="15"/>
      <c r="TAI1103" s="15"/>
      <c r="TAJ1103" s="15"/>
      <c r="TAM1103" s="15"/>
      <c r="TAN1103" s="15"/>
      <c r="TAQ1103" s="15"/>
      <c r="TAR1103" s="15"/>
      <c r="TAU1103" s="15"/>
      <c r="TAV1103" s="15"/>
      <c r="TAY1103" s="15"/>
      <c r="TAZ1103" s="15"/>
      <c r="TBC1103" s="15"/>
      <c r="TBD1103" s="15"/>
      <c r="TBG1103" s="15"/>
      <c r="TBH1103" s="15"/>
      <c r="TBK1103" s="15"/>
      <c r="TBL1103" s="15"/>
      <c r="TBO1103" s="15"/>
      <c r="TBP1103" s="15"/>
      <c r="TBS1103" s="15"/>
      <c r="TBT1103" s="15"/>
      <c r="TBW1103" s="15"/>
      <c r="TBX1103" s="15"/>
      <c r="TCA1103" s="15"/>
      <c r="TCB1103" s="15"/>
      <c r="TCE1103" s="15"/>
      <c r="TCF1103" s="15"/>
      <c r="TCI1103" s="15"/>
      <c r="TCJ1103" s="15"/>
      <c r="TCM1103" s="15"/>
      <c r="TCN1103" s="15"/>
      <c r="TCQ1103" s="15"/>
      <c r="TCR1103" s="15"/>
      <c r="TCU1103" s="15"/>
      <c r="TCV1103" s="15"/>
      <c r="TCY1103" s="15"/>
      <c r="TCZ1103" s="15"/>
      <c r="TDC1103" s="15"/>
      <c r="TDD1103" s="15"/>
      <c r="TDG1103" s="15"/>
      <c r="TDH1103" s="15"/>
      <c r="TDK1103" s="15"/>
      <c r="TDL1103" s="15"/>
      <c r="TDO1103" s="15"/>
      <c r="TDP1103" s="15"/>
      <c r="TDS1103" s="15"/>
      <c r="TDT1103" s="15"/>
      <c r="TDW1103" s="15"/>
      <c r="TDX1103" s="15"/>
      <c r="TEA1103" s="15"/>
      <c r="TEB1103" s="15"/>
      <c r="TEE1103" s="15"/>
      <c r="TEF1103" s="15"/>
      <c r="TEI1103" s="15"/>
      <c r="TEJ1103" s="15"/>
      <c r="TEM1103" s="15"/>
      <c r="TEN1103" s="15"/>
      <c r="TEQ1103" s="15"/>
      <c r="TER1103" s="15"/>
      <c r="TEU1103" s="15"/>
      <c r="TEV1103" s="15"/>
      <c r="TEY1103" s="15"/>
      <c r="TEZ1103" s="15"/>
      <c r="TFC1103" s="15"/>
      <c r="TFD1103" s="15"/>
      <c r="TFG1103" s="15"/>
      <c r="TFH1103" s="15"/>
      <c r="TFK1103" s="15"/>
      <c r="TFL1103" s="15"/>
      <c r="TFO1103" s="15"/>
      <c r="TFP1103" s="15"/>
      <c r="TFS1103" s="15"/>
      <c r="TFT1103" s="15"/>
      <c r="TFW1103" s="15"/>
      <c r="TFX1103" s="15"/>
      <c r="TGA1103" s="15"/>
      <c r="TGB1103" s="15"/>
      <c r="TGE1103" s="15"/>
      <c r="TGF1103" s="15"/>
      <c r="TGI1103" s="15"/>
      <c r="TGJ1103" s="15"/>
      <c r="TGM1103" s="15"/>
      <c r="TGN1103" s="15"/>
      <c r="TGQ1103" s="15"/>
      <c r="TGR1103" s="15"/>
      <c r="TGU1103" s="15"/>
      <c r="TGV1103" s="15"/>
      <c r="TGY1103" s="15"/>
      <c r="TGZ1103" s="15"/>
      <c r="THC1103" s="15"/>
      <c r="THD1103" s="15"/>
      <c r="THG1103" s="15"/>
      <c r="THH1103" s="15"/>
      <c r="THK1103" s="15"/>
      <c r="THL1103" s="15"/>
      <c r="THO1103" s="15"/>
      <c r="THP1103" s="15"/>
      <c r="THS1103" s="15"/>
      <c r="THT1103" s="15"/>
      <c r="THW1103" s="15"/>
      <c r="THX1103" s="15"/>
      <c r="TIA1103" s="15"/>
      <c r="TIB1103" s="15"/>
      <c r="TIE1103" s="15"/>
      <c r="TIF1103" s="15"/>
      <c r="TII1103" s="15"/>
      <c r="TIJ1103" s="15"/>
      <c r="TIM1103" s="15"/>
      <c r="TIN1103" s="15"/>
      <c r="TIQ1103" s="15"/>
      <c r="TIR1103" s="15"/>
      <c r="TIU1103" s="15"/>
      <c r="TIV1103" s="15"/>
      <c r="TIY1103" s="15"/>
      <c r="TIZ1103" s="15"/>
      <c r="TJC1103" s="15"/>
      <c r="TJD1103" s="15"/>
      <c r="TJG1103" s="15"/>
      <c r="TJH1103" s="15"/>
      <c r="TJK1103" s="15"/>
      <c r="TJL1103" s="15"/>
      <c r="TJO1103" s="15"/>
      <c r="TJP1103" s="15"/>
      <c r="TJS1103" s="15"/>
      <c r="TJT1103" s="15"/>
      <c r="TJW1103" s="15"/>
      <c r="TJX1103" s="15"/>
      <c r="TKA1103" s="15"/>
      <c r="TKB1103" s="15"/>
      <c r="TKE1103" s="15"/>
      <c r="TKF1103" s="15"/>
      <c r="TKI1103" s="15"/>
      <c r="TKJ1103" s="15"/>
      <c r="TKM1103" s="15"/>
      <c r="TKN1103" s="15"/>
      <c r="TKQ1103" s="15"/>
      <c r="TKR1103" s="15"/>
      <c r="TKU1103" s="15"/>
      <c r="TKV1103" s="15"/>
      <c r="TKY1103" s="15"/>
      <c r="TKZ1103" s="15"/>
      <c r="TLC1103" s="15"/>
      <c r="TLD1103" s="15"/>
      <c r="TLG1103" s="15"/>
      <c r="TLH1103" s="15"/>
      <c r="TLK1103" s="15"/>
      <c r="TLL1103" s="15"/>
      <c r="TLO1103" s="15"/>
      <c r="TLP1103" s="15"/>
      <c r="TLS1103" s="15"/>
      <c r="TLT1103" s="15"/>
      <c r="TLW1103" s="15"/>
      <c r="TLX1103" s="15"/>
      <c r="TMA1103" s="15"/>
      <c r="TMB1103" s="15"/>
      <c r="TME1103" s="15"/>
      <c r="TMF1103" s="15"/>
      <c r="TMI1103" s="15"/>
      <c r="TMJ1103" s="15"/>
      <c r="TMM1103" s="15"/>
      <c r="TMN1103" s="15"/>
      <c r="TMQ1103" s="15"/>
      <c r="TMR1103" s="15"/>
      <c r="TMU1103" s="15"/>
      <c r="TMV1103" s="15"/>
      <c r="TMY1103" s="15"/>
      <c r="TMZ1103" s="15"/>
      <c r="TNC1103" s="15"/>
      <c r="TND1103" s="15"/>
      <c r="TNG1103" s="15"/>
      <c r="TNH1103" s="15"/>
      <c r="TNK1103" s="15"/>
      <c r="TNL1103" s="15"/>
      <c r="TNO1103" s="15"/>
      <c r="TNP1103" s="15"/>
      <c r="TNS1103" s="15"/>
      <c r="TNT1103" s="15"/>
      <c r="TNW1103" s="15"/>
      <c r="TNX1103" s="15"/>
      <c r="TOA1103" s="15"/>
      <c r="TOB1103" s="15"/>
      <c r="TOE1103" s="15"/>
      <c r="TOF1103" s="15"/>
      <c r="TOI1103" s="15"/>
      <c r="TOJ1103" s="15"/>
      <c r="TOM1103" s="15"/>
      <c r="TON1103" s="15"/>
      <c r="TOQ1103" s="15"/>
      <c r="TOR1103" s="15"/>
      <c r="TOU1103" s="15"/>
      <c r="TOV1103" s="15"/>
      <c r="TOY1103" s="15"/>
      <c r="TOZ1103" s="15"/>
      <c r="TPC1103" s="15"/>
      <c r="TPD1103" s="15"/>
      <c r="TPG1103" s="15"/>
      <c r="TPH1103" s="15"/>
      <c r="TPK1103" s="15"/>
      <c r="TPL1103" s="15"/>
      <c r="TPO1103" s="15"/>
      <c r="TPP1103" s="15"/>
      <c r="TPS1103" s="15"/>
      <c r="TPT1103" s="15"/>
      <c r="TPW1103" s="15"/>
      <c r="TPX1103" s="15"/>
      <c r="TQA1103" s="15"/>
      <c r="TQB1103" s="15"/>
      <c r="TQE1103" s="15"/>
      <c r="TQF1103" s="15"/>
      <c r="TQI1103" s="15"/>
      <c r="TQJ1103" s="15"/>
      <c r="TQM1103" s="15"/>
      <c r="TQN1103" s="15"/>
      <c r="TQQ1103" s="15"/>
      <c r="TQR1103" s="15"/>
      <c r="TQU1103" s="15"/>
      <c r="TQV1103" s="15"/>
      <c r="TQY1103" s="15"/>
      <c r="TQZ1103" s="15"/>
      <c r="TRC1103" s="15"/>
      <c r="TRD1103" s="15"/>
      <c r="TRG1103" s="15"/>
      <c r="TRH1103" s="15"/>
      <c r="TRK1103" s="15"/>
      <c r="TRL1103" s="15"/>
      <c r="TRO1103" s="15"/>
      <c r="TRP1103" s="15"/>
      <c r="TRS1103" s="15"/>
      <c r="TRT1103" s="15"/>
      <c r="TRW1103" s="15"/>
      <c r="TRX1103" s="15"/>
      <c r="TSA1103" s="15"/>
      <c r="TSB1103" s="15"/>
      <c r="TSE1103" s="15"/>
      <c r="TSF1103" s="15"/>
      <c r="TSI1103" s="15"/>
      <c r="TSJ1103" s="15"/>
      <c r="TSM1103" s="15"/>
      <c r="TSN1103" s="15"/>
      <c r="TSQ1103" s="15"/>
      <c r="TSR1103" s="15"/>
      <c r="TSU1103" s="15"/>
      <c r="TSV1103" s="15"/>
      <c r="TSY1103" s="15"/>
      <c r="TSZ1103" s="15"/>
      <c r="TTC1103" s="15"/>
      <c r="TTD1103" s="15"/>
      <c r="TTG1103" s="15"/>
      <c r="TTH1103" s="15"/>
      <c r="TTK1103" s="15"/>
      <c r="TTL1103" s="15"/>
      <c r="TTO1103" s="15"/>
      <c r="TTP1103" s="15"/>
      <c r="TTS1103" s="15"/>
      <c r="TTT1103" s="15"/>
      <c r="TTW1103" s="15"/>
      <c r="TTX1103" s="15"/>
      <c r="TUA1103" s="15"/>
      <c r="TUB1103" s="15"/>
      <c r="TUE1103" s="15"/>
      <c r="TUF1103" s="15"/>
      <c r="TUI1103" s="15"/>
      <c r="TUJ1103" s="15"/>
      <c r="TUM1103" s="15"/>
      <c r="TUN1103" s="15"/>
      <c r="TUQ1103" s="15"/>
      <c r="TUR1103" s="15"/>
      <c r="TUU1103" s="15"/>
      <c r="TUV1103" s="15"/>
      <c r="TUY1103" s="15"/>
      <c r="TUZ1103" s="15"/>
      <c r="TVC1103" s="15"/>
      <c r="TVD1103" s="15"/>
      <c r="TVG1103" s="15"/>
      <c r="TVH1103" s="15"/>
      <c r="TVK1103" s="15"/>
      <c r="TVL1103" s="15"/>
      <c r="TVO1103" s="15"/>
      <c r="TVP1103" s="15"/>
      <c r="TVS1103" s="15"/>
      <c r="TVT1103" s="15"/>
      <c r="TVW1103" s="15"/>
      <c r="TVX1103" s="15"/>
      <c r="TWA1103" s="15"/>
      <c r="TWB1103" s="15"/>
      <c r="TWE1103" s="15"/>
      <c r="TWF1103" s="15"/>
      <c r="TWI1103" s="15"/>
      <c r="TWJ1103" s="15"/>
      <c r="TWM1103" s="15"/>
      <c r="TWN1103" s="15"/>
      <c r="TWQ1103" s="15"/>
      <c r="TWR1103" s="15"/>
      <c r="TWU1103" s="15"/>
      <c r="TWV1103" s="15"/>
      <c r="TWY1103" s="15"/>
      <c r="TWZ1103" s="15"/>
      <c r="TXC1103" s="15"/>
      <c r="TXD1103" s="15"/>
      <c r="TXG1103" s="15"/>
      <c r="TXH1103" s="15"/>
      <c r="TXK1103" s="15"/>
      <c r="TXL1103" s="15"/>
      <c r="TXO1103" s="15"/>
      <c r="TXP1103" s="15"/>
      <c r="TXS1103" s="15"/>
      <c r="TXT1103" s="15"/>
      <c r="TXW1103" s="15"/>
      <c r="TXX1103" s="15"/>
      <c r="TYA1103" s="15"/>
      <c r="TYB1103" s="15"/>
      <c r="TYE1103" s="15"/>
      <c r="TYF1103" s="15"/>
      <c r="TYI1103" s="15"/>
      <c r="TYJ1103" s="15"/>
      <c r="TYM1103" s="15"/>
      <c r="TYN1103" s="15"/>
      <c r="TYQ1103" s="15"/>
      <c r="TYR1103" s="15"/>
      <c r="TYU1103" s="15"/>
      <c r="TYV1103" s="15"/>
      <c r="TYY1103" s="15"/>
      <c r="TYZ1103" s="15"/>
      <c r="TZC1103" s="15"/>
      <c r="TZD1103" s="15"/>
      <c r="TZG1103" s="15"/>
      <c r="TZH1103" s="15"/>
      <c r="TZK1103" s="15"/>
      <c r="TZL1103" s="15"/>
      <c r="TZO1103" s="15"/>
      <c r="TZP1103" s="15"/>
      <c r="TZS1103" s="15"/>
      <c r="TZT1103" s="15"/>
      <c r="TZW1103" s="15"/>
      <c r="TZX1103" s="15"/>
      <c r="UAA1103" s="15"/>
      <c r="UAB1103" s="15"/>
      <c r="UAE1103" s="15"/>
      <c r="UAF1103" s="15"/>
      <c r="UAI1103" s="15"/>
      <c r="UAJ1103" s="15"/>
      <c r="UAM1103" s="15"/>
      <c r="UAN1103" s="15"/>
      <c r="UAQ1103" s="15"/>
      <c r="UAR1103" s="15"/>
      <c r="UAU1103" s="15"/>
      <c r="UAV1103" s="15"/>
      <c r="UAY1103" s="15"/>
      <c r="UAZ1103" s="15"/>
      <c r="UBC1103" s="15"/>
      <c r="UBD1103" s="15"/>
      <c r="UBG1103" s="15"/>
      <c r="UBH1103" s="15"/>
      <c r="UBK1103" s="15"/>
      <c r="UBL1103" s="15"/>
      <c r="UBO1103" s="15"/>
      <c r="UBP1103" s="15"/>
      <c r="UBS1103" s="15"/>
      <c r="UBT1103" s="15"/>
      <c r="UBW1103" s="15"/>
      <c r="UBX1103" s="15"/>
      <c r="UCA1103" s="15"/>
      <c r="UCB1103" s="15"/>
      <c r="UCE1103" s="15"/>
      <c r="UCF1103" s="15"/>
      <c r="UCI1103" s="15"/>
      <c r="UCJ1103" s="15"/>
      <c r="UCM1103" s="15"/>
      <c r="UCN1103" s="15"/>
      <c r="UCQ1103" s="15"/>
      <c r="UCR1103" s="15"/>
      <c r="UCU1103" s="15"/>
      <c r="UCV1103" s="15"/>
      <c r="UCY1103" s="15"/>
      <c r="UCZ1103" s="15"/>
      <c r="UDC1103" s="15"/>
      <c r="UDD1103" s="15"/>
      <c r="UDG1103" s="15"/>
      <c r="UDH1103" s="15"/>
      <c r="UDK1103" s="15"/>
      <c r="UDL1103" s="15"/>
      <c r="UDO1103" s="15"/>
      <c r="UDP1103" s="15"/>
      <c r="UDS1103" s="15"/>
      <c r="UDT1103" s="15"/>
      <c r="UDW1103" s="15"/>
      <c r="UDX1103" s="15"/>
      <c r="UEA1103" s="15"/>
      <c r="UEB1103" s="15"/>
      <c r="UEE1103" s="15"/>
      <c r="UEF1103" s="15"/>
      <c r="UEI1103" s="15"/>
      <c r="UEJ1103" s="15"/>
      <c r="UEM1103" s="15"/>
      <c r="UEN1103" s="15"/>
      <c r="UEQ1103" s="15"/>
      <c r="UER1103" s="15"/>
      <c r="UEU1103" s="15"/>
      <c r="UEV1103" s="15"/>
      <c r="UEY1103" s="15"/>
      <c r="UEZ1103" s="15"/>
      <c r="UFC1103" s="15"/>
      <c r="UFD1103" s="15"/>
      <c r="UFG1103" s="15"/>
      <c r="UFH1103" s="15"/>
      <c r="UFK1103" s="15"/>
      <c r="UFL1103" s="15"/>
      <c r="UFO1103" s="15"/>
      <c r="UFP1103" s="15"/>
      <c r="UFS1103" s="15"/>
      <c r="UFT1103" s="15"/>
      <c r="UFW1103" s="15"/>
      <c r="UFX1103" s="15"/>
      <c r="UGA1103" s="15"/>
      <c r="UGB1103" s="15"/>
      <c r="UGE1103" s="15"/>
      <c r="UGF1103" s="15"/>
      <c r="UGI1103" s="15"/>
      <c r="UGJ1103" s="15"/>
      <c r="UGM1103" s="15"/>
      <c r="UGN1103" s="15"/>
      <c r="UGQ1103" s="15"/>
      <c r="UGR1103" s="15"/>
      <c r="UGU1103" s="15"/>
      <c r="UGV1103" s="15"/>
      <c r="UGY1103" s="15"/>
      <c r="UGZ1103" s="15"/>
      <c r="UHC1103" s="15"/>
      <c r="UHD1103" s="15"/>
      <c r="UHG1103" s="15"/>
      <c r="UHH1103" s="15"/>
      <c r="UHK1103" s="15"/>
      <c r="UHL1103" s="15"/>
      <c r="UHO1103" s="15"/>
      <c r="UHP1103" s="15"/>
      <c r="UHS1103" s="15"/>
      <c r="UHT1103" s="15"/>
      <c r="UHW1103" s="15"/>
      <c r="UHX1103" s="15"/>
      <c r="UIA1103" s="15"/>
      <c r="UIB1103" s="15"/>
      <c r="UIE1103" s="15"/>
      <c r="UIF1103" s="15"/>
      <c r="UII1103" s="15"/>
      <c r="UIJ1103" s="15"/>
      <c r="UIM1103" s="15"/>
      <c r="UIN1103" s="15"/>
      <c r="UIQ1103" s="15"/>
      <c r="UIR1103" s="15"/>
      <c r="UIU1103" s="15"/>
      <c r="UIV1103" s="15"/>
      <c r="UIY1103" s="15"/>
      <c r="UIZ1103" s="15"/>
      <c r="UJC1103" s="15"/>
      <c r="UJD1103" s="15"/>
      <c r="UJG1103" s="15"/>
      <c r="UJH1103" s="15"/>
      <c r="UJK1103" s="15"/>
      <c r="UJL1103" s="15"/>
      <c r="UJO1103" s="15"/>
      <c r="UJP1103" s="15"/>
      <c r="UJS1103" s="15"/>
      <c r="UJT1103" s="15"/>
      <c r="UJW1103" s="15"/>
      <c r="UJX1103" s="15"/>
      <c r="UKA1103" s="15"/>
      <c r="UKB1103" s="15"/>
      <c r="UKE1103" s="15"/>
      <c r="UKF1103" s="15"/>
      <c r="UKI1103" s="15"/>
      <c r="UKJ1103" s="15"/>
      <c r="UKM1103" s="15"/>
      <c r="UKN1103" s="15"/>
      <c r="UKQ1103" s="15"/>
      <c r="UKR1103" s="15"/>
      <c r="UKU1103" s="15"/>
      <c r="UKV1103" s="15"/>
      <c r="UKY1103" s="15"/>
      <c r="UKZ1103" s="15"/>
      <c r="ULC1103" s="15"/>
      <c r="ULD1103" s="15"/>
      <c r="ULG1103" s="15"/>
      <c r="ULH1103" s="15"/>
      <c r="ULK1103" s="15"/>
      <c r="ULL1103" s="15"/>
      <c r="ULO1103" s="15"/>
      <c r="ULP1103" s="15"/>
      <c r="ULS1103" s="15"/>
      <c r="ULT1103" s="15"/>
      <c r="ULW1103" s="15"/>
      <c r="ULX1103" s="15"/>
      <c r="UMA1103" s="15"/>
      <c r="UMB1103" s="15"/>
      <c r="UME1103" s="15"/>
      <c r="UMF1103" s="15"/>
      <c r="UMI1103" s="15"/>
      <c r="UMJ1103" s="15"/>
      <c r="UMM1103" s="15"/>
      <c r="UMN1103" s="15"/>
      <c r="UMQ1103" s="15"/>
      <c r="UMR1103" s="15"/>
      <c r="UMU1103" s="15"/>
      <c r="UMV1103" s="15"/>
      <c r="UMY1103" s="15"/>
      <c r="UMZ1103" s="15"/>
      <c r="UNC1103" s="15"/>
      <c r="UND1103" s="15"/>
      <c r="UNG1103" s="15"/>
      <c r="UNH1103" s="15"/>
      <c r="UNK1103" s="15"/>
      <c r="UNL1103" s="15"/>
      <c r="UNO1103" s="15"/>
      <c r="UNP1103" s="15"/>
      <c r="UNS1103" s="15"/>
      <c r="UNT1103" s="15"/>
      <c r="UNW1103" s="15"/>
      <c r="UNX1103" s="15"/>
      <c r="UOA1103" s="15"/>
      <c r="UOB1103" s="15"/>
      <c r="UOE1103" s="15"/>
      <c r="UOF1103" s="15"/>
      <c r="UOI1103" s="15"/>
      <c r="UOJ1103" s="15"/>
      <c r="UOM1103" s="15"/>
      <c r="UON1103" s="15"/>
      <c r="UOQ1103" s="15"/>
      <c r="UOR1103" s="15"/>
      <c r="UOU1103" s="15"/>
      <c r="UOV1103" s="15"/>
      <c r="UOY1103" s="15"/>
      <c r="UOZ1103" s="15"/>
      <c r="UPC1103" s="15"/>
      <c r="UPD1103" s="15"/>
      <c r="UPG1103" s="15"/>
      <c r="UPH1103" s="15"/>
      <c r="UPK1103" s="15"/>
      <c r="UPL1103" s="15"/>
      <c r="UPO1103" s="15"/>
      <c r="UPP1103" s="15"/>
      <c r="UPS1103" s="15"/>
      <c r="UPT1103" s="15"/>
      <c r="UPW1103" s="15"/>
      <c r="UPX1103" s="15"/>
      <c r="UQA1103" s="15"/>
      <c r="UQB1103" s="15"/>
      <c r="UQE1103" s="15"/>
      <c r="UQF1103" s="15"/>
      <c r="UQI1103" s="15"/>
      <c r="UQJ1103" s="15"/>
      <c r="UQM1103" s="15"/>
      <c r="UQN1103" s="15"/>
      <c r="UQQ1103" s="15"/>
      <c r="UQR1103" s="15"/>
      <c r="UQU1103" s="15"/>
      <c r="UQV1103" s="15"/>
      <c r="UQY1103" s="15"/>
      <c r="UQZ1103" s="15"/>
      <c r="URC1103" s="15"/>
      <c r="URD1103" s="15"/>
      <c r="URG1103" s="15"/>
      <c r="URH1103" s="15"/>
      <c r="URK1103" s="15"/>
      <c r="URL1103" s="15"/>
      <c r="URO1103" s="15"/>
      <c r="URP1103" s="15"/>
      <c r="URS1103" s="15"/>
      <c r="URT1103" s="15"/>
      <c r="URW1103" s="15"/>
      <c r="URX1103" s="15"/>
      <c r="USA1103" s="15"/>
      <c r="USB1103" s="15"/>
      <c r="USE1103" s="15"/>
      <c r="USF1103" s="15"/>
      <c r="USI1103" s="15"/>
      <c r="USJ1103" s="15"/>
      <c r="USM1103" s="15"/>
      <c r="USN1103" s="15"/>
      <c r="USQ1103" s="15"/>
      <c r="USR1103" s="15"/>
      <c r="USU1103" s="15"/>
      <c r="USV1103" s="15"/>
      <c r="USY1103" s="15"/>
      <c r="USZ1103" s="15"/>
      <c r="UTC1103" s="15"/>
      <c r="UTD1103" s="15"/>
      <c r="UTG1103" s="15"/>
      <c r="UTH1103" s="15"/>
      <c r="UTK1103" s="15"/>
      <c r="UTL1103" s="15"/>
      <c r="UTO1103" s="15"/>
      <c r="UTP1103" s="15"/>
      <c r="UTS1103" s="15"/>
      <c r="UTT1103" s="15"/>
      <c r="UTW1103" s="15"/>
      <c r="UTX1103" s="15"/>
      <c r="UUA1103" s="15"/>
      <c r="UUB1103" s="15"/>
      <c r="UUE1103" s="15"/>
      <c r="UUF1103" s="15"/>
      <c r="UUI1103" s="15"/>
      <c r="UUJ1103" s="15"/>
      <c r="UUM1103" s="15"/>
      <c r="UUN1103" s="15"/>
      <c r="UUQ1103" s="15"/>
      <c r="UUR1103" s="15"/>
      <c r="UUU1103" s="15"/>
      <c r="UUV1103" s="15"/>
      <c r="UUY1103" s="15"/>
      <c r="UUZ1103" s="15"/>
      <c r="UVC1103" s="15"/>
      <c r="UVD1103" s="15"/>
      <c r="UVG1103" s="15"/>
      <c r="UVH1103" s="15"/>
      <c r="UVK1103" s="15"/>
      <c r="UVL1103" s="15"/>
      <c r="UVO1103" s="15"/>
      <c r="UVP1103" s="15"/>
      <c r="UVS1103" s="15"/>
      <c r="UVT1103" s="15"/>
      <c r="UVW1103" s="15"/>
      <c r="UVX1103" s="15"/>
      <c r="UWA1103" s="15"/>
      <c r="UWB1103" s="15"/>
      <c r="UWE1103" s="15"/>
      <c r="UWF1103" s="15"/>
      <c r="UWI1103" s="15"/>
      <c r="UWJ1103" s="15"/>
      <c r="UWM1103" s="15"/>
      <c r="UWN1103" s="15"/>
      <c r="UWQ1103" s="15"/>
      <c r="UWR1103" s="15"/>
      <c r="UWU1103" s="15"/>
      <c r="UWV1103" s="15"/>
      <c r="UWY1103" s="15"/>
      <c r="UWZ1103" s="15"/>
      <c r="UXC1103" s="15"/>
      <c r="UXD1103" s="15"/>
      <c r="UXG1103" s="15"/>
      <c r="UXH1103" s="15"/>
      <c r="UXK1103" s="15"/>
      <c r="UXL1103" s="15"/>
      <c r="UXO1103" s="15"/>
      <c r="UXP1103" s="15"/>
      <c r="UXS1103" s="15"/>
      <c r="UXT1103" s="15"/>
      <c r="UXW1103" s="15"/>
      <c r="UXX1103" s="15"/>
      <c r="UYA1103" s="15"/>
      <c r="UYB1103" s="15"/>
      <c r="UYE1103" s="15"/>
      <c r="UYF1103" s="15"/>
      <c r="UYI1103" s="15"/>
      <c r="UYJ1103" s="15"/>
      <c r="UYM1103" s="15"/>
      <c r="UYN1103" s="15"/>
      <c r="UYQ1103" s="15"/>
      <c r="UYR1103" s="15"/>
      <c r="UYU1103" s="15"/>
      <c r="UYV1103" s="15"/>
      <c r="UYY1103" s="15"/>
      <c r="UYZ1103" s="15"/>
      <c r="UZC1103" s="15"/>
      <c r="UZD1103" s="15"/>
      <c r="UZG1103" s="15"/>
      <c r="UZH1103" s="15"/>
      <c r="UZK1103" s="15"/>
      <c r="UZL1103" s="15"/>
      <c r="UZO1103" s="15"/>
      <c r="UZP1103" s="15"/>
      <c r="UZS1103" s="15"/>
      <c r="UZT1103" s="15"/>
      <c r="UZW1103" s="15"/>
      <c r="UZX1103" s="15"/>
      <c r="VAA1103" s="15"/>
      <c r="VAB1103" s="15"/>
      <c r="VAE1103" s="15"/>
      <c r="VAF1103" s="15"/>
      <c r="VAI1103" s="15"/>
      <c r="VAJ1103" s="15"/>
      <c r="VAM1103" s="15"/>
      <c r="VAN1103" s="15"/>
      <c r="VAQ1103" s="15"/>
      <c r="VAR1103" s="15"/>
      <c r="VAU1103" s="15"/>
      <c r="VAV1103" s="15"/>
      <c r="VAY1103" s="15"/>
      <c r="VAZ1103" s="15"/>
      <c r="VBC1103" s="15"/>
      <c r="VBD1103" s="15"/>
      <c r="VBG1103" s="15"/>
      <c r="VBH1103" s="15"/>
      <c r="VBK1103" s="15"/>
      <c r="VBL1103" s="15"/>
      <c r="VBO1103" s="15"/>
      <c r="VBP1103" s="15"/>
      <c r="VBS1103" s="15"/>
      <c r="VBT1103" s="15"/>
      <c r="VBW1103" s="15"/>
      <c r="VBX1103" s="15"/>
      <c r="VCA1103" s="15"/>
      <c r="VCB1103" s="15"/>
      <c r="VCE1103" s="15"/>
      <c r="VCF1103" s="15"/>
      <c r="VCI1103" s="15"/>
      <c r="VCJ1103" s="15"/>
      <c r="VCM1103" s="15"/>
      <c r="VCN1103" s="15"/>
      <c r="VCQ1103" s="15"/>
      <c r="VCR1103" s="15"/>
      <c r="VCU1103" s="15"/>
      <c r="VCV1103" s="15"/>
      <c r="VCY1103" s="15"/>
      <c r="VCZ1103" s="15"/>
      <c r="VDC1103" s="15"/>
      <c r="VDD1103" s="15"/>
      <c r="VDG1103" s="15"/>
      <c r="VDH1103" s="15"/>
      <c r="VDK1103" s="15"/>
      <c r="VDL1103" s="15"/>
      <c r="VDO1103" s="15"/>
      <c r="VDP1103" s="15"/>
      <c r="VDS1103" s="15"/>
      <c r="VDT1103" s="15"/>
      <c r="VDW1103" s="15"/>
      <c r="VDX1103" s="15"/>
      <c r="VEA1103" s="15"/>
      <c r="VEB1103" s="15"/>
      <c r="VEE1103" s="15"/>
      <c r="VEF1103" s="15"/>
      <c r="VEI1103" s="15"/>
      <c r="VEJ1103" s="15"/>
      <c r="VEM1103" s="15"/>
      <c r="VEN1103" s="15"/>
      <c r="VEQ1103" s="15"/>
      <c r="VER1103" s="15"/>
      <c r="VEU1103" s="15"/>
      <c r="VEV1103" s="15"/>
      <c r="VEY1103" s="15"/>
      <c r="VEZ1103" s="15"/>
      <c r="VFC1103" s="15"/>
      <c r="VFD1103" s="15"/>
      <c r="VFG1103" s="15"/>
      <c r="VFH1103" s="15"/>
      <c r="VFK1103" s="15"/>
      <c r="VFL1103" s="15"/>
      <c r="VFO1103" s="15"/>
      <c r="VFP1103" s="15"/>
      <c r="VFS1103" s="15"/>
      <c r="VFT1103" s="15"/>
      <c r="VFW1103" s="15"/>
      <c r="VFX1103" s="15"/>
      <c r="VGA1103" s="15"/>
      <c r="VGB1103" s="15"/>
      <c r="VGE1103" s="15"/>
      <c r="VGF1103" s="15"/>
      <c r="VGI1103" s="15"/>
      <c r="VGJ1103" s="15"/>
      <c r="VGM1103" s="15"/>
      <c r="VGN1103" s="15"/>
      <c r="VGQ1103" s="15"/>
      <c r="VGR1103" s="15"/>
      <c r="VGU1103" s="15"/>
      <c r="VGV1103" s="15"/>
      <c r="VGY1103" s="15"/>
      <c r="VGZ1103" s="15"/>
      <c r="VHC1103" s="15"/>
      <c r="VHD1103" s="15"/>
      <c r="VHG1103" s="15"/>
      <c r="VHH1103" s="15"/>
      <c r="VHK1103" s="15"/>
      <c r="VHL1103" s="15"/>
      <c r="VHO1103" s="15"/>
      <c r="VHP1103" s="15"/>
      <c r="VHS1103" s="15"/>
      <c r="VHT1103" s="15"/>
      <c r="VHW1103" s="15"/>
      <c r="VHX1103" s="15"/>
      <c r="VIA1103" s="15"/>
      <c r="VIB1103" s="15"/>
      <c r="VIE1103" s="15"/>
      <c r="VIF1103" s="15"/>
      <c r="VII1103" s="15"/>
      <c r="VIJ1103" s="15"/>
      <c r="VIM1103" s="15"/>
      <c r="VIN1103" s="15"/>
      <c r="VIQ1103" s="15"/>
      <c r="VIR1103" s="15"/>
      <c r="VIU1103" s="15"/>
      <c r="VIV1103" s="15"/>
      <c r="VIY1103" s="15"/>
      <c r="VIZ1103" s="15"/>
      <c r="VJC1103" s="15"/>
      <c r="VJD1103" s="15"/>
      <c r="VJG1103" s="15"/>
      <c r="VJH1103" s="15"/>
      <c r="VJK1103" s="15"/>
      <c r="VJL1103" s="15"/>
      <c r="VJO1103" s="15"/>
      <c r="VJP1103" s="15"/>
      <c r="VJS1103" s="15"/>
      <c r="VJT1103" s="15"/>
      <c r="VJW1103" s="15"/>
      <c r="VJX1103" s="15"/>
      <c r="VKA1103" s="15"/>
      <c r="VKB1103" s="15"/>
      <c r="VKE1103" s="15"/>
      <c r="VKF1103" s="15"/>
      <c r="VKI1103" s="15"/>
      <c r="VKJ1103" s="15"/>
      <c r="VKM1103" s="15"/>
      <c r="VKN1103" s="15"/>
      <c r="VKQ1103" s="15"/>
      <c r="VKR1103" s="15"/>
      <c r="VKU1103" s="15"/>
      <c r="VKV1103" s="15"/>
      <c r="VKY1103" s="15"/>
      <c r="VKZ1103" s="15"/>
      <c r="VLC1103" s="15"/>
      <c r="VLD1103" s="15"/>
      <c r="VLG1103" s="15"/>
      <c r="VLH1103" s="15"/>
      <c r="VLK1103" s="15"/>
      <c r="VLL1103" s="15"/>
      <c r="VLO1103" s="15"/>
      <c r="VLP1103" s="15"/>
      <c r="VLS1103" s="15"/>
      <c r="VLT1103" s="15"/>
      <c r="VLW1103" s="15"/>
      <c r="VLX1103" s="15"/>
      <c r="VMA1103" s="15"/>
      <c r="VMB1103" s="15"/>
      <c r="VME1103" s="15"/>
      <c r="VMF1103" s="15"/>
      <c r="VMI1103" s="15"/>
      <c r="VMJ1103" s="15"/>
      <c r="VMM1103" s="15"/>
      <c r="VMN1103" s="15"/>
      <c r="VMQ1103" s="15"/>
      <c r="VMR1103" s="15"/>
      <c r="VMU1103" s="15"/>
      <c r="VMV1103" s="15"/>
      <c r="VMY1103" s="15"/>
      <c r="VMZ1103" s="15"/>
      <c r="VNC1103" s="15"/>
      <c r="VND1103" s="15"/>
      <c r="VNG1103" s="15"/>
      <c r="VNH1103" s="15"/>
      <c r="VNK1103" s="15"/>
      <c r="VNL1103" s="15"/>
      <c r="VNO1103" s="15"/>
      <c r="VNP1103" s="15"/>
      <c r="VNS1103" s="15"/>
      <c r="VNT1103" s="15"/>
      <c r="VNW1103" s="15"/>
      <c r="VNX1103" s="15"/>
      <c r="VOA1103" s="15"/>
      <c r="VOB1103" s="15"/>
      <c r="VOE1103" s="15"/>
      <c r="VOF1103" s="15"/>
      <c r="VOI1103" s="15"/>
      <c r="VOJ1103" s="15"/>
      <c r="VOM1103" s="15"/>
      <c r="VON1103" s="15"/>
      <c r="VOQ1103" s="15"/>
      <c r="VOR1103" s="15"/>
      <c r="VOU1103" s="15"/>
      <c r="VOV1103" s="15"/>
      <c r="VOY1103" s="15"/>
      <c r="VOZ1103" s="15"/>
      <c r="VPC1103" s="15"/>
      <c r="VPD1103" s="15"/>
      <c r="VPG1103" s="15"/>
      <c r="VPH1103" s="15"/>
      <c r="VPK1103" s="15"/>
      <c r="VPL1103" s="15"/>
      <c r="VPO1103" s="15"/>
      <c r="VPP1103" s="15"/>
      <c r="VPS1103" s="15"/>
      <c r="VPT1103" s="15"/>
      <c r="VPW1103" s="15"/>
      <c r="VPX1103" s="15"/>
      <c r="VQA1103" s="15"/>
      <c r="VQB1103" s="15"/>
      <c r="VQE1103" s="15"/>
      <c r="VQF1103" s="15"/>
      <c r="VQI1103" s="15"/>
      <c r="VQJ1103" s="15"/>
      <c r="VQM1103" s="15"/>
      <c r="VQN1103" s="15"/>
      <c r="VQQ1103" s="15"/>
      <c r="VQR1103" s="15"/>
      <c r="VQU1103" s="15"/>
      <c r="VQV1103" s="15"/>
      <c r="VQY1103" s="15"/>
      <c r="VQZ1103" s="15"/>
      <c r="VRC1103" s="15"/>
      <c r="VRD1103" s="15"/>
      <c r="VRG1103" s="15"/>
      <c r="VRH1103" s="15"/>
      <c r="VRK1103" s="15"/>
      <c r="VRL1103" s="15"/>
      <c r="VRO1103" s="15"/>
      <c r="VRP1103" s="15"/>
      <c r="VRS1103" s="15"/>
      <c r="VRT1103" s="15"/>
      <c r="VRW1103" s="15"/>
      <c r="VRX1103" s="15"/>
      <c r="VSA1103" s="15"/>
      <c r="VSB1103" s="15"/>
      <c r="VSE1103" s="15"/>
      <c r="VSF1103" s="15"/>
      <c r="VSI1103" s="15"/>
      <c r="VSJ1103" s="15"/>
      <c r="VSM1103" s="15"/>
      <c r="VSN1103" s="15"/>
      <c r="VSQ1103" s="15"/>
      <c r="VSR1103" s="15"/>
      <c r="VSU1103" s="15"/>
      <c r="VSV1103" s="15"/>
      <c r="VSY1103" s="15"/>
      <c r="VSZ1103" s="15"/>
      <c r="VTC1103" s="15"/>
      <c r="VTD1103" s="15"/>
      <c r="VTG1103" s="15"/>
      <c r="VTH1103" s="15"/>
      <c r="VTK1103" s="15"/>
      <c r="VTL1103" s="15"/>
      <c r="VTO1103" s="15"/>
      <c r="VTP1103" s="15"/>
      <c r="VTS1103" s="15"/>
      <c r="VTT1103" s="15"/>
      <c r="VTW1103" s="15"/>
      <c r="VTX1103" s="15"/>
      <c r="VUA1103" s="15"/>
      <c r="VUB1103" s="15"/>
      <c r="VUE1103" s="15"/>
      <c r="VUF1103" s="15"/>
      <c r="VUI1103" s="15"/>
      <c r="VUJ1103" s="15"/>
      <c r="VUM1103" s="15"/>
      <c r="VUN1103" s="15"/>
      <c r="VUQ1103" s="15"/>
      <c r="VUR1103" s="15"/>
      <c r="VUU1103" s="15"/>
      <c r="VUV1103" s="15"/>
      <c r="VUY1103" s="15"/>
      <c r="VUZ1103" s="15"/>
      <c r="VVC1103" s="15"/>
      <c r="VVD1103" s="15"/>
      <c r="VVG1103" s="15"/>
      <c r="VVH1103" s="15"/>
      <c r="VVK1103" s="15"/>
      <c r="VVL1103" s="15"/>
      <c r="VVO1103" s="15"/>
      <c r="VVP1103" s="15"/>
      <c r="VVS1103" s="15"/>
      <c r="VVT1103" s="15"/>
      <c r="VVW1103" s="15"/>
      <c r="VVX1103" s="15"/>
      <c r="VWA1103" s="15"/>
      <c r="VWB1103" s="15"/>
      <c r="VWE1103" s="15"/>
      <c r="VWF1103" s="15"/>
      <c r="VWI1103" s="15"/>
      <c r="VWJ1103" s="15"/>
      <c r="VWM1103" s="15"/>
      <c r="VWN1103" s="15"/>
      <c r="VWQ1103" s="15"/>
      <c r="VWR1103" s="15"/>
      <c r="VWU1103" s="15"/>
      <c r="VWV1103" s="15"/>
      <c r="VWY1103" s="15"/>
      <c r="VWZ1103" s="15"/>
      <c r="VXC1103" s="15"/>
      <c r="VXD1103" s="15"/>
      <c r="VXG1103" s="15"/>
      <c r="VXH1103" s="15"/>
      <c r="VXK1103" s="15"/>
      <c r="VXL1103" s="15"/>
      <c r="VXO1103" s="15"/>
      <c r="VXP1103" s="15"/>
      <c r="VXS1103" s="15"/>
      <c r="VXT1103" s="15"/>
      <c r="VXW1103" s="15"/>
      <c r="VXX1103" s="15"/>
      <c r="VYA1103" s="15"/>
      <c r="VYB1103" s="15"/>
      <c r="VYE1103" s="15"/>
      <c r="VYF1103" s="15"/>
      <c r="VYI1103" s="15"/>
      <c r="VYJ1103" s="15"/>
      <c r="VYM1103" s="15"/>
      <c r="VYN1103" s="15"/>
      <c r="VYQ1103" s="15"/>
      <c r="VYR1103" s="15"/>
      <c r="VYU1103" s="15"/>
      <c r="VYV1103" s="15"/>
      <c r="VYY1103" s="15"/>
      <c r="VYZ1103" s="15"/>
      <c r="VZC1103" s="15"/>
      <c r="VZD1103" s="15"/>
      <c r="VZG1103" s="15"/>
      <c r="VZH1103" s="15"/>
      <c r="VZK1103" s="15"/>
      <c r="VZL1103" s="15"/>
      <c r="VZO1103" s="15"/>
      <c r="VZP1103" s="15"/>
      <c r="VZS1103" s="15"/>
      <c r="VZT1103" s="15"/>
      <c r="VZW1103" s="15"/>
      <c r="VZX1103" s="15"/>
      <c r="WAA1103" s="15"/>
      <c r="WAB1103" s="15"/>
      <c r="WAE1103" s="15"/>
      <c r="WAF1103" s="15"/>
      <c r="WAI1103" s="15"/>
      <c r="WAJ1103" s="15"/>
      <c r="WAM1103" s="15"/>
      <c r="WAN1103" s="15"/>
      <c r="WAQ1103" s="15"/>
      <c r="WAR1103" s="15"/>
      <c r="WAU1103" s="15"/>
      <c r="WAV1103" s="15"/>
      <c r="WAY1103" s="15"/>
      <c r="WAZ1103" s="15"/>
      <c r="WBC1103" s="15"/>
      <c r="WBD1103" s="15"/>
      <c r="WBG1103" s="15"/>
      <c r="WBH1103" s="15"/>
      <c r="WBK1103" s="15"/>
      <c r="WBL1103" s="15"/>
      <c r="WBO1103" s="15"/>
      <c r="WBP1103" s="15"/>
      <c r="WBS1103" s="15"/>
      <c r="WBT1103" s="15"/>
      <c r="WBW1103" s="15"/>
      <c r="WBX1103" s="15"/>
      <c r="WCA1103" s="15"/>
      <c r="WCB1103" s="15"/>
      <c r="WCE1103" s="15"/>
      <c r="WCF1103" s="15"/>
      <c r="WCI1103" s="15"/>
      <c r="WCJ1103" s="15"/>
      <c r="WCM1103" s="15"/>
      <c r="WCN1103" s="15"/>
      <c r="WCQ1103" s="15"/>
      <c r="WCR1103" s="15"/>
      <c r="WCU1103" s="15"/>
      <c r="WCV1103" s="15"/>
      <c r="WCY1103" s="15"/>
      <c r="WCZ1103" s="15"/>
      <c r="WDC1103" s="15"/>
      <c r="WDD1103" s="15"/>
      <c r="WDG1103" s="15"/>
      <c r="WDH1103" s="15"/>
      <c r="WDK1103" s="15"/>
      <c r="WDL1103" s="15"/>
      <c r="WDO1103" s="15"/>
      <c r="WDP1103" s="15"/>
      <c r="WDS1103" s="15"/>
      <c r="WDT1103" s="15"/>
      <c r="WDW1103" s="15"/>
      <c r="WDX1103" s="15"/>
      <c r="WEA1103" s="15"/>
      <c r="WEB1103" s="15"/>
      <c r="WEE1103" s="15"/>
      <c r="WEF1103" s="15"/>
      <c r="WEI1103" s="15"/>
      <c r="WEJ1103" s="15"/>
      <c r="WEM1103" s="15"/>
      <c r="WEN1103" s="15"/>
      <c r="WEQ1103" s="15"/>
      <c r="WER1103" s="15"/>
      <c r="WEU1103" s="15"/>
      <c r="WEV1103" s="15"/>
      <c r="WEY1103" s="15"/>
      <c r="WEZ1103" s="15"/>
      <c r="WFC1103" s="15"/>
      <c r="WFD1103" s="15"/>
      <c r="WFG1103" s="15"/>
      <c r="WFH1103" s="15"/>
      <c r="WFK1103" s="15"/>
      <c r="WFL1103" s="15"/>
      <c r="WFO1103" s="15"/>
      <c r="WFP1103" s="15"/>
      <c r="WFS1103" s="15"/>
      <c r="WFT1103" s="15"/>
      <c r="WFW1103" s="15"/>
      <c r="WFX1103" s="15"/>
      <c r="WGA1103" s="15"/>
      <c r="WGB1103" s="15"/>
      <c r="WGE1103" s="15"/>
      <c r="WGF1103" s="15"/>
      <c r="WGI1103" s="15"/>
      <c r="WGJ1103" s="15"/>
      <c r="WGM1103" s="15"/>
      <c r="WGN1103" s="15"/>
      <c r="WGQ1103" s="15"/>
      <c r="WGR1103" s="15"/>
      <c r="WGU1103" s="15"/>
      <c r="WGV1103" s="15"/>
      <c r="WGY1103" s="15"/>
      <c r="WGZ1103" s="15"/>
      <c r="WHC1103" s="15"/>
      <c r="WHD1103" s="15"/>
      <c r="WHG1103" s="15"/>
      <c r="WHH1103" s="15"/>
      <c r="WHK1103" s="15"/>
      <c r="WHL1103" s="15"/>
      <c r="WHO1103" s="15"/>
      <c r="WHP1103" s="15"/>
      <c r="WHS1103" s="15"/>
      <c r="WHT1103" s="15"/>
      <c r="WHW1103" s="15"/>
      <c r="WHX1103" s="15"/>
      <c r="WIA1103" s="15"/>
      <c r="WIB1103" s="15"/>
      <c r="WIE1103" s="15"/>
      <c r="WIF1103" s="15"/>
      <c r="WII1103" s="15"/>
      <c r="WIJ1103" s="15"/>
      <c r="WIM1103" s="15"/>
      <c r="WIN1103" s="15"/>
      <c r="WIQ1103" s="15"/>
      <c r="WIR1103" s="15"/>
      <c r="WIU1103" s="15"/>
      <c r="WIV1103" s="15"/>
      <c r="WIY1103" s="15"/>
      <c r="WIZ1103" s="15"/>
      <c r="WJC1103" s="15"/>
      <c r="WJD1103" s="15"/>
      <c r="WJG1103" s="15"/>
      <c r="WJH1103" s="15"/>
      <c r="WJK1103" s="15"/>
      <c r="WJL1103" s="15"/>
      <c r="WJO1103" s="15"/>
      <c r="WJP1103" s="15"/>
      <c r="WJS1103" s="15"/>
      <c r="WJT1103" s="15"/>
      <c r="WJW1103" s="15"/>
      <c r="WJX1103" s="15"/>
      <c r="WKA1103" s="15"/>
      <c r="WKB1103" s="15"/>
      <c r="WKE1103" s="15"/>
      <c r="WKF1103" s="15"/>
      <c r="WKI1103" s="15"/>
      <c r="WKJ1103" s="15"/>
      <c r="WKM1103" s="15"/>
      <c r="WKN1103" s="15"/>
      <c r="WKQ1103" s="15"/>
      <c r="WKR1103" s="15"/>
      <c r="WKU1103" s="15"/>
      <c r="WKV1103" s="15"/>
      <c r="WKY1103" s="15"/>
      <c r="WKZ1103" s="15"/>
      <c r="WLC1103" s="15"/>
      <c r="WLD1103" s="15"/>
      <c r="WLG1103" s="15"/>
      <c r="WLH1103" s="15"/>
      <c r="WLK1103" s="15"/>
      <c r="WLL1103" s="15"/>
      <c r="WLO1103" s="15"/>
      <c r="WLP1103" s="15"/>
      <c r="WLS1103" s="15"/>
      <c r="WLT1103" s="15"/>
      <c r="WLW1103" s="15"/>
      <c r="WLX1103" s="15"/>
      <c r="WMA1103" s="15"/>
      <c r="WMB1103" s="15"/>
      <c r="WME1103" s="15"/>
      <c r="WMF1103" s="15"/>
      <c r="WMI1103" s="15"/>
      <c r="WMJ1103" s="15"/>
      <c r="WMM1103" s="15"/>
      <c r="WMN1103" s="15"/>
      <c r="WMQ1103" s="15"/>
      <c r="WMR1103" s="15"/>
      <c r="WMU1103" s="15"/>
      <c r="WMV1103" s="15"/>
      <c r="WMY1103" s="15"/>
      <c r="WMZ1103" s="15"/>
      <c r="WNC1103" s="15"/>
      <c r="WND1103" s="15"/>
      <c r="WNG1103" s="15"/>
      <c r="WNH1103" s="15"/>
      <c r="WNK1103" s="15"/>
      <c r="WNL1103" s="15"/>
      <c r="WNO1103" s="15"/>
      <c r="WNP1103" s="15"/>
      <c r="WNS1103" s="15"/>
      <c r="WNT1103" s="15"/>
      <c r="WNW1103" s="15"/>
      <c r="WNX1103" s="15"/>
      <c r="WOA1103" s="15"/>
      <c r="WOB1103" s="15"/>
      <c r="WOE1103" s="15"/>
      <c r="WOF1103" s="15"/>
      <c r="WOI1103" s="15"/>
      <c r="WOJ1103" s="15"/>
      <c r="WOM1103" s="15"/>
      <c r="WON1103" s="15"/>
      <c r="WOQ1103" s="15"/>
      <c r="WOR1103" s="15"/>
      <c r="WOU1103" s="15"/>
      <c r="WOV1103" s="15"/>
      <c r="WOY1103" s="15"/>
      <c r="WOZ1103" s="15"/>
      <c r="WPC1103" s="15"/>
      <c r="WPD1103" s="15"/>
      <c r="WPG1103" s="15"/>
      <c r="WPH1103" s="15"/>
      <c r="WPK1103" s="15"/>
      <c r="WPL1103" s="15"/>
      <c r="WPO1103" s="15"/>
      <c r="WPP1103" s="15"/>
      <c r="WPS1103" s="15"/>
      <c r="WPT1103" s="15"/>
      <c r="WPW1103" s="15"/>
      <c r="WPX1103" s="15"/>
      <c r="WQA1103" s="15"/>
      <c r="WQB1103" s="15"/>
      <c r="WQE1103" s="15"/>
      <c r="WQF1103" s="15"/>
      <c r="WQI1103" s="15"/>
      <c r="WQJ1103" s="15"/>
      <c r="WQM1103" s="15"/>
      <c r="WQN1103" s="15"/>
      <c r="WQQ1103" s="15"/>
      <c r="WQR1103" s="15"/>
      <c r="WQU1103" s="15"/>
      <c r="WQV1103" s="15"/>
      <c r="WQY1103" s="15"/>
      <c r="WQZ1103" s="15"/>
      <c r="WRC1103" s="15"/>
      <c r="WRD1103" s="15"/>
      <c r="WRG1103" s="15"/>
      <c r="WRH1103" s="15"/>
      <c r="WRK1103" s="15"/>
      <c r="WRL1103" s="15"/>
      <c r="WRO1103" s="15"/>
      <c r="WRP1103" s="15"/>
      <c r="WRS1103" s="15"/>
      <c r="WRT1103" s="15"/>
      <c r="WRW1103" s="15"/>
      <c r="WRX1103" s="15"/>
      <c r="WSA1103" s="15"/>
      <c r="WSB1103" s="15"/>
      <c r="WSE1103" s="15"/>
      <c r="WSF1103" s="15"/>
      <c r="WSI1103" s="15"/>
      <c r="WSJ1103" s="15"/>
      <c r="WSM1103" s="15"/>
      <c r="WSN1103" s="15"/>
      <c r="WSQ1103" s="15"/>
      <c r="WSR1103" s="15"/>
      <c r="WSU1103" s="15"/>
      <c r="WSV1103" s="15"/>
      <c r="WSY1103" s="15"/>
      <c r="WSZ1103" s="15"/>
      <c r="WTC1103" s="15"/>
      <c r="WTD1103" s="15"/>
      <c r="WTG1103" s="15"/>
      <c r="WTH1103" s="15"/>
      <c r="WTK1103" s="15"/>
      <c r="WTL1103" s="15"/>
      <c r="WTO1103" s="15"/>
      <c r="WTP1103" s="15"/>
      <c r="WTS1103" s="15"/>
      <c r="WTT1103" s="15"/>
      <c r="WTW1103" s="15"/>
      <c r="WTX1103" s="15"/>
      <c r="WUA1103" s="15"/>
      <c r="WUB1103" s="15"/>
      <c r="WUE1103" s="15"/>
      <c r="WUF1103" s="15"/>
      <c r="WUI1103" s="15"/>
      <c r="WUJ1103" s="15"/>
      <c r="WUM1103" s="15"/>
      <c r="WUN1103" s="15"/>
      <c r="WUQ1103" s="15"/>
      <c r="WUR1103" s="15"/>
      <c r="WUU1103" s="15"/>
      <c r="WUV1103" s="15"/>
      <c r="WUY1103" s="15"/>
      <c r="WUZ1103" s="15"/>
      <c r="WVC1103" s="15"/>
      <c r="WVD1103" s="15"/>
      <c r="WVG1103" s="15"/>
      <c r="WVH1103" s="15"/>
      <c r="WVK1103" s="15"/>
      <c r="WVL1103" s="15"/>
      <c r="WVO1103" s="15"/>
      <c r="WVP1103" s="15"/>
      <c r="WVS1103" s="15"/>
      <c r="WVT1103" s="15"/>
      <c r="WVW1103" s="15"/>
      <c r="WVX1103" s="15"/>
      <c r="WWA1103" s="15"/>
      <c r="WWB1103" s="15"/>
      <c r="WWE1103" s="15"/>
      <c r="WWF1103" s="15"/>
      <c r="WWI1103" s="15"/>
      <c r="WWJ1103" s="15"/>
      <c r="WWM1103" s="15"/>
      <c r="WWN1103" s="15"/>
      <c r="WWQ1103" s="15"/>
      <c r="WWR1103" s="15"/>
      <c r="WWU1103" s="15"/>
      <c r="WWV1103" s="15"/>
      <c r="WWY1103" s="15"/>
      <c r="WWZ1103" s="15"/>
      <c r="WXC1103" s="15"/>
      <c r="WXD1103" s="15"/>
      <c r="WXG1103" s="15"/>
      <c r="WXH1103" s="15"/>
      <c r="WXK1103" s="15"/>
      <c r="WXL1103" s="15"/>
      <c r="WXO1103" s="15"/>
      <c r="WXP1103" s="15"/>
      <c r="WXS1103" s="15"/>
      <c r="WXT1103" s="15"/>
      <c r="WXW1103" s="15"/>
      <c r="WXX1103" s="15"/>
      <c r="WYA1103" s="15"/>
      <c r="WYB1103" s="15"/>
      <c r="WYE1103" s="15"/>
      <c r="WYF1103" s="15"/>
      <c r="WYI1103" s="15"/>
      <c r="WYJ1103" s="15"/>
      <c r="WYM1103" s="15"/>
      <c r="WYN1103" s="15"/>
      <c r="WYQ1103" s="15"/>
      <c r="WYR1103" s="15"/>
      <c r="WYU1103" s="15"/>
      <c r="WYV1103" s="15"/>
      <c r="WYY1103" s="15"/>
      <c r="WYZ1103" s="15"/>
      <c r="WZC1103" s="15"/>
      <c r="WZD1103" s="15"/>
      <c r="WZG1103" s="15"/>
      <c r="WZH1103" s="15"/>
      <c r="WZK1103" s="15"/>
      <c r="WZL1103" s="15"/>
      <c r="WZO1103" s="15"/>
      <c r="WZP1103" s="15"/>
      <c r="WZS1103" s="15"/>
      <c r="WZT1103" s="15"/>
      <c r="WZW1103" s="15"/>
      <c r="WZX1103" s="15"/>
      <c r="XAA1103" s="15"/>
      <c r="XAB1103" s="15"/>
      <c r="XAE1103" s="15"/>
      <c r="XAF1103" s="15"/>
      <c r="XAI1103" s="15"/>
      <c r="XAJ1103" s="15"/>
      <c r="XAM1103" s="15"/>
      <c r="XAN1103" s="15"/>
      <c r="XAQ1103" s="15"/>
      <c r="XAR1103" s="15"/>
      <c r="XAU1103" s="15"/>
      <c r="XAV1103" s="15"/>
      <c r="XAY1103" s="15"/>
      <c r="XAZ1103" s="15"/>
      <c r="XBC1103" s="15"/>
      <c r="XBD1103" s="15"/>
      <c r="XBG1103" s="15"/>
      <c r="XBH1103" s="15"/>
      <c r="XBK1103" s="15"/>
      <c r="XBL1103" s="15"/>
      <c r="XBO1103" s="15"/>
      <c r="XBP1103" s="15"/>
      <c r="XBS1103" s="15"/>
      <c r="XBT1103" s="15"/>
      <c r="XBW1103" s="15"/>
      <c r="XBX1103" s="15"/>
      <c r="XCA1103" s="15"/>
      <c r="XCB1103" s="15"/>
      <c r="XCE1103" s="15"/>
      <c r="XCF1103" s="15"/>
      <c r="XCI1103" s="15"/>
      <c r="XCJ1103" s="15"/>
      <c r="XCM1103" s="15"/>
      <c r="XCN1103" s="15"/>
      <c r="XCQ1103" s="15"/>
      <c r="XCR1103" s="15"/>
      <c r="XCU1103" s="15"/>
      <c r="XCV1103" s="15"/>
      <c r="XCY1103" s="15"/>
      <c r="XCZ1103" s="15"/>
      <c r="XDC1103" s="15"/>
      <c r="XDD1103" s="15"/>
      <c r="XDG1103" s="15"/>
      <c r="XDH1103" s="15"/>
      <c r="XDK1103" s="15"/>
      <c r="XDL1103" s="15"/>
      <c r="XDO1103" s="15"/>
      <c r="XDP1103" s="15"/>
      <c r="XDS1103" s="15"/>
      <c r="XDT1103" s="15"/>
      <c r="XDW1103" s="15"/>
      <c r="XDX1103" s="15"/>
      <c r="XEA1103" s="15"/>
      <c r="XEB1103" s="15"/>
      <c r="XEE1103" s="15"/>
      <c r="XEF1103" s="15"/>
      <c r="XEI1103" s="15"/>
      <c r="XEJ1103" s="15"/>
      <c r="XEM1103" s="15"/>
      <c r="XEN1103" s="15"/>
      <c r="XEQ1103" s="15"/>
      <c r="XER1103" s="15"/>
      <c r="XEU1103" s="15"/>
      <c r="XEV1103" s="15"/>
      <c r="XEY1103" s="15"/>
      <c r="XEZ1103" s="15"/>
      <c r="XFC1103" s="15"/>
      <c r="XFD1103" s="15"/>
    </row>
    <row r="1104" spans="1:1024 1027:2048 2051:3072 3075:4096 4099:5120 5123:6144 6147:7168 7171:8192 8195:9216 9219:10240 10243:11264 11267:12288 12291:13312 13315:14336 14339:15360 15363:16384" outlineLevel="1" x14ac:dyDescent="0.3">
      <c r="A1104" t="s">
        <v>1830</v>
      </c>
      <c r="B1104" t="s">
        <v>269</v>
      </c>
      <c r="C1104" s="15" t="s">
        <v>10</v>
      </c>
      <c r="D1104" s="15" t="s">
        <v>1831</v>
      </c>
      <c r="E1104" t="s">
        <v>8512</v>
      </c>
      <c r="G1104" s="15"/>
      <c r="H1104" s="15"/>
      <c r="K1104" s="15"/>
      <c r="L1104" s="15"/>
      <c r="O1104" s="15"/>
      <c r="P1104" s="15"/>
      <c r="S1104" s="15"/>
      <c r="T1104" s="15"/>
      <c r="W1104" s="15"/>
      <c r="X1104" s="15"/>
      <c r="AA1104" s="15"/>
      <c r="AB1104" s="15"/>
      <c r="AE1104" s="15"/>
      <c r="AF1104" s="15"/>
      <c r="AI1104" s="15"/>
      <c r="AJ1104" s="15"/>
      <c r="AM1104" s="15"/>
      <c r="AN1104" s="15"/>
      <c r="AQ1104" s="15"/>
      <c r="AR1104" s="15"/>
      <c r="AU1104" s="15"/>
      <c r="AV1104" s="15"/>
      <c r="AY1104" s="15"/>
      <c r="AZ1104" s="15"/>
      <c r="BC1104" s="15"/>
      <c r="BD1104" s="15"/>
      <c r="BG1104" s="15"/>
      <c r="BH1104" s="15"/>
      <c r="BK1104" s="15"/>
      <c r="BL1104" s="15"/>
      <c r="BO1104" s="15"/>
      <c r="BP1104" s="15"/>
      <c r="BS1104" s="15"/>
      <c r="BT1104" s="15"/>
      <c r="BW1104" s="15"/>
      <c r="BX1104" s="15"/>
      <c r="CA1104" s="15"/>
      <c r="CB1104" s="15"/>
      <c r="CE1104" s="15"/>
      <c r="CF1104" s="15"/>
      <c r="CI1104" s="15"/>
      <c r="CJ1104" s="15"/>
      <c r="CM1104" s="15"/>
      <c r="CN1104" s="15"/>
      <c r="CQ1104" s="15"/>
      <c r="CR1104" s="15"/>
      <c r="CU1104" s="15"/>
      <c r="CV1104" s="15"/>
      <c r="CY1104" s="15"/>
      <c r="CZ1104" s="15"/>
      <c r="DC1104" s="15"/>
      <c r="DD1104" s="15"/>
      <c r="DG1104" s="15"/>
      <c r="DH1104" s="15"/>
      <c r="DK1104" s="15"/>
      <c r="DL1104" s="15"/>
      <c r="DO1104" s="15"/>
      <c r="DP1104" s="15"/>
      <c r="DS1104" s="15"/>
      <c r="DT1104" s="15"/>
      <c r="DW1104" s="15"/>
      <c r="DX1104" s="15"/>
      <c r="EA1104" s="15"/>
      <c r="EB1104" s="15"/>
      <c r="EE1104" s="15"/>
      <c r="EF1104" s="15"/>
      <c r="EI1104" s="15"/>
      <c r="EJ1104" s="15"/>
      <c r="EM1104" s="15"/>
      <c r="EN1104" s="15"/>
      <c r="EQ1104" s="15"/>
      <c r="ER1104" s="15"/>
      <c r="EU1104" s="15"/>
      <c r="EV1104" s="15"/>
      <c r="EY1104" s="15"/>
      <c r="EZ1104" s="15"/>
      <c r="FC1104" s="15"/>
      <c r="FD1104" s="15"/>
      <c r="FG1104" s="15"/>
      <c r="FH1104" s="15"/>
      <c r="FK1104" s="15"/>
      <c r="FL1104" s="15"/>
      <c r="FO1104" s="15"/>
      <c r="FP1104" s="15"/>
      <c r="FS1104" s="15"/>
      <c r="FT1104" s="15"/>
      <c r="FW1104" s="15"/>
      <c r="FX1104" s="15"/>
      <c r="GA1104" s="15"/>
      <c r="GB1104" s="15"/>
      <c r="GE1104" s="15"/>
      <c r="GF1104" s="15"/>
      <c r="GI1104" s="15"/>
      <c r="GJ1104" s="15"/>
      <c r="GM1104" s="15"/>
      <c r="GN1104" s="15"/>
      <c r="GQ1104" s="15"/>
      <c r="GR1104" s="15"/>
      <c r="GU1104" s="15"/>
      <c r="GV1104" s="15"/>
      <c r="GY1104" s="15"/>
      <c r="GZ1104" s="15"/>
      <c r="HC1104" s="15"/>
      <c r="HD1104" s="15"/>
      <c r="HG1104" s="15"/>
      <c r="HH1104" s="15"/>
      <c r="HK1104" s="15"/>
      <c r="HL1104" s="15"/>
      <c r="HO1104" s="15"/>
      <c r="HP1104" s="15"/>
      <c r="HS1104" s="15"/>
      <c r="HT1104" s="15"/>
      <c r="HW1104" s="15"/>
      <c r="HX1104" s="15"/>
      <c r="IA1104" s="15"/>
      <c r="IB1104" s="15"/>
      <c r="IE1104" s="15"/>
      <c r="IF1104" s="15"/>
      <c r="II1104" s="15"/>
      <c r="IJ1104" s="15"/>
      <c r="IM1104" s="15"/>
      <c r="IN1104" s="15"/>
      <c r="IQ1104" s="15"/>
      <c r="IR1104" s="15"/>
      <c r="IU1104" s="15"/>
      <c r="IV1104" s="15"/>
      <c r="IY1104" s="15"/>
      <c r="IZ1104" s="15"/>
      <c r="JC1104" s="15"/>
      <c r="JD1104" s="15"/>
      <c r="JG1104" s="15"/>
      <c r="JH1104" s="15"/>
      <c r="JK1104" s="15"/>
      <c r="JL1104" s="15"/>
      <c r="JO1104" s="15"/>
      <c r="JP1104" s="15"/>
      <c r="JS1104" s="15"/>
      <c r="JT1104" s="15"/>
      <c r="JW1104" s="15"/>
      <c r="JX1104" s="15"/>
      <c r="KA1104" s="15"/>
      <c r="KB1104" s="15"/>
      <c r="KE1104" s="15"/>
      <c r="KF1104" s="15"/>
      <c r="KI1104" s="15"/>
      <c r="KJ1104" s="15"/>
      <c r="KM1104" s="15"/>
      <c r="KN1104" s="15"/>
      <c r="KQ1104" s="15"/>
      <c r="KR1104" s="15"/>
      <c r="KU1104" s="15"/>
      <c r="KV1104" s="15"/>
      <c r="KY1104" s="15"/>
      <c r="KZ1104" s="15"/>
      <c r="LC1104" s="15"/>
      <c r="LD1104" s="15"/>
      <c r="LG1104" s="15"/>
      <c r="LH1104" s="15"/>
      <c r="LK1104" s="15"/>
      <c r="LL1104" s="15"/>
      <c r="LO1104" s="15"/>
      <c r="LP1104" s="15"/>
      <c r="LS1104" s="15"/>
      <c r="LT1104" s="15"/>
      <c r="LW1104" s="15"/>
      <c r="LX1104" s="15"/>
      <c r="MA1104" s="15"/>
      <c r="MB1104" s="15"/>
      <c r="ME1104" s="15"/>
      <c r="MF1104" s="15"/>
      <c r="MI1104" s="15"/>
      <c r="MJ1104" s="15"/>
      <c r="MM1104" s="15"/>
      <c r="MN1104" s="15"/>
      <c r="MQ1104" s="15"/>
      <c r="MR1104" s="15"/>
      <c r="MU1104" s="15"/>
      <c r="MV1104" s="15"/>
      <c r="MY1104" s="15"/>
      <c r="MZ1104" s="15"/>
      <c r="NC1104" s="15"/>
      <c r="ND1104" s="15"/>
      <c r="NG1104" s="15"/>
      <c r="NH1104" s="15"/>
      <c r="NK1104" s="15"/>
      <c r="NL1104" s="15"/>
      <c r="NO1104" s="15"/>
      <c r="NP1104" s="15"/>
      <c r="NS1104" s="15"/>
      <c r="NT1104" s="15"/>
      <c r="NW1104" s="15"/>
      <c r="NX1104" s="15"/>
      <c r="OA1104" s="15"/>
      <c r="OB1104" s="15"/>
      <c r="OE1104" s="15"/>
      <c r="OF1104" s="15"/>
      <c r="OI1104" s="15"/>
      <c r="OJ1104" s="15"/>
      <c r="OM1104" s="15"/>
      <c r="ON1104" s="15"/>
      <c r="OQ1104" s="15"/>
      <c r="OR1104" s="15"/>
      <c r="OU1104" s="15"/>
      <c r="OV1104" s="15"/>
      <c r="OY1104" s="15"/>
      <c r="OZ1104" s="15"/>
      <c r="PC1104" s="15"/>
      <c r="PD1104" s="15"/>
      <c r="PG1104" s="15"/>
      <c r="PH1104" s="15"/>
      <c r="PK1104" s="15"/>
      <c r="PL1104" s="15"/>
      <c r="PO1104" s="15"/>
      <c r="PP1104" s="15"/>
      <c r="PS1104" s="15"/>
      <c r="PT1104" s="15"/>
      <c r="PW1104" s="15"/>
      <c r="PX1104" s="15"/>
      <c r="QA1104" s="15"/>
      <c r="QB1104" s="15"/>
      <c r="QE1104" s="15"/>
      <c r="QF1104" s="15"/>
      <c r="QI1104" s="15"/>
      <c r="QJ1104" s="15"/>
      <c r="QM1104" s="15"/>
      <c r="QN1104" s="15"/>
      <c r="QQ1104" s="15"/>
      <c r="QR1104" s="15"/>
      <c r="QU1104" s="15"/>
      <c r="QV1104" s="15"/>
      <c r="QY1104" s="15"/>
      <c r="QZ1104" s="15"/>
      <c r="RC1104" s="15"/>
      <c r="RD1104" s="15"/>
      <c r="RG1104" s="15"/>
      <c r="RH1104" s="15"/>
      <c r="RK1104" s="15"/>
      <c r="RL1104" s="15"/>
      <c r="RO1104" s="15"/>
      <c r="RP1104" s="15"/>
      <c r="RS1104" s="15"/>
      <c r="RT1104" s="15"/>
      <c r="RW1104" s="15"/>
      <c r="RX1104" s="15"/>
      <c r="SA1104" s="15"/>
      <c r="SB1104" s="15"/>
      <c r="SE1104" s="15"/>
      <c r="SF1104" s="15"/>
      <c r="SI1104" s="15"/>
      <c r="SJ1104" s="15"/>
      <c r="SM1104" s="15"/>
      <c r="SN1104" s="15"/>
      <c r="SQ1104" s="15"/>
      <c r="SR1104" s="15"/>
      <c r="SU1104" s="15"/>
      <c r="SV1104" s="15"/>
      <c r="SY1104" s="15"/>
      <c r="SZ1104" s="15"/>
      <c r="TC1104" s="15"/>
      <c r="TD1104" s="15"/>
      <c r="TG1104" s="15"/>
      <c r="TH1104" s="15"/>
      <c r="TK1104" s="15"/>
      <c r="TL1104" s="15"/>
      <c r="TO1104" s="15"/>
      <c r="TP1104" s="15"/>
      <c r="TS1104" s="15"/>
      <c r="TT1104" s="15"/>
      <c r="TW1104" s="15"/>
      <c r="TX1104" s="15"/>
      <c r="UA1104" s="15"/>
      <c r="UB1104" s="15"/>
      <c r="UE1104" s="15"/>
      <c r="UF1104" s="15"/>
      <c r="UI1104" s="15"/>
      <c r="UJ1104" s="15"/>
      <c r="UM1104" s="15"/>
      <c r="UN1104" s="15"/>
      <c r="UQ1104" s="15"/>
      <c r="UR1104" s="15"/>
      <c r="UU1104" s="15"/>
      <c r="UV1104" s="15"/>
      <c r="UY1104" s="15"/>
      <c r="UZ1104" s="15"/>
      <c r="VC1104" s="15"/>
      <c r="VD1104" s="15"/>
      <c r="VG1104" s="15"/>
      <c r="VH1104" s="15"/>
      <c r="VK1104" s="15"/>
      <c r="VL1104" s="15"/>
      <c r="VO1104" s="15"/>
      <c r="VP1104" s="15"/>
      <c r="VS1104" s="15"/>
      <c r="VT1104" s="15"/>
      <c r="VW1104" s="15"/>
      <c r="VX1104" s="15"/>
      <c r="WA1104" s="15"/>
      <c r="WB1104" s="15"/>
      <c r="WE1104" s="15"/>
      <c r="WF1104" s="15"/>
      <c r="WI1104" s="15"/>
      <c r="WJ1104" s="15"/>
      <c r="WM1104" s="15"/>
      <c r="WN1104" s="15"/>
      <c r="WQ1104" s="15"/>
      <c r="WR1104" s="15"/>
      <c r="WU1104" s="15"/>
      <c r="WV1104" s="15"/>
      <c r="WY1104" s="15"/>
      <c r="WZ1104" s="15"/>
      <c r="XC1104" s="15"/>
      <c r="XD1104" s="15"/>
      <c r="XG1104" s="15"/>
      <c r="XH1104" s="15"/>
      <c r="XK1104" s="15"/>
      <c r="XL1104" s="15"/>
      <c r="XO1104" s="15"/>
      <c r="XP1104" s="15"/>
      <c r="XS1104" s="15"/>
      <c r="XT1104" s="15"/>
      <c r="XW1104" s="15"/>
      <c r="XX1104" s="15"/>
      <c r="YA1104" s="15"/>
      <c r="YB1104" s="15"/>
      <c r="YE1104" s="15"/>
      <c r="YF1104" s="15"/>
      <c r="YI1104" s="15"/>
      <c r="YJ1104" s="15"/>
      <c r="YM1104" s="15"/>
      <c r="YN1104" s="15"/>
      <c r="YQ1104" s="15"/>
      <c r="YR1104" s="15"/>
      <c r="YU1104" s="15"/>
      <c r="YV1104" s="15"/>
      <c r="YY1104" s="15"/>
      <c r="YZ1104" s="15"/>
      <c r="ZC1104" s="15"/>
      <c r="ZD1104" s="15"/>
      <c r="ZG1104" s="15"/>
      <c r="ZH1104" s="15"/>
      <c r="ZK1104" s="15"/>
      <c r="ZL1104" s="15"/>
      <c r="ZO1104" s="15"/>
      <c r="ZP1104" s="15"/>
      <c r="ZS1104" s="15"/>
      <c r="ZT1104" s="15"/>
      <c r="ZW1104" s="15"/>
      <c r="ZX1104" s="15"/>
      <c r="AAA1104" s="15"/>
      <c r="AAB1104" s="15"/>
      <c r="AAE1104" s="15"/>
      <c r="AAF1104" s="15"/>
      <c r="AAI1104" s="15"/>
      <c r="AAJ1104" s="15"/>
      <c r="AAM1104" s="15"/>
      <c r="AAN1104" s="15"/>
      <c r="AAQ1104" s="15"/>
      <c r="AAR1104" s="15"/>
      <c r="AAU1104" s="15"/>
      <c r="AAV1104" s="15"/>
      <c r="AAY1104" s="15"/>
      <c r="AAZ1104" s="15"/>
      <c r="ABC1104" s="15"/>
      <c r="ABD1104" s="15"/>
      <c r="ABG1104" s="15"/>
      <c r="ABH1104" s="15"/>
      <c r="ABK1104" s="15"/>
      <c r="ABL1104" s="15"/>
      <c r="ABO1104" s="15"/>
      <c r="ABP1104" s="15"/>
      <c r="ABS1104" s="15"/>
      <c r="ABT1104" s="15"/>
      <c r="ABW1104" s="15"/>
      <c r="ABX1104" s="15"/>
      <c r="ACA1104" s="15"/>
      <c r="ACB1104" s="15"/>
      <c r="ACE1104" s="15"/>
      <c r="ACF1104" s="15"/>
      <c r="ACI1104" s="15"/>
      <c r="ACJ1104" s="15"/>
      <c r="ACM1104" s="15"/>
      <c r="ACN1104" s="15"/>
      <c r="ACQ1104" s="15"/>
      <c r="ACR1104" s="15"/>
      <c r="ACU1104" s="15"/>
      <c r="ACV1104" s="15"/>
      <c r="ACY1104" s="15"/>
      <c r="ACZ1104" s="15"/>
      <c r="ADC1104" s="15"/>
      <c r="ADD1104" s="15"/>
      <c r="ADG1104" s="15"/>
      <c r="ADH1104" s="15"/>
      <c r="ADK1104" s="15"/>
      <c r="ADL1104" s="15"/>
      <c r="ADO1104" s="15"/>
      <c r="ADP1104" s="15"/>
      <c r="ADS1104" s="15"/>
      <c r="ADT1104" s="15"/>
      <c r="ADW1104" s="15"/>
      <c r="ADX1104" s="15"/>
      <c r="AEA1104" s="15"/>
      <c r="AEB1104" s="15"/>
      <c r="AEE1104" s="15"/>
      <c r="AEF1104" s="15"/>
      <c r="AEI1104" s="15"/>
      <c r="AEJ1104" s="15"/>
      <c r="AEM1104" s="15"/>
      <c r="AEN1104" s="15"/>
      <c r="AEQ1104" s="15"/>
      <c r="AER1104" s="15"/>
      <c r="AEU1104" s="15"/>
      <c r="AEV1104" s="15"/>
      <c r="AEY1104" s="15"/>
      <c r="AEZ1104" s="15"/>
      <c r="AFC1104" s="15"/>
      <c r="AFD1104" s="15"/>
      <c r="AFG1104" s="15"/>
      <c r="AFH1104" s="15"/>
      <c r="AFK1104" s="15"/>
      <c r="AFL1104" s="15"/>
      <c r="AFO1104" s="15"/>
      <c r="AFP1104" s="15"/>
      <c r="AFS1104" s="15"/>
      <c r="AFT1104" s="15"/>
      <c r="AFW1104" s="15"/>
      <c r="AFX1104" s="15"/>
      <c r="AGA1104" s="15"/>
      <c r="AGB1104" s="15"/>
      <c r="AGE1104" s="15"/>
      <c r="AGF1104" s="15"/>
      <c r="AGI1104" s="15"/>
      <c r="AGJ1104" s="15"/>
      <c r="AGM1104" s="15"/>
      <c r="AGN1104" s="15"/>
      <c r="AGQ1104" s="15"/>
      <c r="AGR1104" s="15"/>
      <c r="AGU1104" s="15"/>
      <c r="AGV1104" s="15"/>
      <c r="AGY1104" s="15"/>
      <c r="AGZ1104" s="15"/>
      <c r="AHC1104" s="15"/>
      <c r="AHD1104" s="15"/>
      <c r="AHG1104" s="15"/>
      <c r="AHH1104" s="15"/>
      <c r="AHK1104" s="15"/>
      <c r="AHL1104" s="15"/>
      <c r="AHO1104" s="15"/>
      <c r="AHP1104" s="15"/>
      <c r="AHS1104" s="15"/>
      <c r="AHT1104" s="15"/>
      <c r="AHW1104" s="15"/>
      <c r="AHX1104" s="15"/>
      <c r="AIA1104" s="15"/>
      <c r="AIB1104" s="15"/>
      <c r="AIE1104" s="15"/>
      <c r="AIF1104" s="15"/>
      <c r="AII1104" s="15"/>
      <c r="AIJ1104" s="15"/>
      <c r="AIM1104" s="15"/>
      <c r="AIN1104" s="15"/>
      <c r="AIQ1104" s="15"/>
      <c r="AIR1104" s="15"/>
      <c r="AIU1104" s="15"/>
      <c r="AIV1104" s="15"/>
      <c r="AIY1104" s="15"/>
      <c r="AIZ1104" s="15"/>
      <c r="AJC1104" s="15"/>
      <c r="AJD1104" s="15"/>
      <c r="AJG1104" s="15"/>
      <c r="AJH1104" s="15"/>
      <c r="AJK1104" s="15"/>
      <c r="AJL1104" s="15"/>
      <c r="AJO1104" s="15"/>
      <c r="AJP1104" s="15"/>
      <c r="AJS1104" s="15"/>
      <c r="AJT1104" s="15"/>
      <c r="AJW1104" s="15"/>
      <c r="AJX1104" s="15"/>
      <c r="AKA1104" s="15"/>
      <c r="AKB1104" s="15"/>
      <c r="AKE1104" s="15"/>
      <c r="AKF1104" s="15"/>
      <c r="AKI1104" s="15"/>
      <c r="AKJ1104" s="15"/>
      <c r="AKM1104" s="15"/>
      <c r="AKN1104" s="15"/>
      <c r="AKQ1104" s="15"/>
      <c r="AKR1104" s="15"/>
      <c r="AKU1104" s="15"/>
      <c r="AKV1104" s="15"/>
      <c r="AKY1104" s="15"/>
      <c r="AKZ1104" s="15"/>
      <c r="ALC1104" s="15"/>
      <c r="ALD1104" s="15"/>
      <c r="ALG1104" s="15"/>
      <c r="ALH1104" s="15"/>
      <c r="ALK1104" s="15"/>
      <c r="ALL1104" s="15"/>
      <c r="ALO1104" s="15"/>
      <c r="ALP1104" s="15"/>
      <c r="ALS1104" s="15"/>
      <c r="ALT1104" s="15"/>
      <c r="ALW1104" s="15"/>
      <c r="ALX1104" s="15"/>
      <c r="AMA1104" s="15"/>
      <c r="AMB1104" s="15"/>
      <c r="AME1104" s="15"/>
      <c r="AMF1104" s="15"/>
      <c r="AMI1104" s="15"/>
      <c r="AMJ1104" s="15"/>
      <c r="AMM1104" s="15"/>
      <c r="AMN1104" s="15"/>
      <c r="AMQ1104" s="15"/>
      <c r="AMR1104" s="15"/>
      <c r="AMU1104" s="15"/>
      <c r="AMV1104" s="15"/>
      <c r="AMY1104" s="15"/>
      <c r="AMZ1104" s="15"/>
      <c r="ANC1104" s="15"/>
      <c r="AND1104" s="15"/>
      <c r="ANG1104" s="15"/>
      <c r="ANH1104" s="15"/>
      <c r="ANK1104" s="15"/>
      <c r="ANL1104" s="15"/>
      <c r="ANO1104" s="15"/>
      <c r="ANP1104" s="15"/>
      <c r="ANS1104" s="15"/>
      <c r="ANT1104" s="15"/>
      <c r="ANW1104" s="15"/>
      <c r="ANX1104" s="15"/>
      <c r="AOA1104" s="15"/>
      <c r="AOB1104" s="15"/>
      <c r="AOE1104" s="15"/>
      <c r="AOF1104" s="15"/>
      <c r="AOI1104" s="15"/>
      <c r="AOJ1104" s="15"/>
      <c r="AOM1104" s="15"/>
      <c r="AON1104" s="15"/>
      <c r="AOQ1104" s="15"/>
      <c r="AOR1104" s="15"/>
      <c r="AOU1104" s="15"/>
      <c r="AOV1104" s="15"/>
      <c r="AOY1104" s="15"/>
      <c r="AOZ1104" s="15"/>
      <c r="APC1104" s="15"/>
      <c r="APD1104" s="15"/>
      <c r="APG1104" s="15"/>
      <c r="APH1104" s="15"/>
      <c r="APK1104" s="15"/>
      <c r="APL1104" s="15"/>
      <c r="APO1104" s="15"/>
      <c r="APP1104" s="15"/>
      <c r="APS1104" s="15"/>
      <c r="APT1104" s="15"/>
      <c r="APW1104" s="15"/>
      <c r="APX1104" s="15"/>
      <c r="AQA1104" s="15"/>
      <c r="AQB1104" s="15"/>
      <c r="AQE1104" s="15"/>
      <c r="AQF1104" s="15"/>
      <c r="AQI1104" s="15"/>
      <c r="AQJ1104" s="15"/>
      <c r="AQM1104" s="15"/>
      <c r="AQN1104" s="15"/>
      <c r="AQQ1104" s="15"/>
      <c r="AQR1104" s="15"/>
      <c r="AQU1104" s="15"/>
      <c r="AQV1104" s="15"/>
      <c r="AQY1104" s="15"/>
      <c r="AQZ1104" s="15"/>
      <c r="ARC1104" s="15"/>
      <c r="ARD1104" s="15"/>
      <c r="ARG1104" s="15"/>
      <c r="ARH1104" s="15"/>
      <c r="ARK1104" s="15"/>
      <c r="ARL1104" s="15"/>
      <c r="ARO1104" s="15"/>
      <c r="ARP1104" s="15"/>
      <c r="ARS1104" s="15"/>
      <c r="ART1104" s="15"/>
      <c r="ARW1104" s="15"/>
      <c r="ARX1104" s="15"/>
      <c r="ASA1104" s="15"/>
      <c r="ASB1104" s="15"/>
      <c r="ASE1104" s="15"/>
      <c r="ASF1104" s="15"/>
      <c r="ASI1104" s="15"/>
      <c r="ASJ1104" s="15"/>
      <c r="ASM1104" s="15"/>
      <c r="ASN1104" s="15"/>
      <c r="ASQ1104" s="15"/>
      <c r="ASR1104" s="15"/>
      <c r="ASU1104" s="15"/>
      <c r="ASV1104" s="15"/>
      <c r="ASY1104" s="15"/>
      <c r="ASZ1104" s="15"/>
      <c r="ATC1104" s="15"/>
      <c r="ATD1104" s="15"/>
      <c r="ATG1104" s="15"/>
      <c r="ATH1104" s="15"/>
      <c r="ATK1104" s="15"/>
      <c r="ATL1104" s="15"/>
      <c r="ATO1104" s="15"/>
      <c r="ATP1104" s="15"/>
      <c r="ATS1104" s="15"/>
      <c r="ATT1104" s="15"/>
      <c r="ATW1104" s="15"/>
      <c r="ATX1104" s="15"/>
      <c r="AUA1104" s="15"/>
      <c r="AUB1104" s="15"/>
      <c r="AUE1104" s="15"/>
      <c r="AUF1104" s="15"/>
      <c r="AUI1104" s="15"/>
      <c r="AUJ1104" s="15"/>
      <c r="AUM1104" s="15"/>
      <c r="AUN1104" s="15"/>
      <c r="AUQ1104" s="15"/>
      <c r="AUR1104" s="15"/>
      <c r="AUU1104" s="15"/>
      <c r="AUV1104" s="15"/>
      <c r="AUY1104" s="15"/>
      <c r="AUZ1104" s="15"/>
      <c r="AVC1104" s="15"/>
      <c r="AVD1104" s="15"/>
      <c r="AVG1104" s="15"/>
      <c r="AVH1104" s="15"/>
      <c r="AVK1104" s="15"/>
      <c r="AVL1104" s="15"/>
      <c r="AVO1104" s="15"/>
      <c r="AVP1104" s="15"/>
      <c r="AVS1104" s="15"/>
      <c r="AVT1104" s="15"/>
      <c r="AVW1104" s="15"/>
      <c r="AVX1104" s="15"/>
      <c r="AWA1104" s="15"/>
      <c r="AWB1104" s="15"/>
      <c r="AWE1104" s="15"/>
      <c r="AWF1104" s="15"/>
      <c r="AWI1104" s="15"/>
      <c r="AWJ1104" s="15"/>
      <c r="AWM1104" s="15"/>
      <c r="AWN1104" s="15"/>
      <c r="AWQ1104" s="15"/>
      <c r="AWR1104" s="15"/>
      <c r="AWU1104" s="15"/>
      <c r="AWV1104" s="15"/>
      <c r="AWY1104" s="15"/>
      <c r="AWZ1104" s="15"/>
      <c r="AXC1104" s="15"/>
      <c r="AXD1104" s="15"/>
      <c r="AXG1104" s="15"/>
      <c r="AXH1104" s="15"/>
      <c r="AXK1104" s="15"/>
      <c r="AXL1104" s="15"/>
      <c r="AXO1104" s="15"/>
      <c r="AXP1104" s="15"/>
      <c r="AXS1104" s="15"/>
      <c r="AXT1104" s="15"/>
      <c r="AXW1104" s="15"/>
      <c r="AXX1104" s="15"/>
      <c r="AYA1104" s="15"/>
      <c r="AYB1104" s="15"/>
      <c r="AYE1104" s="15"/>
      <c r="AYF1104" s="15"/>
      <c r="AYI1104" s="15"/>
      <c r="AYJ1104" s="15"/>
      <c r="AYM1104" s="15"/>
      <c r="AYN1104" s="15"/>
      <c r="AYQ1104" s="15"/>
      <c r="AYR1104" s="15"/>
      <c r="AYU1104" s="15"/>
      <c r="AYV1104" s="15"/>
      <c r="AYY1104" s="15"/>
      <c r="AYZ1104" s="15"/>
      <c r="AZC1104" s="15"/>
      <c r="AZD1104" s="15"/>
      <c r="AZG1104" s="15"/>
      <c r="AZH1104" s="15"/>
      <c r="AZK1104" s="15"/>
      <c r="AZL1104" s="15"/>
      <c r="AZO1104" s="15"/>
      <c r="AZP1104" s="15"/>
      <c r="AZS1104" s="15"/>
      <c r="AZT1104" s="15"/>
      <c r="AZW1104" s="15"/>
      <c r="AZX1104" s="15"/>
      <c r="BAA1104" s="15"/>
      <c r="BAB1104" s="15"/>
      <c r="BAE1104" s="15"/>
      <c r="BAF1104" s="15"/>
      <c r="BAI1104" s="15"/>
      <c r="BAJ1104" s="15"/>
      <c r="BAM1104" s="15"/>
      <c r="BAN1104" s="15"/>
      <c r="BAQ1104" s="15"/>
      <c r="BAR1104" s="15"/>
      <c r="BAU1104" s="15"/>
      <c r="BAV1104" s="15"/>
      <c r="BAY1104" s="15"/>
      <c r="BAZ1104" s="15"/>
      <c r="BBC1104" s="15"/>
      <c r="BBD1104" s="15"/>
      <c r="BBG1104" s="15"/>
      <c r="BBH1104" s="15"/>
      <c r="BBK1104" s="15"/>
      <c r="BBL1104" s="15"/>
      <c r="BBO1104" s="15"/>
      <c r="BBP1104" s="15"/>
      <c r="BBS1104" s="15"/>
      <c r="BBT1104" s="15"/>
      <c r="BBW1104" s="15"/>
      <c r="BBX1104" s="15"/>
      <c r="BCA1104" s="15"/>
      <c r="BCB1104" s="15"/>
      <c r="BCE1104" s="15"/>
      <c r="BCF1104" s="15"/>
      <c r="BCI1104" s="15"/>
      <c r="BCJ1104" s="15"/>
      <c r="BCM1104" s="15"/>
      <c r="BCN1104" s="15"/>
      <c r="BCQ1104" s="15"/>
      <c r="BCR1104" s="15"/>
      <c r="BCU1104" s="15"/>
      <c r="BCV1104" s="15"/>
      <c r="BCY1104" s="15"/>
      <c r="BCZ1104" s="15"/>
      <c r="BDC1104" s="15"/>
      <c r="BDD1104" s="15"/>
      <c r="BDG1104" s="15"/>
      <c r="BDH1104" s="15"/>
      <c r="BDK1104" s="15"/>
      <c r="BDL1104" s="15"/>
      <c r="BDO1104" s="15"/>
      <c r="BDP1104" s="15"/>
      <c r="BDS1104" s="15"/>
      <c r="BDT1104" s="15"/>
      <c r="BDW1104" s="15"/>
      <c r="BDX1104" s="15"/>
      <c r="BEA1104" s="15"/>
      <c r="BEB1104" s="15"/>
      <c r="BEE1104" s="15"/>
      <c r="BEF1104" s="15"/>
      <c r="BEI1104" s="15"/>
      <c r="BEJ1104" s="15"/>
      <c r="BEM1104" s="15"/>
      <c r="BEN1104" s="15"/>
      <c r="BEQ1104" s="15"/>
      <c r="BER1104" s="15"/>
      <c r="BEU1104" s="15"/>
      <c r="BEV1104" s="15"/>
      <c r="BEY1104" s="15"/>
      <c r="BEZ1104" s="15"/>
      <c r="BFC1104" s="15"/>
      <c r="BFD1104" s="15"/>
      <c r="BFG1104" s="15"/>
      <c r="BFH1104" s="15"/>
      <c r="BFK1104" s="15"/>
      <c r="BFL1104" s="15"/>
      <c r="BFO1104" s="15"/>
      <c r="BFP1104" s="15"/>
      <c r="BFS1104" s="15"/>
      <c r="BFT1104" s="15"/>
      <c r="BFW1104" s="15"/>
      <c r="BFX1104" s="15"/>
      <c r="BGA1104" s="15"/>
      <c r="BGB1104" s="15"/>
      <c r="BGE1104" s="15"/>
      <c r="BGF1104" s="15"/>
      <c r="BGI1104" s="15"/>
      <c r="BGJ1104" s="15"/>
      <c r="BGM1104" s="15"/>
      <c r="BGN1104" s="15"/>
      <c r="BGQ1104" s="15"/>
      <c r="BGR1104" s="15"/>
      <c r="BGU1104" s="15"/>
      <c r="BGV1104" s="15"/>
      <c r="BGY1104" s="15"/>
      <c r="BGZ1104" s="15"/>
      <c r="BHC1104" s="15"/>
      <c r="BHD1104" s="15"/>
      <c r="BHG1104" s="15"/>
      <c r="BHH1104" s="15"/>
      <c r="BHK1104" s="15"/>
      <c r="BHL1104" s="15"/>
      <c r="BHO1104" s="15"/>
      <c r="BHP1104" s="15"/>
      <c r="BHS1104" s="15"/>
      <c r="BHT1104" s="15"/>
      <c r="BHW1104" s="15"/>
      <c r="BHX1104" s="15"/>
      <c r="BIA1104" s="15"/>
      <c r="BIB1104" s="15"/>
      <c r="BIE1104" s="15"/>
      <c r="BIF1104" s="15"/>
      <c r="BII1104" s="15"/>
      <c r="BIJ1104" s="15"/>
      <c r="BIM1104" s="15"/>
      <c r="BIN1104" s="15"/>
      <c r="BIQ1104" s="15"/>
      <c r="BIR1104" s="15"/>
      <c r="BIU1104" s="15"/>
      <c r="BIV1104" s="15"/>
      <c r="BIY1104" s="15"/>
      <c r="BIZ1104" s="15"/>
      <c r="BJC1104" s="15"/>
      <c r="BJD1104" s="15"/>
      <c r="BJG1104" s="15"/>
      <c r="BJH1104" s="15"/>
      <c r="BJK1104" s="15"/>
      <c r="BJL1104" s="15"/>
      <c r="BJO1104" s="15"/>
      <c r="BJP1104" s="15"/>
      <c r="BJS1104" s="15"/>
      <c r="BJT1104" s="15"/>
      <c r="BJW1104" s="15"/>
      <c r="BJX1104" s="15"/>
      <c r="BKA1104" s="15"/>
      <c r="BKB1104" s="15"/>
      <c r="BKE1104" s="15"/>
      <c r="BKF1104" s="15"/>
      <c r="BKI1104" s="15"/>
      <c r="BKJ1104" s="15"/>
      <c r="BKM1104" s="15"/>
      <c r="BKN1104" s="15"/>
      <c r="BKQ1104" s="15"/>
      <c r="BKR1104" s="15"/>
      <c r="BKU1104" s="15"/>
      <c r="BKV1104" s="15"/>
      <c r="BKY1104" s="15"/>
      <c r="BKZ1104" s="15"/>
      <c r="BLC1104" s="15"/>
      <c r="BLD1104" s="15"/>
      <c r="BLG1104" s="15"/>
      <c r="BLH1104" s="15"/>
      <c r="BLK1104" s="15"/>
      <c r="BLL1104" s="15"/>
      <c r="BLO1104" s="15"/>
      <c r="BLP1104" s="15"/>
      <c r="BLS1104" s="15"/>
      <c r="BLT1104" s="15"/>
      <c r="BLW1104" s="15"/>
      <c r="BLX1104" s="15"/>
      <c r="BMA1104" s="15"/>
      <c r="BMB1104" s="15"/>
      <c r="BME1104" s="15"/>
      <c r="BMF1104" s="15"/>
      <c r="BMI1104" s="15"/>
      <c r="BMJ1104" s="15"/>
      <c r="BMM1104" s="15"/>
      <c r="BMN1104" s="15"/>
      <c r="BMQ1104" s="15"/>
      <c r="BMR1104" s="15"/>
      <c r="BMU1104" s="15"/>
      <c r="BMV1104" s="15"/>
      <c r="BMY1104" s="15"/>
      <c r="BMZ1104" s="15"/>
      <c r="BNC1104" s="15"/>
      <c r="BND1104" s="15"/>
      <c r="BNG1104" s="15"/>
      <c r="BNH1104" s="15"/>
      <c r="BNK1104" s="15"/>
      <c r="BNL1104" s="15"/>
      <c r="BNO1104" s="15"/>
      <c r="BNP1104" s="15"/>
      <c r="BNS1104" s="15"/>
      <c r="BNT1104" s="15"/>
      <c r="BNW1104" s="15"/>
      <c r="BNX1104" s="15"/>
      <c r="BOA1104" s="15"/>
      <c r="BOB1104" s="15"/>
      <c r="BOE1104" s="15"/>
      <c r="BOF1104" s="15"/>
      <c r="BOI1104" s="15"/>
      <c r="BOJ1104" s="15"/>
      <c r="BOM1104" s="15"/>
      <c r="BON1104" s="15"/>
      <c r="BOQ1104" s="15"/>
      <c r="BOR1104" s="15"/>
      <c r="BOU1104" s="15"/>
      <c r="BOV1104" s="15"/>
      <c r="BOY1104" s="15"/>
      <c r="BOZ1104" s="15"/>
      <c r="BPC1104" s="15"/>
      <c r="BPD1104" s="15"/>
      <c r="BPG1104" s="15"/>
      <c r="BPH1104" s="15"/>
      <c r="BPK1104" s="15"/>
      <c r="BPL1104" s="15"/>
      <c r="BPO1104" s="15"/>
      <c r="BPP1104" s="15"/>
      <c r="BPS1104" s="15"/>
      <c r="BPT1104" s="15"/>
      <c r="BPW1104" s="15"/>
      <c r="BPX1104" s="15"/>
      <c r="BQA1104" s="15"/>
      <c r="BQB1104" s="15"/>
      <c r="BQE1104" s="15"/>
      <c r="BQF1104" s="15"/>
      <c r="BQI1104" s="15"/>
      <c r="BQJ1104" s="15"/>
      <c r="BQM1104" s="15"/>
      <c r="BQN1104" s="15"/>
      <c r="BQQ1104" s="15"/>
      <c r="BQR1104" s="15"/>
      <c r="BQU1104" s="15"/>
      <c r="BQV1104" s="15"/>
      <c r="BQY1104" s="15"/>
      <c r="BQZ1104" s="15"/>
      <c r="BRC1104" s="15"/>
      <c r="BRD1104" s="15"/>
      <c r="BRG1104" s="15"/>
      <c r="BRH1104" s="15"/>
      <c r="BRK1104" s="15"/>
      <c r="BRL1104" s="15"/>
      <c r="BRO1104" s="15"/>
      <c r="BRP1104" s="15"/>
      <c r="BRS1104" s="15"/>
      <c r="BRT1104" s="15"/>
      <c r="BRW1104" s="15"/>
      <c r="BRX1104" s="15"/>
      <c r="BSA1104" s="15"/>
      <c r="BSB1104" s="15"/>
      <c r="BSE1104" s="15"/>
      <c r="BSF1104" s="15"/>
      <c r="BSI1104" s="15"/>
      <c r="BSJ1104" s="15"/>
      <c r="BSM1104" s="15"/>
      <c r="BSN1104" s="15"/>
      <c r="BSQ1104" s="15"/>
      <c r="BSR1104" s="15"/>
      <c r="BSU1104" s="15"/>
      <c r="BSV1104" s="15"/>
      <c r="BSY1104" s="15"/>
      <c r="BSZ1104" s="15"/>
      <c r="BTC1104" s="15"/>
      <c r="BTD1104" s="15"/>
      <c r="BTG1104" s="15"/>
      <c r="BTH1104" s="15"/>
      <c r="BTK1104" s="15"/>
      <c r="BTL1104" s="15"/>
      <c r="BTO1104" s="15"/>
      <c r="BTP1104" s="15"/>
      <c r="BTS1104" s="15"/>
      <c r="BTT1104" s="15"/>
      <c r="BTW1104" s="15"/>
      <c r="BTX1104" s="15"/>
      <c r="BUA1104" s="15"/>
      <c r="BUB1104" s="15"/>
      <c r="BUE1104" s="15"/>
      <c r="BUF1104" s="15"/>
      <c r="BUI1104" s="15"/>
      <c r="BUJ1104" s="15"/>
      <c r="BUM1104" s="15"/>
      <c r="BUN1104" s="15"/>
      <c r="BUQ1104" s="15"/>
      <c r="BUR1104" s="15"/>
      <c r="BUU1104" s="15"/>
      <c r="BUV1104" s="15"/>
      <c r="BUY1104" s="15"/>
      <c r="BUZ1104" s="15"/>
      <c r="BVC1104" s="15"/>
      <c r="BVD1104" s="15"/>
      <c r="BVG1104" s="15"/>
      <c r="BVH1104" s="15"/>
      <c r="BVK1104" s="15"/>
      <c r="BVL1104" s="15"/>
      <c r="BVO1104" s="15"/>
      <c r="BVP1104" s="15"/>
      <c r="BVS1104" s="15"/>
      <c r="BVT1104" s="15"/>
      <c r="BVW1104" s="15"/>
      <c r="BVX1104" s="15"/>
      <c r="BWA1104" s="15"/>
      <c r="BWB1104" s="15"/>
      <c r="BWE1104" s="15"/>
      <c r="BWF1104" s="15"/>
      <c r="BWI1104" s="15"/>
      <c r="BWJ1104" s="15"/>
      <c r="BWM1104" s="15"/>
      <c r="BWN1104" s="15"/>
      <c r="BWQ1104" s="15"/>
      <c r="BWR1104" s="15"/>
      <c r="BWU1104" s="15"/>
      <c r="BWV1104" s="15"/>
      <c r="BWY1104" s="15"/>
      <c r="BWZ1104" s="15"/>
      <c r="BXC1104" s="15"/>
      <c r="BXD1104" s="15"/>
      <c r="BXG1104" s="15"/>
      <c r="BXH1104" s="15"/>
      <c r="BXK1104" s="15"/>
      <c r="BXL1104" s="15"/>
      <c r="BXO1104" s="15"/>
      <c r="BXP1104" s="15"/>
      <c r="BXS1104" s="15"/>
      <c r="BXT1104" s="15"/>
      <c r="BXW1104" s="15"/>
      <c r="BXX1104" s="15"/>
      <c r="BYA1104" s="15"/>
      <c r="BYB1104" s="15"/>
      <c r="BYE1104" s="15"/>
      <c r="BYF1104" s="15"/>
      <c r="BYI1104" s="15"/>
      <c r="BYJ1104" s="15"/>
      <c r="BYM1104" s="15"/>
      <c r="BYN1104" s="15"/>
      <c r="BYQ1104" s="15"/>
      <c r="BYR1104" s="15"/>
      <c r="BYU1104" s="15"/>
      <c r="BYV1104" s="15"/>
      <c r="BYY1104" s="15"/>
      <c r="BYZ1104" s="15"/>
      <c r="BZC1104" s="15"/>
      <c r="BZD1104" s="15"/>
      <c r="BZG1104" s="15"/>
      <c r="BZH1104" s="15"/>
      <c r="BZK1104" s="15"/>
      <c r="BZL1104" s="15"/>
      <c r="BZO1104" s="15"/>
      <c r="BZP1104" s="15"/>
      <c r="BZS1104" s="15"/>
      <c r="BZT1104" s="15"/>
      <c r="BZW1104" s="15"/>
      <c r="BZX1104" s="15"/>
      <c r="CAA1104" s="15"/>
      <c r="CAB1104" s="15"/>
      <c r="CAE1104" s="15"/>
      <c r="CAF1104" s="15"/>
      <c r="CAI1104" s="15"/>
      <c r="CAJ1104" s="15"/>
      <c r="CAM1104" s="15"/>
      <c r="CAN1104" s="15"/>
      <c r="CAQ1104" s="15"/>
      <c r="CAR1104" s="15"/>
      <c r="CAU1104" s="15"/>
      <c r="CAV1104" s="15"/>
      <c r="CAY1104" s="15"/>
      <c r="CAZ1104" s="15"/>
      <c r="CBC1104" s="15"/>
      <c r="CBD1104" s="15"/>
      <c r="CBG1104" s="15"/>
      <c r="CBH1104" s="15"/>
      <c r="CBK1104" s="15"/>
      <c r="CBL1104" s="15"/>
      <c r="CBO1104" s="15"/>
      <c r="CBP1104" s="15"/>
      <c r="CBS1104" s="15"/>
      <c r="CBT1104" s="15"/>
      <c r="CBW1104" s="15"/>
      <c r="CBX1104" s="15"/>
      <c r="CCA1104" s="15"/>
      <c r="CCB1104" s="15"/>
      <c r="CCE1104" s="15"/>
      <c r="CCF1104" s="15"/>
      <c r="CCI1104" s="15"/>
      <c r="CCJ1104" s="15"/>
      <c r="CCM1104" s="15"/>
      <c r="CCN1104" s="15"/>
      <c r="CCQ1104" s="15"/>
      <c r="CCR1104" s="15"/>
      <c r="CCU1104" s="15"/>
      <c r="CCV1104" s="15"/>
      <c r="CCY1104" s="15"/>
      <c r="CCZ1104" s="15"/>
      <c r="CDC1104" s="15"/>
      <c r="CDD1104" s="15"/>
      <c r="CDG1104" s="15"/>
      <c r="CDH1104" s="15"/>
      <c r="CDK1104" s="15"/>
      <c r="CDL1104" s="15"/>
      <c r="CDO1104" s="15"/>
      <c r="CDP1104" s="15"/>
      <c r="CDS1104" s="15"/>
      <c r="CDT1104" s="15"/>
      <c r="CDW1104" s="15"/>
      <c r="CDX1104" s="15"/>
      <c r="CEA1104" s="15"/>
      <c r="CEB1104" s="15"/>
      <c r="CEE1104" s="15"/>
      <c r="CEF1104" s="15"/>
      <c r="CEI1104" s="15"/>
      <c r="CEJ1104" s="15"/>
      <c r="CEM1104" s="15"/>
      <c r="CEN1104" s="15"/>
      <c r="CEQ1104" s="15"/>
      <c r="CER1104" s="15"/>
      <c r="CEU1104" s="15"/>
      <c r="CEV1104" s="15"/>
      <c r="CEY1104" s="15"/>
      <c r="CEZ1104" s="15"/>
      <c r="CFC1104" s="15"/>
      <c r="CFD1104" s="15"/>
      <c r="CFG1104" s="15"/>
      <c r="CFH1104" s="15"/>
      <c r="CFK1104" s="15"/>
      <c r="CFL1104" s="15"/>
      <c r="CFO1104" s="15"/>
      <c r="CFP1104" s="15"/>
      <c r="CFS1104" s="15"/>
      <c r="CFT1104" s="15"/>
      <c r="CFW1104" s="15"/>
      <c r="CFX1104" s="15"/>
      <c r="CGA1104" s="15"/>
      <c r="CGB1104" s="15"/>
      <c r="CGE1104" s="15"/>
      <c r="CGF1104" s="15"/>
      <c r="CGI1104" s="15"/>
      <c r="CGJ1104" s="15"/>
      <c r="CGM1104" s="15"/>
      <c r="CGN1104" s="15"/>
      <c r="CGQ1104" s="15"/>
      <c r="CGR1104" s="15"/>
      <c r="CGU1104" s="15"/>
      <c r="CGV1104" s="15"/>
      <c r="CGY1104" s="15"/>
      <c r="CGZ1104" s="15"/>
      <c r="CHC1104" s="15"/>
      <c r="CHD1104" s="15"/>
      <c r="CHG1104" s="15"/>
      <c r="CHH1104" s="15"/>
      <c r="CHK1104" s="15"/>
      <c r="CHL1104" s="15"/>
      <c r="CHO1104" s="15"/>
      <c r="CHP1104" s="15"/>
      <c r="CHS1104" s="15"/>
      <c r="CHT1104" s="15"/>
      <c r="CHW1104" s="15"/>
      <c r="CHX1104" s="15"/>
      <c r="CIA1104" s="15"/>
      <c r="CIB1104" s="15"/>
      <c r="CIE1104" s="15"/>
      <c r="CIF1104" s="15"/>
      <c r="CII1104" s="15"/>
      <c r="CIJ1104" s="15"/>
      <c r="CIM1104" s="15"/>
      <c r="CIN1104" s="15"/>
      <c r="CIQ1104" s="15"/>
      <c r="CIR1104" s="15"/>
      <c r="CIU1104" s="15"/>
      <c r="CIV1104" s="15"/>
      <c r="CIY1104" s="15"/>
      <c r="CIZ1104" s="15"/>
      <c r="CJC1104" s="15"/>
      <c r="CJD1104" s="15"/>
      <c r="CJG1104" s="15"/>
      <c r="CJH1104" s="15"/>
      <c r="CJK1104" s="15"/>
      <c r="CJL1104" s="15"/>
      <c r="CJO1104" s="15"/>
      <c r="CJP1104" s="15"/>
      <c r="CJS1104" s="15"/>
      <c r="CJT1104" s="15"/>
      <c r="CJW1104" s="15"/>
      <c r="CJX1104" s="15"/>
      <c r="CKA1104" s="15"/>
      <c r="CKB1104" s="15"/>
      <c r="CKE1104" s="15"/>
      <c r="CKF1104" s="15"/>
      <c r="CKI1104" s="15"/>
      <c r="CKJ1104" s="15"/>
      <c r="CKM1104" s="15"/>
      <c r="CKN1104" s="15"/>
      <c r="CKQ1104" s="15"/>
      <c r="CKR1104" s="15"/>
      <c r="CKU1104" s="15"/>
      <c r="CKV1104" s="15"/>
      <c r="CKY1104" s="15"/>
      <c r="CKZ1104" s="15"/>
      <c r="CLC1104" s="15"/>
      <c r="CLD1104" s="15"/>
      <c r="CLG1104" s="15"/>
      <c r="CLH1104" s="15"/>
      <c r="CLK1104" s="15"/>
      <c r="CLL1104" s="15"/>
      <c r="CLO1104" s="15"/>
      <c r="CLP1104" s="15"/>
      <c r="CLS1104" s="15"/>
      <c r="CLT1104" s="15"/>
      <c r="CLW1104" s="15"/>
      <c r="CLX1104" s="15"/>
      <c r="CMA1104" s="15"/>
      <c r="CMB1104" s="15"/>
      <c r="CME1104" s="15"/>
      <c r="CMF1104" s="15"/>
      <c r="CMI1104" s="15"/>
      <c r="CMJ1104" s="15"/>
      <c r="CMM1104" s="15"/>
      <c r="CMN1104" s="15"/>
      <c r="CMQ1104" s="15"/>
      <c r="CMR1104" s="15"/>
      <c r="CMU1104" s="15"/>
      <c r="CMV1104" s="15"/>
      <c r="CMY1104" s="15"/>
      <c r="CMZ1104" s="15"/>
      <c r="CNC1104" s="15"/>
      <c r="CND1104" s="15"/>
      <c r="CNG1104" s="15"/>
      <c r="CNH1104" s="15"/>
      <c r="CNK1104" s="15"/>
      <c r="CNL1104" s="15"/>
      <c r="CNO1104" s="15"/>
      <c r="CNP1104" s="15"/>
      <c r="CNS1104" s="15"/>
      <c r="CNT1104" s="15"/>
      <c r="CNW1104" s="15"/>
      <c r="CNX1104" s="15"/>
      <c r="COA1104" s="15"/>
      <c r="COB1104" s="15"/>
      <c r="COE1104" s="15"/>
      <c r="COF1104" s="15"/>
      <c r="COI1104" s="15"/>
      <c r="COJ1104" s="15"/>
      <c r="COM1104" s="15"/>
      <c r="CON1104" s="15"/>
      <c r="COQ1104" s="15"/>
      <c r="COR1104" s="15"/>
      <c r="COU1104" s="15"/>
      <c r="COV1104" s="15"/>
      <c r="COY1104" s="15"/>
      <c r="COZ1104" s="15"/>
      <c r="CPC1104" s="15"/>
      <c r="CPD1104" s="15"/>
      <c r="CPG1104" s="15"/>
      <c r="CPH1104" s="15"/>
      <c r="CPK1104" s="15"/>
      <c r="CPL1104" s="15"/>
      <c r="CPO1104" s="15"/>
      <c r="CPP1104" s="15"/>
      <c r="CPS1104" s="15"/>
      <c r="CPT1104" s="15"/>
      <c r="CPW1104" s="15"/>
      <c r="CPX1104" s="15"/>
      <c r="CQA1104" s="15"/>
      <c r="CQB1104" s="15"/>
      <c r="CQE1104" s="15"/>
      <c r="CQF1104" s="15"/>
      <c r="CQI1104" s="15"/>
      <c r="CQJ1104" s="15"/>
      <c r="CQM1104" s="15"/>
      <c r="CQN1104" s="15"/>
      <c r="CQQ1104" s="15"/>
      <c r="CQR1104" s="15"/>
      <c r="CQU1104" s="15"/>
      <c r="CQV1104" s="15"/>
      <c r="CQY1104" s="15"/>
      <c r="CQZ1104" s="15"/>
      <c r="CRC1104" s="15"/>
      <c r="CRD1104" s="15"/>
      <c r="CRG1104" s="15"/>
      <c r="CRH1104" s="15"/>
      <c r="CRK1104" s="15"/>
      <c r="CRL1104" s="15"/>
      <c r="CRO1104" s="15"/>
      <c r="CRP1104" s="15"/>
      <c r="CRS1104" s="15"/>
      <c r="CRT1104" s="15"/>
      <c r="CRW1104" s="15"/>
      <c r="CRX1104" s="15"/>
      <c r="CSA1104" s="15"/>
      <c r="CSB1104" s="15"/>
      <c r="CSE1104" s="15"/>
      <c r="CSF1104" s="15"/>
      <c r="CSI1104" s="15"/>
      <c r="CSJ1104" s="15"/>
      <c r="CSM1104" s="15"/>
      <c r="CSN1104" s="15"/>
      <c r="CSQ1104" s="15"/>
      <c r="CSR1104" s="15"/>
      <c r="CSU1104" s="15"/>
      <c r="CSV1104" s="15"/>
      <c r="CSY1104" s="15"/>
      <c r="CSZ1104" s="15"/>
      <c r="CTC1104" s="15"/>
      <c r="CTD1104" s="15"/>
      <c r="CTG1104" s="15"/>
      <c r="CTH1104" s="15"/>
      <c r="CTK1104" s="15"/>
      <c r="CTL1104" s="15"/>
      <c r="CTO1104" s="15"/>
      <c r="CTP1104" s="15"/>
      <c r="CTS1104" s="15"/>
      <c r="CTT1104" s="15"/>
      <c r="CTW1104" s="15"/>
      <c r="CTX1104" s="15"/>
      <c r="CUA1104" s="15"/>
      <c r="CUB1104" s="15"/>
      <c r="CUE1104" s="15"/>
      <c r="CUF1104" s="15"/>
      <c r="CUI1104" s="15"/>
      <c r="CUJ1104" s="15"/>
      <c r="CUM1104" s="15"/>
      <c r="CUN1104" s="15"/>
      <c r="CUQ1104" s="15"/>
      <c r="CUR1104" s="15"/>
      <c r="CUU1104" s="15"/>
      <c r="CUV1104" s="15"/>
      <c r="CUY1104" s="15"/>
      <c r="CUZ1104" s="15"/>
      <c r="CVC1104" s="15"/>
      <c r="CVD1104" s="15"/>
      <c r="CVG1104" s="15"/>
      <c r="CVH1104" s="15"/>
      <c r="CVK1104" s="15"/>
      <c r="CVL1104" s="15"/>
      <c r="CVO1104" s="15"/>
      <c r="CVP1104" s="15"/>
      <c r="CVS1104" s="15"/>
      <c r="CVT1104" s="15"/>
      <c r="CVW1104" s="15"/>
      <c r="CVX1104" s="15"/>
      <c r="CWA1104" s="15"/>
      <c r="CWB1104" s="15"/>
      <c r="CWE1104" s="15"/>
      <c r="CWF1104" s="15"/>
      <c r="CWI1104" s="15"/>
      <c r="CWJ1104" s="15"/>
      <c r="CWM1104" s="15"/>
      <c r="CWN1104" s="15"/>
      <c r="CWQ1104" s="15"/>
      <c r="CWR1104" s="15"/>
      <c r="CWU1104" s="15"/>
      <c r="CWV1104" s="15"/>
      <c r="CWY1104" s="15"/>
      <c r="CWZ1104" s="15"/>
      <c r="CXC1104" s="15"/>
      <c r="CXD1104" s="15"/>
      <c r="CXG1104" s="15"/>
      <c r="CXH1104" s="15"/>
      <c r="CXK1104" s="15"/>
      <c r="CXL1104" s="15"/>
      <c r="CXO1104" s="15"/>
      <c r="CXP1104" s="15"/>
      <c r="CXS1104" s="15"/>
      <c r="CXT1104" s="15"/>
      <c r="CXW1104" s="15"/>
      <c r="CXX1104" s="15"/>
      <c r="CYA1104" s="15"/>
      <c r="CYB1104" s="15"/>
      <c r="CYE1104" s="15"/>
      <c r="CYF1104" s="15"/>
      <c r="CYI1104" s="15"/>
      <c r="CYJ1104" s="15"/>
      <c r="CYM1104" s="15"/>
      <c r="CYN1104" s="15"/>
      <c r="CYQ1104" s="15"/>
      <c r="CYR1104" s="15"/>
      <c r="CYU1104" s="15"/>
      <c r="CYV1104" s="15"/>
      <c r="CYY1104" s="15"/>
      <c r="CYZ1104" s="15"/>
      <c r="CZC1104" s="15"/>
      <c r="CZD1104" s="15"/>
      <c r="CZG1104" s="15"/>
      <c r="CZH1104" s="15"/>
      <c r="CZK1104" s="15"/>
      <c r="CZL1104" s="15"/>
      <c r="CZO1104" s="15"/>
      <c r="CZP1104" s="15"/>
      <c r="CZS1104" s="15"/>
      <c r="CZT1104" s="15"/>
      <c r="CZW1104" s="15"/>
      <c r="CZX1104" s="15"/>
      <c r="DAA1104" s="15"/>
      <c r="DAB1104" s="15"/>
      <c r="DAE1104" s="15"/>
      <c r="DAF1104" s="15"/>
      <c r="DAI1104" s="15"/>
      <c r="DAJ1104" s="15"/>
      <c r="DAM1104" s="15"/>
      <c r="DAN1104" s="15"/>
      <c r="DAQ1104" s="15"/>
      <c r="DAR1104" s="15"/>
      <c r="DAU1104" s="15"/>
      <c r="DAV1104" s="15"/>
      <c r="DAY1104" s="15"/>
      <c r="DAZ1104" s="15"/>
      <c r="DBC1104" s="15"/>
      <c r="DBD1104" s="15"/>
      <c r="DBG1104" s="15"/>
      <c r="DBH1104" s="15"/>
      <c r="DBK1104" s="15"/>
      <c r="DBL1104" s="15"/>
      <c r="DBO1104" s="15"/>
      <c r="DBP1104" s="15"/>
      <c r="DBS1104" s="15"/>
      <c r="DBT1104" s="15"/>
      <c r="DBW1104" s="15"/>
      <c r="DBX1104" s="15"/>
      <c r="DCA1104" s="15"/>
      <c r="DCB1104" s="15"/>
      <c r="DCE1104" s="15"/>
      <c r="DCF1104" s="15"/>
      <c r="DCI1104" s="15"/>
      <c r="DCJ1104" s="15"/>
      <c r="DCM1104" s="15"/>
      <c r="DCN1104" s="15"/>
      <c r="DCQ1104" s="15"/>
      <c r="DCR1104" s="15"/>
      <c r="DCU1104" s="15"/>
      <c r="DCV1104" s="15"/>
      <c r="DCY1104" s="15"/>
      <c r="DCZ1104" s="15"/>
      <c r="DDC1104" s="15"/>
      <c r="DDD1104" s="15"/>
      <c r="DDG1104" s="15"/>
      <c r="DDH1104" s="15"/>
      <c r="DDK1104" s="15"/>
      <c r="DDL1104" s="15"/>
      <c r="DDO1104" s="15"/>
      <c r="DDP1104" s="15"/>
      <c r="DDS1104" s="15"/>
      <c r="DDT1104" s="15"/>
      <c r="DDW1104" s="15"/>
      <c r="DDX1104" s="15"/>
      <c r="DEA1104" s="15"/>
      <c r="DEB1104" s="15"/>
      <c r="DEE1104" s="15"/>
      <c r="DEF1104" s="15"/>
      <c r="DEI1104" s="15"/>
      <c r="DEJ1104" s="15"/>
      <c r="DEM1104" s="15"/>
      <c r="DEN1104" s="15"/>
      <c r="DEQ1104" s="15"/>
      <c r="DER1104" s="15"/>
      <c r="DEU1104" s="15"/>
      <c r="DEV1104" s="15"/>
      <c r="DEY1104" s="15"/>
      <c r="DEZ1104" s="15"/>
      <c r="DFC1104" s="15"/>
      <c r="DFD1104" s="15"/>
      <c r="DFG1104" s="15"/>
      <c r="DFH1104" s="15"/>
      <c r="DFK1104" s="15"/>
      <c r="DFL1104" s="15"/>
      <c r="DFO1104" s="15"/>
      <c r="DFP1104" s="15"/>
      <c r="DFS1104" s="15"/>
      <c r="DFT1104" s="15"/>
      <c r="DFW1104" s="15"/>
      <c r="DFX1104" s="15"/>
      <c r="DGA1104" s="15"/>
      <c r="DGB1104" s="15"/>
      <c r="DGE1104" s="15"/>
      <c r="DGF1104" s="15"/>
      <c r="DGI1104" s="15"/>
      <c r="DGJ1104" s="15"/>
      <c r="DGM1104" s="15"/>
      <c r="DGN1104" s="15"/>
      <c r="DGQ1104" s="15"/>
      <c r="DGR1104" s="15"/>
      <c r="DGU1104" s="15"/>
      <c r="DGV1104" s="15"/>
      <c r="DGY1104" s="15"/>
      <c r="DGZ1104" s="15"/>
      <c r="DHC1104" s="15"/>
      <c r="DHD1104" s="15"/>
      <c r="DHG1104" s="15"/>
      <c r="DHH1104" s="15"/>
      <c r="DHK1104" s="15"/>
      <c r="DHL1104" s="15"/>
      <c r="DHO1104" s="15"/>
      <c r="DHP1104" s="15"/>
      <c r="DHS1104" s="15"/>
      <c r="DHT1104" s="15"/>
      <c r="DHW1104" s="15"/>
      <c r="DHX1104" s="15"/>
      <c r="DIA1104" s="15"/>
      <c r="DIB1104" s="15"/>
      <c r="DIE1104" s="15"/>
      <c r="DIF1104" s="15"/>
      <c r="DII1104" s="15"/>
      <c r="DIJ1104" s="15"/>
      <c r="DIM1104" s="15"/>
      <c r="DIN1104" s="15"/>
      <c r="DIQ1104" s="15"/>
      <c r="DIR1104" s="15"/>
      <c r="DIU1104" s="15"/>
      <c r="DIV1104" s="15"/>
      <c r="DIY1104" s="15"/>
      <c r="DIZ1104" s="15"/>
      <c r="DJC1104" s="15"/>
      <c r="DJD1104" s="15"/>
      <c r="DJG1104" s="15"/>
      <c r="DJH1104" s="15"/>
      <c r="DJK1104" s="15"/>
      <c r="DJL1104" s="15"/>
      <c r="DJO1104" s="15"/>
      <c r="DJP1104" s="15"/>
      <c r="DJS1104" s="15"/>
      <c r="DJT1104" s="15"/>
      <c r="DJW1104" s="15"/>
      <c r="DJX1104" s="15"/>
      <c r="DKA1104" s="15"/>
      <c r="DKB1104" s="15"/>
      <c r="DKE1104" s="15"/>
      <c r="DKF1104" s="15"/>
      <c r="DKI1104" s="15"/>
      <c r="DKJ1104" s="15"/>
      <c r="DKM1104" s="15"/>
      <c r="DKN1104" s="15"/>
      <c r="DKQ1104" s="15"/>
      <c r="DKR1104" s="15"/>
      <c r="DKU1104" s="15"/>
      <c r="DKV1104" s="15"/>
      <c r="DKY1104" s="15"/>
      <c r="DKZ1104" s="15"/>
      <c r="DLC1104" s="15"/>
      <c r="DLD1104" s="15"/>
      <c r="DLG1104" s="15"/>
      <c r="DLH1104" s="15"/>
      <c r="DLK1104" s="15"/>
      <c r="DLL1104" s="15"/>
      <c r="DLO1104" s="15"/>
      <c r="DLP1104" s="15"/>
      <c r="DLS1104" s="15"/>
      <c r="DLT1104" s="15"/>
      <c r="DLW1104" s="15"/>
      <c r="DLX1104" s="15"/>
      <c r="DMA1104" s="15"/>
      <c r="DMB1104" s="15"/>
      <c r="DME1104" s="15"/>
      <c r="DMF1104" s="15"/>
      <c r="DMI1104" s="15"/>
      <c r="DMJ1104" s="15"/>
      <c r="DMM1104" s="15"/>
      <c r="DMN1104" s="15"/>
      <c r="DMQ1104" s="15"/>
      <c r="DMR1104" s="15"/>
      <c r="DMU1104" s="15"/>
      <c r="DMV1104" s="15"/>
      <c r="DMY1104" s="15"/>
      <c r="DMZ1104" s="15"/>
      <c r="DNC1104" s="15"/>
      <c r="DND1104" s="15"/>
      <c r="DNG1104" s="15"/>
      <c r="DNH1104" s="15"/>
      <c r="DNK1104" s="15"/>
      <c r="DNL1104" s="15"/>
      <c r="DNO1104" s="15"/>
      <c r="DNP1104" s="15"/>
      <c r="DNS1104" s="15"/>
      <c r="DNT1104" s="15"/>
      <c r="DNW1104" s="15"/>
      <c r="DNX1104" s="15"/>
      <c r="DOA1104" s="15"/>
      <c r="DOB1104" s="15"/>
      <c r="DOE1104" s="15"/>
      <c r="DOF1104" s="15"/>
      <c r="DOI1104" s="15"/>
      <c r="DOJ1104" s="15"/>
      <c r="DOM1104" s="15"/>
      <c r="DON1104" s="15"/>
      <c r="DOQ1104" s="15"/>
      <c r="DOR1104" s="15"/>
      <c r="DOU1104" s="15"/>
      <c r="DOV1104" s="15"/>
      <c r="DOY1104" s="15"/>
      <c r="DOZ1104" s="15"/>
      <c r="DPC1104" s="15"/>
      <c r="DPD1104" s="15"/>
      <c r="DPG1104" s="15"/>
      <c r="DPH1104" s="15"/>
      <c r="DPK1104" s="15"/>
      <c r="DPL1104" s="15"/>
      <c r="DPO1104" s="15"/>
      <c r="DPP1104" s="15"/>
      <c r="DPS1104" s="15"/>
      <c r="DPT1104" s="15"/>
      <c r="DPW1104" s="15"/>
      <c r="DPX1104" s="15"/>
      <c r="DQA1104" s="15"/>
      <c r="DQB1104" s="15"/>
      <c r="DQE1104" s="15"/>
      <c r="DQF1104" s="15"/>
      <c r="DQI1104" s="15"/>
      <c r="DQJ1104" s="15"/>
      <c r="DQM1104" s="15"/>
      <c r="DQN1104" s="15"/>
      <c r="DQQ1104" s="15"/>
      <c r="DQR1104" s="15"/>
      <c r="DQU1104" s="15"/>
      <c r="DQV1104" s="15"/>
      <c r="DQY1104" s="15"/>
      <c r="DQZ1104" s="15"/>
      <c r="DRC1104" s="15"/>
      <c r="DRD1104" s="15"/>
      <c r="DRG1104" s="15"/>
      <c r="DRH1104" s="15"/>
      <c r="DRK1104" s="15"/>
      <c r="DRL1104" s="15"/>
      <c r="DRO1104" s="15"/>
      <c r="DRP1104" s="15"/>
      <c r="DRS1104" s="15"/>
      <c r="DRT1104" s="15"/>
      <c r="DRW1104" s="15"/>
      <c r="DRX1104" s="15"/>
      <c r="DSA1104" s="15"/>
      <c r="DSB1104" s="15"/>
      <c r="DSE1104" s="15"/>
      <c r="DSF1104" s="15"/>
      <c r="DSI1104" s="15"/>
      <c r="DSJ1104" s="15"/>
      <c r="DSM1104" s="15"/>
      <c r="DSN1104" s="15"/>
      <c r="DSQ1104" s="15"/>
      <c r="DSR1104" s="15"/>
      <c r="DSU1104" s="15"/>
      <c r="DSV1104" s="15"/>
      <c r="DSY1104" s="15"/>
      <c r="DSZ1104" s="15"/>
      <c r="DTC1104" s="15"/>
      <c r="DTD1104" s="15"/>
      <c r="DTG1104" s="15"/>
      <c r="DTH1104" s="15"/>
      <c r="DTK1104" s="15"/>
      <c r="DTL1104" s="15"/>
      <c r="DTO1104" s="15"/>
      <c r="DTP1104" s="15"/>
      <c r="DTS1104" s="15"/>
      <c r="DTT1104" s="15"/>
      <c r="DTW1104" s="15"/>
      <c r="DTX1104" s="15"/>
      <c r="DUA1104" s="15"/>
      <c r="DUB1104" s="15"/>
      <c r="DUE1104" s="15"/>
      <c r="DUF1104" s="15"/>
      <c r="DUI1104" s="15"/>
      <c r="DUJ1104" s="15"/>
      <c r="DUM1104" s="15"/>
      <c r="DUN1104" s="15"/>
      <c r="DUQ1104" s="15"/>
      <c r="DUR1104" s="15"/>
      <c r="DUU1104" s="15"/>
      <c r="DUV1104" s="15"/>
      <c r="DUY1104" s="15"/>
      <c r="DUZ1104" s="15"/>
      <c r="DVC1104" s="15"/>
      <c r="DVD1104" s="15"/>
      <c r="DVG1104" s="15"/>
      <c r="DVH1104" s="15"/>
      <c r="DVK1104" s="15"/>
      <c r="DVL1104" s="15"/>
      <c r="DVO1104" s="15"/>
      <c r="DVP1104" s="15"/>
      <c r="DVS1104" s="15"/>
      <c r="DVT1104" s="15"/>
      <c r="DVW1104" s="15"/>
      <c r="DVX1104" s="15"/>
      <c r="DWA1104" s="15"/>
      <c r="DWB1104" s="15"/>
      <c r="DWE1104" s="15"/>
      <c r="DWF1104" s="15"/>
      <c r="DWI1104" s="15"/>
      <c r="DWJ1104" s="15"/>
      <c r="DWM1104" s="15"/>
      <c r="DWN1104" s="15"/>
      <c r="DWQ1104" s="15"/>
      <c r="DWR1104" s="15"/>
      <c r="DWU1104" s="15"/>
      <c r="DWV1104" s="15"/>
      <c r="DWY1104" s="15"/>
      <c r="DWZ1104" s="15"/>
      <c r="DXC1104" s="15"/>
      <c r="DXD1104" s="15"/>
      <c r="DXG1104" s="15"/>
      <c r="DXH1104" s="15"/>
      <c r="DXK1104" s="15"/>
      <c r="DXL1104" s="15"/>
      <c r="DXO1104" s="15"/>
      <c r="DXP1104" s="15"/>
      <c r="DXS1104" s="15"/>
      <c r="DXT1104" s="15"/>
      <c r="DXW1104" s="15"/>
      <c r="DXX1104" s="15"/>
      <c r="DYA1104" s="15"/>
      <c r="DYB1104" s="15"/>
      <c r="DYE1104" s="15"/>
      <c r="DYF1104" s="15"/>
      <c r="DYI1104" s="15"/>
      <c r="DYJ1104" s="15"/>
      <c r="DYM1104" s="15"/>
      <c r="DYN1104" s="15"/>
      <c r="DYQ1104" s="15"/>
      <c r="DYR1104" s="15"/>
      <c r="DYU1104" s="15"/>
      <c r="DYV1104" s="15"/>
      <c r="DYY1104" s="15"/>
      <c r="DYZ1104" s="15"/>
      <c r="DZC1104" s="15"/>
      <c r="DZD1104" s="15"/>
      <c r="DZG1104" s="15"/>
      <c r="DZH1104" s="15"/>
      <c r="DZK1104" s="15"/>
      <c r="DZL1104" s="15"/>
      <c r="DZO1104" s="15"/>
      <c r="DZP1104" s="15"/>
      <c r="DZS1104" s="15"/>
      <c r="DZT1104" s="15"/>
      <c r="DZW1104" s="15"/>
      <c r="DZX1104" s="15"/>
      <c r="EAA1104" s="15"/>
      <c r="EAB1104" s="15"/>
      <c r="EAE1104" s="15"/>
      <c r="EAF1104" s="15"/>
      <c r="EAI1104" s="15"/>
      <c r="EAJ1104" s="15"/>
      <c r="EAM1104" s="15"/>
      <c r="EAN1104" s="15"/>
      <c r="EAQ1104" s="15"/>
      <c r="EAR1104" s="15"/>
      <c r="EAU1104" s="15"/>
      <c r="EAV1104" s="15"/>
      <c r="EAY1104" s="15"/>
      <c r="EAZ1104" s="15"/>
      <c r="EBC1104" s="15"/>
      <c r="EBD1104" s="15"/>
      <c r="EBG1104" s="15"/>
      <c r="EBH1104" s="15"/>
      <c r="EBK1104" s="15"/>
      <c r="EBL1104" s="15"/>
      <c r="EBO1104" s="15"/>
      <c r="EBP1104" s="15"/>
      <c r="EBS1104" s="15"/>
      <c r="EBT1104" s="15"/>
      <c r="EBW1104" s="15"/>
      <c r="EBX1104" s="15"/>
      <c r="ECA1104" s="15"/>
      <c r="ECB1104" s="15"/>
      <c r="ECE1104" s="15"/>
      <c r="ECF1104" s="15"/>
      <c r="ECI1104" s="15"/>
      <c r="ECJ1104" s="15"/>
      <c r="ECM1104" s="15"/>
      <c r="ECN1104" s="15"/>
      <c r="ECQ1104" s="15"/>
      <c r="ECR1104" s="15"/>
      <c r="ECU1104" s="15"/>
      <c r="ECV1104" s="15"/>
      <c r="ECY1104" s="15"/>
      <c r="ECZ1104" s="15"/>
      <c r="EDC1104" s="15"/>
      <c r="EDD1104" s="15"/>
      <c r="EDG1104" s="15"/>
      <c r="EDH1104" s="15"/>
      <c r="EDK1104" s="15"/>
      <c r="EDL1104" s="15"/>
      <c r="EDO1104" s="15"/>
      <c r="EDP1104" s="15"/>
      <c r="EDS1104" s="15"/>
      <c r="EDT1104" s="15"/>
      <c r="EDW1104" s="15"/>
      <c r="EDX1104" s="15"/>
      <c r="EEA1104" s="15"/>
      <c r="EEB1104" s="15"/>
      <c r="EEE1104" s="15"/>
      <c r="EEF1104" s="15"/>
      <c r="EEI1104" s="15"/>
      <c r="EEJ1104" s="15"/>
      <c r="EEM1104" s="15"/>
      <c r="EEN1104" s="15"/>
      <c r="EEQ1104" s="15"/>
      <c r="EER1104" s="15"/>
      <c r="EEU1104" s="15"/>
      <c r="EEV1104" s="15"/>
      <c r="EEY1104" s="15"/>
      <c r="EEZ1104" s="15"/>
      <c r="EFC1104" s="15"/>
      <c r="EFD1104" s="15"/>
      <c r="EFG1104" s="15"/>
      <c r="EFH1104" s="15"/>
      <c r="EFK1104" s="15"/>
      <c r="EFL1104" s="15"/>
      <c r="EFO1104" s="15"/>
      <c r="EFP1104" s="15"/>
      <c r="EFS1104" s="15"/>
      <c r="EFT1104" s="15"/>
      <c r="EFW1104" s="15"/>
      <c r="EFX1104" s="15"/>
      <c r="EGA1104" s="15"/>
      <c r="EGB1104" s="15"/>
      <c r="EGE1104" s="15"/>
      <c r="EGF1104" s="15"/>
      <c r="EGI1104" s="15"/>
      <c r="EGJ1104" s="15"/>
      <c r="EGM1104" s="15"/>
      <c r="EGN1104" s="15"/>
      <c r="EGQ1104" s="15"/>
      <c r="EGR1104" s="15"/>
      <c r="EGU1104" s="15"/>
      <c r="EGV1104" s="15"/>
      <c r="EGY1104" s="15"/>
      <c r="EGZ1104" s="15"/>
      <c r="EHC1104" s="15"/>
      <c r="EHD1104" s="15"/>
      <c r="EHG1104" s="15"/>
      <c r="EHH1104" s="15"/>
      <c r="EHK1104" s="15"/>
      <c r="EHL1104" s="15"/>
      <c r="EHO1104" s="15"/>
      <c r="EHP1104" s="15"/>
      <c r="EHS1104" s="15"/>
      <c r="EHT1104" s="15"/>
      <c r="EHW1104" s="15"/>
      <c r="EHX1104" s="15"/>
      <c r="EIA1104" s="15"/>
      <c r="EIB1104" s="15"/>
      <c r="EIE1104" s="15"/>
      <c r="EIF1104" s="15"/>
      <c r="EII1104" s="15"/>
      <c r="EIJ1104" s="15"/>
      <c r="EIM1104" s="15"/>
      <c r="EIN1104" s="15"/>
      <c r="EIQ1104" s="15"/>
      <c r="EIR1104" s="15"/>
      <c r="EIU1104" s="15"/>
      <c r="EIV1104" s="15"/>
      <c r="EIY1104" s="15"/>
      <c r="EIZ1104" s="15"/>
      <c r="EJC1104" s="15"/>
      <c r="EJD1104" s="15"/>
      <c r="EJG1104" s="15"/>
      <c r="EJH1104" s="15"/>
      <c r="EJK1104" s="15"/>
      <c r="EJL1104" s="15"/>
      <c r="EJO1104" s="15"/>
      <c r="EJP1104" s="15"/>
      <c r="EJS1104" s="15"/>
      <c r="EJT1104" s="15"/>
      <c r="EJW1104" s="15"/>
      <c r="EJX1104" s="15"/>
      <c r="EKA1104" s="15"/>
      <c r="EKB1104" s="15"/>
      <c r="EKE1104" s="15"/>
      <c r="EKF1104" s="15"/>
      <c r="EKI1104" s="15"/>
      <c r="EKJ1104" s="15"/>
      <c r="EKM1104" s="15"/>
      <c r="EKN1104" s="15"/>
      <c r="EKQ1104" s="15"/>
      <c r="EKR1104" s="15"/>
      <c r="EKU1104" s="15"/>
      <c r="EKV1104" s="15"/>
      <c r="EKY1104" s="15"/>
      <c r="EKZ1104" s="15"/>
      <c r="ELC1104" s="15"/>
      <c r="ELD1104" s="15"/>
      <c r="ELG1104" s="15"/>
      <c r="ELH1104" s="15"/>
      <c r="ELK1104" s="15"/>
      <c r="ELL1104" s="15"/>
      <c r="ELO1104" s="15"/>
      <c r="ELP1104" s="15"/>
      <c r="ELS1104" s="15"/>
      <c r="ELT1104" s="15"/>
      <c r="ELW1104" s="15"/>
      <c r="ELX1104" s="15"/>
      <c r="EMA1104" s="15"/>
      <c r="EMB1104" s="15"/>
      <c r="EME1104" s="15"/>
      <c r="EMF1104" s="15"/>
      <c r="EMI1104" s="15"/>
      <c r="EMJ1104" s="15"/>
      <c r="EMM1104" s="15"/>
      <c r="EMN1104" s="15"/>
      <c r="EMQ1104" s="15"/>
      <c r="EMR1104" s="15"/>
      <c r="EMU1104" s="15"/>
      <c r="EMV1104" s="15"/>
      <c r="EMY1104" s="15"/>
      <c r="EMZ1104" s="15"/>
      <c r="ENC1104" s="15"/>
      <c r="END1104" s="15"/>
      <c r="ENG1104" s="15"/>
      <c r="ENH1104" s="15"/>
      <c r="ENK1104" s="15"/>
      <c r="ENL1104" s="15"/>
      <c r="ENO1104" s="15"/>
      <c r="ENP1104" s="15"/>
      <c r="ENS1104" s="15"/>
      <c r="ENT1104" s="15"/>
      <c r="ENW1104" s="15"/>
      <c r="ENX1104" s="15"/>
      <c r="EOA1104" s="15"/>
      <c r="EOB1104" s="15"/>
      <c r="EOE1104" s="15"/>
      <c r="EOF1104" s="15"/>
      <c r="EOI1104" s="15"/>
      <c r="EOJ1104" s="15"/>
      <c r="EOM1104" s="15"/>
      <c r="EON1104" s="15"/>
      <c r="EOQ1104" s="15"/>
      <c r="EOR1104" s="15"/>
      <c r="EOU1104" s="15"/>
      <c r="EOV1104" s="15"/>
      <c r="EOY1104" s="15"/>
      <c r="EOZ1104" s="15"/>
      <c r="EPC1104" s="15"/>
      <c r="EPD1104" s="15"/>
      <c r="EPG1104" s="15"/>
      <c r="EPH1104" s="15"/>
      <c r="EPK1104" s="15"/>
      <c r="EPL1104" s="15"/>
      <c r="EPO1104" s="15"/>
      <c r="EPP1104" s="15"/>
      <c r="EPS1104" s="15"/>
      <c r="EPT1104" s="15"/>
      <c r="EPW1104" s="15"/>
      <c r="EPX1104" s="15"/>
      <c r="EQA1104" s="15"/>
      <c r="EQB1104" s="15"/>
      <c r="EQE1104" s="15"/>
      <c r="EQF1104" s="15"/>
      <c r="EQI1104" s="15"/>
      <c r="EQJ1104" s="15"/>
      <c r="EQM1104" s="15"/>
      <c r="EQN1104" s="15"/>
      <c r="EQQ1104" s="15"/>
      <c r="EQR1104" s="15"/>
      <c r="EQU1104" s="15"/>
      <c r="EQV1104" s="15"/>
      <c r="EQY1104" s="15"/>
      <c r="EQZ1104" s="15"/>
      <c r="ERC1104" s="15"/>
      <c r="ERD1104" s="15"/>
      <c r="ERG1104" s="15"/>
      <c r="ERH1104" s="15"/>
      <c r="ERK1104" s="15"/>
      <c r="ERL1104" s="15"/>
      <c r="ERO1104" s="15"/>
      <c r="ERP1104" s="15"/>
      <c r="ERS1104" s="15"/>
      <c r="ERT1104" s="15"/>
      <c r="ERW1104" s="15"/>
      <c r="ERX1104" s="15"/>
      <c r="ESA1104" s="15"/>
      <c r="ESB1104" s="15"/>
      <c r="ESE1104" s="15"/>
      <c r="ESF1104" s="15"/>
      <c r="ESI1104" s="15"/>
      <c r="ESJ1104" s="15"/>
      <c r="ESM1104" s="15"/>
      <c r="ESN1104" s="15"/>
      <c r="ESQ1104" s="15"/>
      <c r="ESR1104" s="15"/>
      <c r="ESU1104" s="15"/>
      <c r="ESV1104" s="15"/>
      <c r="ESY1104" s="15"/>
      <c r="ESZ1104" s="15"/>
      <c r="ETC1104" s="15"/>
      <c r="ETD1104" s="15"/>
      <c r="ETG1104" s="15"/>
      <c r="ETH1104" s="15"/>
      <c r="ETK1104" s="15"/>
      <c r="ETL1104" s="15"/>
      <c r="ETO1104" s="15"/>
      <c r="ETP1104" s="15"/>
      <c r="ETS1104" s="15"/>
      <c r="ETT1104" s="15"/>
      <c r="ETW1104" s="15"/>
      <c r="ETX1104" s="15"/>
      <c r="EUA1104" s="15"/>
      <c r="EUB1104" s="15"/>
      <c r="EUE1104" s="15"/>
      <c r="EUF1104" s="15"/>
      <c r="EUI1104" s="15"/>
      <c r="EUJ1104" s="15"/>
      <c r="EUM1104" s="15"/>
      <c r="EUN1104" s="15"/>
      <c r="EUQ1104" s="15"/>
      <c r="EUR1104" s="15"/>
      <c r="EUU1104" s="15"/>
      <c r="EUV1104" s="15"/>
      <c r="EUY1104" s="15"/>
      <c r="EUZ1104" s="15"/>
      <c r="EVC1104" s="15"/>
      <c r="EVD1104" s="15"/>
      <c r="EVG1104" s="15"/>
      <c r="EVH1104" s="15"/>
      <c r="EVK1104" s="15"/>
      <c r="EVL1104" s="15"/>
      <c r="EVO1104" s="15"/>
      <c r="EVP1104" s="15"/>
      <c r="EVS1104" s="15"/>
      <c r="EVT1104" s="15"/>
      <c r="EVW1104" s="15"/>
      <c r="EVX1104" s="15"/>
      <c r="EWA1104" s="15"/>
      <c r="EWB1104" s="15"/>
      <c r="EWE1104" s="15"/>
      <c r="EWF1104" s="15"/>
      <c r="EWI1104" s="15"/>
      <c r="EWJ1104" s="15"/>
      <c r="EWM1104" s="15"/>
      <c r="EWN1104" s="15"/>
      <c r="EWQ1104" s="15"/>
      <c r="EWR1104" s="15"/>
      <c r="EWU1104" s="15"/>
      <c r="EWV1104" s="15"/>
      <c r="EWY1104" s="15"/>
      <c r="EWZ1104" s="15"/>
      <c r="EXC1104" s="15"/>
      <c r="EXD1104" s="15"/>
      <c r="EXG1104" s="15"/>
      <c r="EXH1104" s="15"/>
      <c r="EXK1104" s="15"/>
      <c r="EXL1104" s="15"/>
      <c r="EXO1104" s="15"/>
      <c r="EXP1104" s="15"/>
      <c r="EXS1104" s="15"/>
      <c r="EXT1104" s="15"/>
      <c r="EXW1104" s="15"/>
      <c r="EXX1104" s="15"/>
      <c r="EYA1104" s="15"/>
      <c r="EYB1104" s="15"/>
      <c r="EYE1104" s="15"/>
      <c r="EYF1104" s="15"/>
      <c r="EYI1104" s="15"/>
      <c r="EYJ1104" s="15"/>
      <c r="EYM1104" s="15"/>
      <c r="EYN1104" s="15"/>
      <c r="EYQ1104" s="15"/>
      <c r="EYR1104" s="15"/>
      <c r="EYU1104" s="15"/>
      <c r="EYV1104" s="15"/>
      <c r="EYY1104" s="15"/>
      <c r="EYZ1104" s="15"/>
      <c r="EZC1104" s="15"/>
      <c r="EZD1104" s="15"/>
      <c r="EZG1104" s="15"/>
      <c r="EZH1104" s="15"/>
      <c r="EZK1104" s="15"/>
      <c r="EZL1104" s="15"/>
      <c r="EZO1104" s="15"/>
      <c r="EZP1104" s="15"/>
      <c r="EZS1104" s="15"/>
      <c r="EZT1104" s="15"/>
      <c r="EZW1104" s="15"/>
      <c r="EZX1104" s="15"/>
      <c r="FAA1104" s="15"/>
      <c r="FAB1104" s="15"/>
      <c r="FAE1104" s="15"/>
      <c r="FAF1104" s="15"/>
      <c r="FAI1104" s="15"/>
      <c r="FAJ1104" s="15"/>
      <c r="FAM1104" s="15"/>
      <c r="FAN1104" s="15"/>
      <c r="FAQ1104" s="15"/>
      <c r="FAR1104" s="15"/>
      <c r="FAU1104" s="15"/>
      <c r="FAV1104" s="15"/>
      <c r="FAY1104" s="15"/>
      <c r="FAZ1104" s="15"/>
      <c r="FBC1104" s="15"/>
      <c r="FBD1104" s="15"/>
      <c r="FBG1104" s="15"/>
      <c r="FBH1104" s="15"/>
      <c r="FBK1104" s="15"/>
      <c r="FBL1104" s="15"/>
      <c r="FBO1104" s="15"/>
      <c r="FBP1104" s="15"/>
      <c r="FBS1104" s="15"/>
      <c r="FBT1104" s="15"/>
      <c r="FBW1104" s="15"/>
      <c r="FBX1104" s="15"/>
      <c r="FCA1104" s="15"/>
      <c r="FCB1104" s="15"/>
      <c r="FCE1104" s="15"/>
      <c r="FCF1104" s="15"/>
      <c r="FCI1104" s="15"/>
      <c r="FCJ1104" s="15"/>
      <c r="FCM1104" s="15"/>
      <c r="FCN1104" s="15"/>
      <c r="FCQ1104" s="15"/>
      <c r="FCR1104" s="15"/>
      <c r="FCU1104" s="15"/>
      <c r="FCV1104" s="15"/>
      <c r="FCY1104" s="15"/>
      <c r="FCZ1104" s="15"/>
      <c r="FDC1104" s="15"/>
      <c r="FDD1104" s="15"/>
      <c r="FDG1104" s="15"/>
      <c r="FDH1104" s="15"/>
      <c r="FDK1104" s="15"/>
      <c r="FDL1104" s="15"/>
      <c r="FDO1104" s="15"/>
      <c r="FDP1104" s="15"/>
      <c r="FDS1104" s="15"/>
      <c r="FDT1104" s="15"/>
      <c r="FDW1104" s="15"/>
      <c r="FDX1104" s="15"/>
      <c r="FEA1104" s="15"/>
      <c r="FEB1104" s="15"/>
      <c r="FEE1104" s="15"/>
      <c r="FEF1104" s="15"/>
      <c r="FEI1104" s="15"/>
      <c r="FEJ1104" s="15"/>
      <c r="FEM1104" s="15"/>
      <c r="FEN1104" s="15"/>
      <c r="FEQ1104" s="15"/>
      <c r="FER1104" s="15"/>
      <c r="FEU1104" s="15"/>
      <c r="FEV1104" s="15"/>
      <c r="FEY1104" s="15"/>
      <c r="FEZ1104" s="15"/>
      <c r="FFC1104" s="15"/>
      <c r="FFD1104" s="15"/>
      <c r="FFG1104" s="15"/>
      <c r="FFH1104" s="15"/>
      <c r="FFK1104" s="15"/>
      <c r="FFL1104" s="15"/>
      <c r="FFO1104" s="15"/>
      <c r="FFP1104" s="15"/>
      <c r="FFS1104" s="15"/>
      <c r="FFT1104" s="15"/>
      <c r="FFW1104" s="15"/>
      <c r="FFX1104" s="15"/>
      <c r="FGA1104" s="15"/>
      <c r="FGB1104" s="15"/>
      <c r="FGE1104" s="15"/>
      <c r="FGF1104" s="15"/>
      <c r="FGI1104" s="15"/>
      <c r="FGJ1104" s="15"/>
      <c r="FGM1104" s="15"/>
      <c r="FGN1104" s="15"/>
      <c r="FGQ1104" s="15"/>
      <c r="FGR1104" s="15"/>
      <c r="FGU1104" s="15"/>
      <c r="FGV1104" s="15"/>
      <c r="FGY1104" s="15"/>
      <c r="FGZ1104" s="15"/>
      <c r="FHC1104" s="15"/>
      <c r="FHD1104" s="15"/>
      <c r="FHG1104" s="15"/>
      <c r="FHH1104" s="15"/>
      <c r="FHK1104" s="15"/>
      <c r="FHL1104" s="15"/>
      <c r="FHO1104" s="15"/>
      <c r="FHP1104" s="15"/>
      <c r="FHS1104" s="15"/>
      <c r="FHT1104" s="15"/>
      <c r="FHW1104" s="15"/>
      <c r="FHX1104" s="15"/>
      <c r="FIA1104" s="15"/>
      <c r="FIB1104" s="15"/>
      <c r="FIE1104" s="15"/>
      <c r="FIF1104" s="15"/>
      <c r="FII1104" s="15"/>
      <c r="FIJ1104" s="15"/>
      <c r="FIM1104" s="15"/>
      <c r="FIN1104" s="15"/>
      <c r="FIQ1104" s="15"/>
      <c r="FIR1104" s="15"/>
      <c r="FIU1104" s="15"/>
      <c r="FIV1104" s="15"/>
      <c r="FIY1104" s="15"/>
      <c r="FIZ1104" s="15"/>
      <c r="FJC1104" s="15"/>
      <c r="FJD1104" s="15"/>
      <c r="FJG1104" s="15"/>
      <c r="FJH1104" s="15"/>
      <c r="FJK1104" s="15"/>
      <c r="FJL1104" s="15"/>
      <c r="FJO1104" s="15"/>
      <c r="FJP1104" s="15"/>
      <c r="FJS1104" s="15"/>
      <c r="FJT1104" s="15"/>
      <c r="FJW1104" s="15"/>
      <c r="FJX1104" s="15"/>
      <c r="FKA1104" s="15"/>
      <c r="FKB1104" s="15"/>
      <c r="FKE1104" s="15"/>
      <c r="FKF1104" s="15"/>
      <c r="FKI1104" s="15"/>
      <c r="FKJ1104" s="15"/>
      <c r="FKM1104" s="15"/>
      <c r="FKN1104" s="15"/>
      <c r="FKQ1104" s="15"/>
      <c r="FKR1104" s="15"/>
      <c r="FKU1104" s="15"/>
      <c r="FKV1104" s="15"/>
      <c r="FKY1104" s="15"/>
      <c r="FKZ1104" s="15"/>
      <c r="FLC1104" s="15"/>
      <c r="FLD1104" s="15"/>
      <c r="FLG1104" s="15"/>
      <c r="FLH1104" s="15"/>
      <c r="FLK1104" s="15"/>
      <c r="FLL1104" s="15"/>
      <c r="FLO1104" s="15"/>
      <c r="FLP1104" s="15"/>
      <c r="FLS1104" s="15"/>
      <c r="FLT1104" s="15"/>
      <c r="FLW1104" s="15"/>
      <c r="FLX1104" s="15"/>
      <c r="FMA1104" s="15"/>
      <c r="FMB1104" s="15"/>
      <c r="FME1104" s="15"/>
      <c r="FMF1104" s="15"/>
      <c r="FMI1104" s="15"/>
      <c r="FMJ1104" s="15"/>
      <c r="FMM1104" s="15"/>
      <c r="FMN1104" s="15"/>
      <c r="FMQ1104" s="15"/>
      <c r="FMR1104" s="15"/>
      <c r="FMU1104" s="15"/>
      <c r="FMV1104" s="15"/>
      <c r="FMY1104" s="15"/>
      <c r="FMZ1104" s="15"/>
      <c r="FNC1104" s="15"/>
      <c r="FND1104" s="15"/>
      <c r="FNG1104" s="15"/>
      <c r="FNH1104" s="15"/>
      <c r="FNK1104" s="15"/>
      <c r="FNL1104" s="15"/>
      <c r="FNO1104" s="15"/>
      <c r="FNP1104" s="15"/>
      <c r="FNS1104" s="15"/>
      <c r="FNT1104" s="15"/>
      <c r="FNW1104" s="15"/>
      <c r="FNX1104" s="15"/>
      <c r="FOA1104" s="15"/>
      <c r="FOB1104" s="15"/>
      <c r="FOE1104" s="15"/>
      <c r="FOF1104" s="15"/>
      <c r="FOI1104" s="15"/>
      <c r="FOJ1104" s="15"/>
      <c r="FOM1104" s="15"/>
      <c r="FON1104" s="15"/>
      <c r="FOQ1104" s="15"/>
      <c r="FOR1104" s="15"/>
      <c r="FOU1104" s="15"/>
      <c r="FOV1104" s="15"/>
      <c r="FOY1104" s="15"/>
      <c r="FOZ1104" s="15"/>
      <c r="FPC1104" s="15"/>
      <c r="FPD1104" s="15"/>
      <c r="FPG1104" s="15"/>
      <c r="FPH1104" s="15"/>
      <c r="FPK1104" s="15"/>
      <c r="FPL1104" s="15"/>
      <c r="FPO1104" s="15"/>
      <c r="FPP1104" s="15"/>
      <c r="FPS1104" s="15"/>
      <c r="FPT1104" s="15"/>
      <c r="FPW1104" s="15"/>
      <c r="FPX1104" s="15"/>
      <c r="FQA1104" s="15"/>
      <c r="FQB1104" s="15"/>
      <c r="FQE1104" s="15"/>
      <c r="FQF1104" s="15"/>
      <c r="FQI1104" s="15"/>
      <c r="FQJ1104" s="15"/>
      <c r="FQM1104" s="15"/>
      <c r="FQN1104" s="15"/>
      <c r="FQQ1104" s="15"/>
      <c r="FQR1104" s="15"/>
      <c r="FQU1104" s="15"/>
      <c r="FQV1104" s="15"/>
      <c r="FQY1104" s="15"/>
      <c r="FQZ1104" s="15"/>
      <c r="FRC1104" s="15"/>
      <c r="FRD1104" s="15"/>
      <c r="FRG1104" s="15"/>
      <c r="FRH1104" s="15"/>
      <c r="FRK1104" s="15"/>
      <c r="FRL1104" s="15"/>
      <c r="FRO1104" s="15"/>
      <c r="FRP1104" s="15"/>
      <c r="FRS1104" s="15"/>
      <c r="FRT1104" s="15"/>
      <c r="FRW1104" s="15"/>
      <c r="FRX1104" s="15"/>
      <c r="FSA1104" s="15"/>
      <c r="FSB1104" s="15"/>
      <c r="FSE1104" s="15"/>
      <c r="FSF1104" s="15"/>
      <c r="FSI1104" s="15"/>
      <c r="FSJ1104" s="15"/>
      <c r="FSM1104" s="15"/>
      <c r="FSN1104" s="15"/>
      <c r="FSQ1104" s="15"/>
      <c r="FSR1104" s="15"/>
      <c r="FSU1104" s="15"/>
      <c r="FSV1104" s="15"/>
      <c r="FSY1104" s="15"/>
      <c r="FSZ1104" s="15"/>
      <c r="FTC1104" s="15"/>
      <c r="FTD1104" s="15"/>
      <c r="FTG1104" s="15"/>
      <c r="FTH1104" s="15"/>
      <c r="FTK1104" s="15"/>
      <c r="FTL1104" s="15"/>
      <c r="FTO1104" s="15"/>
      <c r="FTP1104" s="15"/>
      <c r="FTS1104" s="15"/>
      <c r="FTT1104" s="15"/>
      <c r="FTW1104" s="15"/>
      <c r="FTX1104" s="15"/>
      <c r="FUA1104" s="15"/>
      <c r="FUB1104" s="15"/>
      <c r="FUE1104" s="15"/>
      <c r="FUF1104" s="15"/>
      <c r="FUI1104" s="15"/>
      <c r="FUJ1104" s="15"/>
      <c r="FUM1104" s="15"/>
      <c r="FUN1104" s="15"/>
      <c r="FUQ1104" s="15"/>
      <c r="FUR1104" s="15"/>
      <c r="FUU1104" s="15"/>
      <c r="FUV1104" s="15"/>
      <c r="FUY1104" s="15"/>
      <c r="FUZ1104" s="15"/>
      <c r="FVC1104" s="15"/>
      <c r="FVD1104" s="15"/>
      <c r="FVG1104" s="15"/>
      <c r="FVH1104" s="15"/>
      <c r="FVK1104" s="15"/>
      <c r="FVL1104" s="15"/>
      <c r="FVO1104" s="15"/>
      <c r="FVP1104" s="15"/>
      <c r="FVS1104" s="15"/>
      <c r="FVT1104" s="15"/>
      <c r="FVW1104" s="15"/>
      <c r="FVX1104" s="15"/>
      <c r="FWA1104" s="15"/>
      <c r="FWB1104" s="15"/>
      <c r="FWE1104" s="15"/>
      <c r="FWF1104" s="15"/>
      <c r="FWI1104" s="15"/>
      <c r="FWJ1104" s="15"/>
      <c r="FWM1104" s="15"/>
      <c r="FWN1104" s="15"/>
      <c r="FWQ1104" s="15"/>
      <c r="FWR1104" s="15"/>
      <c r="FWU1104" s="15"/>
      <c r="FWV1104" s="15"/>
      <c r="FWY1104" s="15"/>
      <c r="FWZ1104" s="15"/>
      <c r="FXC1104" s="15"/>
      <c r="FXD1104" s="15"/>
      <c r="FXG1104" s="15"/>
      <c r="FXH1104" s="15"/>
      <c r="FXK1104" s="15"/>
      <c r="FXL1104" s="15"/>
      <c r="FXO1104" s="15"/>
      <c r="FXP1104" s="15"/>
      <c r="FXS1104" s="15"/>
      <c r="FXT1104" s="15"/>
      <c r="FXW1104" s="15"/>
      <c r="FXX1104" s="15"/>
      <c r="FYA1104" s="15"/>
      <c r="FYB1104" s="15"/>
      <c r="FYE1104" s="15"/>
      <c r="FYF1104" s="15"/>
      <c r="FYI1104" s="15"/>
      <c r="FYJ1104" s="15"/>
      <c r="FYM1104" s="15"/>
      <c r="FYN1104" s="15"/>
      <c r="FYQ1104" s="15"/>
      <c r="FYR1104" s="15"/>
      <c r="FYU1104" s="15"/>
      <c r="FYV1104" s="15"/>
      <c r="FYY1104" s="15"/>
      <c r="FYZ1104" s="15"/>
      <c r="FZC1104" s="15"/>
      <c r="FZD1104" s="15"/>
      <c r="FZG1104" s="15"/>
      <c r="FZH1104" s="15"/>
      <c r="FZK1104" s="15"/>
      <c r="FZL1104" s="15"/>
      <c r="FZO1104" s="15"/>
      <c r="FZP1104" s="15"/>
      <c r="FZS1104" s="15"/>
      <c r="FZT1104" s="15"/>
      <c r="FZW1104" s="15"/>
      <c r="FZX1104" s="15"/>
      <c r="GAA1104" s="15"/>
      <c r="GAB1104" s="15"/>
      <c r="GAE1104" s="15"/>
      <c r="GAF1104" s="15"/>
      <c r="GAI1104" s="15"/>
      <c r="GAJ1104" s="15"/>
      <c r="GAM1104" s="15"/>
      <c r="GAN1104" s="15"/>
      <c r="GAQ1104" s="15"/>
      <c r="GAR1104" s="15"/>
      <c r="GAU1104" s="15"/>
      <c r="GAV1104" s="15"/>
      <c r="GAY1104" s="15"/>
      <c r="GAZ1104" s="15"/>
      <c r="GBC1104" s="15"/>
      <c r="GBD1104" s="15"/>
      <c r="GBG1104" s="15"/>
      <c r="GBH1104" s="15"/>
      <c r="GBK1104" s="15"/>
      <c r="GBL1104" s="15"/>
      <c r="GBO1104" s="15"/>
      <c r="GBP1104" s="15"/>
      <c r="GBS1104" s="15"/>
      <c r="GBT1104" s="15"/>
      <c r="GBW1104" s="15"/>
      <c r="GBX1104" s="15"/>
      <c r="GCA1104" s="15"/>
      <c r="GCB1104" s="15"/>
      <c r="GCE1104" s="15"/>
      <c r="GCF1104" s="15"/>
      <c r="GCI1104" s="15"/>
      <c r="GCJ1104" s="15"/>
      <c r="GCM1104" s="15"/>
      <c r="GCN1104" s="15"/>
      <c r="GCQ1104" s="15"/>
      <c r="GCR1104" s="15"/>
      <c r="GCU1104" s="15"/>
      <c r="GCV1104" s="15"/>
      <c r="GCY1104" s="15"/>
      <c r="GCZ1104" s="15"/>
      <c r="GDC1104" s="15"/>
      <c r="GDD1104" s="15"/>
      <c r="GDG1104" s="15"/>
      <c r="GDH1104" s="15"/>
      <c r="GDK1104" s="15"/>
      <c r="GDL1104" s="15"/>
      <c r="GDO1104" s="15"/>
      <c r="GDP1104" s="15"/>
      <c r="GDS1104" s="15"/>
      <c r="GDT1104" s="15"/>
      <c r="GDW1104" s="15"/>
      <c r="GDX1104" s="15"/>
      <c r="GEA1104" s="15"/>
      <c r="GEB1104" s="15"/>
      <c r="GEE1104" s="15"/>
      <c r="GEF1104" s="15"/>
      <c r="GEI1104" s="15"/>
      <c r="GEJ1104" s="15"/>
      <c r="GEM1104" s="15"/>
      <c r="GEN1104" s="15"/>
      <c r="GEQ1104" s="15"/>
      <c r="GER1104" s="15"/>
      <c r="GEU1104" s="15"/>
      <c r="GEV1104" s="15"/>
      <c r="GEY1104" s="15"/>
      <c r="GEZ1104" s="15"/>
      <c r="GFC1104" s="15"/>
      <c r="GFD1104" s="15"/>
      <c r="GFG1104" s="15"/>
      <c r="GFH1104" s="15"/>
      <c r="GFK1104" s="15"/>
      <c r="GFL1104" s="15"/>
      <c r="GFO1104" s="15"/>
      <c r="GFP1104" s="15"/>
      <c r="GFS1104" s="15"/>
      <c r="GFT1104" s="15"/>
      <c r="GFW1104" s="15"/>
      <c r="GFX1104" s="15"/>
      <c r="GGA1104" s="15"/>
      <c r="GGB1104" s="15"/>
      <c r="GGE1104" s="15"/>
      <c r="GGF1104" s="15"/>
      <c r="GGI1104" s="15"/>
      <c r="GGJ1104" s="15"/>
      <c r="GGM1104" s="15"/>
      <c r="GGN1104" s="15"/>
      <c r="GGQ1104" s="15"/>
      <c r="GGR1104" s="15"/>
      <c r="GGU1104" s="15"/>
      <c r="GGV1104" s="15"/>
      <c r="GGY1104" s="15"/>
      <c r="GGZ1104" s="15"/>
      <c r="GHC1104" s="15"/>
      <c r="GHD1104" s="15"/>
      <c r="GHG1104" s="15"/>
      <c r="GHH1104" s="15"/>
      <c r="GHK1104" s="15"/>
      <c r="GHL1104" s="15"/>
      <c r="GHO1104" s="15"/>
      <c r="GHP1104" s="15"/>
      <c r="GHS1104" s="15"/>
      <c r="GHT1104" s="15"/>
      <c r="GHW1104" s="15"/>
      <c r="GHX1104" s="15"/>
      <c r="GIA1104" s="15"/>
      <c r="GIB1104" s="15"/>
      <c r="GIE1104" s="15"/>
      <c r="GIF1104" s="15"/>
      <c r="GII1104" s="15"/>
      <c r="GIJ1104" s="15"/>
      <c r="GIM1104" s="15"/>
      <c r="GIN1104" s="15"/>
      <c r="GIQ1104" s="15"/>
      <c r="GIR1104" s="15"/>
      <c r="GIU1104" s="15"/>
      <c r="GIV1104" s="15"/>
      <c r="GIY1104" s="15"/>
      <c r="GIZ1104" s="15"/>
      <c r="GJC1104" s="15"/>
      <c r="GJD1104" s="15"/>
      <c r="GJG1104" s="15"/>
      <c r="GJH1104" s="15"/>
      <c r="GJK1104" s="15"/>
      <c r="GJL1104" s="15"/>
      <c r="GJO1104" s="15"/>
      <c r="GJP1104" s="15"/>
      <c r="GJS1104" s="15"/>
      <c r="GJT1104" s="15"/>
      <c r="GJW1104" s="15"/>
      <c r="GJX1104" s="15"/>
      <c r="GKA1104" s="15"/>
      <c r="GKB1104" s="15"/>
      <c r="GKE1104" s="15"/>
      <c r="GKF1104" s="15"/>
      <c r="GKI1104" s="15"/>
      <c r="GKJ1104" s="15"/>
      <c r="GKM1104" s="15"/>
      <c r="GKN1104" s="15"/>
      <c r="GKQ1104" s="15"/>
      <c r="GKR1104" s="15"/>
      <c r="GKU1104" s="15"/>
      <c r="GKV1104" s="15"/>
      <c r="GKY1104" s="15"/>
      <c r="GKZ1104" s="15"/>
      <c r="GLC1104" s="15"/>
      <c r="GLD1104" s="15"/>
      <c r="GLG1104" s="15"/>
      <c r="GLH1104" s="15"/>
      <c r="GLK1104" s="15"/>
      <c r="GLL1104" s="15"/>
      <c r="GLO1104" s="15"/>
      <c r="GLP1104" s="15"/>
      <c r="GLS1104" s="15"/>
      <c r="GLT1104" s="15"/>
      <c r="GLW1104" s="15"/>
      <c r="GLX1104" s="15"/>
      <c r="GMA1104" s="15"/>
      <c r="GMB1104" s="15"/>
      <c r="GME1104" s="15"/>
      <c r="GMF1104" s="15"/>
      <c r="GMI1104" s="15"/>
      <c r="GMJ1104" s="15"/>
      <c r="GMM1104" s="15"/>
      <c r="GMN1104" s="15"/>
      <c r="GMQ1104" s="15"/>
      <c r="GMR1104" s="15"/>
      <c r="GMU1104" s="15"/>
      <c r="GMV1104" s="15"/>
      <c r="GMY1104" s="15"/>
      <c r="GMZ1104" s="15"/>
      <c r="GNC1104" s="15"/>
      <c r="GND1104" s="15"/>
      <c r="GNG1104" s="15"/>
      <c r="GNH1104" s="15"/>
      <c r="GNK1104" s="15"/>
      <c r="GNL1104" s="15"/>
      <c r="GNO1104" s="15"/>
      <c r="GNP1104" s="15"/>
      <c r="GNS1104" s="15"/>
      <c r="GNT1104" s="15"/>
      <c r="GNW1104" s="15"/>
      <c r="GNX1104" s="15"/>
      <c r="GOA1104" s="15"/>
      <c r="GOB1104" s="15"/>
      <c r="GOE1104" s="15"/>
      <c r="GOF1104" s="15"/>
      <c r="GOI1104" s="15"/>
      <c r="GOJ1104" s="15"/>
      <c r="GOM1104" s="15"/>
      <c r="GON1104" s="15"/>
      <c r="GOQ1104" s="15"/>
      <c r="GOR1104" s="15"/>
      <c r="GOU1104" s="15"/>
      <c r="GOV1104" s="15"/>
      <c r="GOY1104" s="15"/>
      <c r="GOZ1104" s="15"/>
      <c r="GPC1104" s="15"/>
      <c r="GPD1104" s="15"/>
      <c r="GPG1104" s="15"/>
      <c r="GPH1104" s="15"/>
      <c r="GPK1104" s="15"/>
      <c r="GPL1104" s="15"/>
      <c r="GPO1104" s="15"/>
      <c r="GPP1104" s="15"/>
      <c r="GPS1104" s="15"/>
      <c r="GPT1104" s="15"/>
      <c r="GPW1104" s="15"/>
      <c r="GPX1104" s="15"/>
      <c r="GQA1104" s="15"/>
      <c r="GQB1104" s="15"/>
      <c r="GQE1104" s="15"/>
      <c r="GQF1104" s="15"/>
      <c r="GQI1104" s="15"/>
      <c r="GQJ1104" s="15"/>
      <c r="GQM1104" s="15"/>
      <c r="GQN1104" s="15"/>
      <c r="GQQ1104" s="15"/>
      <c r="GQR1104" s="15"/>
      <c r="GQU1104" s="15"/>
      <c r="GQV1104" s="15"/>
      <c r="GQY1104" s="15"/>
      <c r="GQZ1104" s="15"/>
      <c r="GRC1104" s="15"/>
      <c r="GRD1104" s="15"/>
      <c r="GRG1104" s="15"/>
      <c r="GRH1104" s="15"/>
      <c r="GRK1104" s="15"/>
      <c r="GRL1104" s="15"/>
      <c r="GRO1104" s="15"/>
      <c r="GRP1104" s="15"/>
      <c r="GRS1104" s="15"/>
      <c r="GRT1104" s="15"/>
      <c r="GRW1104" s="15"/>
      <c r="GRX1104" s="15"/>
      <c r="GSA1104" s="15"/>
      <c r="GSB1104" s="15"/>
      <c r="GSE1104" s="15"/>
      <c r="GSF1104" s="15"/>
      <c r="GSI1104" s="15"/>
      <c r="GSJ1104" s="15"/>
      <c r="GSM1104" s="15"/>
      <c r="GSN1104" s="15"/>
      <c r="GSQ1104" s="15"/>
      <c r="GSR1104" s="15"/>
      <c r="GSU1104" s="15"/>
      <c r="GSV1104" s="15"/>
      <c r="GSY1104" s="15"/>
      <c r="GSZ1104" s="15"/>
      <c r="GTC1104" s="15"/>
      <c r="GTD1104" s="15"/>
      <c r="GTG1104" s="15"/>
      <c r="GTH1104" s="15"/>
      <c r="GTK1104" s="15"/>
      <c r="GTL1104" s="15"/>
      <c r="GTO1104" s="15"/>
      <c r="GTP1104" s="15"/>
      <c r="GTS1104" s="15"/>
      <c r="GTT1104" s="15"/>
      <c r="GTW1104" s="15"/>
      <c r="GTX1104" s="15"/>
      <c r="GUA1104" s="15"/>
      <c r="GUB1104" s="15"/>
      <c r="GUE1104" s="15"/>
      <c r="GUF1104" s="15"/>
      <c r="GUI1104" s="15"/>
      <c r="GUJ1104" s="15"/>
      <c r="GUM1104" s="15"/>
      <c r="GUN1104" s="15"/>
      <c r="GUQ1104" s="15"/>
      <c r="GUR1104" s="15"/>
      <c r="GUU1104" s="15"/>
      <c r="GUV1104" s="15"/>
      <c r="GUY1104" s="15"/>
      <c r="GUZ1104" s="15"/>
      <c r="GVC1104" s="15"/>
      <c r="GVD1104" s="15"/>
      <c r="GVG1104" s="15"/>
      <c r="GVH1104" s="15"/>
      <c r="GVK1104" s="15"/>
      <c r="GVL1104" s="15"/>
      <c r="GVO1104" s="15"/>
      <c r="GVP1104" s="15"/>
      <c r="GVS1104" s="15"/>
      <c r="GVT1104" s="15"/>
      <c r="GVW1104" s="15"/>
      <c r="GVX1104" s="15"/>
      <c r="GWA1104" s="15"/>
      <c r="GWB1104" s="15"/>
      <c r="GWE1104" s="15"/>
      <c r="GWF1104" s="15"/>
      <c r="GWI1104" s="15"/>
      <c r="GWJ1104" s="15"/>
      <c r="GWM1104" s="15"/>
      <c r="GWN1104" s="15"/>
      <c r="GWQ1104" s="15"/>
      <c r="GWR1104" s="15"/>
      <c r="GWU1104" s="15"/>
      <c r="GWV1104" s="15"/>
      <c r="GWY1104" s="15"/>
      <c r="GWZ1104" s="15"/>
      <c r="GXC1104" s="15"/>
      <c r="GXD1104" s="15"/>
      <c r="GXG1104" s="15"/>
      <c r="GXH1104" s="15"/>
      <c r="GXK1104" s="15"/>
      <c r="GXL1104" s="15"/>
      <c r="GXO1104" s="15"/>
      <c r="GXP1104" s="15"/>
      <c r="GXS1104" s="15"/>
      <c r="GXT1104" s="15"/>
      <c r="GXW1104" s="15"/>
      <c r="GXX1104" s="15"/>
      <c r="GYA1104" s="15"/>
      <c r="GYB1104" s="15"/>
      <c r="GYE1104" s="15"/>
      <c r="GYF1104" s="15"/>
      <c r="GYI1104" s="15"/>
      <c r="GYJ1104" s="15"/>
      <c r="GYM1104" s="15"/>
      <c r="GYN1104" s="15"/>
      <c r="GYQ1104" s="15"/>
      <c r="GYR1104" s="15"/>
      <c r="GYU1104" s="15"/>
      <c r="GYV1104" s="15"/>
      <c r="GYY1104" s="15"/>
      <c r="GYZ1104" s="15"/>
      <c r="GZC1104" s="15"/>
      <c r="GZD1104" s="15"/>
      <c r="GZG1104" s="15"/>
      <c r="GZH1104" s="15"/>
      <c r="GZK1104" s="15"/>
      <c r="GZL1104" s="15"/>
      <c r="GZO1104" s="15"/>
      <c r="GZP1104" s="15"/>
      <c r="GZS1104" s="15"/>
      <c r="GZT1104" s="15"/>
      <c r="GZW1104" s="15"/>
      <c r="GZX1104" s="15"/>
      <c r="HAA1104" s="15"/>
      <c r="HAB1104" s="15"/>
      <c r="HAE1104" s="15"/>
      <c r="HAF1104" s="15"/>
      <c r="HAI1104" s="15"/>
      <c r="HAJ1104" s="15"/>
      <c r="HAM1104" s="15"/>
      <c r="HAN1104" s="15"/>
      <c r="HAQ1104" s="15"/>
      <c r="HAR1104" s="15"/>
      <c r="HAU1104" s="15"/>
      <c r="HAV1104" s="15"/>
      <c r="HAY1104" s="15"/>
      <c r="HAZ1104" s="15"/>
      <c r="HBC1104" s="15"/>
      <c r="HBD1104" s="15"/>
      <c r="HBG1104" s="15"/>
      <c r="HBH1104" s="15"/>
      <c r="HBK1104" s="15"/>
      <c r="HBL1104" s="15"/>
      <c r="HBO1104" s="15"/>
      <c r="HBP1104" s="15"/>
      <c r="HBS1104" s="15"/>
      <c r="HBT1104" s="15"/>
      <c r="HBW1104" s="15"/>
      <c r="HBX1104" s="15"/>
      <c r="HCA1104" s="15"/>
      <c r="HCB1104" s="15"/>
      <c r="HCE1104" s="15"/>
      <c r="HCF1104" s="15"/>
      <c r="HCI1104" s="15"/>
      <c r="HCJ1104" s="15"/>
      <c r="HCM1104" s="15"/>
      <c r="HCN1104" s="15"/>
      <c r="HCQ1104" s="15"/>
      <c r="HCR1104" s="15"/>
      <c r="HCU1104" s="15"/>
      <c r="HCV1104" s="15"/>
      <c r="HCY1104" s="15"/>
      <c r="HCZ1104" s="15"/>
      <c r="HDC1104" s="15"/>
      <c r="HDD1104" s="15"/>
      <c r="HDG1104" s="15"/>
      <c r="HDH1104" s="15"/>
      <c r="HDK1104" s="15"/>
      <c r="HDL1104" s="15"/>
      <c r="HDO1104" s="15"/>
      <c r="HDP1104" s="15"/>
      <c r="HDS1104" s="15"/>
      <c r="HDT1104" s="15"/>
      <c r="HDW1104" s="15"/>
      <c r="HDX1104" s="15"/>
      <c r="HEA1104" s="15"/>
      <c r="HEB1104" s="15"/>
      <c r="HEE1104" s="15"/>
      <c r="HEF1104" s="15"/>
      <c r="HEI1104" s="15"/>
      <c r="HEJ1104" s="15"/>
      <c r="HEM1104" s="15"/>
      <c r="HEN1104" s="15"/>
      <c r="HEQ1104" s="15"/>
      <c r="HER1104" s="15"/>
      <c r="HEU1104" s="15"/>
      <c r="HEV1104" s="15"/>
      <c r="HEY1104" s="15"/>
      <c r="HEZ1104" s="15"/>
      <c r="HFC1104" s="15"/>
      <c r="HFD1104" s="15"/>
      <c r="HFG1104" s="15"/>
      <c r="HFH1104" s="15"/>
      <c r="HFK1104" s="15"/>
      <c r="HFL1104" s="15"/>
      <c r="HFO1104" s="15"/>
      <c r="HFP1104" s="15"/>
      <c r="HFS1104" s="15"/>
      <c r="HFT1104" s="15"/>
      <c r="HFW1104" s="15"/>
      <c r="HFX1104" s="15"/>
      <c r="HGA1104" s="15"/>
      <c r="HGB1104" s="15"/>
      <c r="HGE1104" s="15"/>
      <c r="HGF1104" s="15"/>
      <c r="HGI1104" s="15"/>
      <c r="HGJ1104" s="15"/>
      <c r="HGM1104" s="15"/>
      <c r="HGN1104" s="15"/>
      <c r="HGQ1104" s="15"/>
      <c r="HGR1104" s="15"/>
      <c r="HGU1104" s="15"/>
      <c r="HGV1104" s="15"/>
      <c r="HGY1104" s="15"/>
      <c r="HGZ1104" s="15"/>
      <c r="HHC1104" s="15"/>
      <c r="HHD1104" s="15"/>
      <c r="HHG1104" s="15"/>
      <c r="HHH1104" s="15"/>
      <c r="HHK1104" s="15"/>
      <c r="HHL1104" s="15"/>
      <c r="HHO1104" s="15"/>
      <c r="HHP1104" s="15"/>
      <c r="HHS1104" s="15"/>
      <c r="HHT1104" s="15"/>
      <c r="HHW1104" s="15"/>
      <c r="HHX1104" s="15"/>
      <c r="HIA1104" s="15"/>
      <c r="HIB1104" s="15"/>
      <c r="HIE1104" s="15"/>
      <c r="HIF1104" s="15"/>
      <c r="HII1104" s="15"/>
      <c r="HIJ1104" s="15"/>
      <c r="HIM1104" s="15"/>
      <c r="HIN1104" s="15"/>
      <c r="HIQ1104" s="15"/>
      <c r="HIR1104" s="15"/>
      <c r="HIU1104" s="15"/>
      <c r="HIV1104" s="15"/>
      <c r="HIY1104" s="15"/>
      <c r="HIZ1104" s="15"/>
      <c r="HJC1104" s="15"/>
      <c r="HJD1104" s="15"/>
      <c r="HJG1104" s="15"/>
      <c r="HJH1104" s="15"/>
      <c r="HJK1104" s="15"/>
      <c r="HJL1104" s="15"/>
      <c r="HJO1104" s="15"/>
      <c r="HJP1104" s="15"/>
      <c r="HJS1104" s="15"/>
      <c r="HJT1104" s="15"/>
      <c r="HJW1104" s="15"/>
      <c r="HJX1104" s="15"/>
      <c r="HKA1104" s="15"/>
      <c r="HKB1104" s="15"/>
      <c r="HKE1104" s="15"/>
      <c r="HKF1104" s="15"/>
      <c r="HKI1104" s="15"/>
      <c r="HKJ1104" s="15"/>
      <c r="HKM1104" s="15"/>
      <c r="HKN1104" s="15"/>
      <c r="HKQ1104" s="15"/>
      <c r="HKR1104" s="15"/>
      <c r="HKU1104" s="15"/>
      <c r="HKV1104" s="15"/>
      <c r="HKY1104" s="15"/>
      <c r="HKZ1104" s="15"/>
      <c r="HLC1104" s="15"/>
      <c r="HLD1104" s="15"/>
      <c r="HLG1104" s="15"/>
      <c r="HLH1104" s="15"/>
      <c r="HLK1104" s="15"/>
      <c r="HLL1104" s="15"/>
      <c r="HLO1104" s="15"/>
      <c r="HLP1104" s="15"/>
      <c r="HLS1104" s="15"/>
      <c r="HLT1104" s="15"/>
      <c r="HLW1104" s="15"/>
      <c r="HLX1104" s="15"/>
      <c r="HMA1104" s="15"/>
      <c r="HMB1104" s="15"/>
      <c r="HME1104" s="15"/>
      <c r="HMF1104" s="15"/>
      <c r="HMI1104" s="15"/>
      <c r="HMJ1104" s="15"/>
      <c r="HMM1104" s="15"/>
      <c r="HMN1104" s="15"/>
      <c r="HMQ1104" s="15"/>
      <c r="HMR1104" s="15"/>
      <c r="HMU1104" s="15"/>
      <c r="HMV1104" s="15"/>
      <c r="HMY1104" s="15"/>
      <c r="HMZ1104" s="15"/>
      <c r="HNC1104" s="15"/>
      <c r="HND1104" s="15"/>
      <c r="HNG1104" s="15"/>
      <c r="HNH1104" s="15"/>
      <c r="HNK1104" s="15"/>
      <c r="HNL1104" s="15"/>
      <c r="HNO1104" s="15"/>
      <c r="HNP1104" s="15"/>
      <c r="HNS1104" s="15"/>
      <c r="HNT1104" s="15"/>
      <c r="HNW1104" s="15"/>
      <c r="HNX1104" s="15"/>
      <c r="HOA1104" s="15"/>
      <c r="HOB1104" s="15"/>
      <c r="HOE1104" s="15"/>
      <c r="HOF1104" s="15"/>
      <c r="HOI1104" s="15"/>
      <c r="HOJ1104" s="15"/>
      <c r="HOM1104" s="15"/>
      <c r="HON1104" s="15"/>
      <c r="HOQ1104" s="15"/>
      <c r="HOR1104" s="15"/>
      <c r="HOU1104" s="15"/>
      <c r="HOV1104" s="15"/>
      <c r="HOY1104" s="15"/>
      <c r="HOZ1104" s="15"/>
      <c r="HPC1104" s="15"/>
      <c r="HPD1104" s="15"/>
      <c r="HPG1104" s="15"/>
      <c r="HPH1104" s="15"/>
      <c r="HPK1104" s="15"/>
      <c r="HPL1104" s="15"/>
      <c r="HPO1104" s="15"/>
      <c r="HPP1104" s="15"/>
      <c r="HPS1104" s="15"/>
      <c r="HPT1104" s="15"/>
      <c r="HPW1104" s="15"/>
      <c r="HPX1104" s="15"/>
      <c r="HQA1104" s="15"/>
      <c r="HQB1104" s="15"/>
      <c r="HQE1104" s="15"/>
      <c r="HQF1104" s="15"/>
      <c r="HQI1104" s="15"/>
      <c r="HQJ1104" s="15"/>
      <c r="HQM1104" s="15"/>
      <c r="HQN1104" s="15"/>
      <c r="HQQ1104" s="15"/>
      <c r="HQR1104" s="15"/>
      <c r="HQU1104" s="15"/>
      <c r="HQV1104" s="15"/>
      <c r="HQY1104" s="15"/>
      <c r="HQZ1104" s="15"/>
      <c r="HRC1104" s="15"/>
      <c r="HRD1104" s="15"/>
      <c r="HRG1104" s="15"/>
      <c r="HRH1104" s="15"/>
      <c r="HRK1104" s="15"/>
      <c r="HRL1104" s="15"/>
      <c r="HRO1104" s="15"/>
      <c r="HRP1104" s="15"/>
      <c r="HRS1104" s="15"/>
      <c r="HRT1104" s="15"/>
      <c r="HRW1104" s="15"/>
      <c r="HRX1104" s="15"/>
      <c r="HSA1104" s="15"/>
      <c r="HSB1104" s="15"/>
      <c r="HSE1104" s="15"/>
      <c r="HSF1104" s="15"/>
      <c r="HSI1104" s="15"/>
      <c r="HSJ1104" s="15"/>
      <c r="HSM1104" s="15"/>
      <c r="HSN1104" s="15"/>
      <c r="HSQ1104" s="15"/>
      <c r="HSR1104" s="15"/>
      <c r="HSU1104" s="15"/>
      <c r="HSV1104" s="15"/>
      <c r="HSY1104" s="15"/>
      <c r="HSZ1104" s="15"/>
      <c r="HTC1104" s="15"/>
      <c r="HTD1104" s="15"/>
      <c r="HTG1104" s="15"/>
      <c r="HTH1104" s="15"/>
      <c r="HTK1104" s="15"/>
      <c r="HTL1104" s="15"/>
      <c r="HTO1104" s="15"/>
      <c r="HTP1104" s="15"/>
      <c r="HTS1104" s="15"/>
      <c r="HTT1104" s="15"/>
      <c r="HTW1104" s="15"/>
      <c r="HTX1104" s="15"/>
      <c r="HUA1104" s="15"/>
      <c r="HUB1104" s="15"/>
      <c r="HUE1104" s="15"/>
      <c r="HUF1104" s="15"/>
      <c r="HUI1104" s="15"/>
      <c r="HUJ1104" s="15"/>
      <c r="HUM1104" s="15"/>
      <c r="HUN1104" s="15"/>
      <c r="HUQ1104" s="15"/>
      <c r="HUR1104" s="15"/>
      <c r="HUU1104" s="15"/>
      <c r="HUV1104" s="15"/>
      <c r="HUY1104" s="15"/>
      <c r="HUZ1104" s="15"/>
      <c r="HVC1104" s="15"/>
      <c r="HVD1104" s="15"/>
      <c r="HVG1104" s="15"/>
      <c r="HVH1104" s="15"/>
      <c r="HVK1104" s="15"/>
      <c r="HVL1104" s="15"/>
      <c r="HVO1104" s="15"/>
      <c r="HVP1104" s="15"/>
      <c r="HVS1104" s="15"/>
      <c r="HVT1104" s="15"/>
      <c r="HVW1104" s="15"/>
      <c r="HVX1104" s="15"/>
      <c r="HWA1104" s="15"/>
      <c r="HWB1104" s="15"/>
      <c r="HWE1104" s="15"/>
      <c r="HWF1104" s="15"/>
      <c r="HWI1104" s="15"/>
      <c r="HWJ1104" s="15"/>
      <c r="HWM1104" s="15"/>
      <c r="HWN1104" s="15"/>
      <c r="HWQ1104" s="15"/>
      <c r="HWR1104" s="15"/>
      <c r="HWU1104" s="15"/>
      <c r="HWV1104" s="15"/>
      <c r="HWY1104" s="15"/>
      <c r="HWZ1104" s="15"/>
      <c r="HXC1104" s="15"/>
      <c r="HXD1104" s="15"/>
      <c r="HXG1104" s="15"/>
      <c r="HXH1104" s="15"/>
      <c r="HXK1104" s="15"/>
      <c r="HXL1104" s="15"/>
      <c r="HXO1104" s="15"/>
      <c r="HXP1104" s="15"/>
      <c r="HXS1104" s="15"/>
      <c r="HXT1104" s="15"/>
      <c r="HXW1104" s="15"/>
      <c r="HXX1104" s="15"/>
      <c r="HYA1104" s="15"/>
      <c r="HYB1104" s="15"/>
      <c r="HYE1104" s="15"/>
      <c r="HYF1104" s="15"/>
      <c r="HYI1104" s="15"/>
      <c r="HYJ1104" s="15"/>
      <c r="HYM1104" s="15"/>
      <c r="HYN1104" s="15"/>
      <c r="HYQ1104" s="15"/>
      <c r="HYR1104" s="15"/>
      <c r="HYU1104" s="15"/>
      <c r="HYV1104" s="15"/>
      <c r="HYY1104" s="15"/>
      <c r="HYZ1104" s="15"/>
      <c r="HZC1104" s="15"/>
      <c r="HZD1104" s="15"/>
      <c r="HZG1104" s="15"/>
      <c r="HZH1104" s="15"/>
      <c r="HZK1104" s="15"/>
      <c r="HZL1104" s="15"/>
      <c r="HZO1104" s="15"/>
      <c r="HZP1104" s="15"/>
      <c r="HZS1104" s="15"/>
      <c r="HZT1104" s="15"/>
      <c r="HZW1104" s="15"/>
      <c r="HZX1104" s="15"/>
      <c r="IAA1104" s="15"/>
      <c r="IAB1104" s="15"/>
      <c r="IAE1104" s="15"/>
      <c r="IAF1104" s="15"/>
      <c r="IAI1104" s="15"/>
      <c r="IAJ1104" s="15"/>
      <c r="IAM1104" s="15"/>
      <c r="IAN1104" s="15"/>
      <c r="IAQ1104" s="15"/>
      <c r="IAR1104" s="15"/>
      <c r="IAU1104" s="15"/>
      <c r="IAV1104" s="15"/>
      <c r="IAY1104" s="15"/>
      <c r="IAZ1104" s="15"/>
      <c r="IBC1104" s="15"/>
      <c r="IBD1104" s="15"/>
      <c r="IBG1104" s="15"/>
      <c r="IBH1104" s="15"/>
      <c r="IBK1104" s="15"/>
      <c r="IBL1104" s="15"/>
      <c r="IBO1104" s="15"/>
      <c r="IBP1104" s="15"/>
      <c r="IBS1104" s="15"/>
      <c r="IBT1104" s="15"/>
      <c r="IBW1104" s="15"/>
      <c r="IBX1104" s="15"/>
      <c r="ICA1104" s="15"/>
      <c r="ICB1104" s="15"/>
      <c r="ICE1104" s="15"/>
      <c r="ICF1104" s="15"/>
      <c r="ICI1104" s="15"/>
      <c r="ICJ1104" s="15"/>
      <c r="ICM1104" s="15"/>
      <c r="ICN1104" s="15"/>
      <c r="ICQ1104" s="15"/>
      <c r="ICR1104" s="15"/>
      <c r="ICU1104" s="15"/>
      <c r="ICV1104" s="15"/>
      <c r="ICY1104" s="15"/>
      <c r="ICZ1104" s="15"/>
      <c r="IDC1104" s="15"/>
      <c r="IDD1104" s="15"/>
      <c r="IDG1104" s="15"/>
      <c r="IDH1104" s="15"/>
      <c r="IDK1104" s="15"/>
      <c r="IDL1104" s="15"/>
      <c r="IDO1104" s="15"/>
      <c r="IDP1104" s="15"/>
      <c r="IDS1104" s="15"/>
      <c r="IDT1104" s="15"/>
      <c r="IDW1104" s="15"/>
      <c r="IDX1104" s="15"/>
      <c r="IEA1104" s="15"/>
      <c r="IEB1104" s="15"/>
      <c r="IEE1104" s="15"/>
      <c r="IEF1104" s="15"/>
      <c r="IEI1104" s="15"/>
      <c r="IEJ1104" s="15"/>
      <c r="IEM1104" s="15"/>
      <c r="IEN1104" s="15"/>
      <c r="IEQ1104" s="15"/>
      <c r="IER1104" s="15"/>
      <c r="IEU1104" s="15"/>
      <c r="IEV1104" s="15"/>
      <c r="IEY1104" s="15"/>
      <c r="IEZ1104" s="15"/>
      <c r="IFC1104" s="15"/>
      <c r="IFD1104" s="15"/>
      <c r="IFG1104" s="15"/>
      <c r="IFH1104" s="15"/>
      <c r="IFK1104" s="15"/>
      <c r="IFL1104" s="15"/>
      <c r="IFO1104" s="15"/>
      <c r="IFP1104" s="15"/>
      <c r="IFS1104" s="15"/>
      <c r="IFT1104" s="15"/>
      <c r="IFW1104" s="15"/>
      <c r="IFX1104" s="15"/>
      <c r="IGA1104" s="15"/>
      <c r="IGB1104" s="15"/>
      <c r="IGE1104" s="15"/>
      <c r="IGF1104" s="15"/>
      <c r="IGI1104" s="15"/>
      <c r="IGJ1104" s="15"/>
      <c r="IGM1104" s="15"/>
      <c r="IGN1104" s="15"/>
      <c r="IGQ1104" s="15"/>
      <c r="IGR1104" s="15"/>
      <c r="IGU1104" s="15"/>
      <c r="IGV1104" s="15"/>
      <c r="IGY1104" s="15"/>
      <c r="IGZ1104" s="15"/>
      <c r="IHC1104" s="15"/>
      <c r="IHD1104" s="15"/>
      <c r="IHG1104" s="15"/>
      <c r="IHH1104" s="15"/>
      <c r="IHK1104" s="15"/>
      <c r="IHL1104" s="15"/>
      <c r="IHO1104" s="15"/>
      <c r="IHP1104" s="15"/>
      <c r="IHS1104" s="15"/>
      <c r="IHT1104" s="15"/>
      <c r="IHW1104" s="15"/>
      <c r="IHX1104" s="15"/>
      <c r="IIA1104" s="15"/>
      <c r="IIB1104" s="15"/>
      <c r="IIE1104" s="15"/>
      <c r="IIF1104" s="15"/>
      <c r="III1104" s="15"/>
      <c r="IIJ1104" s="15"/>
      <c r="IIM1104" s="15"/>
      <c r="IIN1104" s="15"/>
      <c r="IIQ1104" s="15"/>
      <c r="IIR1104" s="15"/>
      <c r="IIU1104" s="15"/>
      <c r="IIV1104" s="15"/>
      <c r="IIY1104" s="15"/>
      <c r="IIZ1104" s="15"/>
      <c r="IJC1104" s="15"/>
      <c r="IJD1104" s="15"/>
      <c r="IJG1104" s="15"/>
      <c r="IJH1104" s="15"/>
      <c r="IJK1104" s="15"/>
      <c r="IJL1104" s="15"/>
      <c r="IJO1104" s="15"/>
      <c r="IJP1104" s="15"/>
      <c r="IJS1104" s="15"/>
      <c r="IJT1104" s="15"/>
      <c r="IJW1104" s="15"/>
      <c r="IJX1104" s="15"/>
      <c r="IKA1104" s="15"/>
      <c r="IKB1104" s="15"/>
      <c r="IKE1104" s="15"/>
      <c r="IKF1104" s="15"/>
      <c r="IKI1104" s="15"/>
      <c r="IKJ1104" s="15"/>
      <c r="IKM1104" s="15"/>
      <c r="IKN1104" s="15"/>
      <c r="IKQ1104" s="15"/>
      <c r="IKR1104" s="15"/>
      <c r="IKU1104" s="15"/>
      <c r="IKV1104" s="15"/>
      <c r="IKY1104" s="15"/>
      <c r="IKZ1104" s="15"/>
      <c r="ILC1104" s="15"/>
      <c r="ILD1104" s="15"/>
      <c r="ILG1104" s="15"/>
      <c r="ILH1104" s="15"/>
      <c r="ILK1104" s="15"/>
      <c r="ILL1104" s="15"/>
      <c r="ILO1104" s="15"/>
      <c r="ILP1104" s="15"/>
      <c r="ILS1104" s="15"/>
      <c r="ILT1104" s="15"/>
      <c r="ILW1104" s="15"/>
      <c r="ILX1104" s="15"/>
      <c r="IMA1104" s="15"/>
      <c r="IMB1104" s="15"/>
      <c r="IME1104" s="15"/>
      <c r="IMF1104" s="15"/>
      <c r="IMI1104" s="15"/>
      <c r="IMJ1104" s="15"/>
      <c r="IMM1104" s="15"/>
      <c r="IMN1104" s="15"/>
      <c r="IMQ1104" s="15"/>
      <c r="IMR1104" s="15"/>
      <c r="IMU1104" s="15"/>
      <c r="IMV1104" s="15"/>
      <c r="IMY1104" s="15"/>
      <c r="IMZ1104" s="15"/>
      <c r="INC1104" s="15"/>
      <c r="IND1104" s="15"/>
      <c r="ING1104" s="15"/>
      <c r="INH1104" s="15"/>
      <c r="INK1104" s="15"/>
      <c r="INL1104" s="15"/>
      <c r="INO1104" s="15"/>
      <c r="INP1104" s="15"/>
      <c r="INS1104" s="15"/>
      <c r="INT1104" s="15"/>
      <c r="INW1104" s="15"/>
      <c r="INX1104" s="15"/>
      <c r="IOA1104" s="15"/>
      <c r="IOB1104" s="15"/>
      <c r="IOE1104" s="15"/>
      <c r="IOF1104" s="15"/>
      <c r="IOI1104" s="15"/>
      <c r="IOJ1104" s="15"/>
      <c r="IOM1104" s="15"/>
      <c r="ION1104" s="15"/>
      <c r="IOQ1104" s="15"/>
      <c r="IOR1104" s="15"/>
      <c r="IOU1104" s="15"/>
      <c r="IOV1104" s="15"/>
      <c r="IOY1104" s="15"/>
      <c r="IOZ1104" s="15"/>
      <c r="IPC1104" s="15"/>
      <c r="IPD1104" s="15"/>
      <c r="IPG1104" s="15"/>
      <c r="IPH1104" s="15"/>
      <c r="IPK1104" s="15"/>
      <c r="IPL1104" s="15"/>
      <c r="IPO1104" s="15"/>
      <c r="IPP1104" s="15"/>
      <c r="IPS1104" s="15"/>
      <c r="IPT1104" s="15"/>
      <c r="IPW1104" s="15"/>
      <c r="IPX1104" s="15"/>
      <c r="IQA1104" s="15"/>
      <c r="IQB1104" s="15"/>
      <c r="IQE1104" s="15"/>
      <c r="IQF1104" s="15"/>
      <c r="IQI1104" s="15"/>
      <c r="IQJ1104" s="15"/>
      <c r="IQM1104" s="15"/>
      <c r="IQN1104" s="15"/>
      <c r="IQQ1104" s="15"/>
      <c r="IQR1104" s="15"/>
      <c r="IQU1104" s="15"/>
      <c r="IQV1104" s="15"/>
      <c r="IQY1104" s="15"/>
      <c r="IQZ1104" s="15"/>
      <c r="IRC1104" s="15"/>
      <c r="IRD1104" s="15"/>
      <c r="IRG1104" s="15"/>
      <c r="IRH1104" s="15"/>
      <c r="IRK1104" s="15"/>
      <c r="IRL1104" s="15"/>
      <c r="IRO1104" s="15"/>
      <c r="IRP1104" s="15"/>
      <c r="IRS1104" s="15"/>
      <c r="IRT1104" s="15"/>
      <c r="IRW1104" s="15"/>
      <c r="IRX1104" s="15"/>
      <c r="ISA1104" s="15"/>
      <c r="ISB1104" s="15"/>
      <c r="ISE1104" s="15"/>
      <c r="ISF1104" s="15"/>
      <c r="ISI1104" s="15"/>
      <c r="ISJ1104" s="15"/>
      <c r="ISM1104" s="15"/>
      <c r="ISN1104" s="15"/>
      <c r="ISQ1104" s="15"/>
      <c r="ISR1104" s="15"/>
      <c r="ISU1104" s="15"/>
      <c r="ISV1104" s="15"/>
      <c r="ISY1104" s="15"/>
      <c r="ISZ1104" s="15"/>
      <c r="ITC1104" s="15"/>
      <c r="ITD1104" s="15"/>
      <c r="ITG1104" s="15"/>
      <c r="ITH1104" s="15"/>
      <c r="ITK1104" s="15"/>
      <c r="ITL1104" s="15"/>
      <c r="ITO1104" s="15"/>
      <c r="ITP1104" s="15"/>
      <c r="ITS1104" s="15"/>
      <c r="ITT1104" s="15"/>
      <c r="ITW1104" s="15"/>
      <c r="ITX1104" s="15"/>
      <c r="IUA1104" s="15"/>
      <c r="IUB1104" s="15"/>
      <c r="IUE1104" s="15"/>
      <c r="IUF1104" s="15"/>
      <c r="IUI1104" s="15"/>
      <c r="IUJ1104" s="15"/>
      <c r="IUM1104" s="15"/>
      <c r="IUN1104" s="15"/>
      <c r="IUQ1104" s="15"/>
      <c r="IUR1104" s="15"/>
      <c r="IUU1104" s="15"/>
      <c r="IUV1104" s="15"/>
      <c r="IUY1104" s="15"/>
      <c r="IUZ1104" s="15"/>
      <c r="IVC1104" s="15"/>
      <c r="IVD1104" s="15"/>
      <c r="IVG1104" s="15"/>
      <c r="IVH1104" s="15"/>
      <c r="IVK1104" s="15"/>
      <c r="IVL1104" s="15"/>
      <c r="IVO1104" s="15"/>
      <c r="IVP1104" s="15"/>
      <c r="IVS1104" s="15"/>
      <c r="IVT1104" s="15"/>
      <c r="IVW1104" s="15"/>
      <c r="IVX1104" s="15"/>
      <c r="IWA1104" s="15"/>
      <c r="IWB1104" s="15"/>
      <c r="IWE1104" s="15"/>
      <c r="IWF1104" s="15"/>
      <c r="IWI1104" s="15"/>
      <c r="IWJ1104" s="15"/>
      <c r="IWM1104" s="15"/>
      <c r="IWN1104" s="15"/>
      <c r="IWQ1104" s="15"/>
      <c r="IWR1104" s="15"/>
      <c r="IWU1104" s="15"/>
      <c r="IWV1104" s="15"/>
      <c r="IWY1104" s="15"/>
      <c r="IWZ1104" s="15"/>
      <c r="IXC1104" s="15"/>
      <c r="IXD1104" s="15"/>
      <c r="IXG1104" s="15"/>
      <c r="IXH1104" s="15"/>
      <c r="IXK1104" s="15"/>
      <c r="IXL1104" s="15"/>
      <c r="IXO1104" s="15"/>
      <c r="IXP1104" s="15"/>
      <c r="IXS1104" s="15"/>
      <c r="IXT1104" s="15"/>
      <c r="IXW1104" s="15"/>
      <c r="IXX1104" s="15"/>
      <c r="IYA1104" s="15"/>
      <c r="IYB1104" s="15"/>
      <c r="IYE1104" s="15"/>
      <c r="IYF1104" s="15"/>
      <c r="IYI1104" s="15"/>
      <c r="IYJ1104" s="15"/>
      <c r="IYM1104" s="15"/>
      <c r="IYN1104" s="15"/>
      <c r="IYQ1104" s="15"/>
      <c r="IYR1104" s="15"/>
      <c r="IYU1104" s="15"/>
      <c r="IYV1104" s="15"/>
      <c r="IYY1104" s="15"/>
      <c r="IYZ1104" s="15"/>
      <c r="IZC1104" s="15"/>
      <c r="IZD1104" s="15"/>
      <c r="IZG1104" s="15"/>
      <c r="IZH1104" s="15"/>
      <c r="IZK1104" s="15"/>
      <c r="IZL1104" s="15"/>
      <c r="IZO1104" s="15"/>
      <c r="IZP1104" s="15"/>
      <c r="IZS1104" s="15"/>
      <c r="IZT1104" s="15"/>
      <c r="IZW1104" s="15"/>
      <c r="IZX1104" s="15"/>
      <c r="JAA1104" s="15"/>
      <c r="JAB1104" s="15"/>
      <c r="JAE1104" s="15"/>
      <c r="JAF1104" s="15"/>
      <c r="JAI1104" s="15"/>
      <c r="JAJ1104" s="15"/>
      <c r="JAM1104" s="15"/>
      <c r="JAN1104" s="15"/>
      <c r="JAQ1104" s="15"/>
      <c r="JAR1104" s="15"/>
      <c r="JAU1104" s="15"/>
      <c r="JAV1104" s="15"/>
      <c r="JAY1104" s="15"/>
      <c r="JAZ1104" s="15"/>
      <c r="JBC1104" s="15"/>
      <c r="JBD1104" s="15"/>
      <c r="JBG1104" s="15"/>
      <c r="JBH1104" s="15"/>
      <c r="JBK1104" s="15"/>
      <c r="JBL1104" s="15"/>
      <c r="JBO1104" s="15"/>
      <c r="JBP1104" s="15"/>
      <c r="JBS1104" s="15"/>
      <c r="JBT1104" s="15"/>
      <c r="JBW1104" s="15"/>
      <c r="JBX1104" s="15"/>
      <c r="JCA1104" s="15"/>
      <c r="JCB1104" s="15"/>
      <c r="JCE1104" s="15"/>
      <c r="JCF1104" s="15"/>
      <c r="JCI1104" s="15"/>
      <c r="JCJ1104" s="15"/>
      <c r="JCM1104" s="15"/>
      <c r="JCN1104" s="15"/>
      <c r="JCQ1104" s="15"/>
      <c r="JCR1104" s="15"/>
      <c r="JCU1104" s="15"/>
      <c r="JCV1104" s="15"/>
      <c r="JCY1104" s="15"/>
      <c r="JCZ1104" s="15"/>
      <c r="JDC1104" s="15"/>
      <c r="JDD1104" s="15"/>
      <c r="JDG1104" s="15"/>
      <c r="JDH1104" s="15"/>
      <c r="JDK1104" s="15"/>
      <c r="JDL1104" s="15"/>
      <c r="JDO1104" s="15"/>
      <c r="JDP1104" s="15"/>
      <c r="JDS1104" s="15"/>
      <c r="JDT1104" s="15"/>
      <c r="JDW1104" s="15"/>
      <c r="JDX1104" s="15"/>
      <c r="JEA1104" s="15"/>
      <c r="JEB1104" s="15"/>
      <c r="JEE1104" s="15"/>
      <c r="JEF1104" s="15"/>
      <c r="JEI1104" s="15"/>
      <c r="JEJ1104" s="15"/>
      <c r="JEM1104" s="15"/>
      <c r="JEN1104" s="15"/>
      <c r="JEQ1104" s="15"/>
      <c r="JER1104" s="15"/>
      <c r="JEU1104" s="15"/>
      <c r="JEV1104" s="15"/>
      <c r="JEY1104" s="15"/>
      <c r="JEZ1104" s="15"/>
      <c r="JFC1104" s="15"/>
      <c r="JFD1104" s="15"/>
      <c r="JFG1104" s="15"/>
      <c r="JFH1104" s="15"/>
      <c r="JFK1104" s="15"/>
      <c r="JFL1104" s="15"/>
      <c r="JFO1104" s="15"/>
      <c r="JFP1104" s="15"/>
      <c r="JFS1104" s="15"/>
      <c r="JFT1104" s="15"/>
      <c r="JFW1104" s="15"/>
      <c r="JFX1104" s="15"/>
      <c r="JGA1104" s="15"/>
      <c r="JGB1104" s="15"/>
      <c r="JGE1104" s="15"/>
      <c r="JGF1104" s="15"/>
      <c r="JGI1104" s="15"/>
      <c r="JGJ1104" s="15"/>
      <c r="JGM1104" s="15"/>
      <c r="JGN1104" s="15"/>
      <c r="JGQ1104" s="15"/>
      <c r="JGR1104" s="15"/>
      <c r="JGU1104" s="15"/>
      <c r="JGV1104" s="15"/>
      <c r="JGY1104" s="15"/>
      <c r="JGZ1104" s="15"/>
      <c r="JHC1104" s="15"/>
      <c r="JHD1104" s="15"/>
      <c r="JHG1104" s="15"/>
      <c r="JHH1104" s="15"/>
      <c r="JHK1104" s="15"/>
      <c r="JHL1104" s="15"/>
      <c r="JHO1104" s="15"/>
      <c r="JHP1104" s="15"/>
      <c r="JHS1104" s="15"/>
      <c r="JHT1104" s="15"/>
      <c r="JHW1104" s="15"/>
      <c r="JHX1104" s="15"/>
      <c r="JIA1104" s="15"/>
      <c r="JIB1104" s="15"/>
      <c r="JIE1104" s="15"/>
      <c r="JIF1104" s="15"/>
      <c r="JII1104" s="15"/>
      <c r="JIJ1104" s="15"/>
      <c r="JIM1104" s="15"/>
      <c r="JIN1104" s="15"/>
      <c r="JIQ1104" s="15"/>
      <c r="JIR1104" s="15"/>
      <c r="JIU1104" s="15"/>
      <c r="JIV1104" s="15"/>
      <c r="JIY1104" s="15"/>
      <c r="JIZ1104" s="15"/>
      <c r="JJC1104" s="15"/>
      <c r="JJD1104" s="15"/>
      <c r="JJG1104" s="15"/>
      <c r="JJH1104" s="15"/>
      <c r="JJK1104" s="15"/>
      <c r="JJL1104" s="15"/>
      <c r="JJO1104" s="15"/>
      <c r="JJP1104" s="15"/>
      <c r="JJS1104" s="15"/>
      <c r="JJT1104" s="15"/>
      <c r="JJW1104" s="15"/>
      <c r="JJX1104" s="15"/>
      <c r="JKA1104" s="15"/>
      <c r="JKB1104" s="15"/>
      <c r="JKE1104" s="15"/>
      <c r="JKF1104" s="15"/>
      <c r="JKI1104" s="15"/>
      <c r="JKJ1104" s="15"/>
      <c r="JKM1104" s="15"/>
      <c r="JKN1104" s="15"/>
      <c r="JKQ1104" s="15"/>
      <c r="JKR1104" s="15"/>
      <c r="JKU1104" s="15"/>
      <c r="JKV1104" s="15"/>
      <c r="JKY1104" s="15"/>
      <c r="JKZ1104" s="15"/>
      <c r="JLC1104" s="15"/>
      <c r="JLD1104" s="15"/>
      <c r="JLG1104" s="15"/>
      <c r="JLH1104" s="15"/>
      <c r="JLK1104" s="15"/>
      <c r="JLL1104" s="15"/>
      <c r="JLO1104" s="15"/>
      <c r="JLP1104" s="15"/>
      <c r="JLS1104" s="15"/>
      <c r="JLT1104" s="15"/>
      <c r="JLW1104" s="15"/>
      <c r="JLX1104" s="15"/>
      <c r="JMA1104" s="15"/>
      <c r="JMB1104" s="15"/>
      <c r="JME1104" s="15"/>
      <c r="JMF1104" s="15"/>
      <c r="JMI1104" s="15"/>
      <c r="JMJ1104" s="15"/>
      <c r="JMM1104" s="15"/>
      <c r="JMN1104" s="15"/>
      <c r="JMQ1104" s="15"/>
      <c r="JMR1104" s="15"/>
      <c r="JMU1104" s="15"/>
      <c r="JMV1104" s="15"/>
      <c r="JMY1104" s="15"/>
      <c r="JMZ1104" s="15"/>
      <c r="JNC1104" s="15"/>
      <c r="JND1104" s="15"/>
      <c r="JNG1104" s="15"/>
      <c r="JNH1104" s="15"/>
      <c r="JNK1104" s="15"/>
      <c r="JNL1104" s="15"/>
      <c r="JNO1104" s="15"/>
      <c r="JNP1104" s="15"/>
      <c r="JNS1104" s="15"/>
      <c r="JNT1104" s="15"/>
      <c r="JNW1104" s="15"/>
      <c r="JNX1104" s="15"/>
      <c r="JOA1104" s="15"/>
      <c r="JOB1104" s="15"/>
      <c r="JOE1104" s="15"/>
      <c r="JOF1104" s="15"/>
      <c r="JOI1104" s="15"/>
      <c r="JOJ1104" s="15"/>
      <c r="JOM1104" s="15"/>
      <c r="JON1104" s="15"/>
      <c r="JOQ1104" s="15"/>
      <c r="JOR1104" s="15"/>
      <c r="JOU1104" s="15"/>
      <c r="JOV1104" s="15"/>
      <c r="JOY1104" s="15"/>
      <c r="JOZ1104" s="15"/>
      <c r="JPC1104" s="15"/>
      <c r="JPD1104" s="15"/>
      <c r="JPG1104" s="15"/>
      <c r="JPH1104" s="15"/>
      <c r="JPK1104" s="15"/>
      <c r="JPL1104" s="15"/>
      <c r="JPO1104" s="15"/>
      <c r="JPP1104" s="15"/>
      <c r="JPS1104" s="15"/>
      <c r="JPT1104" s="15"/>
      <c r="JPW1104" s="15"/>
      <c r="JPX1104" s="15"/>
      <c r="JQA1104" s="15"/>
      <c r="JQB1104" s="15"/>
      <c r="JQE1104" s="15"/>
      <c r="JQF1104" s="15"/>
      <c r="JQI1104" s="15"/>
      <c r="JQJ1104" s="15"/>
      <c r="JQM1104" s="15"/>
      <c r="JQN1104" s="15"/>
      <c r="JQQ1104" s="15"/>
      <c r="JQR1104" s="15"/>
      <c r="JQU1104" s="15"/>
      <c r="JQV1104" s="15"/>
      <c r="JQY1104" s="15"/>
      <c r="JQZ1104" s="15"/>
      <c r="JRC1104" s="15"/>
      <c r="JRD1104" s="15"/>
      <c r="JRG1104" s="15"/>
      <c r="JRH1104" s="15"/>
      <c r="JRK1104" s="15"/>
      <c r="JRL1104" s="15"/>
      <c r="JRO1104" s="15"/>
      <c r="JRP1104" s="15"/>
      <c r="JRS1104" s="15"/>
      <c r="JRT1104" s="15"/>
      <c r="JRW1104" s="15"/>
      <c r="JRX1104" s="15"/>
      <c r="JSA1104" s="15"/>
      <c r="JSB1104" s="15"/>
      <c r="JSE1104" s="15"/>
      <c r="JSF1104" s="15"/>
      <c r="JSI1104" s="15"/>
      <c r="JSJ1104" s="15"/>
      <c r="JSM1104" s="15"/>
      <c r="JSN1104" s="15"/>
      <c r="JSQ1104" s="15"/>
      <c r="JSR1104" s="15"/>
      <c r="JSU1104" s="15"/>
      <c r="JSV1104" s="15"/>
      <c r="JSY1104" s="15"/>
      <c r="JSZ1104" s="15"/>
      <c r="JTC1104" s="15"/>
      <c r="JTD1104" s="15"/>
      <c r="JTG1104" s="15"/>
      <c r="JTH1104" s="15"/>
      <c r="JTK1104" s="15"/>
      <c r="JTL1104" s="15"/>
      <c r="JTO1104" s="15"/>
      <c r="JTP1104" s="15"/>
      <c r="JTS1104" s="15"/>
      <c r="JTT1104" s="15"/>
      <c r="JTW1104" s="15"/>
      <c r="JTX1104" s="15"/>
      <c r="JUA1104" s="15"/>
      <c r="JUB1104" s="15"/>
      <c r="JUE1104" s="15"/>
      <c r="JUF1104" s="15"/>
      <c r="JUI1104" s="15"/>
      <c r="JUJ1104" s="15"/>
      <c r="JUM1104" s="15"/>
      <c r="JUN1104" s="15"/>
      <c r="JUQ1104" s="15"/>
      <c r="JUR1104" s="15"/>
      <c r="JUU1104" s="15"/>
      <c r="JUV1104" s="15"/>
      <c r="JUY1104" s="15"/>
      <c r="JUZ1104" s="15"/>
      <c r="JVC1104" s="15"/>
      <c r="JVD1104" s="15"/>
      <c r="JVG1104" s="15"/>
      <c r="JVH1104" s="15"/>
      <c r="JVK1104" s="15"/>
      <c r="JVL1104" s="15"/>
      <c r="JVO1104" s="15"/>
      <c r="JVP1104" s="15"/>
      <c r="JVS1104" s="15"/>
      <c r="JVT1104" s="15"/>
      <c r="JVW1104" s="15"/>
      <c r="JVX1104" s="15"/>
      <c r="JWA1104" s="15"/>
      <c r="JWB1104" s="15"/>
      <c r="JWE1104" s="15"/>
      <c r="JWF1104" s="15"/>
      <c r="JWI1104" s="15"/>
      <c r="JWJ1104" s="15"/>
      <c r="JWM1104" s="15"/>
      <c r="JWN1104" s="15"/>
      <c r="JWQ1104" s="15"/>
      <c r="JWR1104" s="15"/>
      <c r="JWU1104" s="15"/>
      <c r="JWV1104" s="15"/>
      <c r="JWY1104" s="15"/>
      <c r="JWZ1104" s="15"/>
      <c r="JXC1104" s="15"/>
      <c r="JXD1104" s="15"/>
      <c r="JXG1104" s="15"/>
      <c r="JXH1104" s="15"/>
      <c r="JXK1104" s="15"/>
      <c r="JXL1104" s="15"/>
      <c r="JXO1104" s="15"/>
      <c r="JXP1104" s="15"/>
      <c r="JXS1104" s="15"/>
      <c r="JXT1104" s="15"/>
      <c r="JXW1104" s="15"/>
      <c r="JXX1104" s="15"/>
      <c r="JYA1104" s="15"/>
      <c r="JYB1104" s="15"/>
      <c r="JYE1104" s="15"/>
      <c r="JYF1104" s="15"/>
      <c r="JYI1104" s="15"/>
      <c r="JYJ1104" s="15"/>
      <c r="JYM1104" s="15"/>
      <c r="JYN1104" s="15"/>
      <c r="JYQ1104" s="15"/>
      <c r="JYR1104" s="15"/>
      <c r="JYU1104" s="15"/>
      <c r="JYV1104" s="15"/>
      <c r="JYY1104" s="15"/>
      <c r="JYZ1104" s="15"/>
      <c r="JZC1104" s="15"/>
      <c r="JZD1104" s="15"/>
      <c r="JZG1104" s="15"/>
      <c r="JZH1104" s="15"/>
      <c r="JZK1104" s="15"/>
      <c r="JZL1104" s="15"/>
      <c r="JZO1104" s="15"/>
      <c r="JZP1104" s="15"/>
      <c r="JZS1104" s="15"/>
      <c r="JZT1104" s="15"/>
      <c r="JZW1104" s="15"/>
      <c r="JZX1104" s="15"/>
      <c r="KAA1104" s="15"/>
      <c r="KAB1104" s="15"/>
      <c r="KAE1104" s="15"/>
      <c r="KAF1104" s="15"/>
      <c r="KAI1104" s="15"/>
      <c r="KAJ1104" s="15"/>
      <c r="KAM1104" s="15"/>
      <c r="KAN1104" s="15"/>
      <c r="KAQ1104" s="15"/>
      <c r="KAR1104" s="15"/>
      <c r="KAU1104" s="15"/>
      <c r="KAV1104" s="15"/>
      <c r="KAY1104" s="15"/>
      <c r="KAZ1104" s="15"/>
      <c r="KBC1104" s="15"/>
      <c r="KBD1104" s="15"/>
      <c r="KBG1104" s="15"/>
      <c r="KBH1104" s="15"/>
      <c r="KBK1104" s="15"/>
      <c r="KBL1104" s="15"/>
      <c r="KBO1104" s="15"/>
      <c r="KBP1104" s="15"/>
      <c r="KBS1104" s="15"/>
      <c r="KBT1104" s="15"/>
      <c r="KBW1104" s="15"/>
      <c r="KBX1104" s="15"/>
      <c r="KCA1104" s="15"/>
      <c r="KCB1104" s="15"/>
      <c r="KCE1104" s="15"/>
      <c r="KCF1104" s="15"/>
      <c r="KCI1104" s="15"/>
      <c r="KCJ1104" s="15"/>
      <c r="KCM1104" s="15"/>
      <c r="KCN1104" s="15"/>
      <c r="KCQ1104" s="15"/>
      <c r="KCR1104" s="15"/>
      <c r="KCU1104" s="15"/>
      <c r="KCV1104" s="15"/>
      <c r="KCY1104" s="15"/>
      <c r="KCZ1104" s="15"/>
      <c r="KDC1104" s="15"/>
      <c r="KDD1104" s="15"/>
      <c r="KDG1104" s="15"/>
      <c r="KDH1104" s="15"/>
      <c r="KDK1104" s="15"/>
      <c r="KDL1104" s="15"/>
      <c r="KDO1104" s="15"/>
      <c r="KDP1104" s="15"/>
      <c r="KDS1104" s="15"/>
      <c r="KDT1104" s="15"/>
      <c r="KDW1104" s="15"/>
      <c r="KDX1104" s="15"/>
      <c r="KEA1104" s="15"/>
      <c r="KEB1104" s="15"/>
      <c r="KEE1104" s="15"/>
      <c r="KEF1104" s="15"/>
      <c r="KEI1104" s="15"/>
      <c r="KEJ1104" s="15"/>
      <c r="KEM1104" s="15"/>
      <c r="KEN1104" s="15"/>
      <c r="KEQ1104" s="15"/>
      <c r="KER1104" s="15"/>
      <c r="KEU1104" s="15"/>
      <c r="KEV1104" s="15"/>
      <c r="KEY1104" s="15"/>
      <c r="KEZ1104" s="15"/>
      <c r="KFC1104" s="15"/>
      <c r="KFD1104" s="15"/>
      <c r="KFG1104" s="15"/>
      <c r="KFH1104" s="15"/>
      <c r="KFK1104" s="15"/>
      <c r="KFL1104" s="15"/>
      <c r="KFO1104" s="15"/>
      <c r="KFP1104" s="15"/>
      <c r="KFS1104" s="15"/>
      <c r="KFT1104" s="15"/>
      <c r="KFW1104" s="15"/>
      <c r="KFX1104" s="15"/>
      <c r="KGA1104" s="15"/>
      <c r="KGB1104" s="15"/>
      <c r="KGE1104" s="15"/>
      <c r="KGF1104" s="15"/>
      <c r="KGI1104" s="15"/>
      <c r="KGJ1104" s="15"/>
      <c r="KGM1104" s="15"/>
      <c r="KGN1104" s="15"/>
      <c r="KGQ1104" s="15"/>
      <c r="KGR1104" s="15"/>
      <c r="KGU1104" s="15"/>
      <c r="KGV1104" s="15"/>
      <c r="KGY1104" s="15"/>
      <c r="KGZ1104" s="15"/>
      <c r="KHC1104" s="15"/>
      <c r="KHD1104" s="15"/>
      <c r="KHG1104" s="15"/>
      <c r="KHH1104" s="15"/>
      <c r="KHK1104" s="15"/>
      <c r="KHL1104" s="15"/>
      <c r="KHO1104" s="15"/>
      <c r="KHP1104" s="15"/>
      <c r="KHS1104" s="15"/>
      <c r="KHT1104" s="15"/>
      <c r="KHW1104" s="15"/>
      <c r="KHX1104" s="15"/>
      <c r="KIA1104" s="15"/>
      <c r="KIB1104" s="15"/>
      <c r="KIE1104" s="15"/>
      <c r="KIF1104" s="15"/>
      <c r="KII1104" s="15"/>
      <c r="KIJ1104" s="15"/>
      <c r="KIM1104" s="15"/>
      <c r="KIN1104" s="15"/>
      <c r="KIQ1104" s="15"/>
      <c r="KIR1104" s="15"/>
      <c r="KIU1104" s="15"/>
      <c r="KIV1104" s="15"/>
      <c r="KIY1104" s="15"/>
      <c r="KIZ1104" s="15"/>
      <c r="KJC1104" s="15"/>
      <c r="KJD1104" s="15"/>
      <c r="KJG1104" s="15"/>
      <c r="KJH1104" s="15"/>
      <c r="KJK1104" s="15"/>
      <c r="KJL1104" s="15"/>
      <c r="KJO1104" s="15"/>
      <c r="KJP1104" s="15"/>
      <c r="KJS1104" s="15"/>
      <c r="KJT1104" s="15"/>
      <c r="KJW1104" s="15"/>
      <c r="KJX1104" s="15"/>
      <c r="KKA1104" s="15"/>
      <c r="KKB1104" s="15"/>
      <c r="KKE1104" s="15"/>
      <c r="KKF1104" s="15"/>
      <c r="KKI1104" s="15"/>
      <c r="KKJ1104" s="15"/>
      <c r="KKM1104" s="15"/>
      <c r="KKN1104" s="15"/>
      <c r="KKQ1104" s="15"/>
      <c r="KKR1104" s="15"/>
      <c r="KKU1104" s="15"/>
      <c r="KKV1104" s="15"/>
      <c r="KKY1104" s="15"/>
      <c r="KKZ1104" s="15"/>
      <c r="KLC1104" s="15"/>
      <c r="KLD1104" s="15"/>
      <c r="KLG1104" s="15"/>
      <c r="KLH1104" s="15"/>
      <c r="KLK1104" s="15"/>
      <c r="KLL1104" s="15"/>
      <c r="KLO1104" s="15"/>
      <c r="KLP1104" s="15"/>
      <c r="KLS1104" s="15"/>
      <c r="KLT1104" s="15"/>
      <c r="KLW1104" s="15"/>
      <c r="KLX1104" s="15"/>
      <c r="KMA1104" s="15"/>
      <c r="KMB1104" s="15"/>
      <c r="KME1104" s="15"/>
      <c r="KMF1104" s="15"/>
      <c r="KMI1104" s="15"/>
      <c r="KMJ1104" s="15"/>
      <c r="KMM1104" s="15"/>
      <c r="KMN1104" s="15"/>
      <c r="KMQ1104" s="15"/>
      <c r="KMR1104" s="15"/>
      <c r="KMU1104" s="15"/>
      <c r="KMV1104" s="15"/>
      <c r="KMY1104" s="15"/>
      <c r="KMZ1104" s="15"/>
      <c r="KNC1104" s="15"/>
      <c r="KND1104" s="15"/>
      <c r="KNG1104" s="15"/>
      <c r="KNH1104" s="15"/>
      <c r="KNK1104" s="15"/>
      <c r="KNL1104" s="15"/>
      <c r="KNO1104" s="15"/>
      <c r="KNP1104" s="15"/>
      <c r="KNS1104" s="15"/>
      <c r="KNT1104" s="15"/>
      <c r="KNW1104" s="15"/>
      <c r="KNX1104" s="15"/>
      <c r="KOA1104" s="15"/>
      <c r="KOB1104" s="15"/>
      <c r="KOE1104" s="15"/>
      <c r="KOF1104" s="15"/>
      <c r="KOI1104" s="15"/>
      <c r="KOJ1104" s="15"/>
      <c r="KOM1104" s="15"/>
      <c r="KON1104" s="15"/>
      <c r="KOQ1104" s="15"/>
      <c r="KOR1104" s="15"/>
      <c r="KOU1104" s="15"/>
      <c r="KOV1104" s="15"/>
      <c r="KOY1104" s="15"/>
      <c r="KOZ1104" s="15"/>
      <c r="KPC1104" s="15"/>
      <c r="KPD1104" s="15"/>
      <c r="KPG1104" s="15"/>
      <c r="KPH1104" s="15"/>
      <c r="KPK1104" s="15"/>
      <c r="KPL1104" s="15"/>
      <c r="KPO1104" s="15"/>
      <c r="KPP1104" s="15"/>
      <c r="KPS1104" s="15"/>
      <c r="KPT1104" s="15"/>
      <c r="KPW1104" s="15"/>
      <c r="KPX1104" s="15"/>
      <c r="KQA1104" s="15"/>
      <c r="KQB1104" s="15"/>
      <c r="KQE1104" s="15"/>
      <c r="KQF1104" s="15"/>
      <c r="KQI1104" s="15"/>
      <c r="KQJ1104" s="15"/>
      <c r="KQM1104" s="15"/>
      <c r="KQN1104" s="15"/>
      <c r="KQQ1104" s="15"/>
      <c r="KQR1104" s="15"/>
      <c r="KQU1104" s="15"/>
      <c r="KQV1104" s="15"/>
      <c r="KQY1104" s="15"/>
      <c r="KQZ1104" s="15"/>
      <c r="KRC1104" s="15"/>
      <c r="KRD1104" s="15"/>
      <c r="KRG1104" s="15"/>
      <c r="KRH1104" s="15"/>
      <c r="KRK1104" s="15"/>
      <c r="KRL1104" s="15"/>
      <c r="KRO1104" s="15"/>
      <c r="KRP1104" s="15"/>
      <c r="KRS1104" s="15"/>
      <c r="KRT1104" s="15"/>
      <c r="KRW1104" s="15"/>
      <c r="KRX1104" s="15"/>
      <c r="KSA1104" s="15"/>
      <c r="KSB1104" s="15"/>
      <c r="KSE1104" s="15"/>
      <c r="KSF1104" s="15"/>
      <c r="KSI1104" s="15"/>
      <c r="KSJ1104" s="15"/>
      <c r="KSM1104" s="15"/>
      <c r="KSN1104" s="15"/>
      <c r="KSQ1104" s="15"/>
      <c r="KSR1104" s="15"/>
      <c r="KSU1104" s="15"/>
      <c r="KSV1104" s="15"/>
      <c r="KSY1104" s="15"/>
      <c r="KSZ1104" s="15"/>
      <c r="KTC1104" s="15"/>
      <c r="KTD1104" s="15"/>
      <c r="KTG1104" s="15"/>
      <c r="KTH1104" s="15"/>
      <c r="KTK1104" s="15"/>
      <c r="KTL1104" s="15"/>
      <c r="KTO1104" s="15"/>
      <c r="KTP1104" s="15"/>
      <c r="KTS1104" s="15"/>
      <c r="KTT1104" s="15"/>
      <c r="KTW1104" s="15"/>
      <c r="KTX1104" s="15"/>
      <c r="KUA1104" s="15"/>
      <c r="KUB1104" s="15"/>
      <c r="KUE1104" s="15"/>
      <c r="KUF1104" s="15"/>
      <c r="KUI1104" s="15"/>
      <c r="KUJ1104" s="15"/>
      <c r="KUM1104" s="15"/>
      <c r="KUN1104" s="15"/>
      <c r="KUQ1104" s="15"/>
      <c r="KUR1104" s="15"/>
      <c r="KUU1104" s="15"/>
      <c r="KUV1104" s="15"/>
      <c r="KUY1104" s="15"/>
      <c r="KUZ1104" s="15"/>
      <c r="KVC1104" s="15"/>
      <c r="KVD1104" s="15"/>
      <c r="KVG1104" s="15"/>
      <c r="KVH1104" s="15"/>
      <c r="KVK1104" s="15"/>
      <c r="KVL1104" s="15"/>
      <c r="KVO1104" s="15"/>
      <c r="KVP1104" s="15"/>
      <c r="KVS1104" s="15"/>
      <c r="KVT1104" s="15"/>
      <c r="KVW1104" s="15"/>
      <c r="KVX1104" s="15"/>
      <c r="KWA1104" s="15"/>
      <c r="KWB1104" s="15"/>
      <c r="KWE1104" s="15"/>
      <c r="KWF1104" s="15"/>
      <c r="KWI1104" s="15"/>
      <c r="KWJ1104" s="15"/>
      <c r="KWM1104" s="15"/>
      <c r="KWN1104" s="15"/>
      <c r="KWQ1104" s="15"/>
      <c r="KWR1104" s="15"/>
      <c r="KWU1104" s="15"/>
      <c r="KWV1104" s="15"/>
      <c r="KWY1104" s="15"/>
      <c r="KWZ1104" s="15"/>
      <c r="KXC1104" s="15"/>
      <c r="KXD1104" s="15"/>
      <c r="KXG1104" s="15"/>
      <c r="KXH1104" s="15"/>
      <c r="KXK1104" s="15"/>
      <c r="KXL1104" s="15"/>
      <c r="KXO1104" s="15"/>
      <c r="KXP1104" s="15"/>
      <c r="KXS1104" s="15"/>
      <c r="KXT1104" s="15"/>
      <c r="KXW1104" s="15"/>
      <c r="KXX1104" s="15"/>
      <c r="KYA1104" s="15"/>
      <c r="KYB1104" s="15"/>
      <c r="KYE1104" s="15"/>
      <c r="KYF1104" s="15"/>
      <c r="KYI1104" s="15"/>
      <c r="KYJ1104" s="15"/>
      <c r="KYM1104" s="15"/>
      <c r="KYN1104" s="15"/>
      <c r="KYQ1104" s="15"/>
      <c r="KYR1104" s="15"/>
      <c r="KYU1104" s="15"/>
      <c r="KYV1104" s="15"/>
      <c r="KYY1104" s="15"/>
      <c r="KYZ1104" s="15"/>
      <c r="KZC1104" s="15"/>
      <c r="KZD1104" s="15"/>
      <c r="KZG1104" s="15"/>
      <c r="KZH1104" s="15"/>
      <c r="KZK1104" s="15"/>
      <c r="KZL1104" s="15"/>
      <c r="KZO1104" s="15"/>
      <c r="KZP1104" s="15"/>
      <c r="KZS1104" s="15"/>
      <c r="KZT1104" s="15"/>
      <c r="KZW1104" s="15"/>
      <c r="KZX1104" s="15"/>
      <c r="LAA1104" s="15"/>
      <c r="LAB1104" s="15"/>
      <c r="LAE1104" s="15"/>
      <c r="LAF1104" s="15"/>
      <c r="LAI1104" s="15"/>
      <c r="LAJ1104" s="15"/>
      <c r="LAM1104" s="15"/>
      <c r="LAN1104" s="15"/>
      <c r="LAQ1104" s="15"/>
      <c r="LAR1104" s="15"/>
      <c r="LAU1104" s="15"/>
      <c r="LAV1104" s="15"/>
      <c r="LAY1104" s="15"/>
      <c r="LAZ1104" s="15"/>
      <c r="LBC1104" s="15"/>
      <c r="LBD1104" s="15"/>
      <c r="LBG1104" s="15"/>
      <c r="LBH1104" s="15"/>
      <c r="LBK1104" s="15"/>
      <c r="LBL1104" s="15"/>
      <c r="LBO1104" s="15"/>
      <c r="LBP1104" s="15"/>
      <c r="LBS1104" s="15"/>
      <c r="LBT1104" s="15"/>
      <c r="LBW1104" s="15"/>
      <c r="LBX1104" s="15"/>
      <c r="LCA1104" s="15"/>
      <c r="LCB1104" s="15"/>
      <c r="LCE1104" s="15"/>
      <c r="LCF1104" s="15"/>
      <c r="LCI1104" s="15"/>
      <c r="LCJ1104" s="15"/>
      <c r="LCM1104" s="15"/>
      <c r="LCN1104" s="15"/>
      <c r="LCQ1104" s="15"/>
      <c r="LCR1104" s="15"/>
      <c r="LCU1104" s="15"/>
      <c r="LCV1104" s="15"/>
      <c r="LCY1104" s="15"/>
      <c r="LCZ1104" s="15"/>
      <c r="LDC1104" s="15"/>
      <c r="LDD1104" s="15"/>
      <c r="LDG1104" s="15"/>
      <c r="LDH1104" s="15"/>
      <c r="LDK1104" s="15"/>
      <c r="LDL1104" s="15"/>
      <c r="LDO1104" s="15"/>
      <c r="LDP1104" s="15"/>
      <c r="LDS1104" s="15"/>
      <c r="LDT1104" s="15"/>
      <c r="LDW1104" s="15"/>
      <c r="LDX1104" s="15"/>
      <c r="LEA1104" s="15"/>
      <c r="LEB1104" s="15"/>
      <c r="LEE1104" s="15"/>
      <c r="LEF1104" s="15"/>
      <c r="LEI1104" s="15"/>
      <c r="LEJ1104" s="15"/>
      <c r="LEM1104" s="15"/>
      <c r="LEN1104" s="15"/>
      <c r="LEQ1104" s="15"/>
      <c r="LER1104" s="15"/>
      <c r="LEU1104" s="15"/>
      <c r="LEV1104" s="15"/>
      <c r="LEY1104" s="15"/>
      <c r="LEZ1104" s="15"/>
      <c r="LFC1104" s="15"/>
      <c r="LFD1104" s="15"/>
      <c r="LFG1104" s="15"/>
      <c r="LFH1104" s="15"/>
      <c r="LFK1104" s="15"/>
      <c r="LFL1104" s="15"/>
      <c r="LFO1104" s="15"/>
      <c r="LFP1104" s="15"/>
      <c r="LFS1104" s="15"/>
      <c r="LFT1104" s="15"/>
      <c r="LFW1104" s="15"/>
      <c r="LFX1104" s="15"/>
      <c r="LGA1104" s="15"/>
      <c r="LGB1104" s="15"/>
      <c r="LGE1104" s="15"/>
      <c r="LGF1104" s="15"/>
      <c r="LGI1104" s="15"/>
      <c r="LGJ1104" s="15"/>
      <c r="LGM1104" s="15"/>
      <c r="LGN1104" s="15"/>
      <c r="LGQ1104" s="15"/>
      <c r="LGR1104" s="15"/>
      <c r="LGU1104" s="15"/>
      <c r="LGV1104" s="15"/>
      <c r="LGY1104" s="15"/>
      <c r="LGZ1104" s="15"/>
      <c r="LHC1104" s="15"/>
      <c r="LHD1104" s="15"/>
      <c r="LHG1104" s="15"/>
      <c r="LHH1104" s="15"/>
      <c r="LHK1104" s="15"/>
      <c r="LHL1104" s="15"/>
      <c r="LHO1104" s="15"/>
      <c r="LHP1104" s="15"/>
      <c r="LHS1104" s="15"/>
      <c r="LHT1104" s="15"/>
      <c r="LHW1104" s="15"/>
      <c r="LHX1104" s="15"/>
      <c r="LIA1104" s="15"/>
      <c r="LIB1104" s="15"/>
      <c r="LIE1104" s="15"/>
      <c r="LIF1104" s="15"/>
      <c r="LII1104" s="15"/>
      <c r="LIJ1104" s="15"/>
      <c r="LIM1104" s="15"/>
      <c r="LIN1104" s="15"/>
      <c r="LIQ1104" s="15"/>
      <c r="LIR1104" s="15"/>
      <c r="LIU1104" s="15"/>
      <c r="LIV1104" s="15"/>
      <c r="LIY1104" s="15"/>
      <c r="LIZ1104" s="15"/>
      <c r="LJC1104" s="15"/>
      <c r="LJD1104" s="15"/>
      <c r="LJG1104" s="15"/>
      <c r="LJH1104" s="15"/>
      <c r="LJK1104" s="15"/>
      <c r="LJL1104" s="15"/>
      <c r="LJO1104" s="15"/>
      <c r="LJP1104" s="15"/>
      <c r="LJS1104" s="15"/>
      <c r="LJT1104" s="15"/>
      <c r="LJW1104" s="15"/>
      <c r="LJX1104" s="15"/>
      <c r="LKA1104" s="15"/>
      <c r="LKB1104" s="15"/>
      <c r="LKE1104" s="15"/>
      <c r="LKF1104" s="15"/>
      <c r="LKI1104" s="15"/>
      <c r="LKJ1104" s="15"/>
      <c r="LKM1104" s="15"/>
      <c r="LKN1104" s="15"/>
      <c r="LKQ1104" s="15"/>
      <c r="LKR1104" s="15"/>
      <c r="LKU1104" s="15"/>
      <c r="LKV1104" s="15"/>
      <c r="LKY1104" s="15"/>
      <c r="LKZ1104" s="15"/>
      <c r="LLC1104" s="15"/>
      <c r="LLD1104" s="15"/>
      <c r="LLG1104" s="15"/>
      <c r="LLH1104" s="15"/>
      <c r="LLK1104" s="15"/>
      <c r="LLL1104" s="15"/>
      <c r="LLO1104" s="15"/>
      <c r="LLP1104" s="15"/>
      <c r="LLS1104" s="15"/>
      <c r="LLT1104" s="15"/>
      <c r="LLW1104" s="15"/>
      <c r="LLX1104" s="15"/>
      <c r="LMA1104" s="15"/>
      <c r="LMB1104" s="15"/>
      <c r="LME1104" s="15"/>
      <c r="LMF1104" s="15"/>
      <c r="LMI1104" s="15"/>
      <c r="LMJ1104" s="15"/>
      <c r="LMM1104" s="15"/>
      <c r="LMN1104" s="15"/>
      <c r="LMQ1104" s="15"/>
      <c r="LMR1104" s="15"/>
      <c r="LMU1104" s="15"/>
      <c r="LMV1104" s="15"/>
      <c r="LMY1104" s="15"/>
      <c r="LMZ1104" s="15"/>
      <c r="LNC1104" s="15"/>
      <c r="LND1104" s="15"/>
      <c r="LNG1104" s="15"/>
      <c r="LNH1104" s="15"/>
      <c r="LNK1104" s="15"/>
      <c r="LNL1104" s="15"/>
      <c r="LNO1104" s="15"/>
      <c r="LNP1104" s="15"/>
      <c r="LNS1104" s="15"/>
      <c r="LNT1104" s="15"/>
      <c r="LNW1104" s="15"/>
      <c r="LNX1104" s="15"/>
      <c r="LOA1104" s="15"/>
      <c r="LOB1104" s="15"/>
      <c r="LOE1104" s="15"/>
      <c r="LOF1104" s="15"/>
      <c r="LOI1104" s="15"/>
      <c r="LOJ1104" s="15"/>
      <c r="LOM1104" s="15"/>
      <c r="LON1104" s="15"/>
      <c r="LOQ1104" s="15"/>
      <c r="LOR1104" s="15"/>
      <c r="LOU1104" s="15"/>
      <c r="LOV1104" s="15"/>
      <c r="LOY1104" s="15"/>
      <c r="LOZ1104" s="15"/>
      <c r="LPC1104" s="15"/>
      <c r="LPD1104" s="15"/>
      <c r="LPG1104" s="15"/>
      <c r="LPH1104" s="15"/>
      <c r="LPK1104" s="15"/>
      <c r="LPL1104" s="15"/>
      <c r="LPO1104" s="15"/>
      <c r="LPP1104" s="15"/>
      <c r="LPS1104" s="15"/>
      <c r="LPT1104" s="15"/>
      <c r="LPW1104" s="15"/>
      <c r="LPX1104" s="15"/>
      <c r="LQA1104" s="15"/>
      <c r="LQB1104" s="15"/>
      <c r="LQE1104" s="15"/>
      <c r="LQF1104" s="15"/>
      <c r="LQI1104" s="15"/>
      <c r="LQJ1104" s="15"/>
      <c r="LQM1104" s="15"/>
      <c r="LQN1104" s="15"/>
      <c r="LQQ1104" s="15"/>
      <c r="LQR1104" s="15"/>
      <c r="LQU1104" s="15"/>
      <c r="LQV1104" s="15"/>
      <c r="LQY1104" s="15"/>
      <c r="LQZ1104" s="15"/>
      <c r="LRC1104" s="15"/>
      <c r="LRD1104" s="15"/>
      <c r="LRG1104" s="15"/>
      <c r="LRH1104" s="15"/>
      <c r="LRK1104" s="15"/>
      <c r="LRL1104" s="15"/>
      <c r="LRO1104" s="15"/>
      <c r="LRP1104" s="15"/>
      <c r="LRS1104" s="15"/>
      <c r="LRT1104" s="15"/>
      <c r="LRW1104" s="15"/>
      <c r="LRX1104" s="15"/>
      <c r="LSA1104" s="15"/>
      <c r="LSB1104" s="15"/>
      <c r="LSE1104" s="15"/>
      <c r="LSF1104" s="15"/>
      <c r="LSI1104" s="15"/>
      <c r="LSJ1104" s="15"/>
      <c r="LSM1104" s="15"/>
      <c r="LSN1104" s="15"/>
      <c r="LSQ1104" s="15"/>
      <c r="LSR1104" s="15"/>
      <c r="LSU1104" s="15"/>
      <c r="LSV1104" s="15"/>
      <c r="LSY1104" s="15"/>
      <c r="LSZ1104" s="15"/>
      <c r="LTC1104" s="15"/>
      <c r="LTD1104" s="15"/>
      <c r="LTG1104" s="15"/>
      <c r="LTH1104" s="15"/>
      <c r="LTK1104" s="15"/>
      <c r="LTL1104" s="15"/>
      <c r="LTO1104" s="15"/>
      <c r="LTP1104" s="15"/>
      <c r="LTS1104" s="15"/>
      <c r="LTT1104" s="15"/>
      <c r="LTW1104" s="15"/>
      <c r="LTX1104" s="15"/>
      <c r="LUA1104" s="15"/>
      <c r="LUB1104" s="15"/>
      <c r="LUE1104" s="15"/>
      <c r="LUF1104" s="15"/>
      <c r="LUI1104" s="15"/>
      <c r="LUJ1104" s="15"/>
      <c r="LUM1104" s="15"/>
      <c r="LUN1104" s="15"/>
      <c r="LUQ1104" s="15"/>
      <c r="LUR1104" s="15"/>
      <c r="LUU1104" s="15"/>
      <c r="LUV1104" s="15"/>
      <c r="LUY1104" s="15"/>
      <c r="LUZ1104" s="15"/>
      <c r="LVC1104" s="15"/>
      <c r="LVD1104" s="15"/>
      <c r="LVG1104" s="15"/>
      <c r="LVH1104" s="15"/>
      <c r="LVK1104" s="15"/>
      <c r="LVL1104" s="15"/>
      <c r="LVO1104" s="15"/>
      <c r="LVP1104" s="15"/>
      <c r="LVS1104" s="15"/>
      <c r="LVT1104" s="15"/>
      <c r="LVW1104" s="15"/>
      <c r="LVX1104" s="15"/>
      <c r="LWA1104" s="15"/>
      <c r="LWB1104" s="15"/>
      <c r="LWE1104" s="15"/>
      <c r="LWF1104" s="15"/>
      <c r="LWI1104" s="15"/>
      <c r="LWJ1104" s="15"/>
      <c r="LWM1104" s="15"/>
      <c r="LWN1104" s="15"/>
      <c r="LWQ1104" s="15"/>
      <c r="LWR1104" s="15"/>
      <c r="LWU1104" s="15"/>
      <c r="LWV1104" s="15"/>
      <c r="LWY1104" s="15"/>
      <c r="LWZ1104" s="15"/>
      <c r="LXC1104" s="15"/>
      <c r="LXD1104" s="15"/>
      <c r="LXG1104" s="15"/>
      <c r="LXH1104" s="15"/>
      <c r="LXK1104" s="15"/>
      <c r="LXL1104" s="15"/>
      <c r="LXO1104" s="15"/>
      <c r="LXP1104" s="15"/>
      <c r="LXS1104" s="15"/>
      <c r="LXT1104" s="15"/>
      <c r="LXW1104" s="15"/>
      <c r="LXX1104" s="15"/>
      <c r="LYA1104" s="15"/>
      <c r="LYB1104" s="15"/>
      <c r="LYE1104" s="15"/>
      <c r="LYF1104" s="15"/>
      <c r="LYI1104" s="15"/>
      <c r="LYJ1104" s="15"/>
      <c r="LYM1104" s="15"/>
      <c r="LYN1104" s="15"/>
      <c r="LYQ1104" s="15"/>
      <c r="LYR1104" s="15"/>
      <c r="LYU1104" s="15"/>
      <c r="LYV1104" s="15"/>
      <c r="LYY1104" s="15"/>
      <c r="LYZ1104" s="15"/>
      <c r="LZC1104" s="15"/>
      <c r="LZD1104" s="15"/>
      <c r="LZG1104" s="15"/>
      <c r="LZH1104" s="15"/>
      <c r="LZK1104" s="15"/>
      <c r="LZL1104" s="15"/>
      <c r="LZO1104" s="15"/>
      <c r="LZP1104" s="15"/>
      <c r="LZS1104" s="15"/>
      <c r="LZT1104" s="15"/>
      <c r="LZW1104" s="15"/>
      <c r="LZX1104" s="15"/>
      <c r="MAA1104" s="15"/>
      <c r="MAB1104" s="15"/>
      <c r="MAE1104" s="15"/>
      <c r="MAF1104" s="15"/>
      <c r="MAI1104" s="15"/>
      <c r="MAJ1104" s="15"/>
      <c r="MAM1104" s="15"/>
      <c r="MAN1104" s="15"/>
      <c r="MAQ1104" s="15"/>
      <c r="MAR1104" s="15"/>
      <c r="MAU1104" s="15"/>
      <c r="MAV1104" s="15"/>
      <c r="MAY1104" s="15"/>
      <c r="MAZ1104" s="15"/>
      <c r="MBC1104" s="15"/>
      <c r="MBD1104" s="15"/>
      <c r="MBG1104" s="15"/>
      <c r="MBH1104" s="15"/>
      <c r="MBK1104" s="15"/>
      <c r="MBL1104" s="15"/>
      <c r="MBO1104" s="15"/>
      <c r="MBP1104" s="15"/>
      <c r="MBS1104" s="15"/>
      <c r="MBT1104" s="15"/>
      <c r="MBW1104" s="15"/>
      <c r="MBX1104" s="15"/>
      <c r="MCA1104" s="15"/>
      <c r="MCB1104" s="15"/>
      <c r="MCE1104" s="15"/>
      <c r="MCF1104" s="15"/>
      <c r="MCI1104" s="15"/>
      <c r="MCJ1104" s="15"/>
      <c r="MCM1104" s="15"/>
      <c r="MCN1104" s="15"/>
      <c r="MCQ1104" s="15"/>
      <c r="MCR1104" s="15"/>
      <c r="MCU1104" s="15"/>
      <c r="MCV1104" s="15"/>
      <c r="MCY1104" s="15"/>
      <c r="MCZ1104" s="15"/>
      <c r="MDC1104" s="15"/>
      <c r="MDD1104" s="15"/>
      <c r="MDG1104" s="15"/>
      <c r="MDH1104" s="15"/>
      <c r="MDK1104" s="15"/>
      <c r="MDL1104" s="15"/>
      <c r="MDO1104" s="15"/>
      <c r="MDP1104" s="15"/>
      <c r="MDS1104" s="15"/>
      <c r="MDT1104" s="15"/>
      <c r="MDW1104" s="15"/>
      <c r="MDX1104" s="15"/>
      <c r="MEA1104" s="15"/>
      <c r="MEB1104" s="15"/>
      <c r="MEE1104" s="15"/>
      <c r="MEF1104" s="15"/>
      <c r="MEI1104" s="15"/>
      <c r="MEJ1104" s="15"/>
      <c r="MEM1104" s="15"/>
      <c r="MEN1104" s="15"/>
      <c r="MEQ1104" s="15"/>
      <c r="MER1104" s="15"/>
      <c r="MEU1104" s="15"/>
      <c r="MEV1104" s="15"/>
      <c r="MEY1104" s="15"/>
      <c r="MEZ1104" s="15"/>
      <c r="MFC1104" s="15"/>
      <c r="MFD1104" s="15"/>
      <c r="MFG1104" s="15"/>
      <c r="MFH1104" s="15"/>
      <c r="MFK1104" s="15"/>
      <c r="MFL1104" s="15"/>
      <c r="MFO1104" s="15"/>
      <c r="MFP1104" s="15"/>
      <c r="MFS1104" s="15"/>
      <c r="MFT1104" s="15"/>
      <c r="MFW1104" s="15"/>
      <c r="MFX1104" s="15"/>
      <c r="MGA1104" s="15"/>
      <c r="MGB1104" s="15"/>
      <c r="MGE1104" s="15"/>
      <c r="MGF1104" s="15"/>
      <c r="MGI1104" s="15"/>
      <c r="MGJ1104" s="15"/>
      <c r="MGM1104" s="15"/>
      <c r="MGN1104" s="15"/>
      <c r="MGQ1104" s="15"/>
      <c r="MGR1104" s="15"/>
      <c r="MGU1104" s="15"/>
      <c r="MGV1104" s="15"/>
      <c r="MGY1104" s="15"/>
      <c r="MGZ1104" s="15"/>
      <c r="MHC1104" s="15"/>
      <c r="MHD1104" s="15"/>
      <c r="MHG1104" s="15"/>
      <c r="MHH1104" s="15"/>
      <c r="MHK1104" s="15"/>
      <c r="MHL1104" s="15"/>
      <c r="MHO1104" s="15"/>
      <c r="MHP1104" s="15"/>
      <c r="MHS1104" s="15"/>
      <c r="MHT1104" s="15"/>
      <c r="MHW1104" s="15"/>
      <c r="MHX1104" s="15"/>
      <c r="MIA1104" s="15"/>
      <c r="MIB1104" s="15"/>
      <c r="MIE1104" s="15"/>
      <c r="MIF1104" s="15"/>
      <c r="MII1104" s="15"/>
      <c r="MIJ1104" s="15"/>
      <c r="MIM1104" s="15"/>
      <c r="MIN1104" s="15"/>
      <c r="MIQ1104" s="15"/>
      <c r="MIR1104" s="15"/>
      <c r="MIU1104" s="15"/>
      <c r="MIV1104" s="15"/>
      <c r="MIY1104" s="15"/>
      <c r="MIZ1104" s="15"/>
      <c r="MJC1104" s="15"/>
      <c r="MJD1104" s="15"/>
      <c r="MJG1104" s="15"/>
      <c r="MJH1104" s="15"/>
      <c r="MJK1104" s="15"/>
      <c r="MJL1104" s="15"/>
      <c r="MJO1104" s="15"/>
      <c r="MJP1104" s="15"/>
      <c r="MJS1104" s="15"/>
      <c r="MJT1104" s="15"/>
      <c r="MJW1104" s="15"/>
      <c r="MJX1104" s="15"/>
      <c r="MKA1104" s="15"/>
      <c r="MKB1104" s="15"/>
      <c r="MKE1104" s="15"/>
      <c r="MKF1104" s="15"/>
      <c r="MKI1104" s="15"/>
      <c r="MKJ1104" s="15"/>
      <c r="MKM1104" s="15"/>
      <c r="MKN1104" s="15"/>
      <c r="MKQ1104" s="15"/>
      <c r="MKR1104" s="15"/>
      <c r="MKU1104" s="15"/>
      <c r="MKV1104" s="15"/>
      <c r="MKY1104" s="15"/>
      <c r="MKZ1104" s="15"/>
      <c r="MLC1104" s="15"/>
      <c r="MLD1104" s="15"/>
      <c r="MLG1104" s="15"/>
      <c r="MLH1104" s="15"/>
      <c r="MLK1104" s="15"/>
      <c r="MLL1104" s="15"/>
      <c r="MLO1104" s="15"/>
      <c r="MLP1104" s="15"/>
      <c r="MLS1104" s="15"/>
      <c r="MLT1104" s="15"/>
      <c r="MLW1104" s="15"/>
      <c r="MLX1104" s="15"/>
      <c r="MMA1104" s="15"/>
      <c r="MMB1104" s="15"/>
      <c r="MME1104" s="15"/>
      <c r="MMF1104" s="15"/>
      <c r="MMI1104" s="15"/>
      <c r="MMJ1104" s="15"/>
      <c r="MMM1104" s="15"/>
      <c r="MMN1104" s="15"/>
      <c r="MMQ1104" s="15"/>
      <c r="MMR1104" s="15"/>
      <c r="MMU1104" s="15"/>
      <c r="MMV1104" s="15"/>
      <c r="MMY1104" s="15"/>
      <c r="MMZ1104" s="15"/>
      <c r="MNC1104" s="15"/>
      <c r="MND1104" s="15"/>
      <c r="MNG1104" s="15"/>
      <c r="MNH1104" s="15"/>
      <c r="MNK1104" s="15"/>
      <c r="MNL1104" s="15"/>
      <c r="MNO1104" s="15"/>
      <c r="MNP1104" s="15"/>
      <c r="MNS1104" s="15"/>
      <c r="MNT1104" s="15"/>
      <c r="MNW1104" s="15"/>
      <c r="MNX1104" s="15"/>
      <c r="MOA1104" s="15"/>
      <c r="MOB1104" s="15"/>
      <c r="MOE1104" s="15"/>
      <c r="MOF1104" s="15"/>
      <c r="MOI1104" s="15"/>
      <c r="MOJ1104" s="15"/>
      <c r="MOM1104" s="15"/>
      <c r="MON1104" s="15"/>
      <c r="MOQ1104" s="15"/>
      <c r="MOR1104" s="15"/>
      <c r="MOU1104" s="15"/>
      <c r="MOV1104" s="15"/>
      <c r="MOY1104" s="15"/>
      <c r="MOZ1104" s="15"/>
      <c r="MPC1104" s="15"/>
      <c r="MPD1104" s="15"/>
      <c r="MPG1104" s="15"/>
      <c r="MPH1104" s="15"/>
      <c r="MPK1104" s="15"/>
      <c r="MPL1104" s="15"/>
      <c r="MPO1104" s="15"/>
      <c r="MPP1104" s="15"/>
      <c r="MPS1104" s="15"/>
      <c r="MPT1104" s="15"/>
      <c r="MPW1104" s="15"/>
      <c r="MPX1104" s="15"/>
      <c r="MQA1104" s="15"/>
      <c r="MQB1104" s="15"/>
      <c r="MQE1104" s="15"/>
      <c r="MQF1104" s="15"/>
      <c r="MQI1104" s="15"/>
      <c r="MQJ1104" s="15"/>
      <c r="MQM1104" s="15"/>
      <c r="MQN1104" s="15"/>
      <c r="MQQ1104" s="15"/>
      <c r="MQR1104" s="15"/>
      <c r="MQU1104" s="15"/>
      <c r="MQV1104" s="15"/>
      <c r="MQY1104" s="15"/>
      <c r="MQZ1104" s="15"/>
      <c r="MRC1104" s="15"/>
      <c r="MRD1104" s="15"/>
      <c r="MRG1104" s="15"/>
      <c r="MRH1104" s="15"/>
      <c r="MRK1104" s="15"/>
      <c r="MRL1104" s="15"/>
      <c r="MRO1104" s="15"/>
      <c r="MRP1104" s="15"/>
      <c r="MRS1104" s="15"/>
      <c r="MRT1104" s="15"/>
      <c r="MRW1104" s="15"/>
      <c r="MRX1104" s="15"/>
      <c r="MSA1104" s="15"/>
      <c r="MSB1104" s="15"/>
      <c r="MSE1104" s="15"/>
      <c r="MSF1104" s="15"/>
      <c r="MSI1104" s="15"/>
      <c r="MSJ1104" s="15"/>
      <c r="MSM1104" s="15"/>
      <c r="MSN1104" s="15"/>
      <c r="MSQ1104" s="15"/>
      <c r="MSR1104" s="15"/>
      <c r="MSU1104" s="15"/>
      <c r="MSV1104" s="15"/>
      <c r="MSY1104" s="15"/>
      <c r="MSZ1104" s="15"/>
      <c r="MTC1104" s="15"/>
      <c r="MTD1104" s="15"/>
      <c r="MTG1104" s="15"/>
      <c r="MTH1104" s="15"/>
      <c r="MTK1104" s="15"/>
      <c r="MTL1104" s="15"/>
      <c r="MTO1104" s="15"/>
      <c r="MTP1104" s="15"/>
      <c r="MTS1104" s="15"/>
      <c r="MTT1104" s="15"/>
      <c r="MTW1104" s="15"/>
      <c r="MTX1104" s="15"/>
      <c r="MUA1104" s="15"/>
      <c r="MUB1104" s="15"/>
      <c r="MUE1104" s="15"/>
      <c r="MUF1104" s="15"/>
      <c r="MUI1104" s="15"/>
      <c r="MUJ1104" s="15"/>
      <c r="MUM1104" s="15"/>
      <c r="MUN1104" s="15"/>
      <c r="MUQ1104" s="15"/>
      <c r="MUR1104" s="15"/>
      <c r="MUU1104" s="15"/>
      <c r="MUV1104" s="15"/>
      <c r="MUY1104" s="15"/>
      <c r="MUZ1104" s="15"/>
      <c r="MVC1104" s="15"/>
      <c r="MVD1104" s="15"/>
      <c r="MVG1104" s="15"/>
      <c r="MVH1104" s="15"/>
      <c r="MVK1104" s="15"/>
      <c r="MVL1104" s="15"/>
      <c r="MVO1104" s="15"/>
      <c r="MVP1104" s="15"/>
      <c r="MVS1104" s="15"/>
      <c r="MVT1104" s="15"/>
      <c r="MVW1104" s="15"/>
      <c r="MVX1104" s="15"/>
      <c r="MWA1104" s="15"/>
      <c r="MWB1104" s="15"/>
      <c r="MWE1104" s="15"/>
      <c r="MWF1104" s="15"/>
      <c r="MWI1104" s="15"/>
      <c r="MWJ1104" s="15"/>
      <c r="MWM1104" s="15"/>
      <c r="MWN1104" s="15"/>
      <c r="MWQ1104" s="15"/>
      <c r="MWR1104" s="15"/>
      <c r="MWU1104" s="15"/>
      <c r="MWV1104" s="15"/>
      <c r="MWY1104" s="15"/>
      <c r="MWZ1104" s="15"/>
      <c r="MXC1104" s="15"/>
      <c r="MXD1104" s="15"/>
      <c r="MXG1104" s="15"/>
      <c r="MXH1104" s="15"/>
      <c r="MXK1104" s="15"/>
      <c r="MXL1104" s="15"/>
      <c r="MXO1104" s="15"/>
      <c r="MXP1104" s="15"/>
      <c r="MXS1104" s="15"/>
      <c r="MXT1104" s="15"/>
      <c r="MXW1104" s="15"/>
      <c r="MXX1104" s="15"/>
      <c r="MYA1104" s="15"/>
      <c r="MYB1104" s="15"/>
      <c r="MYE1104" s="15"/>
      <c r="MYF1104" s="15"/>
      <c r="MYI1104" s="15"/>
      <c r="MYJ1104" s="15"/>
      <c r="MYM1104" s="15"/>
      <c r="MYN1104" s="15"/>
      <c r="MYQ1104" s="15"/>
      <c r="MYR1104" s="15"/>
      <c r="MYU1104" s="15"/>
      <c r="MYV1104" s="15"/>
      <c r="MYY1104" s="15"/>
      <c r="MYZ1104" s="15"/>
      <c r="MZC1104" s="15"/>
      <c r="MZD1104" s="15"/>
      <c r="MZG1104" s="15"/>
      <c r="MZH1104" s="15"/>
      <c r="MZK1104" s="15"/>
      <c r="MZL1104" s="15"/>
      <c r="MZO1104" s="15"/>
      <c r="MZP1104" s="15"/>
      <c r="MZS1104" s="15"/>
      <c r="MZT1104" s="15"/>
      <c r="MZW1104" s="15"/>
      <c r="MZX1104" s="15"/>
      <c r="NAA1104" s="15"/>
      <c r="NAB1104" s="15"/>
      <c r="NAE1104" s="15"/>
      <c r="NAF1104" s="15"/>
      <c r="NAI1104" s="15"/>
      <c r="NAJ1104" s="15"/>
      <c r="NAM1104" s="15"/>
      <c r="NAN1104" s="15"/>
      <c r="NAQ1104" s="15"/>
      <c r="NAR1104" s="15"/>
      <c r="NAU1104" s="15"/>
      <c r="NAV1104" s="15"/>
      <c r="NAY1104" s="15"/>
      <c r="NAZ1104" s="15"/>
      <c r="NBC1104" s="15"/>
      <c r="NBD1104" s="15"/>
      <c r="NBG1104" s="15"/>
      <c r="NBH1104" s="15"/>
      <c r="NBK1104" s="15"/>
      <c r="NBL1104" s="15"/>
      <c r="NBO1104" s="15"/>
      <c r="NBP1104" s="15"/>
      <c r="NBS1104" s="15"/>
      <c r="NBT1104" s="15"/>
      <c r="NBW1104" s="15"/>
      <c r="NBX1104" s="15"/>
      <c r="NCA1104" s="15"/>
      <c r="NCB1104" s="15"/>
      <c r="NCE1104" s="15"/>
      <c r="NCF1104" s="15"/>
      <c r="NCI1104" s="15"/>
      <c r="NCJ1104" s="15"/>
      <c r="NCM1104" s="15"/>
      <c r="NCN1104" s="15"/>
      <c r="NCQ1104" s="15"/>
      <c r="NCR1104" s="15"/>
      <c r="NCU1104" s="15"/>
      <c r="NCV1104" s="15"/>
      <c r="NCY1104" s="15"/>
      <c r="NCZ1104" s="15"/>
      <c r="NDC1104" s="15"/>
      <c r="NDD1104" s="15"/>
      <c r="NDG1104" s="15"/>
      <c r="NDH1104" s="15"/>
      <c r="NDK1104" s="15"/>
      <c r="NDL1104" s="15"/>
      <c r="NDO1104" s="15"/>
      <c r="NDP1104" s="15"/>
      <c r="NDS1104" s="15"/>
      <c r="NDT1104" s="15"/>
      <c r="NDW1104" s="15"/>
      <c r="NDX1104" s="15"/>
      <c r="NEA1104" s="15"/>
      <c r="NEB1104" s="15"/>
      <c r="NEE1104" s="15"/>
      <c r="NEF1104" s="15"/>
      <c r="NEI1104" s="15"/>
      <c r="NEJ1104" s="15"/>
      <c r="NEM1104" s="15"/>
      <c r="NEN1104" s="15"/>
      <c r="NEQ1104" s="15"/>
      <c r="NER1104" s="15"/>
      <c r="NEU1104" s="15"/>
      <c r="NEV1104" s="15"/>
      <c r="NEY1104" s="15"/>
      <c r="NEZ1104" s="15"/>
      <c r="NFC1104" s="15"/>
      <c r="NFD1104" s="15"/>
      <c r="NFG1104" s="15"/>
      <c r="NFH1104" s="15"/>
      <c r="NFK1104" s="15"/>
      <c r="NFL1104" s="15"/>
      <c r="NFO1104" s="15"/>
      <c r="NFP1104" s="15"/>
      <c r="NFS1104" s="15"/>
      <c r="NFT1104" s="15"/>
      <c r="NFW1104" s="15"/>
      <c r="NFX1104" s="15"/>
      <c r="NGA1104" s="15"/>
      <c r="NGB1104" s="15"/>
      <c r="NGE1104" s="15"/>
      <c r="NGF1104" s="15"/>
      <c r="NGI1104" s="15"/>
      <c r="NGJ1104" s="15"/>
      <c r="NGM1104" s="15"/>
      <c r="NGN1104" s="15"/>
      <c r="NGQ1104" s="15"/>
      <c r="NGR1104" s="15"/>
      <c r="NGU1104" s="15"/>
      <c r="NGV1104" s="15"/>
      <c r="NGY1104" s="15"/>
      <c r="NGZ1104" s="15"/>
      <c r="NHC1104" s="15"/>
      <c r="NHD1104" s="15"/>
      <c r="NHG1104" s="15"/>
      <c r="NHH1104" s="15"/>
      <c r="NHK1104" s="15"/>
      <c r="NHL1104" s="15"/>
      <c r="NHO1104" s="15"/>
      <c r="NHP1104" s="15"/>
      <c r="NHS1104" s="15"/>
      <c r="NHT1104" s="15"/>
      <c r="NHW1104" s="15"/>
      <c r="NHX1104" s="15"/>
      <c r="NIA1104" s="15"/>
      <c r="NIB1104" s="15"/>
      <c r="NIE1104" s="15"/>
      <c r="NIF1104" s="15"/>
      <c r="NII1104" s="15"/>
      <c r="NIJ1104" s="15"/>
      <c r="NIM1104" s="15"/>
      <c r="NIN1104" s="15"/>
      <c r="NIQ1104" s="15"/>
      <c r="NIR1104" s="15"/>
      <c r="NIU1104" s="15"/>
      <c r="NIV1104" s="15"/>
      <c r="NIY1104" s="15"/>
      <c r="NIZ1104" s="15"/>
      <c r="NJC1104" s="15"/>
      <c r="NJD1104" s="15"/>
      <c r="NJG1104" s="15"/>
      <c r="NJH1104" s="15"/>
      <c r="NJK1104" s="15"/>
      <c r="NJL1104" s="15"/>
      <c r="NJO1104" s="15"/>
      <c r="NJP1104" s="15"/>
      <c r="NJS1104" s="15"/>
      <c r="NJT1104" s="15"/>
      <c r="NJW1104" s="15"/>
      <c r="NJX1104" s="15"/>
      <c r="NKA1104" s="15"/>
      <c r="NKB1104" s="15"/>
      <c r="NKE1104" s="15"/>
      <c r="NKF1104" s="15"/>
      <c r="NKI1104" s="15"/>
      <c r="NKJ1104" s="15"/>
      <c r="NKM1104" s="15"/>
      <c r="NKN1104" s="15"/>
      <c r="NKQ1104" s="15"/>
      <c r="NKR1104" s="15"/>
      <c r="NKU1104" s="15"/>
      <c r="NKV1104" s="15"/>
      <c r="NKY1104" s="15"/>
      <c r="NKZ1104" s="15"/>
      <c r="NLC1104" s="15"/>
      <c r="NLD1104" s="15"/>
      <c r="NLG1104" s="15"/>
      <c r="NLH1104" s="15"/>
      <c r="NLK1104" s="15"/>
      <c r="NLL1104" s="15"/>
      <c r="NLO1104" s="15"/>
      <c r="NLP1104" s="15"/>
      <c r="NLS1104" s="15"/>
      <c r="NLT1104" s="15"/>
      <c r="NLW1104" s="15"/>
      <c r="NLX1104" s="15"/>
      <c r="NMA1104" s="15"/>
      <c r="NMB1104" s="15"/>
      <c r="NME1104" s="15"/>
      <c r="NMF1104" s="15"/>
      <c r="NMI1104" s="15"/>
      <c r="NMJ1104" s="15"/>
      <c r="NMM1104" s="15"/>
      <c r="NMN1104" s="15"/>
      <c r="NMQ1104" s="15"/>
      <c r="NMR1104" s="15"/>
      <c r="NMU1104" s="15"/>
      <c r="NMV1104" s="15"/>
      <c r="NMY1104" s="15"/>
      <c r="NMZ1104" s="15"/>
      <c r="NNC1104" s="15"/>
      <c r="NND1104" s="15"/>
      <c r="NNG1104" s="15"/>
      <c r="NNH1104" s="15"/>
      <c r="NNK1104" s="15"/>
      <c r="NNL1104" s="15"/>
      <c r="NNO1104" s="15"/>
      <c r="NNP1104" s="15"/>
      <c r="NNS1104" s="15"/>
      <c r="NNT1104" s="15"/>
      <c r="NNW1104" s="15"/>
      <c r="NNX1104" s="15"/>
      <c r="NOA1104" s="15"/>
      <c r="NOB1104" s="15"/>
      <c r="NOE1104" s="15"/>
      <c r="NOF1104" s="15"/>
      <c r="NOI1104" s="15"/>
      <c r="NOJ1104" s="15"/>
      <c r="NOM1104" s="15"/>
      <c r="NON1104" s="15"/>
      <c r="NOQ1104" s="15"/>
      <c r="NOR1104" s="15"/>
      <c r="NOU1104" s="15"/>
      <c r="NOV1104" s="15"/>
      <c r="NOY1104" s="15"/>
      <c r="NOZ1104" s="15"/>
      <c r="NPC1104" s="15"/>
      <c r="NPD1104" s="15"/>
      <c r="NPG1104" s="15"/>
      <c r="NPH1104" s="15"/>
      <c r="NPK1104" s="15"/>
      <c r="NPL1104" s="15"/>
      <c r="NPO1104" s="15"/>
      <c r="NPP1104" s="15"/>
      <c r="NPS1104" s="15"/>
      <c r="NPT1104" s="15"/>
      <c r="NPW1104" s="15"/>
      <c r="NPX1104" s="15"/>
      <c r="NQA1104" s="15"/>
      <c r="NQB1104" s="15"/>
      <c r="NQE1104" s="15"/>
      <c r="NQF1104" s="15"/>
      <c r="NQI1104" s="15"/>
      <c r="NQJ1104" s="15"/>
      <c r="NQM1104" s="15"/>
      <c r="NQN1104" s="15"/>
      <c r="NQQ1104" s="15"/>
      <c r="NQR1104" s="15"/>
      <c r="NQU1104" s="15"/>
      <c r="NQV1104" s="15"/>
      <c r="NQY1104" s="15"/>
      <c r="NQZ1104" s="15"/>
      <c r="NRC1104" s="15"/>
      <c r="NRD1104" s="15"/>
      <c r="NRG1104" s="15"/>
      <c r="NRH1104" s="15"/>
      <c r="NRK1104" s="15"/>
      <c r="NRL1104" s="15"/>
      <c r="NRO1104" s="15"/>
      <c r="NRP1104" s="15"/>
      <c r="NRS1104" s="15"/>
      <c r="NRT1104" s="15"/>
      <c r="NRW1104" s="15"/>
      <c r="NRX1104" s="15"/>
      <c r="NSA1104" s="15"/>
      <c r="NSB1104" s="15"/>
      <c r="NSE1104" s="15"/>
      <c r="NSF1104" s="15"/>
      <c r="NSI1104" s="15"/>
      <c r="NSJ1104" s="15"/>
      <c r="NSM1104" s="15"/>
      <c r="NSN1104" s="15"/>
      <c r="NSQ1104" s="15"/>
      <c r="NSR1104" s="15"/>
      <c r="NSU1104" s="15"/>
      <c r="NSV1104" s="15"/>
      <c r="NSY1104" s="15"/>
      <c r="NSZ1104" s="15"/>
      <c r="NTC1104" s="15"/>
      <c r="NTD1104" s="15"/>
      <c r="NTG1104" s="15"/>
      <c r="NTH1104" s="15"/>
      <c r="NTK1104" s="15"/>
      <c r="NTL1104" s="15"/>
      <c r="NTO1104" s="15"/>
      <c r="NTP1104" s="15"/>
      <c r="NTS1104" s="15"/>
      <c r="NTT1104" s="15"/>
      <c r="NTW1104" s="15"/>
      <c r="NTX1104" s="15"/>
      <c r="NUA1104" s="15"/>
      <c r="NUB1104" s="15"/>
      <c r="NUE1104" s="15"/>
      <c r="NUF1104" s="15"/>
      <c r="NUI1104" s="15"/>
      <c r="NUJ1104" s="15"/>
      <c r="NUM1104" s="15"/>
      <c r="NUN1104" s="15"/>
      <c r="NUQ1104" s="15"/>
      <c r="NUR1104" s="15"/>
      <c r="NUU1104" s="15"/>
      <c r="NUV1104" s="15"/>
      <c r="NUY1104" s="15"/>
      <c r="NUZ1104" s="15"/>
      <c r="NVC1104" s="15"/>
      <c r="NVD1104" s="15"/>
      <c r="NVG1104" s="15"/>
      <c r="NVH1104" s="15"/>
      <c r="NVK1104" s="15"/>
      <c r="NVL1104" s="15"/>
      <c r="NVO1104" s="15"/>
      <c r="NVP1104" s="15"/>
      <c r="NVS1104" s="15"/>
      <c r="NVT1104" s="15"/>
      <c r="NVW1104" s="15"/>
      <c r="NVX1104" s="15"/>
      <c r="NWA1104" s="15"/>
      <c r="NWB1104" s="15"/>
      <c r="NWE1104" s="15"/>
      <c r="NWF1104" s="15"/>
      <c r="NWI1104" s="15"/>
      <c r="NWJ1104" s="15"/>
      <c r="NWM1104" s="15"/>
      <c r="NWN1104" s="15"/>
      <c r="NWQ1104" s="15"/>
      <c r="NWR1104" s="15"/>
      <c r="NWU1104" s="15"/>
      <c r="NWV1104" s="15"/>
      <c r="NWY1104" s="15"/>
      <c r="NWZ1104" s="15"/>
      <c r="NXC1104" s="15"/>
      <c r="NXD1104" s="15"/>
      <c r="NXG1104" s="15"/>
      <c r="NXH1104" s="15"/>
      <c r="NXK1104" s="15"/>
      <c r="NXL1104" s="15"/>
      <c r="NXO1104" s="15"/>
      <c r="NXP1104" s="15"/>
      <c r="NXS1104" s="15"/>
      <c r="NXT1104" s="15"/>
      <c r="NXW1104" s="15"/>
      <c r="NXX1104" s="15"/>
      <c r="NYA1104" s="15"/>
      <c r="NYB1104" s="15"/>
      <c r="NYE1104" s="15"/>
      <c r="NYF1104" s="15"/>
      <c r="NYI1104" s="15"/>
      <c r="NYJ1104" s="15"/>
      <c r="NYM1104" s="15"/>
      <c r="NYN1104" s="15"/>
      <c r="NYQ1104" s="15"/>
      <c r="NYR1104" s="15"/>
      <c r="NYU1104" s="15"/>
      <c r="NYV1104" s="15"/>
      <c r="NYY1104" s="15"/>
      <c r="NYZ1104" s="15"/>
      <c r="NZC1104" s="15"/>
      <c r="NZD1104" s="15"/>
      <c r="NZG1104" s="15"/>
      <c r="NZH1104" s="15"/>
      <c r="NZK1104" s="15"/>
      <c r="NZL1104" s="15"/>
      <c r="NZO1104" s="15"/>
      <c r="NZP1104" s="15"/>
      <c r="NZS1104" s="15"/>
      <c r="NZT1104" s="15"/>
      <c r="NZW1104" s="15"/>
      <c r="NZX1104" s="15"/>
      <c r="OAA1104" s="15"/>
      <c r="OAB1104" s="15"/>
      <c r="OAE1104" s="15"/>
      <c r="OAF1104" s="15"/>
      <c r="OAI1104" s="15"/>
      <c r="OAJ1104" s="15"/>
      <c r="OAM1104" s="15"/>
      <c r="OAN1104" s="15"/>
      <c r="OAQ1104" s="15"/>
      <c r="OAR1104" s="15"/>
      <c r="OAU1104" s="15"/>
      <c r="OAV1104" s="15"/>
      <c r="OAY1104" s="15"/>
      <c r="OAZ1104" s="15"/>
      <c r="OBC1104" s="15"/>
      <c r="OBD1104" s="15"/>
      <c r="OBG1104" s="15"/>
      <c r="OBH1104" s="15"/>
      <c r="OBK1104" s="15"/>
      <c r="OBL1104" s="15"/>
      <c r="OBO1104" s="15"/>
      <c r="OBP1104" s="15"/>
      <c r="OBS1104" s="15"/>
      <c r="OBT1104" s="15"/>
      <c r="OBW1104" s="15"/>
      <c r="OBX1104" s="15"/>
      <c r="OCA1104" s="15"/>
      <c r="OCB1104" s="15"/>
      <c r="OCE1104" s="15"/>
      <c r="OCF1104" s="15"/>
      <c r="OCI1104" s="15"/>
      <c r="OCJ1104" s="15"/>
      <c r="OCM1104" s="15"/>
      <c r="OCN1104" s="15"/>
      <c r="OCQ1104" s="15"/>
      <c r="OCR1104" s="15"/>
      <c r="OCU1104" s="15"/>
      <c r="OCV1104" s="15"/>
      <c r="OCY1104" s="15"/>
      <c r="OCZ1104" s="15"/>
      <c r="ODC1104" s="15"/>
      <c r="ODD1104" s="15"/>
      <c r="ODG1104" s="15"/>
      <c r="ODH1104" s="15"/>
      <c r="ODK1104" s="15"/>
      <c r="ODL1104" s="15"/>
      <c r="ODO1104" s="15"/>
      <c r="ODP1104" s="15"/>
      <c r="ODS1104" s="15"/>
      <c r="ODT1104" s="15"/>
      <c r="ODW1104" s="15"/>
      <c r="ODX1104" s="15"/>
      <c r="OEA1104" s="15"/>
      <c r="OEB1104" s="15"/>
      <c r="OEE1104" s="15"/>
      <c r="OEF1104" s="15"/>
      <c r="OEI1104" s="15"/>
      <c r="OEJ1104" s="15"/>
      <c r="OEM1104" s="15"/>
      <c r="OEN1104" s="15"/>
      <c r="OEQ1104" s="15"/>
      <c r="OER1104" s="15"/>
      <c r="OEU1104" s="15"/>
      <c r="OEV1104" s="15"/>
      <c r="OEY1104" s="15"/>
      <c r="OEZ1104" s="15"/>
      <c r="OFC1104" s="15"/>
      <c r="OFD1104" s="15"/>
      <c r="OFG1104" s="15"/>
      <c r="OFH1104" s="15"/>
      <c r="OFK1104" s="15"/>
      <c r="OFL1104" s="15"/>
      <c r="OFO1104" s="15"/>
      <c r="OFP1104" s="15"/>
      <c r="OFS1104" s="15"/>
      <c r="OFT1104" s="15"/>
      <c r="OFW1104" s="15"/>
      <c r="OFX1104" s="15"/>
      <c r="OGA1104" s="15"/>
      <c r="OGB1104" s="15"/>
      <c r="OGE1104" s="15"/>
      <c r="OGF1104" s="15"/>
      <c r="OGI1104" s="15"/>
      <c r="OGJ1104" s="15"/>
      <c r="OGM1104" s="15"/>
      <c r="OGN1104" s="15"/>
      <c r="OGQ1104" s="15"/>
      <c r="OGR1104" s="15"/>
      <c r="OGU1104" s="15"/>
      <c r="OGV1104" s="15"/>
      <c r="OGY1104" s="15"/>
      <c r="OGZ1104" s="15"/>
      <c r="OHC1104" s="15"/>
      <c r="OHD1104" s="15"/>
      <c r="OHG1104" s="15"/>
      <c r="OHH1104" s="15"/>
      <c r="OHK1104" s="15"/>
      <c r="OHL1104" s="15"/>
      <c r="OHO1104" s="15"/>
      <c r="OHP1104" s="15"/>
      <c r="OHS1104" s="15"/>
      <c r="OHT1104" s="15"/>
      <c r="OHW1104" s="15"/>
      <c r="OHX1104" s="15"/>
      <c r="OIA1104" s="15"/>
      <c r="OIB1104" s="15"/>
      <c r="OIE1104" s="15"/>
      <c r="OIF1104" s="15"/>
      <c r="OII1104" s="15"/>
      <c r="OIJ1104" s="15"/>
      <c r="OIM1104" s="15"/>
      <c r="OIN1104" s="15"/>
      <c r="OIQ1104" s="15"/>
      <c r="OIR1104" s="15"/>
      <c r="OIU1104" s="15"/>
      <c r="OIV1104" s="15"/>
      <c r="OIY1104" s="15"/>
      <c r="OIZ1104" s="15"/>
      <c r="OJC1104" s="15"/>
      <c r="OJD1104" s="15"/>
      <c r="OJG1104" s="15"/>
      <c r="OJH1104" s="15"/>
      <c r="OJK1104" s="15"/>
      <c r="OJL1104" s="15"/>
      <c r="OJO1104" s="15"/>
      <c r="OJP1104" s="15"/>
      <c r="OJS1104" s="15"/>
      <c r="OJT1104" s="15"/>
      <c r="OJW1104" s="15"/>
      <c r="OJX1104" s="15"/>
      <c r="OKA1104" s="15"/>
      <c r="OKB1104" s="15"/>
      <c r="OKE1104" s="15"/>
      <c r="OKF1104" s="15"/>
      <c r="OKI1104" s="15"/>
      <c r="OKJ1104" s="15"/>
      <c r="OKM1104" s="15"/>
      <c r="OKN1104" s="15"/>
      <c r="OKQ1104" s="15"/>
      <c r="OKR1104" s="15"/>
      <c r="OKU1104" s="15"/>
      <c r="OKV1104" s="15"/>
      <c r="OKY1104" s="15"/>
      <c r="OKZ1104" s="15"/>
      <c r="OLC1104" s="15"/>
      <c r="OLD1104" s="15"/>
      <c r="OLG1104" s="15"/>
      <c r="OLH1104" s="15"/>
      <c r="OLK1104" s="15"/>
      <c r="OLL1104" s="15"/>
      <c r="OLO1104" s="15"/>
      <c r="OLP1104" s="15"/>
      <c r="OLS1104" s="15"/>
      <c r="OLT1104" s="15"/>
      <c r="OLW1104" s="15"/>
      <c r="OLX1104" s="15"/>
      <c r="OMA1104" s="15"/>
      <c r="OMB1104" s="15"/>
      <c r="OME1104" s="15"/>
      <c r="OMF1104" s="15"/>
      <c r="OMI1104" s="15"/>
      <c r="OMJ1104" s="15"/>
      <c r="OMM1104" s="15"/>
      <c r="OMN1104" s="15"/>
      <c r="OMQ1104" s="15"/>
      <c r="OMR1104" s="15"/>
      <c r="OMU1104" s="15"/>
      <c r="OMV1104" s="15"/>
      <c r="OMY1104" s="15"/>
      <c r="OMZ1104" s="15"/>
      <c r="ONC1104" s="15"/>
      <c r="OND1104" s="15"/>
      <c r="ONG1104" s="15"/>
      <c r="ONH1104" s="15"/>
      <c r="ONK1104" s="15"/>
      <c r="ONL1104" s="15"/>
      <c r="ONO1104" s="15"/>
      <c r="ONP1104" s="15"/>
      <c r="ONS1104" s="15"/>
      <c r="ONT1104" s="15"/>
      <c r="ONW1104" s="15"/>
      <c r="ONX1104" s="15"/>
      <c r="OOA1104" s="15"/>
      <c r="OOB1104" s="15"/>
      <c r="OOE1104" s="15"/>
      <c r="OOF1104" s="15"/>
      <c r="OOI1104" s="15"/>
      <c r="OOJ1104" s="15"/>
      <c r="OOM1104" s="15"/>
      <c r="OON1104" s="15"/>
      <c r="OOQ1104" s="15"/>
      <c r="OOR1104" s="15"/>
      <c r="OOU1104" s="15"/>
      <c r="OOV1104" s="15"/>
      <c r="OOY1104" s="15"/>
      <c r="OOZ1104" s="15"/>
      <c r="OPC1104" s="15"/>
      <c r="OPD1104" s="15"/>
      <c r="OPG1104" s="15"/>
      <c r="OPH1104" s="15"/>
      <c r="OPK1104" s="15"/>
      <c r="OPL1104" s="15"/>
      <c r="OPO1104" s="15"/>
      <c r="OPP1104" s="15"/>
      <c r="OPS1104" s="15"/>
      <c r="OPT1104" s="15"/>
      <c r="OPW1104" s="15"/>
      <c r="OPX1104" s="15"/>
      <c r="OQA1104" s="15"/>
      <c r="OQB1104" s="15"/>
      <c r="OQE1104" s="15"/>
      <c r="OQF1104" s="15"/>
      <c r="OQI1104" s="15"/>
      <c r="OQJ1104" s="15"/>
      <c r="OQM1104" s="15"/>
      <c r="OQN1104" s="15"/>
      <c r="OQQ1104" s="15"/>
      <c r="OQR1104" s="15"/>
      <c r="OQU1104" s="15"/>
      <c r="OQV1104" s="15"/>
      <c r="OQY1104" s="15"/>
      <c r="OQZ1104" s="15"/>
      <c r="ORC1104" s="15"/>
      <c r="ORD1104" s="15"/>
      <c r="ORG1104" s="15"/>
      <c r="ORH1104" s="15"/>
      <c r="ORK1104" s="15"/>
      <c r="ORL1104" s="15"/>
      <c r="ORO1104" s="15"/>
      <c r="ORP1104" s="15"/>
      <c r="ORS1104" s="15"/>
      <c r="ORT1104" s="15"/>
      <c r="ORW1104" s="15"/>
      <c r="ORX1104" s="15"/>
      <c r="OSA1104" s="15"/>
      <c r="OSB1104" s="15"/>
      <c r="OSE1104" s="15"/>
      <c r="OSF1104" s="15"/>
      <c r="OSI1104" s="15"/>
      <c r="OSJ1104" s="15"/>
      <c r="OSM1104" s="15"/>
      <c r="OSN1104" s="15"/>
      <c r="OSQ1104" s="15"/>
      <c r="OSR1104" s="15"/>
      <c r="OSU1104" s="15"/>
      <c r="OSV1104" s="15"/>
      <c r="OSY1104" s="15"/>
      <c r="OSZ1104" s="15"/>
      <c r="OTC1104" s="15"/>
      <c r="OTD1104" s="15"/>
      <c r="OTG1104" s="15"/>
      <c r="OTH1104" s="15"/>
      <c r="OTK1104" s="15"/>
      <c r="OTL1104" s="15"/>
      <c r="OTO1104" s="15"/>
      <c r="OTP1104" s="15"/>
      <c r="OTS1104" s="15"/>
      <c r="OTT1104" s="15"/>
      <c r="OTW1104" s="15"/>
      <c r="OTX1104" s="15"/>
      <c r="OUA1104" s="15"/>
      <c r="OUB1104" s="15"/>
      <c r="OUE1104" s="15"/>
      <c r="OUF1104" s="15"/>
      <c r="OUI1104" s="15"/>
      <c r="OUJ1104" s="15"/>
      <c r="OUM1104" s="15"/>
      <c r="OUN1104" s="15"/>
      <c r="OUQ1104" s="15"/>
      <c r="OUR1104" s="15"/>
      <c r="OUU1104" s="15"/>
      <c r="OUV1104" s="15"/>
      <c r="OUY1104" s="15"/>
      <c r="OUZ1104" s="15"/>
      <c r="OVC1104" s="15"/>
      <c r="OVD1104" s="15"/>
      <c r="OVG1104" s="15"/>
      <c r="OVH1104" s="15"/>
      <c r="OVK1104" s="15"/>
      <c r="OVL1104" s="15"/>
      <c r="OVO1104" s="15"/>
      <c r="OVP1104" s="15"/>
      <c r="OVS1104" s="15"/>
      <c r="OVT1104" s="15"/>
      <c r="OVW1104" s="15"/>
      <c r="OVX1104" s="15"/>
      <c r="OWA1104" s="15"/>
      <c r="OWB1104" s="15"/>
      <c r="OWE1104" s="15"/>
      <c r="OWF1104" s="15"/>
      <c r="OWI1104" s="15"/>
      <c r="OWJ1104" s="15"/>
      <c r="OWM1104" s="15"/>
      <c r="OWN1104" s="15"/>
      <c r="OWQ1104" s="15"/>
      <c r="OWR1104" s="15"/>
      <c r="OWU1104" s="15"/>
      <c r="OWV1104" s="15"/>
      <c r="OWY1104" s="15"/>
      <c r="OWZ1104" s="15"/>
      <c r="OXC1104" s="15"/>
      <c r="OXD1104" s="15"/>
      <c r="OXG1104" s="15"/>
      <c r="OXH1104" s="15"/>
      <c r="OXK1104" s="15"/>
      <c r="OXL1104" s="15"/>
      <c r="OXO1104" s="15"/>
      <c r="OXP1104" s="15"/>
      <c r="OXS1104" s="15"/>
      <c r="OXT1104" s="15"/>
      <c r="OXW1104" s="15"/>
      <c r="OXX1104" s="15"/>
      <c r="OYA1104" s="15"/>
      <c r="OYB1104" s="15"/>
      <c r="OYE1104" s="15"/>
      <c r="OYF1104" s="15"/>
      <c r="OYI1104" s="15"/>
      <c r="OYJ1104" s="15"/>
      <c r="OYM1104" s="15"/>
      <c r="OYN1104" s="15"/>
      <c r="OYQ1104" s="15"/>
      <c r="OYR1104" s="15"/>
      <c r="OYU1104" s="15"/>
      <c r="OYV1104" s="15"/>
      <c r="OYY1104" s="15"/>
      <c r="OYZ1104" s="15"/>
      <c r="OZC1104" s="15"/>
      <c r="OZD1104" s="15"/>
      <c r="OZG1104" s="15"/>
      <c r="OZH1104" s="15"/>
      <c r="OZK1104" s="15"/>
      <c r="OZL1104" s="15"/>
      <c r="OZO1104" s="15"/>
      <c r="OZP1104" s="15"/>
      <c r="OZS1104" s="15"/>
      <c r="OZT1104" s="15"/>
      <c r="OZW1104" s="15"/>
      <c r="OZX1104" s="15"/>
      <c r="PAA1104" s="15"/>
      <c r="PAB1104" s="15"/>
      <c r="PAE1104" s="15"/>
      <c r="PAF1104" s="15"/>
      <c r="PAI1104" s="15"/>
      <c r="PAJ1104" s="15"/>
      <c r="PAM1104" s="15"/>
      <c r="PAN1104" s="15"/>
      <c r="PAQ1104" s="15"/>
      <c r="PAR1104" s="15"/>
      <c r="PAU1104" s="15"/>
      <c r="PAV1104" s="15"/>
      <c r="PAY1104" s="15"/>
      <c r="PAZ1104" s="15"/>
      <c r="PBC1104" s="15"/>
      <c r="PBD1104" s="15"/>
      <c r="PBG1104" s="15"/>
      <c r="PBH1104" s="15"/>
      <c r="PBK1104" s="15"/>
      <c r="PBL1104" s="15"/>
      <c r="PBO1104" s="15"/>
      <c r="PBP1104" s="15"/>
      <c r="PBS1104" s="15"/>
      <c r="PBT1104" s="15"/>
      <c r="PBW1104" s="15"/>
      <c r="PBX1104" s="15"/>
      <c r="PCA1104" s="15"/>
      <c r="PCB1104" s="15"/>
      <c r="PCE1104" s="15"/>
      <c r="PCF1104" s="15"/>
      <c r="PCI1104" s="15"/>
      <c r="PCJ1104" s="15"/>
      <c r="PCM1104" s="15"/>
      <c r="PCN1104" s="15"/>
      <c r="PCQ1104" s="15"/>
      <c r="PCR1104" s="15"/>
      <c r="PCU1104" s="15"/>
      <c r="PCV1104" s="15"/>
      <c r="PCY1104" s="15"/>
      <c r="PCZ1104" s="15"/>
      <c r="PDC1104" s="15"/>
      <c r="PDD1104" s="15"/>
      <c r="PDG1104" s="15"/>
      <c r="PDH1104" s="15"/>
      <c r="PDK1104" s="15"/>
      <c r="PDL1104" s="15"/>
      <c r="PDO1104" s="15"/>
      <c r="PDP1104" s="15"/>
      <c r="PDS1104" s="15"/>
      <c r="PDT1104" s="15"/>
      <c r="PDW1104" s="15"/>
      <c r="PDX1104" s="15"/>
      <c r="PEA1104" s="15"/>
      <c r="PEB1104" s="15"/>
      <c r="PEE1104" s="15"/>
      <c r="PEF1104" s="15"/>
      <c r="PEI1104" s="15"/>
      <c r="PEJ1104" s="15"/>
      <c r="PEM1104" s="15"/>
      <c r="PEN1104" s="15"/>
      <c r="PEQ1104" s="15"/>
      <c r="PER1104" s="15"/>
      <c r="PEU1104" s="15"/>
      <c r="PEV1104" s="15"/>
      <c r="PEY1104" s="15"/>
      <c r="PEZ1104" s="15"/>
      <c r="PFC1104" s="15"/>
      <c r="PFD1104" s="15"/>
      <c r="PFG1104" s="15"/>
      <c r="PFH1104" s="15"/>
      <c r="PFK1104" s="15"/>
      <c r="PFL1104" s="15"/>
      <c r="PFO1104" s="15"/>
      <c r="PFP1104" s="15"/>
      <c r="PFS1104" s="15"/>
      <c r="PFT1104" s="15"/>
      <c r="PFW1104" s="15"/>
      <c r="PFX1104" s="15"/>
      <c r="PGA1104" s="15"/>
      <c r="PGB1104" s="15"/>
      <c r="PGE1104" s="15"/>
      <c r="PGF1104" s="15"/>
      <c r="PGI1104" s="15"/>
      <c r="PGJ1104" s="15"/>
      <c r="PGM1104" s="15"/>
      <c r="PGN1104" s="15"/>
      <c r="PGQ1104" s="15"/>
      <c r="PGR1104" s="15"/>
      <c r="PGU1104" s="15"/>
      <c r="PGV1104" s="15"/>
      <c r="PGY1104" s="15"/>
      <c r="PGZ1104" s="15"/>
      <c r="PHC1104" s="15"/>
      <c r="PHD1104" s="15"/>
      <c r="PHG1104" s="15"/>
      <c r="PHH1104" s="15"/>
      <c r="PHK1104" s="15"/>
      <c r="PHL1104" s="15"/>
      <c r="PHO1104" s="15"/>
      <c r="PHP1104" s="15"/>
      <c r="PHS1104" s="15"/>
      <c r="PHT1104" s="15"/>
      <c r="PHW1104" s="15"/>
      <c r="PHX1104" s="15"/>
      <c r="PIA1104" s="15"/>
      <c r="PIB1104" s="15"/>
      <c r="PIE1104" s="15"/>
      <c r="PIF1104" s="15"/>
      <c r="PII1104" s="15"/>
      <c r="PIJ1104" s="15"/>
      <c r="PIM1104" s="15"/>
      <c r="PIN1104" s="15"/>
      <c r="PIQ1104" s="15"/>
      <c r="PIR1104" s="15"/>
      <c r="PIU1104" s="15"/>
      <c r="PIV1104" s="15"/>
      <c r="PIY1104" s="15"/>
      <c r="PIZ1104" s="15"/>
      <c r="PJC1104" s="15"/>
      <c r="PJD1104" s="15"/>
      <c r="PJG1104" s="15"/>
      <c r="PJH1104" s="15"/>
      <c r="PJK1104" s="15"/>
      <c r="PJL1104" s="15"/>
      <c r="PJO1104" s="15"/>
      <c r="PJP1104" s="15"/>
      <c r="PJS1104" s="15"/>
      <c r="PJT1104" s="15"/>
      <c r="PJW1104" s="15"/>
      <c r="PJX1104" s="15"/>
      <c r="PKA1104" s="15"/>
      <c r="PKB1104" s="15"/>
      <c r="PKE1104" s="15"/>
      <c r="PKF1104" s="15"/>
      <c r="PKI1104" s="15"/>
      <c r="PKJ1104" s="15"/>
      <c r="PKM1104" s="15"/>
      <c r="PKN1104" s="15"/>
      <c r="PKQ1104" s="15"/>
      <c r="PKR1104" s="15"/>
      <c r="PKU1104" s="15"/>
      <c r="PKV1104" s="15"/>
      <c r="PKY1104" s="15"/>
      <c r="PKZ1104" s="15"/>
      <c r="PLC1104" s="15"/>
      <c r="PLD1104" s="15"/>
      <c r="PLG1104" s="15"/>
      <c r="PLH1104" s="15"/>
      <c r="PLK1104" s="15"/>
      <c r="PLL1104" s="15"/>
      <c r="PLO1104" s="15"/>
      <c r="PLP1104" s="15"/>
      <c r="PLS1104" s="15"/>
      <c r="PLT1104" s="15"/>
      <c r="PLW1104" s="15"/>
      <c r="PLX1104" s="15"/>
      <c r="PMA1104" s="15"/>
      <c r="PMB1104" s="15"/>
      <c r="PME1104" s="15"/>
      <c r="PMF1104" s="15"/>
      <c r="PMI1104" s="15"/>
      <c r="PMJ1104" s="15"/>
      <c r="PMM1104" s="15"/>
      <c r="PMN1104" s="15"/>
      <c r="PMQ1104" s="15"/>
      <c r="PMR1104" s="15"/>
      <c r="PMU1104" s="15"/>
      <c r="PMV1104" s="15"/>
      <c r="PMY1104" s="15"/>
      <c r="PMZ1104" s="15"/>
      <c r="PNC1104" s="15"/>
      <c r="PND1104" s="15"/>
      <c r="PNG1104" s="15"/>
      <c r="PNH1104" s="15"/>
      <c r="PNK1104" s="15"/>
      <c r="PNL1104" s="15"/>
      <c r="PNO1104" s="15"/>
      <c r="PNP1104" s="15"/>
      <c r="PNS1104" s="15"/>
      <c r="PNT1104" s="15"/>
      <c r="PNW1104" s="15"/>
      <c r="PNX1104" s="15"/>
      <c r="POA1104" s="15"/>
      <c r="POB1104" s="15"/>
      <c r="POE1104" s="15"/>
      <c r="POF1104" s="15"/>
      <c r="POI1104" s="15"/>
      <c r="POJ1104" s="15"/>
      <c r="POM1104" s="15"/>
      <c r="PON1104" s="15"/>
      <c r="POQ1104" s="15"/>
      <c r="POR1104" s="15"/>
      <c r="POU1104" s="15"/>
      <c r="POV1104" s="15"/>
      <c r="POY1104" s="15"/>
      <c r="POZ1104" s="15"/>
      <c r="PPC1104" s="15"/>
      <c r="PPD1104" s="15"/>
      <c r="PPG1104" s="15"/>
      <c r="PPH1104" s="15"/>
      <c r="PPK1104" s="15"/>
      <c r="PPL1104" s="15"/>
      <c r="PPO1104" s="15"/>
      <c r="PPP1104" s="15"/>
      <c r="PPS1104" s="15"/>
      <c r="PPT1104" s="15"/>
      <c r="PPW1104" s="15"/>
      <c r="PPX1104" s="15"/>
      <c r="PQA1104" s="15"/>
      <c r="PQB1104" s="15"/>
      <c r="PQE1104" s="15"/>
      <c r="PQF1104" s="15"/>
      <c r="PQI1104" s="15"/>
      <c r="PQJ1104" s="15"/>
      <c r="PQM1104" s="15"/>
      <c r="PQN1104" s="15"/>
      <c r="PQQ1104" s="15"/>
      <c r="PQR1104" s="15"/>
      <c r="PQU1104" s="15"/>
      <c r="PQV1104" s="15"/>
      <c r="PQY1104" s="15"/>
      <c r="PQZ1104" s="15"/>
      <c r="PRC1104" s="15"/>
      <c r="PRD1104" s="15"/>
      <c r="PRG1104" s="15"/>
      <c r="PRH1104" s="15"/>
      <c r="PRK1104" s="15"/>
      <c r="PRL1104" s="15"/>
      <c r="PRO1104" s="15"/>
      <c r="PRP1104" s="15"/>
      <c r="PRS1104" s="15"/>
      <c r="PRT1104" s="15"/>
      <c r="PRW1104" s="15"/>
      <c r="PRX1104" s="15"/>
      <c r="PSA1104" s="15"/>
      <c r="PSB1104" s="15"/>
      <c r="PSE1104" s="15"/>
      <c r="PSF1104" s="15"/>
      <c r="PSI1104" s="15"/>
      <c r="PSJ1104" s="15"/>
      <c r="PSM1104" s="15"/>
      <c r="PSN1104" s="15"/>
      <c r="PSQ1104" s="15"/>
      <c r="PSR1104" s="15"/>
      <c r="PSU1104" s="15"/>
      <c r="PSV1104" s="15"/>
      <c r="PSY1104" s="15"/>
      <c r="PSZ1104" s="15"/>
      <c r="PTC1104" s="15"/>
      <c r="PTD1104" s="15"/>
      <c r="PTG1104" s="15"/>
      <c r="PTH1104" s="15"/>
      <c r="PTK1104" s="15"/>
      <c r="PTL1104" s="15"/>
      <c r="PTO1104" s="15"/>
      <c r="PTP1104" s="15"/>
      <c r="PTS1104" s="15"/>
      <c r="PTT1104" s="15"/>
      <c r="PTW1104" s="15"/>
      <c r="PTX1104" s="15"/>
      <c r="PUA1104" s="15"/>
      <c r="PUB1104" s="15"/>
      <c r="PUE1104" s="15"/>
      <c r="PUF1104" s="15"/>
      <c r="PUI1104" s="15"/>
      <c r="PUJ1104" s="15"/>
      <c r="PUM1104" s="15"/>
      <c r="PUN1104" s="15"/>
      <c r="PUQ1104" s="15"/>
      <c r="PUR1104" s="15"/>
      <c r="PUU1104" s="15"/>
      <c r="PUV1104" s="15"/>
      <c r="PUY1104" s="15"/>
      <c r="PUZ1104" s="15"/>
      <c r="PVC1104" s="15"/>
      <c r="PVD1104" s="15"/>
      <c r="PVG1104" s="15"/>
      <c r="PVH1104" s="15"/>
      <c r="PVK1104" s="15"/>
      <c r="PVL1104" s="15"/>
      <c r="PVO1104" s="15"/>
      <c r="PVP1104" s="15"/>
      <c r="PVS1104" s="15"/>
      <c r="PVT1104" s="15"/>
      <c r="PVW1104" s="15"/>
      <c r="PVX1104" s="15"/>
      <c r="PWA1104" s="15"/>
      <c r="PWB1104" s="15"/>
      <c r="PWE1104" s="15"/>
      <c r="PWF1104" s="15"/>
      <c r="PWI1104" s="15"/>
      <c r="PWJ1104" s="15"/>
      <c r="PWM1104" s="15"/>
      <c r="PWN1104" s="15"/>
      <c r="PWQ1104" s="15"/>
      <c r="PWR1104" s="15"/>
      <c r="PWU1104" s="15"/>
      <c r="PWV1104" s="15"/>
      <c r="PWY1104" s="15"/>
      <c r="PWZ1104" s="15"/>
      <c r="PXC1104" s="15"/>
      <c r="PXD1104" s="15"/>
      <c r="PXG1104" s="15"/>
      <c r="PXH1104" s="15"/>
      <c r="PXK1104" s="15"/>
      <c r="PXL1104" s="15"/>
      <c r="PXO1104" s="15"/>
      <c r="PXP1104" s="15"/>
      <c r="PXS1104" s="15"/>
      <c r="PXT1104" s="15"/>
      <c r="PXW1104" s="15"/>
      <c r="PXX1104" s="15"/>
      <c r="PYA1104" s="15"/>
      <c r="PYB1104" s="15"/>
      <c r="PYE1104" s="15"/>
      <c r="PYF1104" s="15"/>
      <c r="PYI1104" s="15"/>
      <c r="PYJ1104" s="15"/>
      <c r="PYM1104" s="15"/>
      <c r="PYN1104" s="15"/>
      <c r="PYQ1104" s="15"/>
      <c r="PYR1104" s="15"/>
      <c r="PYU1104" s="15"/>
      <c r="PYV1104" s="15"/>
      <c r="PYY1104" s="15"/>
      <c r="PYZ1104" s="15"/>
      <c r="PZC1104" s="15"/>
      <c r="PZD1104" s="15"/>
      <c r="PZG1104" s="15"/>
      <c r="PZH1104" s="15"/>
      <c r="PZK1104" s="15"/>
      <c r="PZL1104" s="15"/>
      <c r="PZO1104" s="15"/>
      <c r="PZP1104" s="15"/>
      <c r="PZS1104" s="15"/>
      <c r="PZT1104" s="15"/>
      <c r="PZW1104" s="15"/>
      <c r="PZX1104" s="15"/>
      <c r="QAA1104" s="15"/>
      <c r="QAB1104" s="15"/>
      <c r="QAE1104" s="15"/>
      <c r="QAF1104" s="15"/>
      <c r="QAI1104" s="15"/>
      <c r="QAJ1104" s="15"/>
      <c r="QAM1104" s="15"/>
      <c r="QAN1104" s="15"/>
      <c r="QAQ1104" s="15"/>
      <c r="QAR1104" s="15"/>
      <c r="QAU1104" s="15"/>
      <c r="QAV1104" s="15"/>
      <c r="QAY1104" s="15"/>
      <c r="QAZ1104" s="15"/>
      <c r="QBC1104" s="15"/>
      <c r="QBD1104" s="15"/>
      <c r="QBG1104" s="15"/>
      <c r="QBH1104" s="15"/>
      <c r="QBK1104" s="15"/>
      <c r="QBL1104" s="15"/>
      <c r="QBO1104" s="15"/>
      <c r="QBP1104" s="15"/>
      <c r="QBS1104" s="15"/>
      <c r="QBT1104" s="15"/>
      <c r="QBW1104" s="15"/>
      <c r="QBX1104" s="15"/>
      <c r="QCA1104" s="15"/>
      <c r="QCB1104" s="15"/>
      <c r="QCE1104" s="15"/>
      <c r="QCF1104" s="15"/>
      <c r="QCI1104" s="15"/>
      <c r="QCJ1104" s="15"/>
      <c r="QCM1104" s="15"/>
      <c r="QCN1104" s="15"/>
      <c r="QCQ1104" s="15"/>
      <c r="QCR1104" s="15"/>
      <c r="QCU1104" s="15"/>
      <c r="QCV1104" s="15"/>
      <c r="QCY1104" s="15"/>
      <c r="QCZ1104" s="15"/>
      <c r="QDC1104" s="15"/>
      <c r="QDD1104" s="15"/>
      <c r="QDG1104" s="15"/>
      <c r="QDH1104" s="15"/>
      <c r="QDK1104" s="15"/>
      <c r="QDL1104" s="15"/>
      <c r="QDO1104" s="15"/>
      <c r="QDP1104" s="15"/>
      <c r="QDS1104" s="15"/>
      <c r="QDT1104" s="15"/>
      <c r="QDW1104" s="15"/>
      <c r="QDX1104" s="15"/>
      <c r="QEA1104" s="15"/>
      <c r="QEB1104" s="15"/>
      <c r="QEE1104" s="15"/>
      <c r="QEF1104" s="15"/>
      <c r="QEI1104" s="15"/>
      <c r="QEJ1104" s="15"/>
      <c r="QEM1104" s="15"/>
      <c r="QEN1104" s="15"/>
      <c r="QEQ1104" s="15"/>
      <c r="QER1104" s="15"/>
      <c r="QEU1104" s="15"/>
      <c r="QEV1104" s="15"/>
      <c r="QEY1104" s="15"/>
      <c r="QEZ1104" s="15"/>
      <c r="QFC1104" s="15"/>
      <c r="QFD1104" s="15"/>
      <c r="QFG1104" s="15"/>
      <c r="QFH1104" s="15"/>
      <c r="QFK1104" s="15"/>
      <c r="QFL1104" s="15"/>
      <c r="QFO1104" s="15"/>
      <c r="QFP1104" s="15"/>
      <c r="QFS1104" s="15"/>
      <c r="QFT1104" s="15"/>
      <c r="QFW1104" s="15"/>
      <c r="QFX1104" s="15"/>
      <c r="QGA1104" s="15"/>
      <c r="QGB1104" s="15"/>
      <c r="QGE1104" s="15"/>
      <c r="QGF1104" s="15"/>
      <c r="QGI1104" s="15"/>
      <c r="QGJ1104" s="15"/>
      <c r="QGM1104" s="15"/>
      <c r="QGN1104" s="15"/>
      <c r="QGQ1104" s="15"/>
      <c r="QGR1104" s="15"/>
      <c r="QGU1104" s="15"/>
      <c r="QGV1104" s="15"/>
      <c r="QGY1104" s="15"/>
      <c r="QGZ1104" s="15"/>
      <c r="QHC1104" s="15"/>
      <c r="QHD1104" s="15"/>
      <c r="QHG1104" s="15"/>
      <c r="QHH1104" s="15"/>
      <c r="QHK1104" s="15"/>
      <c r="QHL1104" s="15"/>
      <c r="QHO1104" s="15"/>
      <c r="QHP1104" s="15"/>
      <c r="QHS1104" s="15"/>
      <c r="QHT1104" s="15"/>
      <c r="QHW1104" s="15"/>
      <c r="QHX1104" s="15"/>
      <c r="QIA1104" s="15"/>
      <c r="QIB1104" s="15"/>
      <c r="QIE1104" s="15"/>
      <c r="QIF1104" s="15"/>
      <c r="QII1104" s="15"/>
      <c r="QIJ1104" s="15"/>
      <c r="QIM1104" s="15"/>
      <c r="QIN1104" s="15"/>
      <c r="QIQ1104" s="15"/>
      <c r="QIR1104" s="15"/>
      <c r="QIU1104" s="15"/>
      <c r="QIV1104" s="15"/>
      <c r="QIY1104" s="15"/>
      <c r="QIZ1104" s="15"/>
      <c r="QJC1104" s="15"/>
      <c r="QJD1104" s="15"/>
      <c r="QJG1104" s="15"/>
      <c r="QJH1104" s="15"/>
      <c r="QJK1104" s="15"/>
      <c r="QJL1104" s="15"/>
      <c r="QJO1104" s="15"/>
      <c r="QJP1104" s="15"/>
      <c r="QJS1104" s="15"/>
      <c r="QJT1104" s="15"/>
      <c r="QJW1104" s="15"/>
      <c r="QJX1104" s="15"/>
      <c r="QKA1104" s="15"/>
      <c r="QKB1104" s="15"/>
      <c r="QKE1104" s="15"/>
      <c r="QKF1104" s="15"/>
      <c r="QKI1104" s="15"/>
      <c r="QKJ1104" s="15"/>
      <c r="QKM1104" s="15"/>
      <c r="QKN1104" s="15"/>
      <c r="QKQ1104" s="15"/>
      <c r="QKR1104" s="15"/>
      <c r="QKU1104" s="15"/>
      <c r="QKV1104" s="15"/>
      <c r="QKY1104" s="15"/>
      <c r="QKZ1104" s="15"/>
      <c r="QLC1104" s="15"/>
      <c r="QLD1104" s="15"/>
      <c r="QLG1104" s="15"/>
      <c r="QLH1104" s="15"/>
      <c r="QLK1104" s="15"/>
      <c r="QLL1104" s="15"/>
      <c r="QLO1104" s="15"/>
      <c r="QLP1104" s="15"/>
      <c r="QLS1104" s="15"/>
      <c r="QLT1104" s="15"/>
      <c r="QLW1104" s="15"/>
      <c r="QLX1104" s="15"/>
      <c r="QMA1104" s="15"/>
      <c r="QMB1104" s="15"/>
      <c r="QME1104" s="15"/>
      <c r="QMF1104" s="15"/>
      <c r="QMI1104" s="15"/>
      <c r="QMJ1104" s="15"/>
      <c r="QMM1104" s="15"/>
      <c r="QMN1104" s="15"/>
      <c r="QMQ1104" s="15"/>
      <c r="QMR1104" s="15"/>
      <c r="QMU1104" s="15"/>
      <c r="QMV1104" s="15"/>
      <c r="QMY1104" s="15"/>
      <c r="QMZ1104" s="15"/>
      <c r="QNC1104" s="15"/>
      <c r="QND1104" s="15"/>
      <c r="QNG1104" s="15"/>
      <c r="QNH1104" s="15"/>
      <c r="QNK1104" s="15"/>
      <c r="QNL1104" s="15"/>
      <c r="QNO1104" s="15"/>
      <c r="QNP1104" s="15"/>
      <c r="QNS1104" s="15"/>
      <c r="QNT1104" s="15"/>
      <c r="QNW1104" s="15"/>
      <c r="QNX1104" s="15"/>
      <c r="QOA1104" s="15"/>
      <c r="QOB1104" s="15"/>
      <c r="QOE1104" s="15"/>
      <c r="QOF1104" s="15"/>
      <c r="QOI1104" s="15"/>
      <c r="QOJ1104" s="15"/>
      <c r="QOM1104" s="15"/>
      <c r="QON1104" s="15"/>
      <c r="QOQ1104" s="15"/>
      <c r="QOR1104" s="15"/>
      <c r="QOU1104" s="15"/>
      <c r="QOV1104" s="15"/>
      <c r="QOY1104" s="15"/>
      <c r="QOZ1104" s="15"/>
      <c r="QPC1104" s="15"/>
      <c r="QPD1104" s="15"/>
      <c r="QPG1104" s="15"/>
      <c r="QPH1104" s="15"/>
      <c r="QPK1104" s="15"/>
      <c r="QPL1104" s="15"/>
      <c r="QPO1104" s="15"/>
      <c r="QPP1104" s="15"/>
      <c r="QPS1104" s="15"/>
      <c r="QPT1104" s="15"/>
      <c r="QPW1104" s="15"/>
      <c r="QPX1104" s="15"/>
      <c r="QQA1104" s="15"/>
      <c r="QQB1104" s="15"/>
      <c r="QQE1104" s="15"/>
      <c r="QQF1104" s="15"/>
      <c r="QQI1104" s="15"/>
      <c r="QQJ1104" s="15"/>
      <c r="QQM1104" s="15"/>
      <c r="QQN1104" s="15"/>
      <c r="QQQ1104" s="15"/>
      <c r="QQR1104" s="15"/>
      <c r="QQU1104" s="15"/>
      <c r="QQV1104" s="15"/>
      <c r="QQY1104" s="15"/>
      <c r="QQZ1104" s="15"/>
      <c r="QRC1104" s="15"/>
      <c r="QRD1104" s="15"/>
      <c r="QRG1104" s="15"/>
      <c r="QRH1104" s="15"/>
      <c r="QRK1104" s="15"/>
      <c r="QRL1104" s="15"/>
      <c r="QRO1104" s="15"/>
      <c r="QRP1104" s="15"/>
      <c r="QRS1104" s="15"/>
      <c r="QRT1104" s="15"/>
      <c r="QRW1104" s="15"/>
      <c r="QRX1104" s="15"/>
      <c r="QSA1104" s="15"/>
      <c r="QSB1104" s="15"/>
      <c r="QSE1104" s="15"/>
      <c r="QSF1104" s="15"/>
      <c r="QSI1104" s="15"/>
      <c r="QSJ1104" s="15"/>
      <c r="QSM1104" s="15"/>
      <c r="QSN1104" s="15"/>
      <c r="QSQ1104" s="15"/>
      <c r="QSR1104" s="15"/>
      <c r="QSU1104" s="15"/>
      <c r="QSV1104" s="15"/>
      <c r="QSY1104" s="15"/>
      <c r="QSZ1104" s="15"/>
      <c r="QTC1104" s="15"/>
      <c r="QTD1104" s="15"/>
      <c r="QTG1104" s="15"/>
      <c r="QTH1104" s="15"/>
      <c r="QTK1104" s="15"/>
      <c r="QTL1104" s="15"/>
      <c r="QTO1104" s="15"/>
      <c r="QTP1104" s="15"/>
      <c r="QTS1104" s="15"/>
      <c r="QTT1104" s="15"/>
      <c r="QTW1104" s="15"/>
      <c r="QTX1104" s="15"/>
      <c r="QUA1104" s="15"/>
      <c r="QUB1104" s="15"/>
      <c r="QUE1104" s="15"/>
      <c r="QUF1104" s="15"/>
      <c r="QUI1104" s="15"/>
      <c r="QUJ1104" s="15"/>
      <c r="QUM1104" s="15"/>
      <c r="QUN1104" s="15"/>
      <c r="QUQ1104" s="15"/>
      <c r="QUR1104" s="15"/>
      <c r="QUU1104" s="15"/>
      <c r="QUV1104" s="15"/>
      <c r="QUY1104" s="15"/>
      <c r="QUZ1104" s="15"/>
      <c r="QVC1104" s="15"/>
      <c r="QVD1104" s="15"/>
      <c r="QVG1104" s="15"/>
      <c r="QVH1104" s="15"/>
      <c r="QVK1104" s="15"/>
      <c r="QVL1104" s="15"/>
      <c r="QVO1104" s="15"/>
      <c r="QVP1104" s="15"/>
      <c r="QVS1104" s="15"/>
      <c r="QVT1104" s="15"/>
      <c r="QVW1104" s="15"/>
      <c r="QVX1104" s="15"/>
      <c r="QWA1104" s="15"/>
      <c r="QWB1104" s="15"/>
      <c r="QWE1104" s="15"/>
      <c r="QWF1104" s="15"/>
      <c r="QWI1104" s="15"/>
      <c r="QWJ1104" s="15"/>
      <c r="QWM1104" s="15"/>
      <c r="QWN1104" s="15"/>
      <c r="QWQ1104" s="15"/>
      <c r="QWR1104" s="15"/>
      <c r="QWU1104" s="15"/>
      <c r="QWV1104" s="15"/>
      <c r="QWY1104" s="15"/>
      <c r="QWZ1104" s="15"/>
      <c r="QXC1104" s="15"/>
      <c r="QXD1104" s="15"/>
      <c r="QXG1104" s="15"/>
      <c r="QXH1104" s="15"/>
      <c r="QXK1104" s="15"/>
      <c r="QXL1104" s="15"/>
      <c r="QXO1104" s="15"/>
      <c r="QXP1104" s="15"/>
      <c r="QXS1104" s="15"/>
      <c r="QXT1104" s="15"/>
      <c r="QXW1104" s="15"/>
      <c r="QXX1104" s="15"/>
      <c r="QYA1104" s="15"/>
      <c r="QYB1104" s="15"/>
      <c r="QYE1104" s="15"/>
      <c r="QYF1104" s="15"/>
      <c r="QYI1104" s="15"/>
      <c r="QYJ1104" s="15"/>
      <c r="QYM1104" s="15"/>
      <c r="QYN1104" s="15"/>
      <c r="QYQ1104" s="15"/>
      <c r="QYR1104" s="15"/>
      <c r="QYU1104" s="15"/>
      <c r="QYV1104" s="15"/>
      <c r="QYY1104" s="15"/>
      <c r="QYZ1104" s="15"/>
      <c r="QZC1104" s="15"/>
      <c r="QZD1104" s="15"/>
      <c r="QZG1104" s="15"/>
      <c r="QZH1104" s="15"/>
      <c r="QZK1104" s="15"/>
      <c r="QZL1104" s="15"/>
      <c r="QZO1104" s="15"/>
      <c r="QZP1104" s="15"/>
      <c r="QZS1104" s="15"/>
      <c r="QZT1104" s="15"/>
      <c r="QZW1104" s="15"/>
      <c r="QZX1104" s="15"/>
      <c r="RAA1104" s="15"/>
      <c r="RAB1104" s="15"/>
      <c r="RAE1104" s="15"/>
      <c r="RAF1104" s="15"/>
      <c r="RAI1104" s="15"/>
      <c r="RAJ1104" s="15"/>
      <c r="RAM1104" s="15"/>
      <c r="RAN1104" s="15"/>
      <c r="RAQ1104" s="15"/>
      <c r="RAR1104" s="15"/>
      <c r="RAU1104" s="15"/>
      <c r="RAV1104" s="15"/>
      <c r="RAY1104" s="15"/>
      <c r="RAZ1104" s="15"/>
      <c r="RBC1104" s="15"/>
      <c r="RBD1104" s="15"/>
      <c r="RBG1104" s="15"/>
      <c r="RBH1104" s="15"/>
      <c r="RBK1104" s="15"/>
      <c r="RBL1104" s="15"/>
      <c r="RBO1104" s="15"/>
      <c r="RBP1104" s="15"/>
      <c r="RBS1104" s="15"/>
      <c r="RBT1104" s="15"/>
      <c r="RBW1104" s="15"/>
      <c r="RBX1104" s="15"/>
      <c r="RCA1104" s="15"/>
      <c r="RCB1104" s="15"/>
      <c r="RCE1104" s="15"/>
      <c r="RCF1104" s="15"/>
      <c r="RCI1104" s="15"/>
      <c r="RCJ1104" s="15"/>
      <c r="RCM1104" s="15"/>
      <c r="RCN1104" s="15"/>
      <c r="RCQ1104" s="15"/>
      <c r="RCR1104" s="15"/>
      <c r="RCU1104" s="15"/>
      <c r="RCV1104" s="15"/>
      <c r="RCY1104" s="15"/>
      <c r="RCZ1104" s="15"/>
      <c r="RDC1104" s="15"/>
      <c r="RDD1104" s="15"/>
      <c r="RDG1104" s="15"/>
      <c r="RDH1104" s="15"/>
      <c r="RDK1104" s="15"/>
      <c r="RDL1104" s="15"/>
      <c r="RDO1104" s="15"/>
      <c r="RDP1104" s="15"/>
      <c r="RDS1104" s="15"/>
      <c r="RDT1104" s="15"/>
      <c r="RDW1104" s="15"/>
      <c r="RDX1104" s="15"/>
      <c r="REA1104" s="15"/>
      <c r="REB1104" s="15"/>
      <c r="REE1104" s="15"/>
      <c r="REF1104" s="15"/>
      <c r="REI1104" s="15"/>
      <c r="REJ1104" s="15"/>
      <c r="REM1104" s="15"/>
      <c r="REN1104" s="15"/>
      <c r="REQ1104" s="15"/>
      <c r="RER1104" s="15"/>
      <c r="REU1104" s="15"/>
      <c r="REV1104" s="15"/>
      <c r="REY1104" s="15"/>
      <c r="REZ1104" s="15"/>
      <c r="RFC1104" s="15"/>
      <c r="RFD1104" s="15"/>
      <c r="RFG1104" s="15"/>
      <c r="RFH1104" s="15"/>
      <c r="RFK1104" s="15"/>
      <c r="RFL1104" s="15"/>
      <c r="RFO1104" s="15"/>
      <c r="RFP1104" s="15"/>
      <c r="RFS1104" s="15"/>
      <c r="RFT1104" s="15"/>
      <c r="RFW1104" s="15"/>
      <c r="RFX1104" s="15"/>
      <c r="RGA1104" s="15"/>
      <c r="RGB1104" s="15"/>
      <c r="RGE1104" s="15"/>
      <c r="RGF1104" s="15"/>
      <c r="RGI1104" s="15"/>
      <c r="RGJ1104" s="15"/>
      <c r="RGM1104" s="15"/>
      <c r="RGN1104" s="15"/>
      <c r="RGQ1104" s="15"/>
      <c r="RGR1104" s="15"/>
      <c r="RGU1104" s="15"/>
      <c r="RGV1104" s="15"/>
      <c r="RGY1104" s="15"/>
      <c r="RGZ1104" s="15"/>
      <c r="RHC1104" s="15"/>
      <c r="RHD1104" s="15"/>
      <c r="RHG1104" s="15"/>
      <c r="RHH1104" s="15"/>
      <c r="RHK1104" s="15"/>
      <c r="RHL1104" s="15"/>
      <c r="RHO1104" s="15"/>
      <c r="RHP1104" s="15"/>
      <c r="RHS1104" s="15"/>
      <c r="RHT1104" s="15"/>
      <c r="RHW1104" s="15"/>
      <c r="RHX1104" s="15"/>
      <c r="RIA1104" s="15"/>
      <c r="RIB1104" s="15"/>
      <c r="RIE1104" s="15"/>
      <c r="RIF1104" s="15"/>
      <c r="RII1104" s="15"/>
      <c r="RIJ1104" s="15"/>
      <c r="RIM1104" s="15"/>
      <c r="RIN1104" s="15"/>
      <c r="RIQ1104" s="15"/>
      <c r="RIR1104" s="15"/>
      <c r="RIU1104" s="15"/>
      <c r="RIV1104" s="15"/>
      <c r="RIY1104" s="15"/>
      <c r="RIZ1104" s="15"/>
      <c r="RJC1104" s="15"/>
      <c r="RJD1104" s="15"/>
      <c r="RJG1104" s="15"/>
      <c r="RJH1104" s="15"/>
      <c r="RJK1104" s="15"/>
      <c r="RJL1104" s="15"/>
      <c r="RJO1104" s="15"/>
      <c r="RJP1104" s="15"/>
      <c r="RJS1104" s="15"/>
      <c r="RJT1104" s="15"/>
      <c r="RJW1104" s="15"/>
      <c r="RJX1104" s="15"/>
      <c r="RKA1104" s="15"/>
      <c r="RKB1104" s="15"/>
      <c r="RKE1104" s="15"/>
      <c r="RKF1104" s="15"/>
      <c r="RKI1104" s="15"/>
      <c r="RKJ1104" s="15"/>
      <c r="RKM1104" s="15"/>
      <c r="RKN1104" s="15"/>
      <c r="RKQ1104" s="15"/>
      <c r="RKR1104" s="15"/>
      <c r="RKU1104" s="15"/>
      <c r="RKV1104" s="15"/>
      <c r="RKY1104" s="15"/>
      <c r="RKZ1104" s="15"/>
      <c r="RLC1104" s="15"/>
      <c r="RLD1104" s="15"/>
      <c r="RLG1104" s="15"/>
      <c r="RLH1104" s="15"/>
      <c r="RLK1104" s="15"/>
      <c r="RLL1104" s="15"/>
      <c r="RLO1104" s="15"/>
      <c r="RLP1104" s="15"/>
      <c r="RLS1104" s="15"/>
      <c r="RLT1104" s="15"/>
      <c r="RLW1104" s="15"/>
      <c r="RLX1104" s="15"/>
      <c r="RMA1104" s="15"/>
      <c r="RMB1104" s="15"/>
      <c r="RME1104" s="15"/>
      <c r="RMF1104" s="15"/>
      <c r="RMI1104" s="15"/>
      <c r="RMJ1104" s="15"/>
      <c r="RMM1104" s="15"/>
      <c r="RMN1104" s="15"/>
      <c r="RMQ1104" s="15"/>
      <c r="RMR1104" s="15"/>
      <c r="RMU1104" s="15"/>
      <c r="RMV1104" s="15"/>
      <c r="RMY1104" s="15"/>
      <c r="RMZ1104" s="15"/>
      <c r="RNC1104" s="15"/>
      <c r="RND1104" s="15"/>
      <c r="RNG1104" s="15"/>
      <c r="RNH1104" s="15"/>
      <c r="RNK1104" s="15"/>
      <c r="RNL1104" s="15"/>
      <c r="RNO1104" s="15"/>
      <c r="RNP1104" s="15"/>
      <c r="RNS1104" s="15"/>
      <c r="RNT1104" s="15"/>
      <c r="RNW1104" s="15"/>
      <c r="RNX1104" s="15"/>
      <c r="ROA1104" s="15"/>
      <c r="ROB1104" s="15"/>
      <c r="ROE1104" s="15"/>
      <c r="ROF1104" s="15"/>
      <c r="ROI1104" s="15"/>
      <c r="ROJ1104" s="15"/>
      <c r="ROM1104" s="15"/>
      <c r="RON1104" s="15"/>
      <c r="ROQ1104" s="15"/>
      <c r="ROR1104" s="15"/>
      <c r="ROU1104" s="15"/>
      <c r="ROV1104" s="15"/>
      <c r="ROY1104" s="15"/>
      <c r="ROZ1104" s="15"/>
      <c r="RPC1104" s="15"/>
      <c r="RPD1104" s="15"/>
      <c r="RPG1104" s="15"/>
      <c r="RPH1104" s="15"/>
      <c r="RPK1104" s="15"/>
      <c r="RPL1104" s="15"/>
      <c r="RPO1104" s="15"/>
      <c r="RPP1104" s="15"/>
      <c r="RPS1104" s="15"/>
      <c r="RPT1104" s="15"/>
      <c r="RPW1104" s="15"/>
      <c r="RPX1104" s="15"/>
      <c r="RQA1104" s="15"/>
      <c r="RQB1104" s="15"/>
      <c r="RQE1104" s="15"/>
      <c r="RQF1104" s="15"/>
      <c r="RQI1104" s="15"/>
      <c r="RQJ1104" s="15"/>
      <c r="RQM1104" s="15"/>
      <c r="RQN1104" s="15"/>
      <c r="RQQ1104" s="15"/>
      <c r="RQR1104" s="15"/>
      <c r="RQU1104" s="15"/>
      <c r="RQV1104" s="15"/>
      <c r="RQY1104" s="15"/>
      <c r="RQZ1104" s="15"/>
      <c r="RRC1104" s="15"/>
      <c r="RRD1104" s="15"/>
      <c r="RRG1104" s="15"/>
      <c r="RRH1104" s="15"/>
      <c r="RRK1104" s="15"/>
      <c r="RRL1104" s="15"/>
      <c r="RRO1104" s="15"/>
      <c r="RRP1104" s="15"/>
      <c r="RRS1104" s="15"/>
      <c r="RRT1104" s="15"/>
      <c r="RRW1104" s="15"/>
      <c r="RRX1104" s="15"/>
      <c r="RSA1104" s="15"/>
      <c r="RSB1104" s="15"/>
      <c r="RSE1104" s="15"/>
      <c r="RSF1104" s="15"/>
      <c r="RSI1104" s="15"/>
      <c r="RSJ1104" s="15"/>
      <c r="RSM1104" s="15"/>
      <c r="RSN1104" s="15"/>
      <c r="RSQ1104" s="15"/>
      <c r="RSR1104" s="15"/>
      <c r="RSU1104" s="15"/>
      <c r="RSV1104" s="15"/>
      <c r="RSY1104" s="15"/>
      <c r="RSZ1104" s="15"/>
      <c r="RTC1104" s="15"/>
      <c r="RTD1104" s="15"/>
      <c r="RTG1104" s="15"/>
      <c r="RTH1104" s="15"/>
      <c r="RTK1104" s="15"/>
      <c r="RTL1104" s="15"/>
      <c r="RTO1104" s="15"/>
      <c r="RTP1104" s="15"/>
      <c r="RTS1104" s="15"/>
      <c r="RTT1104" s="15"/>
      <c r="RTW1104" s="15"/>
      <c r="RTX1104" s="15"/>
      <c r="RUA1104" s="15"/>
      <c r="RUB1104" s="15"/>
      <c r="RUE1104" s="15"/>
      <c r="RUF1104" s="15"/>
      <c r="RUI1104" s="15"/>
      <c r="RUJ1104" s="15"/>
      <c r="RUM1104" s="15"/>
      <c r="RUN1104" s="15"/>
      <c r="RUQ1104" s="15"/>
      <c r="RUR1104" s="15"/>
      <c r="RUU1104" s="15"/>
      <c r="RUV1104" s="15"/>
      <c r="RUY1104" s="15"/>
      <c r="RUZ1104" s="15"/>
      <c r="RVC1104" s="15"/>
      <c r="RVD1104" s="15"/>
      <c r="RVG1104" s="15"/>
      <c r="RVH1104" s="15"/>
      <c r="RVK1104" s="15"/>
      <c r="RVL1104" s="15"/>
      <c r="RVO1104" s="15"/>
      <c r="RVP1104" s="15"/>
      <c r="RVS1104" s="15"/>
      <c r="RVT1104" s="15"/>
      <c r="RVW1104" s="15"/>
      <c r="RVX1104" s="15"/>
      <c r="RWA1104" s="15"/>
      <c r="RWB1104" s="15"/>
      <c r="RWE1104" s="15"/>
      <c r="RWF1104" s="15"/>
      <c r="RWI1104" s="15"/>
      <c r="RWJ1104" s="15"/>
      <c r="RWM1104" s="15"/>
      <c r="RWN1104" s="15"/>
      <c r="RWQ1104" s="15"/>
      <c r="RWR1104" s="15"/>
      <c r="RWU1104" s="15"/>
      <c r="RWV1104" s="15"/>
      <c r="RWY1104" s="15"/>
      <c r="RWZ1104" s="15"/>
      <c r="RXC1104" s="15"/>
      <c r="RXD1104" s="15"/>
      <c r="RXG1104" s="15"/>
      <c r="RXH1104" s="15"/>
      <c r="RXK1104" s="15"/>
      <c r="RXL1104" s="15"/>
      <c r="RXO1104" s="15"/>
      <c r="RXP1104" s="15"/>
      <c r="RXS1104" s="15"/>
      <c r="RXT1104" s="15"/>
      <c r="RXW1104" s="15"/>
      <c r="RXX1104" s="15"/>
      <c r="RYA1104" s="15"/>
      <c r="RYB1104" s="15"/>
      <c r="RYE1104" s="15"/>
      <c r="RYF1104" s="15"/>
      <c r="RYI1104" s="15"/>
      <c r="RYJ1104" s="15"/>
      <c r="RYM1104" s="15"/>
      <c r="RYN1104" s="15"/>
      <c r="RYQ1104" s="15"/>
      <c r="RYR1104" s="15"/>
      <c r="RYU1104" s="15"/>
      <c r="RYV1104" s="15"/>
      <c r="RYY1104" s="15"/>
      <c r="RYZ1104" s="15"/>
      <c r="RZC1104" s="15"/>
      <c r="RZD1104" s="15"/>
      <c r="RZG1104" s="15"/>
      <c r="RZH1104" s="15"/>
      <c r="RZK1104" s="15"/>
      <c r="RZL1104" s="15"/>
      <c r="RZO1104" s="15"/>
      <c r="RZP1104" s="15"/>
      <c r="RZS1104" s="15"/>
      <c r="RZT1104" s="15"/>
      <c r="RZW1104" s="15"/>
      <c r="RZX1104" s="15"/>
      <c r="SAA1104" s="15"/>
      <c r="SAB1104" s="15"/>
      <c r="SAE1104" s="15"/>
      <c r="SAF1104" s="15"/>
      <c r="SAI1104" s="15"/>
      <c r="SAJ1104" s="15"/>
      <c r="SAM1104" s="15"/>
      <c r="SAN1104" s="15"/>
      <c r="SAQ1104" s="15"/>
      <c r="SAR1104" s="15"/>
      <c r="SAU1104" s="15"/>
      <c r="SAV1104" s="15"/>
      <c r="SAY1104" s="15"/>
      <c r="SAZ1104" s="15"/>
      <c r="SBC1104" s="15"/>
      <c r="SBD1104" s="15"/>
      <c r="SBG1104" s="15"/>
      <c r="SBH1104" s="15"/>
      <c r="SBK1104" s="15"/>
      <c r="SBL1104" s="15"/>
      <c r="SBO1104" s="15"/>
      <c r="SBP1104" s="15"/>
      <c r="SBS1104" s="15"/>
      <c r="SBT1104" s="15"/>
      <c r="SBW1104" s="15"/>
      <c r="SBX1104" s="15"/>
      <c r="SCA1104" s="15"/>
      <c r="SCB1104" s="15"/>
      <c r="SCE1104" s="15"/>
      <c r="SCF1104" s="15"/>
      <c r="SCI1104" s="15"/>
      <c r="SCJ1104" s="15"/>
      <c r="SCM1104" s="15"/>
      <c r="SCN1104" s="15"/>
      <c r="SCQ1104" s="15"/>
      <c r="SCR1104" s="15"/>
      <c r="SCU1104" s="15"/>
      <c r="SCV1104" s="15"/>
      <c r="SCY1104" s="15"/>
      <c r="SCZ1104" s="15"/>
      <c r="SDC1104" s="15"/>
      <c r="SDD1104" s="15"/>
      <c r="SDG1104" s="15"/>
      <c r="SDH1104" s="15"/>
      <c r="SDK1104" s="15"/>
      <c r="SDL1104" s="15"/>
      <c r="SDO1104" s="15"/>
      <c r="SDP1104" s="15"/>
      <c r="SDS1104" s="15"/>
      <c r="SDT1104" s="15"/>
      <c r="SDW1104" s="15"/>
      <c r="SDX1104" s="15"/>
      <c r="SEA1104" s="15"/>
      <c r="SEB1104" s="15"/>
      <c r="SEE1104" s="15"/>
      <c r="SEF1104" s="15"/>
      <c r="SEI1104" s="15"/>
      <c r="SEJ1104" s="15"/>
      <c r="SEM1104" s="15"/>
      <c r="SEN1104" s="15"/>
      <c r="SEQ1104" s="15"/>
      <c r="SER1104" s="15"/>
      <c r="SEU1104" s="15"/>
      <c r="SEV1104" s="15"/>
      <c r="SEY1104" s="15"/>
      <c r="SEZ1104" s="15"/>
      <c r="SFC1104" s="15"/>
      <c r="SFD1104" s="15"/>
      <c r="SFG1104" s="15"/>
      <c r="SFH1104" s="15"/>
      <c r="SFK1104" s="15"/>
      <c r="SFL1104" s="15"/>
      <c r="SFO1104" s="15"/>
      <c r="SFP1104" s="15"/>
      <c r="SFS1104" s="15"/>
      <c r="SFT1104" s="15"/>
      <c r="SFW1104" s="15"/>
      <c r="SFX1104" s="15"/>
      <c r="SGA1104" s="15"/>
      <c r="SGB1104" s="15"/>
      <c r="SGE1104" s="15"/>
      <c r="SGF1104" s="15"/>
      <c r="SGI1104" s="15"/>
      <c r="SGJ1104" s="15"/>
      <c r="SGM1104" s="15"/>
      <c r="SGN1104" s="15"/>
      <c r="SGQ1104" s="15"/>
      <c r="SGR1104" s="15"/>
      <c r="SGU1104" s="15"/>
      <c r="SGV1104" s="15"/>
      <c r="SGY1104" s="15"/>
      <c r="SGZ1104" s="15"/>
      <c r="SHC1104" s="15"/>
      <c r="SHD1104" s="15"/>
      <c r="SHG1104" s="15"/>
      <c r="SHH1104" s="15"/>
      <c r="SHK1104" s="15"/>
      <c r="SHL1104" s="15"/>
      <c r="SHO1104" s="15"/>
      <c r="SHP1104" s="15"/>
      <c r="SHS1104" s="15"/>
      <c r="SHT1104" s="15"/>
      <c r="SHW1104" s="15"/>
      <c r="SHX1104" s="15"/>
      <c r="SIA1104" s="15"/>
      <c r="SIB1104" s="15"/>
      <c r="SIE1104" s="15"/>
      <c r="SIF1104" s="15"/>
      <c r="SII1104" s="15"/>
      <c r="SIJ1104" s="15"/>
      <c r="SIM1104" s="15"/>
      <c r="SIN1104" s="15"/>
      <c r="SIQ1104" s="15"/>
      <c r="SIR1104" s="15"/>
      <c r="SIU1104" s="15"/>
      <c r="SIV1104" s="15"/>
      <c r="SIY1104" s="15"/>
      <c r="SIZ1104" s="15"/>
      <c r="SJC1104" s="15"/>
      <c r="SJD1104" s="15"/>
      <c r="SJG1104" s="15"/>
      <c r="SJH1104" s="15"/>
      <c r="SJK1104" s="15"/>
      <c r="SJL1104" s="15"/>
      <c r="SJO1104" s="15"/>
      <c r="SJP1104" s="15"/>
      <c r="SJS1104" s="15"/>
      <c r="SJT1104" s="15"/>
      <c r="SJW1104" s="15"/>
      <c r="SJX1104" s="15"/>
      <c r="SKA1104" s="15"/>
      <c r="SKB1104" s="15"/>
      <c r="SKE1104" s="15"/>
      <c r="SKF1104" s="15"/>
      <c r="SKI1104" s="15"/>
      <c r="SKJ1104" s="15"/>
      <c r="SKM1104" s="15"/>
      <c r="SKN1104" s="15"/>
      <c r="SKQ1104" s="15"/>
      <c r="SKR1104" s="15"/>
      <c r="SKU1104" s="15"/>
      <c r="SKV1104" s="15"/>
      <c r="SKY1104" s="15"/>
      <c r="SKZ1104" s="15"/>
      <c r="SLC1104" s="15"/>
      <c r="SLD1104" s="15"/>
      <c r="SLG1104" s="15"/>
      <c r="SLH1104" s="15"/>
      <c r="SLK1104" s="15"/>
      <c r="SLL1104" s="15"/>
      <c r="SLO1104" s="15"/>
      <c r="SLP1104" s="15"/>
      <c r="SLS1104" s="15"/>
      <c r="SLT1104" s="15"/>
      <c r="SLW1104" s="15"/>
      <c r="SLX1104" s="15"/>
      <c r="SMA1104" s="15"/>
      <c r="SMB1104" s="15"/>
      <c r="SME1104" s="15"/>
      <c r="SMF1104" s="15"/>
      <c r="SMI1104" s="15"/>
      <c r="SMJ1104" s="15"/>
      <c r="SMM1104" s="15"/>
      <c r="SMN1104" s="15"/>
      <c r="SMQ1104" s="15"/>
      <c r="SMR1104" s="15"/>
      <c r="SMU1104" s="15"/>
      <c r="SMV1104" s="15"/>
      <c r="SMY1104" s="15"/>
      <c r="SMZ1104" s="15"/>
      <c r="SNC1104" s="15"/>
      <c r="SND1104" s="15"/>
      <c r="SNG1104" s="15"/>
      <c r="SNH1104" s="15"/>
      <c r="SNK1104" s="15"/>
      <c r="SNL1104" s="15"/>
      <c r="SNO1104" s="15"/>
      <c r="SNP1104" s="15"/>
      <c r="SNS1104" s="15"/>
      <c r="SNT1104" s="15"/>
      <c r="SNW1104" s="15"/>
      <c r="SNX1104" s="15"/>
      <c r="SOA1104" s="15"/>
      <c r="SOB1104" s="15"/>
      <c r="SOE1104" s="15"/>
      <c r="SOF1104" s="15"/>
      <c r="SOI1104" s="15"/>
      <c r="SOJ1104" s="15"/>
      <c r="SOM1104" s="15"/>
      <c r="SON1104" s="15"/>
      <c r="SOQ1104" s="15"/>
      <c r="SOR1104" s="15"/>
      <c r="SOU1104" s="15"/>
      <c r="SOV1104" s="15"/>
      <c r="SOY1104" s="15"/>
      <c r="SOZ1104" s="15"/>
      <c r="SPC1104" s="15"/>
      <c r="SPD1104" s="15"/>
      <c r="SPG1104" s="15"/>
      <c r="SPH1104" s="15"/>
      <c r="SPK1104" s="15"/>
      <c r="SPL1104" s="15"/>
      <c r="SPO1104" s="15"/>
      <c r="SPP1104" s="15"/>
      <c r="SPS1104" s="15"/>
      <c r="SPT1104" s="15"/>
      <c r="SPW1104" s="15"/>
      <c r="SPX1104" s="15"/>
      <c r="SQA1104" s="15"/>
      <c r="SQB1104" s="15"/>
      <c r="SQE1104" s="15"/>
      <c r="SQF1104" s="15"/>
      <c r="SQI1104" s="15"/>
      <c r="SQJ1104" s="15"/>
      <c r="SQM1104" s="15"/>
      <c r="SQN1104" s="15"/>
      <c r="SQQ1104" s="15"/>
      <c r="SQR1104" s="15"/>
      <c r="SQU1104" s="15"/>
      <c r="SQV1104" s="15"/>
      <c r="SQY1104" s="15"/>
      <c r="SQZ1104" s="15"/>
      <c r="SRC1104" s="15"/>
      <c r="SRD1104" s="15"/>
      <c r="SRG1104" s="15"/>
      <c r="SRH1104" s="15"/>
      <c r="SRK1104" s="15"/>
      <c r="SRL1104" s="15"/>
      <c r="SRO1104" s="15"/>
      <c r="SRP1104" s="15"/>
      <c r="SRS1104" s="15"/>
      <c r="SRT1104" s="15"/>
      <c r="SRW1104" s="15"/>
      <c r="SRX1104" s="15"/>
      <c r="SSA1104" s="15"/>
      <c r="SSB1104" s="15"/>
      <c r="SSE1104" s="15"/>
      <c r="SSF1104" s="15"/>
      <c r="SSI1104" s="15"/>
      <c r="SSJ1104" s="15"/>
      <c r="SSM1104" s="15"/>
      <c r="SSN1104" s="15"/>
      <c r="SSQ1104" s="15"/>
      <c r="SSR1104" s="15"/>
      <c r="SSU1104" s="15"/>
      <c r="SSV1104" s="15"/>
      <c r="SSY1104" s="15"/>
      <c r="SSZ1104" s="15"/>
      <c r="STC1104" s="15"/>
      <c r="STD1104" s="15"/>
      <c r="STG1104" s="15"/>
      <c r="STH1104" s="15"/>
      <c r="STK1104" s="15"/>
      <c r="STL1104" s="15"/>
      <c r="STO1104" s="15"/>
      <c r="STP1104" s="15"/>
      <c r="STS1104" s="15"/>
      <c r="STT1104" s="15"/>
      <c r="STW1104" s="15"/>
      <c r="STX1104" s="15"/>
      <c r="SUA1104" s="15"/>
      <c r="SUB1104" s="15"/>
      <c r="SUE1104" s="15"/>
      <c r="SUF1104" s="15"/>
      <c r="SUI1104" s="15"/>
      <c r="SUJ1104" s="15"/>
      <c r="SUM1104" s="15"/>
      <c r="SUN1104" s="15"/>
      <c r="SUQ1104" s="15"/>
      <c r="SUR1104" s="15"/>
      <c r="SUU1104" s="15"/>
      <c r="SUV1104" s="15"/>
      <c r="SUY1104" s="15"/>
      <c r="SUZ1104" s="15"/>
      <c r="SVC1104" s="15"/>
      <c r="SVD1104" s="15"/>
      <c r="SVG1104" s="15"/>
      <c r="SVH1104" s="15"/>
      <c r="SVK1104" s="15"/>
      <c r="SVL1104" s="15"/>
      <c r="SVO1104" s="15"/>
      <c r="SVP1104" s="15"/>
      <c r="SVS1104" s="15"/>
      <c r="SVT1104" s="15"/>
      <c r="SVW1104" s="15"/>
      <c r="SVX1104" s="15"/>
      <c r="SWA1104" s="15"/>
      <c r="SWB1104" s="15"/>
      <c r="SWE1104" s="15"/>
      <c r="SWF1104" s="15"/>
      <c r="SWI1104" s="15"/>
      <c r="SWJ1104" s="15"/>
      <c r="SWM1104" s="15"/>
      <c r="SWN1104" s="15"/>
      <c r="SWQ1104" s="15"/>
      <c r="SWR1104" s="15"/>
      <c r="SWU1104" s="15"/>
      <c r="SWV1104" s="15"/>
      <c r="SWY1104" s="15"/>
      <c r="SWZ1104" s="15"/>
      <c r="SXC1104" s="15"/>
      <c r="SXD1104" s="15"/>
      <c r="SXG1104" s="15"/>
      <c r="SXH1104" s="15"/>
      <c r="SXK1104" s="15"/>
      <c r="SXL1104" s="15"/>
      <c r="SXO1104" s="15"/>
      <c r="SXP1104" s="15"/>
      <c r="SXS1104" s="15"/>
      <c r="SXT1104" s="15"/>
      <c r="SXW1104" s="15"/>
      <c r="SXX1104" s="15"/>
      <c r="SYA1104" s="15"/>
      <c r="SYB1104" s="15"/>
      <c r="SYE1104" s="15"/>
      <c r="SYF1104" s="15"/>
      <c r="SYI1104" s="15"/>
      <c r="SYJ1104" s="15"/>
      <c r="SYM1104" s="15"/>
      <c r="SYN1104" s="15"/>
      <c r="SYQ1104" s="15"/>
      <c r="SYR1104" s="15"/>
      <c r="SYU1104" s="15"/>
      <c r="SYV1104" s="15"/>
      <c r="SYY1104" s="15"/>
      <c r="SYZ1104" s="15"/>
      <c r="SZC1104" s="15"/>
      <c r="SZD1104" s="15"/>
      <c r="SZG1104" s="15"/>
      <c r="SZH1104" s="15"/>
      <c r="SZK1104" s="15"/>
      <c r="SZL1104" s="15"/>
      <c r="SZO1104" s="15"/>
      <c r="SZP1104" s="15"/>
      <c r="SZS1104" s="15"/>
      <c r="SZT1104" s="15"/>
      <c r="SZW1104" s="15"/>
      <c r="SZX1104" s="15"/>
      <c r="TAA1104" s="15"/>
      <c r="TAB1104" s="15"/>
      <c r="TAE1104" s="15"/>
      <c r="TAF1104" s="15"/>
      <c r="TAI1104" s="15"/>
      <c r="TAJ1104" s="15"/>
      <c r="TAM1104" s="15"/>
      <c r="TAN1104" s="15"/>
      <c r="TAQ1104" s="15"/>
      <c r="TAR1104" s="15"/>
      <c r="TAU1104" s="15"/>
      <c r="TAV1104" s="15"/>
      <c r="TAY1104" s="15"/>
      <c r="TAZ1104" s="15"/>
      <c r="TBC1104" s="15"/>
      <c r="TBD1104" s="15"/>
      <c r="TBG1104" s="15"/>
      <c r="TBH1104" s="15"/>
      <c r="TBK1104" s="15"/>
      <c r="TBL1104" s="15"/>
      <c r="TBO1104" s="15"/>
      <c r="TBP1104" s="15"/>
      <c r="TBS1104" s="15"/>
      <c r="TBT1104" s="15"/>
      <c r="TBW1104" s="15"/>
      <c r="TBX1104" s="15"/>
      <c r="TCA1104" s="15"/>
      <c r="TCB1104" s="15"/>
      <c r="TCE1104" s="15"/>
      <c r="TCF1104" s="15"/>
      <c r="TCI1104" s="15"/>
      <c r="TCJ1104" s="15"/>
      <c r="TCM1104" s="15"/>
      <c r="TCN1104" s="15"/>
      <c r="TCQ1104" s="15"/>
      <c r="TCR1104" s="15"/>
      <c r="TCU1104" s="15"/>
      <c r="TCV1104" s="15"/>
      <c r="TCY1104" s="15"/>
      <c r="TCZ1104" s="15"/>
      <c r="TDC1104" s="15"/>
      <c r="TDD1104" s="15"/>
      <c r="TDG1104" s="15"/>
      <c r="TDH1104" s="15"/>
      <c r="TDK1104" s="15"/>
      <c r="TDL1104" s="15"/>
      <c r="TDO1104" s="15"/>
      <c r="TDP1104" s="15"/>
      <c r="TDS1104" s="15"/>
      <c r="TDT1104" s="15"/>
      <c r="TDW1104" s="15"/>
      <c r="TDX1104" s="15"/>
      <c r="TEA1104" s="15"/>
      <c r="TEB1104" s="15"/>
      <c r="TEE1104" s="15"/>
      <c r="TEF1104" s="15"/>
      <c r="TEI1104" s="15"/>
      <c r="TEJ1104" s="15"/>
      <c r="TEM1104" s="15"/>
      <c r="TEN1104" s="15"/>
      <c r="TEQ1104" s="15"/>
      <c r="TER1104" s="15"/>
      <c r="TEU1104" s="15"/>
      <c r="TEV1104" s="15"/>
      <c r="TEY1104" s="15"/>
      <c r="TEZ1104" s="15"/>
      <c r="TFC1104" s="15"/>
      <c r="TFD1104" s="15"/>
      <c r="TFG1104" s="15"/>
      <c r="TFH1104" s="15"/>
      <c r="TFK1104" s="15"/>
      <c r="TFL1104" s="15"/>
      <c r="TFO1104" s="15"/>
      <c r="TFP1104" s="15"/>
      <c r="TFS1104" s="15"/>
      <c r="TFT1104" s="15"/>
      <c r="TFW1104" s="15"/>
      <c r="TFX1104" s="15"/>
      <c r="TGA1104" s="15"/>
      <c r="TGB1104" s="15"/>
      <c r="TGE1104" s="15"/>
      <c r="TGF1104" s="15"/>
      <c r="TGI1104" s="15"/>
      <c r="TGJ1104" s="15"/>
      <c r="TGM1104" s="15"/>
      <c r="TGN1104" s="15"/>
      <c r="TGQ1104" s="15"/>
      <c r="TGR1104" s="15"/>
      <c r="TGU1104" s="15"/>
      <c r="TGV1104" s="15"/>
      <c r="TGY1104" s="15"/>
      <c r="TGZ1104" s="15"/>
      <c r="THC1104" s="15"/>
      <c r="THD1104" s="15"/>
      <c r="THG1104" s="15"/>
      <c r="THH1104" s="15"/>
      <c r="THK1104" s="15"/>
      <c r="THL1104" s="15"/>
      <c r="THO1104" s="15"/>
      <c r="THP1104" s="15"/>
      <c r="THS1104" s="15"/>
      <c r="THT1104" s="15"/>
      <c r="THW1104" s="15"/>
      <c r="THX1104" s="15"/>
      <c r="TIA1104" s="15"/>
      <c r="TIB1104" s="15"/>
      <c r="TIE1104" s="15"/>
      <c r="TIF1104" s="15"/>
      <c r="TII1104" s="15"/>
      <c r="TIJ1104" s="15"/>
      <c r="TIM1104" s="15"/>
      <c r="TIN1104" s="15"/>
      <c r="TIQ1104" s="15"/>
      <c r="TIR1104" s="15"/>
      <c r="TIU1104" s="15"/>
      <c r="TIV1104" s="15"/>
      <c r="TIY1104" s="15"/>
      <c r="TIZ1104" s="15"/>
      <c r="TJC1104" s="15"/>
      <c r="TJD1104" s="15"/>
      <c r="TJG1104" s="15"/>
      <c r="TJH1104" s="15"/>
      <c r="TJK1104" s="15"/>
      <c r="TJL1104" s="15"/>
      <c r="TJO1104" s="15"/>
      <c r="TJP1104" s="15"/>
      <c r="TJS1104" s="15"/>
      <c r="TJT1104" s="15"/>
      <c r="TJW1104" s="15"/>
      <c r="TJX1104" s="15"/>
      <c r="TKA1104" s="15"/>
      <c r="TKB1104" s="15"/>
      <c r="TKE1104" s="15"/>
      <c r="TKF1104" s="15"/>
      <c r="TKI1104" s="15"/>
      <c r="TKJ1104" s="15"/>
      <c r="TKM1104" s="15"/>
      <c r="TKN1104" s="15"/>
      <c r="TKQ1104" s="15"/>
      <c r="TKR1104" s="15"/>
      <c r="TKU1104" s="15"/>
      <c r="TKV1104" s="15"/>
      <c r="TKY1104" s="15"/>
      <c r="TKZ1104" s="15"/>
      <c r="TLC1104" s="15"/>
      <c r="TLD1104" s="15"/>
      <c r="TLG1104" s="15"/>
      <c r="TLH1104" s="15"/>
      <c r="TLK1104" s="15"/>
      <c r="TLL1104" s="15"/>
      <c r="TLO1104" s="15"/>
      <c r="TLP1104" s="15"/>
      <c r="TLS1104" s="15"/>
      <c r="TLT1104" s="15"/>
      <c r="TLW1104" s="15"/>
      <c r="TLX1104" s="15"/>
      <c r="TMA1104" s="15"/>
      <c r="TMB1104" s="15"/>
      <c r="TME1104" s="15"/>
      <c r="TMF1104" s="15"/>
      <c r="TMI1104" s="15"/>
      <c r="TMJ1104" s="15"/>
      <c r="TMM1104" s="15"/>
      <c r="TMN1104" s="15"/>
      <c r="TMQ1104" s="15"/>
      <c r="TMR1104" s="15"/>
      <c r="TMU1104" s="15"/>
      <c r="TMV1104" s="15"/>
      <c r="TMY1104" s="15"/>
      <c r="TMZ1104" s="15"/>
      <c r="TNC1104" s="15"/>
      <c r="TND1104" s="15"/>
      <c r="TNG1104" s="15"/>
      <c r="TNH1104" s="15"/>
      <c r="TNK1104" s="15"/>
      <c r="TNL1104" s="15"/>
      <c r="TNO1104" s="15"/>
      <c r="TNP1104" s="15"/>
      <c r="TNS1104" s="15"/>
      <c r="TNT1104" s="15"/>
      <c r="TNW1104" s="15"/>
      <c r="TNX1104" s="15"/>
      <c r="TOA1104" s="15"/>
      <c r="TOB1104" s="15"/>
      <c r="TOE1104" s="15"/>
      <c r="TOF1104" s="15"/>
      <c r="TOI1104" s="15"/>
      <c r="TOJ1104" s="15"/>
      <c r="TOM1104" s="15"/>
      <c r="TON1104" s="15"/>
      <c r="TOQ1104" s="15"/>
      <c r="TOR1104" s="15"/>
      <c r="TOU1104" s="15"/>
      <c r="TOV1104" s="15"/>
      <c r="TOY1104" s="15"/>
      <c r="TOZ1104" s="15"/>
      <c r="TPC1104" s="15"/>
      <c r="TPD1104" s="15"/>
      <c r="TPG1104" s="15"/>
      <c r="TPH1104" s="15"/>
      <c r="TPK1104" s="15"/>
      <c r="TPL1104" s="15"/>
      <c r="TPO1104" s="15"/>
      <c r="TPP1104" s="15"/>
      <c r="TPS1104" s="15"/>
      <c r="TPT1104" s="15"/>
      <c r="TPW1104" s="15"/>
      <c r="TPX1104" s="15"/>
      <c r="TQA1104" s="15"/>
      <c r="TQB1104" s="15"/>
      <c r="TQE1104" s="15"/>
      <c r="TQF1104" s="15"/>
      <c r="TQI1104" s="15"/>
      <c r="TQJ1104" s="15"/>
      <c r="TQM1104" s="15"/>
      <c r="TQN1104" s="15"/>
      <c r="TQQ1104" s="15"/>
      <c r="TQR1104" s="15"/>
      <c r="TQU1104" s="15"/>
      <c r="TQV1104" s="15"/>
      <c r="TQY1104" s="15"/>
      <c r="TQZ1104" s="15"/>
      <c r="TRC1104" s="15"/>
      <c r="TRD1104" s="15"/>
      <c r="TRG1104" s="15"/>
      <c r="TRH1104" s="15"/>
      <c r="TRK1104" s="15"/>
      <c r="TRL1104" s="15"/>
      <c r="TRO1104" s="15"/>
      <c r="TRP1104" s="15"/>
      <c r="TRS1104" s="15"/>
      <c r="TRT1104" s="15"/>
      <c r="TRW1104" s="15"/>
      <c r="TRX1104" s="15"/>
      <c r="TSA1104" s="15"/>
      <c r="TSB1104" s="15"/>
      <c r="TSE1104" s="15"/>
      <c r="TSF1104" s="15"/>
      <c r="TSI1104" s="15"/>
      <c r="TSJ1104" s="15"/>
      <c r="TSM1104" s="15"/>
      <c r="TSN1104" s="15"/>
      <c r="TSQ1104" s="15"/>
      <c r="TSR1104" s="15"/>
      <c r="TSU1104" s="15"/>
      <c r="TSV1104" s="15"/>
      <c r="TSY1104" s="15"/>
      <c r="TSZ1104" s="15"/>
      <c r="TTC1104" s="15"/>
      <c r="TTD1104" s="15"/>
      <c r="TTG1104" s="15"/>
      <c r="TTH1104" s="15"/>
      <c r="TTK1104" s="15"/>
      <c r="TTL1104" s="15"/>
      <c r="TTO1104" s="15"/>
      <c r="TTP1104" s="15"/>
      <c r="TTS1104" s="15"/>
      <c r="TTT1104" s="15"/>
      <c r="TTW1104" s="15"/>
      <c r="TTX1104" s="15"/>
      <c r="TUA1104" s="15"/>
      <c r="TUB1104" s="15"/>
      <c r="TUE1104" s="15"/>
      <c r="TUF1104" s="15"/>
      <c r="TUI1104" s="15"/>
      <c r="TUJ1104" s="15"/>
      <c r="TUM1104" s="15"/>
      <c r="TUN1104" s="15"/>
      <c r="TUQ1104" s="15"/>
      <c r="TUR1104" s="15"/>
      <c r="TUU1104" s="15"/>
      <c r="TUV1104" s="15"/>
      <c r="TUY1104" s="15"/>
      <c r="TUZ1104" s="15"/>
      <c r="TVC1104" s="15"/>
      <c r="TVD1104" s="15"/>
      <c r="TVG1104" s="15"/>
      <c r="TVH1104" s="15"/>
      <c r="TVK1104" s="15"/>
      <c r="TVL1104" s="15"/>
      <c r="TVO1104" s="15"/>
      <c r="TVP1104" s="15"/>
      <c r="TVS1104" s="15"/>
      <c r="TVT1104" s="15"/>
      <c r="TVW1104" s="15"/>
      <c r="TVX1104" s="15"/>
      <c r="TWA1104" s="15"/>
      <c r="TWB1104" s="15"/>
      <c r="TWE1104" s="15"/>
      <c r="TWF1104" s="15"/>
      <c r="TWI1104" s="15"/>
      <c r="TWJ1104" s="15"/>
      <c r="TWM1104" s="15"/>
      <c r="TWN1104" s="15"/>
      <c r="TWQ1104" s="15"/>
      <c r="TWR1104" s="15"/>
      <c r="TWU1104" s="15"/>
      <c r="TWV1104" s="15"/>
      <c r="TWY1104" s="15"/>
      <c r="TWZ1104" s="15"/>
      <c r="TXC1104" s="15"/>
      <c r="TXD1104" s="15"/>
      <c r="TXG1104" s="15"/>
      <c r="TXH1104" s="15"/>
      <c r="TXK1104" s="15"/>
      <c r="TXL1104" s="15"/>
      <c r="TXO1104" s="15"/>
      <c r="TXP1104" s="15"/>
      <c r="TXS1104" s="15"/>
      <c r="TXT1104" s="15"/>
      <c r="TXW1104" s="15"/>
      <c r="TXX1104" s="15"/>
      <c r="TYA1104" s="15"/>
      <c r="TYB1104" s="15"/>
      <c r="TYE1104" s="15"/>
      <c r="TYF1104" s="15"/>
      <c r="TYI1104" s="15"/>
      <c r="TYJ1104" s="15"/>
      <c r="TYM1104" s="15"/>
      <c r="TYN1104" s="15"/>
      <c r="TYQ1104" s="15"/>
      <c r="TYR1104" s="15"/>
      <c r="TYU1104" s="15"/>
      <c r="TYV1104" s="15"/>
      <c r="TYY1104" s="15"/>
      <c r="TYZ1104" s="15"/>
      <c r="TZC1104" s="15"/>
      <c r="TZD1104" s="15"/>
      <c r="TZG1104" s="15"/>
      <c r="TZH1104" s="15"/>
      <c r="TZK1104" s="15"/>
      <c r="TZL1104" s="15"/>
      <c r="TZO1104" s="15"/>
      <c r="TZP1104" s="15"/>
      <c r="TZS1104" s="15"/>
      <c r="TZT1104" s="15"/>
      <c r="TZW1104" s="15"/>
      <c r="TZX1104" s="15"/>
      <c r="UAA1104" s="15"/>
      <c r="UAB1104" s="15"/>
      <c r="UAE1104" s="15"/>
      <c r="UAF1104" s="15"/>
      <c r="UAI1104" s="15"/>
      <c r="UAJ1104" s="15"/>
      <c r="UAM1104" s="15"/>
      <c r="UAN1104" s="15"/>
      <c r="UAQ1104" s="15"/>
      <c r="UAR1104" s="15"/>
      <c r="UAU1104" s="15"/>
      <c r="UAV1104" s="15"/>
      <c r="UAY1104" s="15"/>
      <c r="UAZ1104" s="15"/>
      <c r="UBC1104" s="15"/>
      <c r="UBD1104" s="15"/>
      <c r="UBG1104" s="15"/>
      <c r="UBH1104" s="15"/>
      <c r="UBK1104" s="15"/>
      <c r="UBL1104" s="15"/>
      <c r="UBO1104" s="15"/>
      <c r="UBP1104" s="15"/>
      <c r="UBS1104" s="15"/>
      <c r="UBT1104" s="15"/>
      <c r="UBW1104" s="15"/>
      <c r="UBX1104" s="15"/>
      <c r="UCA1104" s="15"/>
      <c r="UCB1104" s="15"/>
      <c r="UCE1104" s="15"/>
      <c r="UCF1104" s="15"/>
      <c r="UCI1104" s="15"/>
      <c r="UCJ1104" s="15"/>
      <c r="UCM1104" s="15"/>
      <c r="UCN1104" s="15"/>
      <c r="UCQ1104" s="15"/>
      <c r="UCR1104" s="15"/>
      <c r="UCU1104" s="15"/>
      <c r="UCV1104" s="15"/>
      <c r="UCY1104" s="15"/>
      <c r="UCZ1104" s="15"/>
      <c r="UDC1104" s="15"/>
      <c r="UDD1104" s="15"/>
      <c r="UDG1104" s="15"/>
      <c r="UDH1104" s="15"/>
      <c r="UDK1104" s="15"/>
      <c r="UDL1104" s="15"/>
      <c r="UDO1104" s="15"/>
      <c r="UDP1104" s="15"/>
      <c r="UDS1104" s="15"/>
      <c r="UDT1104" s="15"/>
      <c r="UDW1104" s="15"/>
      <c r="UDX1104" s="15"/>
      <c r="UEA1104" s="15"/>
      <c r="UEB1104" s="15"/>
      <c r="UEE1104" s="15"/>
      <c r="UEF1104" s="15"/>
      <c r="UEI1104" s="15"/>
      <c r="UEJ1104" s="15"/>
      <c r="UEM1104" s="15"/>
      <c r="UEN1104" s="15"/>
      <c r="UEQ1104" s="15"/>
      <c r="UER1104" s="15"/>
      <c r="UEU1104" s="15"/>
      <c r="UEV1104" s="15"/>
      <c r="UEY1104" s="15"/>
      <c r="UEZ1104" s="15"/>
      <c r="UFC1104" s="15"/>
      <c r="UFD1104" s="15"/>
      <c r="UFG1104" s="15"/>
      <c r="UFH1104" s="15"/>
      <c r="UFK1104" s="15"/>
      <c r="UFL1104" s="15"/>
      <c r="UFO1104" s="15"/>
      <c r="UFP1104" s="15"/>
      <c r="UFS1104" s="15"/>
      <c r="UFT1104" s="15"/>
      <c r="UFW1104" s="15"/>
      <c r="UFX1104" s="15"/>
      <c r="UGA1104" s="15"/>
      <c r="UGB1104" s="15"/>
      <c r="UGE1104" s="15"/>
      <c r="UGF1104" s="15"/>
      <c r="UGI1104" s="15"/>
      <c r="UGJ1104" s="15"/>
      <c r="UGM1104" s="15"/>
      <c r="UGN1104" s="15"/>
      <c r="UGQ1104" s="15"/>
      <c r="UGR1104" s="15"/>
      <c r="UGU1104" s="15"/>
      <c r="UGV1104" s="15"/>
      <c r="UGY1104" s="15"/>
      <c r="UGZ1104" s="15"/>
      <c r="UHC1104" s="15"/>
      <c r="UHD1104" s="15"/>
      <c r="UHG1104" s="15"/>
      <c r="UHH1104" s="15"/>
      <c r="UHK1104" s="15"/>
      <c r="UHL1104" s="15"/>
      <c r="UHO1104" s="15"/>
      <c r="UHP1104" s="15"/>
      <c r="UHS1104" s="15"/>
      <c r="UHT1104" s="15"/>
      <c r="UHW1104" s="15"/>
      <c r="UHX1104" s="15"/>
      <c r="UIA1104" s="15"/>
      <c r="UIB1104" s="15"/>
      <c r="UIE1104" s="15"/>
      <c r="UIF1104" s="15"/>
      <c r="UII1104" s="15"/>
      <c r="UIJ1104" s="15"/>
      <c r="UIM1104" s="15"/>
      <c r="UIN1104" s="15"/>
      <c r="UIQ1104" s="15"/>
      <c r="UIR1104" s="15"/>
      <c r="UIU1104" s="15"/>
      <c r="UIV1104" s="15"/>
      <c r="UIY1104" s="15"/>
      <c r="UIZ1104" s="15"/>
      <c r="UJC1104" s="15"/>
      <c r="UJD1104" s="15"/>
      <c r="UJG1104" s="15"/>
      <c r="UJH1104" s="15"/>
      <c r="UJK1104" s="15"/>
      <c r="UJL1104" s="15"/>
      <c r="UJO1104" s="15"/>
      <c r="UJP1104" s="15"/>
      <c r="UJS1104" s="15"/>
      <c r="UJT1104" s="15"/>
      <c r="UJW1104" s="15"/>
      <c r="UJX1104" s="15"/>
      <c r="UKA1104" s="15"/>
      <c r="UKB1104" s="15"/>
      <c r="UKE1104" s="15"/>
      <c r="UKF1104" s="15"/>
      <c r="UKI1104" s="15"/>
      <c r="UKJ1104" s="15"/>
      <c r="UKM1104" s="15"/>
      <c r="UKN1104" s="15"/>
      <c r="UKQ1104" s="15"/>
      <c r="UKR1104" s="15"/>
      <c r="UKU1104" s="15"/>
      <c r="UKV1104" s="15"/>
      <c r="UKY1104" s="15"/>
      <c r="UKZ1104" s="15"/>
      <c r="ULC1104" s="15"/>
      <c r="ULD1104" s="15"/>
      <c r="ULG1104" s="15"/>
      <c r="ULH1104" s="15"/>
      <c r="ULK1104" s="15"/>
      <c r="ULL1104" s="15"/>
      <c r="ULO1104" s="15"/>
      <c r="ULP1104" s="15"/>
      <c r="ULS1104" s="15"/>
      <c r="ULT1104" s="15"/>
      <c r="ULW1104" s="15"/>
      <c r="ULX1104" s="15"/>
      <c r="UMA1104" s="15"/>
      <c r="UMB1104" s="15"/>
      <c r="UME1104" s="15"/>
      <c r="UMF1104" s="15"/>
      <c r="UMI1104" s="15"/>
      <c r="UMJ1104" s="15"/>
      <c r="UMM1104" s="15"/>
      <c r="UMN1104" s="15"/>
      <c r="UMQ1104" s="15"/>
      <c r="UMR1104" s="15"/>
      <c r="UMU1104" s="15"/>
      <c r="UMV1104" s="15"/>
      <c r="UMY1104" s="15"/>
      <c r="UMZ1104" s="15"/>
      <c r="UNC1104" s="15"/>
      <c r="UND1104" s="15"/>
      <c r="UNG1104" s="15"/>
      <c r="UNH1104" s="15"/>
      <c r="UNK1104" s="15"/>
      <c r="UNL1104" s="15"/>
      <c r="UNO1104" s="15"/>
      <c r="UNP1104" s="15"/>
      <c r="UNS1104" s="15"/>
      <c r="UNT1104" s="15"/>
      <c r="UNW1104" s="15"/>
      <c r="UNX1104" s="15"/>
      <c r="UOA1104" s="15"/>
      <c r="UOB1104" s="15"/>
      <c r="UOE1104" s="15"/>
      <c r="UOF1104" s="15"/>
      <c r="UOI1104" s="15"/>
      <c r="UOJ1104" s="15"/>
      <c r="UOM1104" s="15"/>
      <c r="UON1104" s="15"/>
      <c r="UOQ1104" s="15"/>
      <c r="UOR1104" s="15"/>
      <c r="UOU1104" s="15"/>
      <c r="UOV1104" s="15"/>
      <c r="UOY1104" s="15"/>
      <c r="UOZ1104" s="15"/>
      <c r="UPC1104" s="15"/>
      <c r="UPD1104" s="15"/>
      <c r="UPG1104" s="15"/>
      <c r="UPH1104" s="15"/>
      <c r="UPK1104" s="15"/>
      <c r="UPL1104" s="15"/>
      <c r="UPO1104" s="15"/>
      <c r="UPP1104" s="15"/>
      <c r="UPS1104" s="15"/>
      <c r="UPT1104" s="15"/>
      <c r="UPW1104" s="15"/>
      <c r="UPX1104" s="15"/>
      <c r="UQA1104" s="15"/>
      <c r="UQB1104" s="15"/>
      <c r="UQE1104" s="15"/>
      <c r="UQF1104" s="15"/>
      <c r="UQI1104" s="15"/>
      <c r="UQJ1104" s="15"/>
      <c r="UQM1104" s="15"/>
      <c r="UQN1104" s="15"/>
      <c r="UQQ1104" s="15"/>
      <c r="UQR1104" s="15"/>
      <c r="UQU1104" s="15"/>
      <c r="UQV1104" s="15"/>
      <c r="UQY1104" s="15"/>
      <c r="UQZ1104" s="15"/>
      <c r="URC1104" s="15"/>
      <c r="URD1104" s="15"/>
      <c r="URG1104" s="15"/>
      <c r="URH1104" s="15"/>
      <c r="URK1104" s="15"/>
      <c r="URL1104" s="15"/>
      <c r="URO1104" s="15"/>
      <c r="URP1104" s="15"/>
      <c r="URS1104" s="15"/>
      <c r="URT1104" s="15"/>
      <c r="URW1104" s="15"/>
      <c r="URX1104" s="15"/>
      <c r="USA1104" s="15"/>
      <c r="USB1104" s="15"/>
      <c r="USE1104" s="15"/>
      <c r="USF1104" s="15"/>
      <c r="USI1104" s="15"/>
      <c r="USJ1104" s="15"/>
      <c r="USM1104" s="15"/>
      <c r="USN1104" s="15"/>
      <c r="USQ1104" s="15"/>
      <c r="USR1104" s="15"/>
      <c r="USU1104" s="15"/>
      <c r="USV1104" s="15"/>
      <c r="USY1104" s="15"/>
      <c r="USZ1104" s="15"/>
      <c r="UTC1104" s="15"/>
      <c r="UTD1104" s="15"/>
      <c r="UTG1104" s="15"/>
      <c r="UTH1104" s="15"/>
      <c r="UTK1104" s="15"/>
      <c r="UTL1104" s="15"/>
      <c r="UTO1104" s="15"/>
      <c r="UTP1104" s="15"/>
      <c r="UTS1104" s="15"/>
      <c r="UTT1104" s="15"/>
      <c r="UTW1104" s="15"/>
      <c r="UTX1104" s="15"/>
      <c r="UUA1104" s="15"/>
      <c r="UUB1104" s="15"/>
      <c r="UUE1104" s="15"/>
      <c r="UUF1104" s="15"/>
      <c r="UUI1104" s="15"/>
      <c r="UUJ1104" s="15"/>
      <c r="UUM1104" s="15"/>
      <c r="UUN1104" s="15"/>
      <c r="UUQ1104" s="15"/>
      <c r="UUR1104" s="15"/>
      <c r="UUU1104" s="15"/>
      <c r="UUV1104" s="15"/>
      <c r="UUY1104" s="15"/>
      <c r="UUZ1104" s="15"/>
      <c r="UVC1104" s="15"/>
      <c r="UVD1104" s="15"/>
      <c r="UVG1104" s="15"/>
      <c r="UVH1104" s="15"/>
      <c r="UVK1104" s="15"/>
      <c r="UVL1104" s="15"/>
      <c r="UVO1104" s="15"/>
      <c r="UVP1104" s="15"/>
      <c r="UVS1104" s="15"/>
      <c r="UVT1104" s="15"/>
      <c r="UVW1104" s="15"/>
      <c r="UVX1104" s="15"/>
      <c r="UWA1104" s="15"/>
      <c r="UWB1104" s="15"/>
      <c r="UWE1104" s="15"/>
      <c r="UWF1104" s="15"/>
      <c r="UWI1104" s="15"/>
      <c r="UWJ1104" s="15"/>
      <c r="UWM1104" s="15"/>
      <c r="UWN1104" s="15"/>
      <c r="UWQ1104" s="15"/>
      <c r="UWR1104" s="15"/>
      <c r="UWU1104" s="15"/>
      <c r="UWV1104" s="15"/>
      <c r="UWY1104" s="15"/>
      <c r="UWZ1104" s="15"/>
      <c r="UXC1104" s="15"/>
      <c r="UXD1104" s="15"/>
      <c r="UXG1104" s="15"/>
      <c r="UXH1104" s="15"/>
      <c r="UXK1104" s="15"/>
      <c r="UXL1104" s="15"/>
      <c r="UXO1104" s="15"/>
      <c r="UXP1104" s="15"/>
      <c r="UXS1104" s="15"/>
      <c r="UXT1104" s="15"/>
      <c r="UXW1104" s="15"/>
      <c r="UXX1104" s="15"/>
      <c r="UYA1104" s="15"/>
      <c r="UYB1104" s="15"/>
      <c r="UYE1104" s="15"/>
      <c r="UYF1104" s="15"/>
      <c r="UYI1104" s="15"/>
      <c r="UYJ1104" s="15"/>
      <c r="UYM1104" s="15"/>
      <c r="UYN1104" s="15"/>
      <c r="UYQ1104" s="15"/>
      <c r="UYR1104" s="15"/>
      <c r="UYU1104" s="15"/>
      <c r="UYV1104" s="15"/>
      <c r="UYY1104" s="15"/>
      <c r="UYZ1104" s="15"/>
      <c r="UZC1104" s="15"/>
      <c r="UZD1104" s="15"/>
      <c r="UZG1104" s="15"/>
      <c r="UZH1104" s="15"/>
      <c r="UZK1104" s="15"/>
      <c r="UZL1104" s="15"/>
      <c r="UZO1104" s="15"/>
      <c r="UZP1104" s="15"/>
      <c r="UZS1104" s="15"/>
      <c r="UZT1104" s="15"/>
      <c r="UZW1104" s="15"/>
      <c r="UZX1104" s="15"/>
      <c r="VAA1104" s="15"/>
      <c r="VAB1104" s="15"/>
      <c r="VAE1104" s="15"/>
      <c r="VAF1104" s="15"/>
      <c r="VAI1104" s="15"/>
      <c r="VAJ1104" s="15"/>
      <c r="VAM1104" s="15"/>
      <c r="VAN1104" s="15"/>
      <c r="VAQ1104" s="15"/>
      <c r="VAR1104" s="15"/>
      <c r="VAU1104" s="15"/>
      <c r="VAV1104" s="15"/>
      <c r="VAY1104" s="15"/>
      <c r="VAZ1104" s="15"/>
      <c r="VBC1104" s="15"/>
      <c r="VBD1104" s="15"/>
      <c r="VBG1104" s="15"/>
      <c r="VBH1104" s="15"/>
      <c r="VBK1104" s="15"/>
      <c r="VBL1104" s="15"/>
      <c r="VBO1104" s="15"/>
      <c r="VBP1104" s="15"/>
      <c r="VBS1104" s="15"/>
      <c r="VBT1104" s="15"/>
      <c r="VBW1104" s="15"/>
      <c r="VBX1104" s="15"/>
      <c r="VCA1104" s="15"/>
      <c r="VCB1104" s="15"/>
      <c r="VCE1104" s="15"/>
      <c r="VCF1104" s="15"/>
      <c r="VCI1104" s="15"/>
      <c r="VCJ1104" s="15"/>
      <c r="VCM1104" s="15"/>
      <c r="VCN1104" s="15"/>
      <c r="VCQ1104" s="15"/>
      <c r="VCR1104" s="15"/>
      <c r="VCU1104" s="15"/>
      <c r="VCV1104" s="15"/>
      <c r="VCY1104" s="15"/>
      <c r="VCZ1104" s="15"/>
      <c r="VDC1104" s="15"/>
      <c r="VDD1104" s="15"/>
      <c r="VDG1104" s="15"/>
      <c r="VDH1104" s="15"/>
      <c r="VDK1104" s="15"/>
      <c r="VDL1104" s="15"/>
      <c r="VDO1104" s="15"/>
      <c r="VDP1104" s="15"/>
      <c r="VDS1104" s="15"/>
      <c r="VDT1104" s="15"/>
      <c r="VDW1104" s="15"/>
      <c r="VDX1104" s="15"/>
      <c r="VEA1104" s="15"/>
      <c r="VEB1104" s="15"/>
      <c r="VEE1104" s="15"/>
      <c r="VEF1104" s="15"/>
      <c r="VEI1104" s="15"/>
      <c r="VEJ1104" s="15"/>
      <c r="VEM1104" s="15"/>
      <c r="VEN1104" s="15"/>
      <c r="VEQ1104" s="15"/>
      <c r="VER1104" s="15"/>
      <c r="VEU1104" s="15"/>
      <c r="VEV1104" s="15"/>
      <c r="VEY1104" s="15"/>
      <c r="VEZ1104" s="15"/>
      <c r="VFC1104" s="15"/>
      <c r="VFD1104" s="15"/>
      <c r="VFG1104" s="15"/>
      <c r="VFH1104" s="15"/>
      <c r="VFK1104" s="15"/>
      <c r="VFL1104" s="15"/>
      <c r="VFO1104" s="15"/>
      <c r="VFP1104" s="15"/>
      <c r="VFS1104" s="15"/>
      <c r="VFT1104" s="15"/>
      <c r="VFW1104" s="15"/>
      <c r="VFX1104" s="15"/>
      <c r="VGA1104" s="15"/>
      <c r="VGB1104" s="15"/>
      <c r="VGE1104" s="15"/>
      <c r="VGF1104" s="15"/>
      <c r="VGI1104" s="15"/>
      <c r="VGJ1104" s="15"/>
      <c r="VGM1104" s="15"/>
      <c r="VGN1104" s="15"/>
      <c r="VGQ1104" s="15"/>
      <c r="VGR1104" s="15"/>
      <c r="VGU1104" s="15"/>
      <c r="VGV1104" s="15"/>
      <c r="VGY1104" s="15"/>
      <c r="VGZ1104" s="15"/>
      <c r="VHC1104" s="15"/>
      <c r="VHD1104" s="15"/>
      <c r="VHG1104" s="15"/>
      <c r="VHH1104" s="15"/>
      <c r="VHK1104" s="15"/>
      <c r="VHL1104" s="15"/>
      <c r="VHO1104" s="15"/>
      <c r="VHP1104" s="15"/>
      <c r="VHS1104" s="15"/>
      <c r="VHT1104" s="15"/>
      <c r="VHW1104" s="15"/>
      <c r="VHX1104" s="15"/>
      <c r="VIA1104" s="15"/>
      <c r="VIB1104" s="15"/>
      <c r="VIE1104" s="15"/>
      <c r="VIF1104" s="15"/>
      <c r="VII1104" s="15"/>
      <c r="VIJ1104" s="15"/>
      <c r="VIM1104" s="15"/>
      <c r="VIN1104" s="15"/>
      <c r="VIQ1104" s="15"/>
      <c r="VIR1104" s="15"/>
      <c r="VIU1104" s="15"/>
      <c r="VIV1104" s="15"/>
      <c r="VIY1104" s="15"/>
      <c r="VIZ1104" s="15"/>
      <c r="VJC1104" s="15"/>
      <c r="VJD1104" s="15"/>
      <c r="VJG1104" s="15"/>
      <c r="VJH1104" s="15"/>
      <c r="VJK1104" s="15"/>
      <c r="VJL1104" s="15"/>
      <c r="VJO1104" s="15"/>
      <c r="VJP1104" s="15"/>
      <c r="VJS1104" s="15"/>
      <c r="VJT1104" s="15"/>
      <c r="VJW1104" s="15"/>
      <c r="VJX1104" s="15"/>
      <c r="VKA1104" s="15"/>
      <c r="VKB1104" s="15"/>
      <c r="VKE1104" s="15"/>
      <c r="VKF1104" s="15"/>
      <c r="VKI1104" s="15"/>
      <c r="VKJ1104" s="15"/>
      <c r="VKM1104" s="15"/>
      <c r="VKN1104" s="15"/>
      <c r="VKQ1104" s="15"/>
      <c r="VKR1104" s="15"/>
      <c r="VKU1104" s="15"/>
      <c r="VKV1104" s="15"/>
      <c r="VKY1104" s="15"/>
      <c r="VKZ1104" s="15"/>
      <c r="VLC1104" s="15"/>
      <c r="VLD1104" s="15"/>
      <c r="VLG1104" s="15"/>
      <c r="VLH1104" s="15"/>
      <c r="VLK1104" s="15"/>
      <c r="VLL1104" s="15"/>
      <c r="VLO1104" s="15"/>
      <c r="VLP1104" s="15"/>
      <c r="VLS1104" s="15"/>
      <c r="VLT1104" s="15"/>
      <c r="VLW1104" s="15"/>
      <c r="VLX1104" s="15"/>
      <c r="VMA1104" s="15"/>
      <c r="VMB1104" s="15"/>
      <c r="VME1104" s="15"/>
      <c r="VMF1104" s="15"/>
      <c r="VMI1104" s="15"/>
      <c r="VMJ1104" s="15"/>
      <c r="VMM1104" s="15"/>
      <c r="VMN1104" s="15"/>
      <c r="VMQ1104" s="15"/>
      <c r="VMR1104" s="15"/>
      <c r="VMU1104" s="15"/>
      <c r="VMV1104" s="15"/>
      <c r="VMY1104" s="15"/>
      <c r="VMZ1104" s="15"/>
      <c r="VNC1104" s="15"/>
      <c r="VND1104" s="15"/>
      <c r="VNG1104" s="15"/>
      <c r="VNH1104" s="15"/>
      <c r="VNK1104" s="15"/>
      <c r="VNL1104" s="15"/>
      <c r="VNO1104" s="15"/>
      <c r="VNP1104" s="15"/>
      <c r="VNS1104" s="15"/>
      <c r="VNT1104" s="15"/>
      <c r="VNW1104" s="15"/>
      <c r="VNX1104" s="15"/>
      <c r="VOA1104" s="15"/>
      <c r="VOB1104" s="15"/>
      <c r="VOE1104" s="15"/>
      <c r="VOF1104" s="15"/>
      <c r="VOI1104" s="15"/>
      <c r="VOJ1104" s="15"/>
      <c r="VOM1104" s="15"/>
      <c r="VON1104" s="15"/>
      <c r="VOQ1104" s="15"/>
      <c r="VOR1104" s="15"/>
      <c r="VOU1104" s="15"/>
      <c r="VOV1104" s="15"/>
      <c r="VOY1104" s="15"/>
      <c r="VOZ1104" s="15"/>
      <c r="VPC1104" s="15"/>
      <c r="VPD1104" s="15"/>
      <c r="VPG1104" s="15"/>
      <c r="VPH1104" s="15"/>
      <c r="VPK1104" s="15"/>
      <c r="VPL1104" s="15"/>
      <c r="VPO1104" s="15"/>
      <c r="VPP1104" s="15"/>
      <c r="VPS1104" s="15"/>
      <c r="VPT1104" s="15"/>
      <c r="VPW1104" s="15"/>
      <c r="VPX1104" s="15"/>
      <c r="VQA1104" s="15"/>
      <c r="VQB1104" s="15"/>
      <c r="VQE1104" s="15"/>
      <c r="VQF1104" s="15"/>
      <c r="VQI1104" s="15"/>
      <c r="VQJ1104" s="15"/>
      <c r="VQM1104" s="15"/>
      <c r="VQN1104" s="15"/>
      <c r="VQQ1104" s="15"/>
      <c r="VQR1104" s="15"/>
      <c r="VQU1104" s="15"/>
      <c r="VQV1104" s="15"/>
      <c r="VQY1104" s="15"/>
      <c r="VQZ1104" s="15"/>
      <c r="VRC1104" s="15"/>
      <c r="VRD1104" s="15"/>
      <c r="VRG1104" s="15"/>
      <c r="VRH1104" s="15"/>
      <c r="VRK1104" s="15"/>
      <c r="VRL1104" s="15"/>
      <c r="VRO1104" s="15"/>
      <c r="VRP1104" s="15"/>
      <c r="VRS1104" s="15"/>
      <c r="VRT1104" s="15"/>
      <c r="VRW1104" s="15"/>
      <c r="VRX1104" s="15"/>
      <c r="VSA1104" s="15"/>
      <c r="VSB1104" s="15"/>
      <c r="VSE1104" s="15"/>
      <c r="VSF1104" s="15"/>
      <c r="VSI1104" s="15"/>
      <c r="VSJ1104" s="15"/>
      <c r="VSM1104" s="15"/>
      <c r="VSN1104" s="15"/>
      <c r="VSQ1104" s="15"/>
      <c r="VSR1104" s="15"/>
      <c r="VSU1104" s="15"/>
      <c r="VSV1104" s="15"/>
      <c r="VSY1104" s="15"/>
      <c r="VSZ1104" s="15"/>
      <c r="VTC1104" s="15"/>
      <c r="VTD1104" s="15"/>
      <c r="VTG1104" s="15"/>
      <c r="VTH1104" s="15"/>
      <c r="VTK1104" s="15"/>
      <c r="VTL1104" s="15"/>
      <c r="VTO1104" s="15"/>
      <c r="VTP1104" s="15"/>
      <c r="VTS1104" s="15"/>
      <c r="VTT1104" s="15"/>
      <c r="VTW1104" s="15"/>
      <c r="VTX1104" s="15"/>
      <c r="VUA1104" s="15"/>
      <c r="VUB1104" s="15"/>
      <c r="VUE1104" s="15"/>
      <c r="VUF1104" s="15"/>
      <c r="VUI1104" s="15"/>
      <c r="VUJ1104" s="15"/>
      <c r="VUM1104" s="15"/>
      <c r="VUN1104" s="15"/>
      <c r="VUQ1104" s="15"/>
      <c r="VUR1104" s="15"/>
      <c r="VUU1104" s="15"/>
      <c r="VUV1104" s="15"/>
      <c r="VUY1104" s="15"/>
      <c r="VUZ1104" s="15"/>
      <c r="VVC1104" s="15"/>
      <c r="VVD1104" s="15"/>
      <c r="VVG1104" s="15"/>
      <c r="VVH1104" s="15"/>
      <c r="VVK1104" s="15"/>
      <c r="VVL1104" s="15"/>
      <c r="VVO1104" s="15"/>
      <c r="VVP1104" s="15"/>
      <c r="VVS1104" s="15"/>
      <c r="VVT1104" s="15"/>
      <c r="VVW1104" s="15"/>
      <c r="VVX1104" s="15"/>
      <c r="VWA1104" s="15"/>
      <c r="VWB1104" s="15"/>
      <c r="VWE1104" s="15"/>
      <c r="VWF1104" s="15"/>
      <c r="VWI1104" s="15"/>
      <c r="VWJ1104" s="15"/>
      <c r="VWM1104" s="15"/>
      <c r="VWN1104" s="15"/>
      <c r="VWQ1104" s="15"/>
      <c r="VWR1104" s="15"/>
      <c r="VWU1104" s="15"/>
      <c r="VWV1104" s="15"/>
      <c r="VWY1104" s="15"/>
      <c r="VWZ1104" s="15"/>
      <c r="VXC1104" s="15"/>
      <c r="VXD1104" s="15"/>
      <c r="VXG1104" s="15"/>
      <c r="VXH1104" s="15"/>
      <c r="VXK1104" s="15"/>
      <c r="VXL1104" s="15"/>
      <c r="VXO1104" s="15"/>
      <c r="VXP1104" s="15"/>
      <c r="VXS1104" s="15"/>
      <c r="VXT1104" s="15"/>
      <c r="VXW1104" s="15"/>
      <c r="VXX1104" s="15"/>
      <c r="VYA1104" s="15"/>
      <c r="VYB1104" s="15"/>
      <c r="VYE1104" s="15"/>
      <c r="VYF1104" s="15"/>
      <c r="VYI1104" s="15"/>
      <c r="VYJ1104" s="15"/>
      <c r="VYM1104" s="15"/>
      <c r="VYN1104" s="15"/>
      <c r="VYQ1104" s="15"/>
      <c r="VYR1104" s="15"/>
      <c r="VYU1104" s="15"/>
      <c r="VYV1104" s="15"/>
      <c r="VYY1104" s="15"/>
      <c r="VYZ1104" s="15"/>
      <c r="VZC1104" s="15"/>
      <c r="VZD1104" s="15"/>
      <c r="VZG1104" s="15"/>
      <c r="VZH1104" s="15"/>
      <c r="VZK1104" s="15"/>
      <c r="VZL1104" s="15"/>
      <c r="VZO1104" s="15"/>
      <c r="VZP1104" s="15"/>
      <c r="VZS1104" s="15"/>
      <c r="VZT1104" s="15"/>
      <c r="VZW1104" s="15"/>
      <c r="VZX1104" s="15"/>
      <c r="WAA1104" s="15"/>
      <c r="WAB1104" s="15"/>
      <c r="WAE1104" s="15"/>
      <c r="WAF1104" s="15"/>
      <c r="WAI1104" s="15"/>
      <c r="WAJ1104" s="15"/>
      <c r="WAM1104" s="15"/>
      <c r="WAN1104" s="15"/>
      <c r="WAQ1104" s="15"/>
      <c r="WAR1104" s="15"/>
      <c r="WAU1104" s="15"/>
      <c r="WAV1104" s="15"/>
      <c r="WAY1104" s="15"/>
      <c r="WAZ1104" s="15"/>
      <c r="WBC1104" s="15"/>
      <c r="WBD1104" s="15"/>
      <c r="WBG1104" s="15"/>
      <c r="WBH1104" s="15"/>
      <c r="WBK1104" s="15"/>
      <c r="WBL1104" s="15"/>
      <c r="WBO1104" s="15"/>
      <c r="WBP1104" s="15"/>
      <c r="WBS1104" s="15"/>
      <c r="WBT1104" s="15"/>
      <c r="WBW1104" s="15"/>
      <c r="WBX1104" s="15"/>
      <c r="WCA1104" s="15"/>
      <c r="WCB1104" s="15"/>
      <c r="WCE1104" s="15"/>
      <c r="WCF1104" s="15"/>
      <c r="WCI1104" s="15"/>
      <c r="WCJ1104" s="15"/>
      <c r="WCM1104" s="15"/>
      <c r="WCN1104" s="15"/>
      <c r="WCQ1104" s="15"/>
      <c r="WCR1104" s="15"/>
      <c r="WCU1104" s="15"/>
      <c r="WCV1104" s="15"/>
      <c r="WCY1104" s="15"/>
      <c r="WCZ1104" s="15"/>
      <c r="WDC1104" s="15"/>
      <c r="WDD1104" s="15"/>
      <c r="WDG1104" s="15"/>
      <c r="WDH1104" s="15"/>
      <c r="WDK1104" s="15"/>
      <c r="WDL1104" s="15"/>
      <c r="WDO1104" s="15"/>
      <c r="WDP1104" s="15"/>
      <c r="WDS1104" s="15"/>
      <c r="WDT1104" s="15"/>
      <c r="WDW1104" s="15"/>
      <c r="WDX1104" s="15"/>
      <c r="WEA1104" s="15"/>
      <c r="WEB1104" s="15"/>
      <c r="WEE1104" s="15"/>
      <c r="WEF1104" s="15"/>
      <c r="WEI1104" s="15"/>
      <c r="WEJ1104" s="15"/>
      <c r="WEM1104" s="15"/>
      <c r="WEN1104" s="15"/>
      <c r="WEQ1104" s="15"/>
      <c r="WER1104" s="15"/>
      <c r="WEU1104" s="15"/>
      <c r="WEV1104" s="15"/>
      <c r="WEY1104" s="15"/>
      <c r="WEZ1104" s="15"/>
      <c r="WFC1104" s="15"/>
      <c r="WFD1104" s="15"/>
      <c r="WFG1104" s="15"/>
      <c r="WFH1104" s="15"/>
      <c r="WFK1104" s="15"/>
      <c r="WFL1104" s="15"/>
      <c r="WFO1104" s="15"/>
      <c r="WFP1104" s="15"/>
      <c r="WFS1104" s="15"/>
      <c r="WFT1104" s="15"/>
      <c r="WFW1104" s="15"/>
      <c r="WFX1104" s="15"/>
      <c r="WGA1104" s="15"/>
      <c r="WGB1104" s="15"/>
      <c r="WGE1104" s="15"/>
      <c r="WGF1104" s="15"/>
      <c r="WGI1104" s="15"/>
      <c r="WGJ1104" s="15"/>
      <c r="WGM1104" s="15"/>
      <c r="WGN1104" s="15"/>
      <c r="WGQ1104" s="15"/>
      <c r="WGR1104" s="15"/>
      <c r="WGU1104" s="15"/>
      <c r="WGV1104" s="15"/>
      <c r="WGY1104" s="15"/>
      <c r="WGZ1104" s="15"/>
      <c r="WHC1104" s="15"/>
      <c r="WHD1104" s="15"/>
      <c r="WHG1104" s="15"/>
      <c r="WHH1104" s="15"/>
      <c r="WHK1104" s="15"/>
      <c r="WHL1104" s="15"/>
      <c r="WHO1104" s="15"/>
      <c r="WHP1104" s="15"/>
      <c r="WHS1104" s="15"/>
      <c r="WHT1104" s="15"/>
      <c r="WHW1104" s="15"/>
      <c r="WHX1104" s="15"/>
      <c r="WIA1104" s="15"/>
      <c r="WIB1104" s="15"/>
      <c r="WIE1104" s="15"/>
      <c r="WIF1104" s="15"/>
      <c r="WII1104" s="15"/>
      <c r="WIJ1104" s="15"/>
      <c r="WIM1104" s="15"/>
      <c r="WIN1104" s="15"/>
      <c r="WIQ1104" s="15"/>
      <c r="WIR1104" s="15"/>
      <c r="WIU1104" s="15"/>
      <c r="WIV1104" s="15"/>
      <c r="WIY1104" s="15"/>
      <c r="WIZ1104" s="15"/>
      <c r="WJC1104" s="15"/>
      <c r="WJD1104" s="15"/>
      <c r="WJG1104" s="15"/>
      <c r="WJH1104" s="15"/>
      <c r="WJK1104" s="15"/>
      <c r="WJL1104" s="15"/>
      <c r="WJO1104" s="15"/>
      <c r="WJP1104" s="15"/>
      <c r="WJS1104" s="15"/>
      <c r="WJT1104" s="15"/>
      <c r="WJW1104" s="15"/>
      <c r="WJX1104" s="15"/>
      <c r="WKA1104" s="15"/>
      <c r="WKB1104" s="15"/>
      <c r="WKE1104" s="15"/>
      <c r="WKF1104" s="15"/>
      <c r="WKI1104" s="15"/>
      <c r="WKJ1104" s="15"/>
      <c r="WKM1104" s="15"/>
      <c r="WKN1104" s="15"/>
      <c r="WKQ1104" s="15"/>
      <c r="WKR1104" s="15"/>
      <c r="WKU1104" s="15"/>
      <c r="WKV1104" s="15"/>
      <c r="WKY1104" s="15"/>
      <c r="WKZ1104" s="15"/>
      <c r="WLC1104" s="15"/>
      <c r="WLD1104" s="15"/>
      <c r="WLG1104" s="15"/>
      <c r="WLH1104" s="15"/>
      <c r="WLK1104" s="15"/>
      <c r="WLL1104" s="15"/>
      <c r="WLO1104" s="15"/>
      <c r="WLP1104" s="15"/>
      <c r="WLS1104" s="15"/>
      <c r="WLT1104" s="15"/>
      <c r="WLW1104" s="15"/>
      <c r="WLX1104" s="15"/>
      <c r="WMA1104" s="15"/>
      <c r="WMB1104" s="15"/>
      <c r="WME1104" s="15"/>
      <c r="WMF1104" s="15"/>
      <c r="WMI1104" s="15"/>
      <c r="WMJ1104" s="15"/>
      <c r="WMM1104" s="15"/>
      <c r="WMN1104" s="15"/>
      <c r="WMQ1104" s="15"/>
      <c r="WMR1104" s="15"/>
      <c r="WMU1104" s="15"/>
      <c r="WMV1104" s="15"/>
      <c r="WMY1104" s="15"/>
      <c r="WMZ1104" s="15"/>
      <c r="WNC1104" s="15"/>
      <c r="WND1104" s="15"/>
      <c r="WNG1104" s="15"/>
      <c r="WNH1104" s="15"/>
      <c r="WNK1104" s="15"/>
      <c r="WNL1104" s="15"/>
      <c r="WNO1104" s="15"/>
      <c r="WNP1104" s="15"/>
      <c r="WNS1104" s="15"/>
      <c r="WNT1104" s="15"/>
      <c r="WNW1104" s="15"/>
      <c r="WNX1104" s="15"/>
      <c r="WOA1104" s="15"/>
      <c r="WOB1104" s="15"/>
      <c r="WOE1104" s="15"/>
      <c r="WOF1104" s="15"/>
      <c r="WOI1104" s="15"/>
      <c r="WOJ1104" s="15"/>
      <c r="WOM1104" s="15"/>
      <c r="WON1104" s="15"/>
      <c r="WOQ1104" s="15"/>
      <c r="WOR1104" s="15"/>
      <c r="WOU1104" s="15"/>
      <c r="WOV1104" s="15"/>
      <c r="WOY1104" s="15"/>
      <c r="WOZ1104" s="15"/>
      <c r="WPC1104" s="15"/>
      <c r="WPD1104" s="15"/>
      <c r="WPG1104" s="15"/>
      <c r="WPH1104" s="15"/>
      <c r="WPK1104" s="15"/>
      <c r="WPL1104" s="15"/>
      <c r="WPO1104" s="15"/>
      <c r="WPP1104" s="15"/>
      <c r="WPS1104" s="15"/>
      <c r="WPT1104" s="15"/>
      <c r="WPW1104" s="15"/>
      <c r="WPX1104" s="15"/>
      <c r="WQA1104" s="15"/>
      <c r="WQB1104" s="15"/>
      <c r="WQE1104" s="15"/>
      <c r="WQF1104" s="15"/>
      <c r="WQI1104" s="15"/>
      <c r="WQJ1104" s="15"/>
      <c r="WQM1104" s="15"/>
      <c r="WQN1104" s="15"/>
      <c r="WQQ1104" s="15"/>
      <c r="WQR1104" s="15"/>
      <c r="WQU1104" s="15"/>
      <c r="WQV1104" s="15"/>
      <c r="WQY1104" s="15"/>
      <c r="WQZ1104" s="15"/>
      <c r="WRC1104" s="15"/>
      <c r="WRD1104" s="15"/>
      <c r="WRG1104" s="15"/>
      <c r="WRH1104" s="15"/>
      <c r="WRK1104" s="15"/>
      <c r="WRL1104" s="15"/>
      <c r="WRO1104" s="15"/>
      <c r="WRP1104" s="15"/>
      <c r="WRS1104" s="15"/>
      <c r="WRT1104" s="15"/>
      <c r="WRW1104" s="15"/>
      <c r="WRX1104" s="15"/>
      <c r="WSA1104" s="15"/>
      <c r="WSB1104" s="15"/>
      <c r="WSE1104" s="15"/>
      <c r="WSF1104" s="15"/>
      <c r="WSI1104" s="15"/>
      <c r="WSJ1104" s="15"/>
      <c r="WSM1104" s="15"/>
      <c r="WSN1104" s="15"/>
      <c r="WSQ1104" s="15"/>
      <c r="WSR1104" s="15"/>
      <c r="WSU1104" s="15"/>
      <c r="WSV1104" s="15"/>
      <c r="WSY1104" s="15"/>
      <c r="WSZ1104" s="15"/>
      <c r="WTC1104" s="15"/>
      <c r="WTD1104" s="15"/>
      <c r="WTG1104" s="15"/>
      <c r="WTH1104" s="15"/>
      <c r="WTK1104" s="15"/>
      <c r="WTL1104" s="15"/>
      <c r="WTO1104" s="15"/>
      <c r="WTP1104" s="15"/>
      <c r="WTS1104" s="15"/>
      <c r="WTT1104" s="15"/>
      <c r="WTW1104" s="15"/>
      <c r="WTX1104" s="15"/>
      <c r="WUA1104" s="15"/>
      <c r="WUB1104" s="15"/>
      <c r="WUE1104" s="15"/>
      <c r="WUF1104" s="15"/>
      <c r="WUI1104" s="15"/>
      <c r="WUJ1104" s="15"/>
      <c r="WUM1104" s="15"/>
      <c r="WUN1104" s="15"/>
      <c r="WUQ1104" s="15"/>
      <c r="WUR1104" s="15"/>
      <c r="WUU1104" s="15"/>
      <c r="WUV1104" s="15"/>
      <c r="WUY1104" s="15"/>
      <c r="WUZ1104" s="15"/>
      <c r="WVC1104" s="15"/>
      <c r="WVD1104" s="15"/>
      <c r="WVG1104" s="15"/>
      <c r="WVH1104" s="15"/>
      <c r="WVK1104" s="15"/>
      <c r="WVL1104" s="15"/>
      <c r="WVO1104" s="15"/>
      <c r="WVP1104" s="15"/>
      <c r="WVS1104" s="15"/>
      <c r="WVT1104" s="15"/>
      <c r="WVW1104" s="15"/>
      <c r="WVX1104" s="15"/>
      <c r="WWA1104" s="15"/>
      <c r="WWB1104" s="15"/>
      <c r="WWE1104" s="15"/>
      <c r="WWF1104" s="15"/>
      <c r="WWI1104" s="15"/>
      <c r="WWJ1104" s="15"/>
      <c r="WWM1104" s="15"/>
      <c r="WWN1104" s="15"/>
      <c r="WWQ1104" s="15"/>
      <c r="WWR1104" s="15"/>
      <c r="WWU1104" s="15"/>
      <c r="WWV1104" s="15"/>
      <c r="WWY1104" s="15"/>
      <c r="WWZ1104" s="15"/>
      <c r="WXC1104" s="15"/>
      <c r="WXD1104" s="15"/>
      <c r="WXG1104" s="15"/>
      <c r="WXH1104" s="15"/>
      <c r="WXK1104" s="15"/>
      <c r="WXL1104" s="15"/>
      <c r="WXO1104" s="15"/>
      <c r="WXP1104" s="15"/>
      <c r="WXS1104" s="15"/>
      <c r="WXT1104" s="15"/>
      <c r="WXW1104" s="15"/>
      <c r="WXX1104" s="15"/>
      <c r="WYA1104" s="15"/>
      <c r="WYB1104" s="15"/>
      <c r="WYE1104" s="15"/>
      <c r="WYF1104" s="15"/>
      <c r="WYI1104" s="15"/>
      <c r="WYJ1104" s="15"/>
      <c r="WYM1104" s="15"/>
      <c r="WYN1104" s="15"/>
      <c r="WYQ1104" s="15"/>
      <c r="WYR1104" s="15"/>
      <c r="WYU1104" s="15"/>
      <c r="WYV1104" s="15"/>
      <c r="WYY1104" s="15"/>
      <c r="WYZ1104" s="15"/>
      <c r="WZC1104" s="15"/>
      <c r="WZD1104" s="15"/>
      <c r="WZG1104" s="15"/>
      <c r="WZH1104" s="15"/>
      <c r="WZK1104" s="15"/>
      <c r="WZL1104" s="15"/>
      <c r="WZO1104" s="15"/>
      <c r="WZP1104" s="15"/>
      <c r="WZS1104" s="15"/>
      <c r="WZT1104" s="15"/>
      <c r="WZW1104" s="15"/>
      <c r="WZX1104" s="15"/>
      <c r="XAA1104" s="15"/>
      <c r="XAB1104" s="15"/>
      <c r="XAE1104" s="15"/>
      <c r="XAF1104" s="15"/>
      <c r="XAI1104" s="15"/>
      <c r="XAJ1104" s="15"/>
      <c r="XAM1104" s="15"/>
      <c r="XAN1104" s="15"/>
      <c r="XAQ1104" s="15"/>
      <c r="XAR1104" s="15"/>
      <c r="XAU1104" s="15"/>
      <c r="XAV1104" s="15"/>
      <c r="XAY1104" s="15"/>
      <c r="XAZ1104" s="15"/>
      <c r="XBC1104" s="15"/>
      <c r="XBD1104" s="15"/>
      <c r="XBG1104" s="15"/>
      <c r="XBH1104" s="15"/>
      <c r="XBK1104" s="15"/>
      <c r="XBL1104" s="15"/>
      <c r="XBO1104" s="15"/>
      <c r="XBP1104" s="15"/>
      <c r="XBS1104" s="15"/>
      <c r="XBT1104" s="15"/>
      <c r="XBW1104" s="15"/>
      <c r="XBX1104" s="15"/>
      <c r="XCA1104" s="15"/>
      <c r="XCB1104" s="15"/>
      <c r="XCE1104" s="15"/>
      <c r="XCF1104" s="15"/>
      <c r="XCI1104" s="15"/>
      <c r="XCJ1104" s="15"/>
      <c r="XCM1104" s="15"/>
      <c r="XCN1104" s="15"/>
      <c r="XCQ1104" s="15"/>
      <c r="XCR1104" s="15"/>
      <c r="XCU1104" s="15"/>
      <c r="XCV1104" s="15"/>
      <c r="XCY1104" s="15"/>
      <c r="XCZ1104" s="15"/>
      <c r="XDC1104" s="15"/>
      <c r="XDD1104" s="15"/>
      <c r="XDG1104" s="15"/>
      <c r="XDH1104" s="15"/>
      <c r="XDK1104" s="15"/>
      <c r="XDL1104" s="15"/>
      <c r="XDO1104" s="15"/>
      <c r="XDP1104" s="15"/>
      <c r="XDS1104" s="15"/>
      <c r="XDT1104" s="15"/>
      <c r="XDW1104" s="15"/>
      <c r="XDX1104" s="15"/>
      <c r="XEA1104" s="15"/>
      <c r="XEB1104" s="15"/>
      <c r="XEE1104" s="15"/>
      <c r="XEF1104" s="15"/>
      <c r="XEI1104" s="15"/>
      <c r="XEJ1104" s="15"/>
      <c r="XEM1104" s="15"/>
      <c r="XEN1104" s="15"/>
      <c r="XEQ1104" s="15"/>
      <c r="XER1104" s="15"/>
      <c r="XEU1104" s="15"/>
      <c r="XEV1104" s="15"/>
      <c r="XEY1104" s="15"/>
      <c r="XEZ1104" s="15"/>
      <c r="XFC1104" s="15"/>
      <c r="XFD1104" s="15"/>
    </row>
    <row r="1105" spans="1:1024 1027:2048 2051:3072 3075:4096 4099:5120 5123:6144 6147:7168 7171:8192 8195:9216 9219:10240 10243:11264 11267:12288 12291:13312 13315:14336 14339:15360 15363:16384" outlineLevel="1" x14ac:dyDescent="0.3">
      <c r="A1105" t="s">
        <v>1832</v>
      </c>
      <c r="B1105" t="s">
        <v>269</v>
      </c>
      <c r="C1105" s="15" t="s">
        <v>10</v>
      </c>
      <c r="D1105" s="15" t="s">
        <v>1833</v>
      </c>
      <c r="E1105" t="s">
        <v>8512</v>
      </c>
      <c r="G1105" s="15"/>
      <c r="H1105" s="15"/>
      <c r="K1105" s="15"/>
      <c r="L1105" s="15"/>
      <c r="O1105" s="15"/>
      <c r="P1105" s="15"/>
      <c r="S1105" s="15"/>
      <c r="T1105" s="15"/>
      <c r="W1105" s="15"/>
      <c r="X1105" s="15"/>
      <c r="AA1105" s="15"/>
      <c r="AB1105" s="15"/>
      <c r="AE1105" s="15"/>
      <c r="AF1105" s="15"/>
      <c r="AI1105" s="15"/>
      <c r="AJ1105" s="15"/>
      <c r="AM1105" s="15"/>
      <c r="AN1105" s="15"/>
      <c r="AQ1105" s="15"/>
      <c r="AR1105" s="15"/>
      <c r="AU1105" s="15"/>
      <c r="AV1105" s="15"/>
      <c r="AY1105" s="15"/>
      <c r="AZ1105" s="15"/>
      <c r="BC1105" s="15"/>
      <c r="BD1105" s="15"/>
      <c r="BG1105" s="15"/>
      <c r="BH1105" s="15"/>
      <c r="BK1105" s="15"/>
      <c r="BL1105" s="15"/>
      <c r="BO1105" s="15"/>
      <c r="BP1105" s="15"/>
      <c r="BS1105" s="15"/>
      <c r="BT1105" s="15"/>
      <c r="BW1105" s="15"/>
      <c r="BX1105" s="15"/>
      <c r="CA1105" s="15"/>
      <c r="CB1105" s="15"/>
      <c r="CE1105" s="15"/>
      <c r="CF1105" s="15"/>
      <c r="CI1105" s="15"/>
      <c r="CJ1105" s="15"/>
      <c r="CM1105" s="15"/>
      <c r="CN1105" s="15"/>
      <c r="CQ1105" s="15"/>
      <c r="CR1105" s="15"/>
      <c r="CU1105" s="15"/>
      <c r="CV1105" s="15"/>
      <c r="CY1105" s="15"/>
      <c r="CZ1105" s="15"/>
      <c r="DC1105" s="15"/>
      <c r="DD1105" s="15"/>
      <c r="DG1105" s="15"/>
      <c r="DH1105" s="15"/>
      <c r="DK1105" s="15"/>
      <c r="DL1105" s="15"/>
      <c r="DO1105" s="15"/>
      <c r="DP1105" s="15"/>
      <c r="DS1105" s="15"/>
      <c r="DT1105" s="15"/>
      <c r="DW1105" s="15"/>
      <c r="DX1105" s="15"/>
      <c r="EA1105" s="15"/>
      <c r="EB1105" s="15"/>
      <c r="EE1105" s="15"/>
      <c r="EF1105" s="15"/>
      <c r="EI1105" s="15"/>
      <c r="EJ1105" s="15"/>
      <c r="EM1105" s="15"/>
      <c r="EN1105" s="15"/>
      <c r="EQ1105" s="15"/>
      <c r="ER1105" s="15"/>
      <c r="EU1105" s="15"/>
      <c r="EV1105" s="15"/>
      <c r="EY1105" s="15"/>
      <c r="EZ1105" s="15"/>
      <c r="FC1105" s="15"/>
      <c r="FD1105" s="15"/>
      <c r="FG1105" s="15"/>
      <c r="FH1105" s="15"/>
      <c r="FK1105" s="15"/>
      <c r="FL1105" s="15"/>
      <c r="FO1105" s="15"/>
      <c r="FP1105" s="15"/>
      <c r="FS1105" s="15"/>
      <c r="FT1105" s="15"/>
      <c r="FW1105" s="15"/>
      <c r="FX1105" s="15"/>
      <c r="GA1105" s="15"/>
      <c r="GB1105" s="15"/>
      <c r="GE1105" s="15"/>
      <c r="GF1105" s="15"/>
      <c r="GI1105" s="15"/>
      <c r="GJ1105" s="15"/>
      <c r="GM1105" s="15"/>
      <c r="GN1105" s="15"/>
      <c r="GQ1105" s="15"/>
      <c r="GR1105" s="15"/>
      <c r="GU1105" s="15"/>
      <c r="GV1105" s="15"/>
      <c r="GY1105" s="15"/>
      <c r="GZ1105" s="15"/>
      <c r="HC1105" s="15"/>
      <c r="HD1105" s="15"/>
      <c r="HG1105" s="15"/>
      <c r="HH1105" s="15"/>
      <c r="HK1105" s="15"/>
      <c r="HL1105" s="15"/>
      <c r="HO1105" s="15"/>
      <c r="HP1105" s="15"/>
      <c r="HS1105" s="15"/>
      <c r="HT1105" s="15"/>
      <c r="HW1105" s="15"/>
      <c r="HX1105" s="15"/>
      <c r="IA1105" s="15"/>
      <c r="IB1105" s="15"/>
      <c r="IE1105" s="15"/>
      <c r="IF1105" s="15"/>
      <c r="II1105" s="15"/>
      <c r="IJ1105" s="15"/>
      <c r="IM1105" s="15"/>
      <c r="IN1105" s="15"/>
      <c r="IQ1105" s="15"/>
      <c r="IR1105" s="15"/>
      <c r="IU1105" s="15"/>
      <c r="IV1105" s="15"/>
      <c r="IY1105" s="15"/>
      <c r="IZ1105" s="15"/>
      <c r="JC1105" s="15"/>
      <c r="JD1105" s="15"/>
      <c r="JG1105" s="15"/>
      <c r="JH1105" s="15"/>
      <c r="JK1105" s="15"/>
      <c r="JL1105" s="15"/>
      <c r="JO1105" s="15"/>
      <c r="JP1105" s="15"/>
      <c r="JS1105" s="15"/>
      <c r="JT1105" s="15"/>
      <c r="JW1105" s="15"/>
      <c r="JX1105" s="15"/>
      <c r="KA1105" s="15"/>
      <c r="KB1105" s="15"/>
      <c r="KE1105" s="15"/>
      <c r="KF1105" s="15"/>
      <c r="KI1105" s="15"/>
      <c r="KJ1105" s="15"/>
      <c r="KM1105" s="15"/>
      <c r="KN1105" s="15"/>
      <c r="KQ1105" s="15"/>
      <c r="KR1105" s="15"/>
      <c r="KU1105" s="15"/>
      <c r="KV1105" s="15"/>
      <c r="KY1105" s="15"/>
      <c r="KZ1105" s="15"/>
      <c r="LC1105" s="15"/>
      <c r="LD1105" s="15"/>
      <c r="LG1105" s="15"/>
      <c r="LH1105" s="15"/>
      <c r="LK1105" s="15"/>
      <c r="LL1105" s="15"/>
      <c r="LO1105" s="15"/>
      <c r="LP1105" s="15"/>
      <c r="LS1105" s="15"/>
      <c r="LT1105" s="15"/>
      <c r="LW1105" s="15"/>
      <c r="LX1105" s="15"/>
      <c r="MA1105" s="15"/>
      <c r="MB1105" s="15"/>
      <c r="ME1105" s="15"/>
      <c r="MF1105" s="15"/>
      <c r="MI1105" s="15"/>
      <c r="MJ1105" s="15"/>
      <c r="MM1105" s="15"/>
      <c r="MN1105" s="15"/>
      <c r="MQ1105" s="15"/>
      <c r="MR1105" s="15"/>
      <c r="MU1105" s="15"/>
      <c r="MV1105" s="15"/>
      <c r="MY1105" s="15"/>
      <c r="MZ1105" s="15"/>
      <c r="NC1105" s="15"/>
      <c r="ND1105" s="15"/>
      <c r="NG1105" s="15"/>
      <c r="NH1105" s="15"/>
      <c r="NK1105" s="15"/>
      <c r="NL1105" s="15"/>
      <c r="NO1105" s="15"/>
      <c r="NP1105" s="15"/>
      <c r="NS1105" s="15"/>
      <c r="NT1105" s="15"/>
      <c r="NW1105" s="15"/>
      <c r="NX1105" s="15"/>
      <c r="OA1105" s="15"/>
      <c r="OB1105" s="15"/>
      <c r="OE1105" s="15"/>
      <c r="OF1105" s="15"/>
      <c r="OI1105" s="15"/>
      <c r="OJ1105" s="15"/>
      <c r="OM1105" s="15"/>
      <c r="ON1105" s="15"/>
      <c r="OQ1105" s="15"/>
      <c r="OR1105" s="15"/>
      <c r="OU1105" s="15"/>
      <c r="OV1105" s="15"/>
      <c r="OY1105" s="15"/>
      <c r="OZ1105" s="15"/>
      <c r="PC1105" s="15"/>
      <c r="PD1105" s="15"/>
      <c r="PG1105" s="15"/>
      <c r="PH1105" s="15"/>
      <c r="PK1105" s="15"/>
      <c r="PL1105" s="15"/>
      <c r="PO1105" s="15"/>
      <c r="PP1105" s="15"/>
      <c r="PS1105" s="15"/>
      <c r="PT1105" s="15"/>
      <c r="PW1105" s="15"/>
      <c r="PX1105" s="15"/>
      <c r="QA1105" s="15"/>
      <c r="QB1105" s="15"/>
      <c r="QE1105" s="15"/>
      <c r="QF1105" s="15"/>
      <c r="QI1105" s="15"/>
      <c r="QJ1105" s="15"/>
      <c r="QM1105" s="15"/>
      <c r="QN1105" s="15"/>
      <c r="QQ1105" s="15"/>
      <c r="QR1105" s="15"/>
      <c r="QU1105" s="15"/>
      <c r="QV1105" s="15"/>
      <c r="QY1105" s="15"/>
      <c r="QZ1105" s="15"/>
      <c r="RC1105" s="15"/>
      <c r="RD1105" s="15"/>
      <c r="RG1105" s="15"/>
      <c r="RH1105" s="15"/>
      <c r="RK1105" s="15"/>
      <c r="RL1105" s="15"/>
      <c r="RO1105" s="15"/>
      <c r="RP1105" s="15"/>
      <c r="RS1105" s="15"/>
      <c r="RT1105" s="15"/>
      <c r="RW1105" s="15"/>
      <c r="RX1105" s="15"/>
      <c r="SA1105" s="15"/>
      <c r="SB1105" s="15"/>
      <c r="SE1105" s="15"/>
      <c r="SF1105" s="15"/>
      <c r="SI1105" s="15"/>
      <c r="SJ1105" s="15"/>
      <c r="SM1105" s="15"/>
      <c r="SN1105" s="15"/>
      <c r="SQ1105" s="15"/>
      <c r="SR1105" s="15"/>
      <c r="SU1105" s="15"/>
      <c r="SV1105" s="15"/>
      <c r="SY1105" s="15"/>
      <c r="SZ1105" s="15"/>
      <c r="TC1105" s="15"/>
      <c r="TD1105" s="15"/>
      <c r="TG1105" s="15"/>
      <c r="TH1105" s="15"/>
      <c r="TK1105" s="15"/>
      <c r="TL1105" s="15"/>
      <c r="TO1105" s="15"/>
      <c r="TP1105" s="15"/>
      <c r="TS1105" s="15"/>
      <c r="TT1105" s="15"/>
      <c r="TW1105" s="15"/>
      <c r="TX1105" s="15"/>
      <c r="UA1105" s="15"/>
      <c r="UB1105" s="15"/>
      <c r="UE1105" s="15"/>
      <c r="UF1105" s="15"/>
      <c r="UI1105" s="15"/>
      <c r="UJ1105" s="15"/>
      <c r="UM1105" s="15"/>
      <c r="UN1105" s="15"/>
      <c r="UQ1105" s="15"/>
      <c r="UR1105" s="15"/>
      <c r="UU1105" s="15"/>
      <c r="UV1105" s="15"/>
      <c r="UY1105" s="15"/>
      <c r="UZ1105" s="15"/>
      <c r="VC1105" s="15"/>
      <c r="VD1105" s="15"/>
      <c r="VG1105" s="15"/>
      <c r="VH1105" s="15"/>
      <c r="VK1105" s="15"/>
      <c r="VL1105" s="15"/>
      <c r="VO1105" s="15"/>
      <c r="VP1105" s="15"/>
      <c r="VS1105" s="15"/>
      <c r="VT1105" s="15"/>
      <c r="VW1105" s="15"/>
      <c r="VX1105" s="15"/>
      <c r="WA1105" s="15"/>
      <c r="WB1105" s="15"/>
      <c r="WE1105" s="15"/>
      <c r="WF1105" s="15"/>
      <c r="WI1105" s="15"/>
      <c r="WJ1105" s="15"/>
      <c r="WM1105" s="15"/>
      <c r="WN1105" s="15"/>
      <c r="WQ1105" s="15"/>
      <c r="WR1105" s="15"/>
      <c r="WU1105" s="15"/>
      <c r="WV1105" s="15"/>
      <c r="WY1105" s="15"/>
      <c r="WZ1105" s="15"/>
      <c r="XC1105" s="15"/>
      <c r="XD1105" s="15"/>
      <c r="XG1105" s="15"/>
      <c r="XH1105" s="15"/>
      <c r="XK1105" s="15"/>
      <c r="XL1105" s="15"/>
      <c r="XO1105" s="15"/>
      <c r="XP1105" s="15"/>
      <c r="XS1105" s="15"/>
      <c r="XT1105" s="15"/>
      <c r="XW1105" s="15"/>
      <c r="XX1105" s="15"/>
      <c r="YA1105" s="15"/>
      <c r="YB1105" s="15"/>
      <c r="YE1105" s="15"/>
      <c r="YF1105" s="15"/>
      <c r="YI1105" s="15"/>
      <c r="YJ1105" s="15"/>
      <c r="YM1105" s="15"/>
      <c r="YN1105" s="15"/>
      <c r="YQ1105" s="15"/>
      <c r="YR1105" s="15"/>
      <c r="YU1105" s="15"/>
      <c r="YV1105" s="15"/>
      <c r="YY1105" s="15"/>
      <c r="YZ1105" s="15"/>
      <c r="ZC1105" s="15"/>
      <c r="ZD1105" s="15"/>
      <c r="ZG1105" s="15"/>
      <c r="ZH1105" s="15"/>
      <c r="ZK1105" s="15"/>
      <c r="ZL1105" s="15"/>
      <c r="ZO1105" s="15"/>
      <c r="ZP1105" s="15"/>
      <c r="ZS1105" s="15"/>
      <c r="ZT1105" s="15"/>
      <c r="ZW1105" s="15"/>
      <c r="ZX1105" s="15"/>
      <c r="AAA1105" s="15"/>
      <c r="AAB1105" s="15"/>
      <c r="AAE1105" s="15"/>
      <c r="AAF1105" s="15"/>
      <c r="AAI1105" s="15"/>
      <c r="AAJ1105" s="15"/>
      <c r="AAM1105" s="15"/>
      <c r="AAN1105" s="15"/>
      <c r="AAQ1105" s="15"/>
      <c r="AAR1105" s="15"/>
      <c r="AAU1105" s="15"/>
      <c r="AAV1105" s="15"/>
      <c r="AAY1105" s="15"/>
      <c r="AAZ1105" s="15"/>
      <c r="ABC1105" s="15"/>
      <c r="ABD1105" s="15"/>
      <c r="ABG1105" s="15"/>
      <c r="ABH1105" s="15"/>
      <c r="ABK1105" s="15"/>
      <c r="ABL1105" s="15"/>
      <c r="ABO1105" s="15"/>
      <c r="ABP1105" s="15"/>
      <c r="ABS1105" s="15"/>
      <c r="ABT1105" s="15"/>
      <c r="ABW1105" s="15"/>
      <c r="ABX1105" s="15"/>
      <c r="ACA1105" s="15"/>
      <c r="ACB1105" s="15"/>
      <c r="ACE1105" s="15"/>
      <c r="ACF1105" s="15"/>
      <c r="ACI1105" s="15"/>
      <c r="ACJ1105" s="15"/>
      <c r="ACM1105" s="15"/>
      <c r="ACN1105" s="15"/>
      <c r="ACQ1105" s="15"/>
      <c r="ACR1105" s="15"/>
      <c r="ACU1105" s="15"/>
      <c r="ACV1105" s="15"/>
      <c r="ACY1105" s="15"/>
      <c r="ACZ1105" s="15"/>
      <c r="ADC1105" s="15"/>
      <c r="ADD1105" s="15"/>
      <c r="ADG1105" s="15"/>
      <c r="ADH1105" s="15"/>
      <c r="ADK1105" s="15"/>
      <c r="ADL1105" s="15"/>
      <c r="ADO1105" s="15"/>
      <c r="ADP1105" s="15"/>
      <c r="ADS1105" s="15"/>
      <c r="ADT1105" s="15"/>
      <c r="ADW1105" s="15"/>
      <c r="ADX1105" s="15"/>
      <c r="AEA1105" s="15"/>
      <c r="AEB1105" s="15"/>
      <c r="AEE1105" s="15"/>
      <c r="AEF1105" s="15"/>
      <c r="AEI1105" s="15"/>
      <c r="AEJ1105" s="15"/>
      <c r="AEM1105" s="15"/>
      <c r="AEN1105" s="15"/>
      <c r="AEQ1105" s="15"/>
      <c r="AER1105" s="15"/>
      <c r="AEU1105" s="15"/>
      <c r="AEV1105" s="15"/>
      <c r="AEY1105" s="15"/>
      <c r="AEZ1105" s="15"/>
      <c r="AFC1105" s="15"/>
      <c r="AFD1105" s="15"/>
      <c r="AFG1105" s="15"/>
      <c r="AFH1105" s="15"/>
      <c r="AFK1105" s="15"/>
      <c r="AFL1105" s="15"/>
      <c r="AFO1105" s="15"/>
      <c r="AFP1105" s="15"/>
      <c r="AFS1105" s="15"/>
      <c r="AFT1105" s="15"/>
      <c r="AFW1105" s="15"/>
      <c r="AFX1105" s="15"/>
      <c r="AGA1105" s="15"/>
      <c r="AGB1105" s="15"/>
      <c r="AGE1105" s="15"/>
      <c r="AGF1105" s="15"/>
      <c r="AGI1105" s="15"/>
      <c r="AGJ1105" s="15"/>
      <c r="AGM1105" s="15"/>
      <c r="AGN1105" s="15"/>
      <c r="AGQ1105" s="15"/>
      <c r="AGR1105" s="15"/>
      <c r="AGU1105" s="15"/>
      <c r="AGV1105" s="15"/>
      <c r="AGY1105" s="15"/>
      <c r="AGZ1105" s="15"/>
      <c r="AHC1105" s="15"/>
      <c r="AHD1105" s="15"/>
      <c r="AHG1105" s="15"/>
      <c r="AHH1105" s="15"/>
      <c r="AHK1105" s="15"/>
      <c r="AHL1105" s="15"/>
      <c r="AHO1105" s="15"/>
      <c r="AHP1105" s="15"/>
      <c r="AHS1105" s="15"/>
      <c r="AHT1105" s="15"/>
      <c r="AHW1105" s="15"/>
      <c r="AHX1105" s="15"/>
      <c r="AIA1105" s="15"/>
      <c r="AIB1105" s="15"/>
      <c r="AIE1105" s="15"/>
      <c r="AIF1105" s="15"/>
      <c r="AII1105" s="15"/>
      <c r="AIJ1105" s="15"/>
      <c r="AIM1105" s="15"/>
      <c r="AIN1105" s="15"/>
      <c r="AIQ1105" s="15"/>
      <c r="AIR1105" s="15"/>
      <c r="AIU1105" s="15"/>
      <c r="AIV1105" s="15"/>
      <c r="AIY1105" s="15"/>
      <c r="AIZ1105" s="15"/>
      <c r="AJC1105" s="15"/>
      <c r="AJD1105" s="15"/>
      <c r="AJG1105" s="15"/>
      <c r="AJH1105" s="15"/>
      <c r="AJK1105" s="15"/>
      <c r="AJL1105" s="15"/>
      <c r="AJO1105" s="15"/>
      <c r="AJP1105" s="15"/>
      <c r="AJS1105" s="15"/>
      <c r="AJT1105" s="15"/>
      <c r="AJW1105" s="15"/>
      <c r="AJX1105" s="15"/>
      <c r="AKA1105" s="15"/>
      <c r="AKB1105" s="15"/>
      <c r="AKE1105" s="15"/>
      <c r="AKF1105" s="15"/>
      <c r="AKI1105" s="15"/>
      <c r="AKJ1105" s="15"/>
      <c r="AKM1105" s="15"/>
      <c r="AKN1105" s="15"/>
      <c r="AKQ1105" s="15"/>
      <c r="AKR1105" s="15"/>
      <c r="AKU1105" s="15"/>
      <c r="AKV1105" s="15"/>
      <c r="AKY1105" s="15"/>
      <c r="AKZ1105" s="15"/>
      <c r="ALC1105" s="15"/>
      <c r="ALD1105" s="15"/>
      <c r="ALG1105" s="15"/>
      <c r="ALH1105" s="15"/>
      <c r="ALK1105" s="15"/>
      <c r="ALL1105" s="15"/>
      <c r="ALO1105" s="15"/>
      <c r="ALP1105" s="15"/>
      <c r="ALS1105" s="15"/>
      <c r="ALT1105" s="15"/>
      <c r="ALW1105" s="15"/>
      <c r="ALX1105" s="15"/>
      <c r="AMA1105" s="15"/>
      <c r="AMB1105" s="15"/>
      <c r="AME1105" s="15"/>
      <c r="AMF1105" s="15"/>
      <c r="AMI1105" s="15"/>
      <c r="AMJ1105" s="15"/>
      <c r="AMM1105" s="15"/>
      <c r="AMN1105" s="15"/>
      <c r="AMQ1105" s="15"/>
      <c r="AMR1105" s="15"/>
      <c r="AMU1105" s="15"/>
      <c r="AMV1105" s="15"/>
      <c r="AMY1105" s="15"/>
      <c r="AMZ1105" s="15"/>
      <c r="ANC1105" s="15"/>
      <c r="AND1105" s="15"/>
      <c r="ANG1105" s="15"/>
      <c r="ANH1105" s="15"/>
      <c r="ANK1105" s="15"/>
      <c r="ANL1105" s="15"/>
      <c r="ANO1105" s="15"/>
      <c r="ANP1105" s="15"/>
      <c r="ANS1105" s="15"/>
      <c r="ANT1105" s="15"/>
      <c r="ANW1105" s="15"/>
      <c r="ANX1105" s="15"/>
      <c r="AOA1105" s="15"/>
      <c r="AOB1105" s="15"/>
      <c r="AOE1105" s="15"/>
      <c r="AOF1105" s="15"/>
      <c r="AOI1105" s="15"/>
      <c r="AOJ1105" s="15"/>
      <c r="AOM1105" s="15"/>
      <c r="AON1105" s="15"/>
      <c r="AOQ1105" s="15"/>
      <c r="AOR1105" s="15"/>
      <c r="AOU1105" s="15"/>
      <c r="AOV1105" s="15"/>
      <c r="AOY1105" s="15"/>
      <c r="AOZ1105" s="15"/>
      <c r="APC1105" s="15"/>
      <c r="APD1105" s="15"/>
      <c r="APG1105" s="15"/>
      <c r="APH1105" s="15"/>
      <c r="APK1105" s="15"/>
      <c r="APL1105" s="15"/>
      <c r="APO1105" s="15"/>
      <c r="APP1105" s="15"/>
      <c r="APS1105" s="15"/>
      <c r="APT1105" s="15"/>
      <c r="APW1105" s="15"/>
      <c r="APX1105" s="15"/>
      <c r="AQA1105" s="15"/>
      <c r="AQB1105" s="15"/>
      <c r="AQE1105" s="15"/>
      <c r="AQF1105" s="15"/>
      <c r="AQI1105" s="15"/>
      <c r="AQJ1105" s="15"/>
      <c r="AQM1105" s="15"/>
      <c r="AQN1105" s="15"/>
      <c r="AQQ1105" s="15"/>
      <c r="AQR1105" s="15"/>
      <c r="AQU1105" s="15"/>
      <c r="AQV1105" s="15"/>
      <c r="AQY1105" s="15"/>
      <c r="AQZ1105" s="15"/>
      <c r="ARC1105" s="15"/>
      <c r="ARD1105" s="15"/>
      <c r="ARG1105" s="15"/>
      <c r="ARH1105" s="15"/>
      <c r="ARK1105" s="15"/>
      <c r="ARL1105" s="15"/>
      <c r="ARO1105" s="15"/>
      <c r="ARP1105" s="15"/>
      <c r="ARS1105" s="15"/>
      <c r="ART1105" s="15"/>
      <c r="ARW1105" s="15"/>
      <c r="ARX1105" s="15"/>
      <c r="ASA1105" s="15"/>
      <c r="ASB1105" s="15"/>
      <c r="ASE1105" s="15"/>
      <c r="ASF1105" s="15"/>
      <c r="ASI1105" s="15"/>
      <c r="ASJ1105" s="15"/>
      <c r="ASM1105" s="15"/>
      <c r="ASN1105" s="15"/>
      <c r="ASQ1105" s="15"/>
      <c r="ASR1105" s="15"/>
      <c r="ASU1105" s="15"/>
      <c r="ASV1105" s="15"/>
      <c r="ASY1105" s="15"/>
      <c r="ASZ1105" s="15"/>
      <c r="ATC1105" s="15"/>
      <c r="ATD1105" s="15"/>
      <c r="ATG1105" s="15"/>
      <c r="ATH1105" s="15"/>
      <c r="ATK1105" s="15"/>
      <c r="ATL1105" s="15"/>
      <c r="ATO1105" s="15"/>
      <c r="ATP1105" s="15"/>
      <c r="ATS1105" s="15"/>
      <c r="ATT1105" s="15"/>
      <c r="ATW1105" s="15"/>
      <c r="ATX1105" s="15"/>
      <c r="AUA1105" s="15"/>
      <c r="AUB1105" s="15"/>
      <c r="AUE1105" s="15"/>
      <c r="AUF1105" s="15"/>
      <c r="AUI1105" s="15"/>
      <c r="AUJ1105" s="15"/>
      <c r="AUM1105" s="15"/>
      <c r="AUN1105" s="15"/>
      <c r="AUQ1105" s="15"/>
      <c r="AUR1105" s="15"/>
      <c r="AUU1105" s="15"/>
      <c r="AUV1105" s="15"/>
      <c r="AUY1105" s="15"/>
      <c r="AUZ1105" s="15"/>
      <c r="AVC1105" s="15"/>
      <c r="AVD1105" s="15"/>
      <c r="AVG1105" s="15"/>
      <c r="AVH1105" s="15"/>
      <c r="AVK1105" s="15"/>
      <c r="AVL1105" s="15"/>
      <c r="AVO1105" s="15"/>
      <c r="AVP1105" s="15"/>
      <c r="AVS1105" s="15"/>
      <c r="AVT1105" s="15"/>
      <c r="AVW1105" s="15"/>
      <c r="AVX1105" s="15"/>
      <c r="AWA1105" s="15"/>
      <c r="AWB1105" s="15"/>
      <c r="AWE1105" s="15"/>
      <c r="AWF1105" s="15"/>
      <c r="AWI1105" s="15"/>
      <c r="AWJ1105" s="15"/>
      <c r="AWM1105" s="15"/>
      <c r="AWN1105" s="15"/>
      <c r="AWQ1105" s="15"/>
      <c r="AWR1105" s="15"/>
      <c r="AWU1105" s="15"/>
      <c r="AWV1105" s="15"/>
      <c r="AWY1105" s="15"/>
      <c r="AWZ1105" s="15"/>
      <c r="AXC1105" s="15"/>
      <c r="AXD1105" s="15"/>
      <c r="AXG1105" s="15"/>
      <c r="AXH1105" s="15"/>
      <c r="AXK1105" s="15"/>
      <c r="AXL1105" s="15"/>
      <c r="AXO1105" s="15"/>
      <c r="AXP1105" s="15"/>
      <c r="AXS1105" s="15"/>
      <c r="AXT1105" s="15"/>
      <c r="AXW1105" s="15"/>
      <c r="AXX1105" s="15"/>
      <c r="AYA1105" s="15"/>
      <c r="AYB1105" s="15"/>
      <c r="AYE1105" s="15"/>
      <c r="AYF1105" s="15"/>
      <c r="AYI1105" s="15"/>
      <c r="AYJ1105" s="15"/>
      <c r="AYM1105" s="15"/>
      <c r="AYN1105" s="15"/>
      <c r="AYQ1105" s="15"/>
      <c r="AYR1105" s="15"/>
      <c r="AYU1105" s="15"/>
      <c r="AYV1105" s="15"/>
      <c r="AYY1105" s="15"/>
      <c r="AYZ1105" s="15"/>
      <c r="AZC1105" s="15"/>
      <c r="AZD1105" s="15"/>
      <c r="AZG1105" s="15"/>
      <c r="AZH1105" s="15"/>
      <c r="AZK1105" s="15"/>
      <c r="AZL1105" s="15"/>
      <c r="AZO1105" s="15"/>
      <c r="AZP1105" s="15"/>
      <c r="AZS1105" s="15"/>
      <c r="AZT1105" s="15"/>
      <c r="AZW1105" s="15"/>
      <c r="AZX1105" s="15"/>
      <c r="BAA1105" s="15"/>
      <c r="BAB1105" s="15"/>
      <c r="BAE1105" s="15"/>
      <c r="BAF1105" s="15"/>
      <c r="BAI1105" s="15"/>
      <c r="BAJ1105" s="15"/>
      <c r="BAM1105" s="15"/>
      <c r="BAN1105" s="15"/>
      <c r="BAQ1105" s="15"/>
      <c r="BAR1105" s="15"/>
      <c r="BAU1105" s="15"/>
      <c r="BAV1105" s="15"/>
      <c r="BAY1105" s="15"/>
      <c r="BAZ1105" s="15"/>
      <c r="BBC1105" s="15"/>
      <c r="BBD1105" s="15"/>
      <c r="BBG1105" s="15"/>
      <c r="BBH1105" s="15"/>
      <c r="BBK1105" s="15"/>
      <c r="BBL1105" s="15"/>
      <c r="BBO1105" s="15"/>
      <c r="BBP1105" s="15"/>
      <c r="BBS1105" s="15"/>
      <c r="BBT1105" s="15"/>
      <c r="BBW1105" s="15"/>
      <c r="BBX1105" s="15"/>
      <c r="BCA1105" s="15"/>
      <c r="BCB1105" s="15"/>
      <c r="BCE1105" s="15"/>
      <c r="BCF1105" s="15"/>
      <c r="BCI1105" s="15"/>
      <c r="BCJ1105" s="15"/>
      <c r="BCM1105" s="15"/>
      <c r="BCN1105" s="15"/>
      <c r="BCQ1105" s="15"/>
      <c r="BCR1105" s="15"/>
      <c r="BCU1105" s="15"/>
      <c r="BCV1105" s="15"/>
      <c r="BCY1105" s="15"/>
      <c r="BCZ1105" s="15"/>
      <c r="BDC1105" s="15"/>
      <c r="BDD1105" s="15"/>
      <c r="BDG1105" s="15"/>
      <c r="BDH1105" s="15"/>
      <c r="BDK1105" s="15"/>
      <c r="BDL1105" s="15"/>
      <c r="BDO1105" s="15"/>
      <c r="BDP1105" s="15"/>
      <c r="BDS1105" s="15"/>
      <c r="BDT1105" s="15"/>
      <c r="BDW1105" s="15"/>
      <c r="BDX1105" s="15"/>
      <c r="BEA1105" s="15"/>
      <c r="BEB1105" s="15"/>
      <c r="BEE1105" s="15"/>
      <c r="BEF1105" s="15"/>
      <c r="BEI1105" s="15"/>
      <c r="BEJ1105" s="15"/>
      <c r="BEM1105" s="15"/>
      <c r="BEN1105" s="15"/>
      <c r="BEQ1105" s="15"/>
      <c r="BER1105" s="15"/>
      <c r="BEU1105" s="15"/>
      <c r="BEV1105" s="15"/>
      <c r="BEY1105" s="15"/>
      <c r="BEZ1105" s="15"/>
      <c r="BFC1105" s="15"/>
      <c r="BFD1105" s="15"/>
      <c r="BFG1105" s="15"/>
      <c r="BFH1105" s="15"/>
      <c r="BFK1105" s="15"/>
      <c r="BFL1105" s="15"/>
      <c r="BFO1105" s="15"/>
      <c r="BFP1105" s="15"/>
      <c r="BFS1105" s="15"/>
      <c r="BFT1105" s="15"/>
      <c r="BFW1105" s="15"/>
      <c r="BFX1105" s="15"/>
      <c r="BGA1105" s="15"/>
      <c r="BGB1105" s="15"/>
      <c r="BGE1105" s="15"/>
      <c r="BGF1105" s="15"/>
      <c r="BGI1105" s="15"/>
      <c r="BGJ1105" s="15"/>
      <c r="BGM1105" s="15"/>
      <c r="BGN1105" s="15"/>
      <c r="BGQ1105" s="15"/>
      <c r="BGR1105" s="15"/>
      <c r="BGU1105" s="15"/>
      <c r="BGV1105" s="15"/>
      <c r="BGY1105" s="15"/>
      <c r="BGZ1105" s="15"/>
      <c r="BHC1105" s="15"/>
      <c r="BHD1105" s="15"/>
      <c r="BHG1105" s="15"/>
      <c r="BHH1105" s="15"/>
      <c r="BHK1105" s="15"/>
      <c r="BHL1105" s="15"/>
      <c r="BHO1105" s="15"/>
      <c r="BHP1105" s="15"/>
      <c r="BHS1105" s="15"/>
      <c r="BHT1105" s="15"/>
      <c r="BHW1105" s="15"/>
      <c r="BHX1105" s="15"/>
      <c r="BIA1105" s="15"/>
      <c r="BIB1105" s="15"/>
      <c r="BIE1105" s="15"/>
      <c r="BIF1105" s="15"/>
      <c r="BII1105" s="15"/>
      <c r="BIJ1105" s="15"/>
      <c r="BIM1105" s="15"/>
      <c r="BIN1105" s="15"/>
      <c r="BIQ1105" s="15"/>
      <c r="BIR1105" s="15"/>
      <c r="BIU1105" s="15"/>
      <c r="BIV1105" s="15"/>
      <c r="BIY1105" s="15"/>
      <c r="BIZ1105" s="15"/>
      <c r="BJC1105" s="15"/>
      <c r="BJD1105" s="15"/>
      <c r="BJG1105" s="15"/>
      <c r="BJH1105" s="15"/>
      <c r="BJK1105" s="15"/>
      <c r="BJL1105" s="15"/>
      <c r="BJO1105" s="15"/>
      <c r="BJP1105" s="15"/>
      <c r="BJS1105" s="15"/>
      <c r="BJT1105" s="15"/>
      <c r="BJW1105" s="15"/>
      <c r="BJX1105" s="15"/>
      <c r="BKA1105" s="15"/>
      <c r="BKB1105" s="15"/>
      <c r="BKE1105" s="15"/>
      <c r="BKF1105" s="15"/>
      <c r="BKI1105" s="15"/>
      <c r="BKJ1105" s="15"/>
      <c r="BKM1105" s="15"/>
      <c r="BKN1105" s="15"/>
      <c r="BKQ1105" s="15"/>
      <c r="BKR1105" s="15"/>
      <c r="BKU1105" s="15"/>
      <c r="BKV1105" s="15"/>
      <c r="BKY1105" s="15"/>
      <c r="BKZ1105" s="15"/>
      <c r="BLC1105" s="15"/>
      <c r="BLD1105" s="15"/>
      <c r="BLG1105" s="15"/>
      <c r="BLH1105" s="15"/>
      <c r="BLK1105" s="15"/>
      <c r="BLL1105" s="15"/>
      <c r="BLO1105" s="15"/>
      <c r="BLP1105" s="15"/>
      <c r="BLS1105" s="15"/>
      <c r="BLT1105" s="15"/>
      <c r="BLW1105" s="15"/>
      <c r="BLX1105" s="15"/>
      <c r="BMA1105" s="15"/>
      <c r="BMB1105" s="15"/>
      <c r="BME1105" s="15"/>
      <c r="BMF1105" s="15"/>
      <c r="BMI1105" s="15"/>
      <c r="BMJ1105" s="15"/>
      <c r="BMM1105" s="15"/>
      <c r="BMN1105" s="15"/>
      <c r="BMQ1105" s="15"/>
      <c r="BMR1105" s="15"/>
      <c r="BMU1105" s="15"/>
      <c r="BMV1105" s="15"/>
      <c r="BMY1105" s="15"/>
      <c r="BMZ1105" s="15"/>
      <c r="BNC1105" s="15"/>
      <c r="BND1105" s="15"/>
      <c r="BNG1105" s="15"/>
      <c r="BNH1105" s="15"/>
      <c r="BNK1105" s="15"/>
      <c r="BNL1105" s="15"/>
      <c r="BNO1105" s="15"/>
      <c r="BNP1105" s="15"/>
      <c r="BNS1105" s="15"/>
      <c r="BNT1105" s="15"/>
      <c r="BNW1105" s="15"/>
      <c r="BNX1105" s="15"/>
      <c r="BOA1105" s="15"/>
      <c r="BOB1105" s="15"/>
      <c r="BOE1105" s="15"/>
      <c r="BOF1105" s="15"/>
      <c r="BOI1105" s="15"/>
      <c r="BOJ1105" s="15"/>
      <c r="BOM1105" s="15"/>
      <c r="BON1105" s="15"/>
      <c r="BOQ1105" s="15"/>
      <c r="BOR1105" s="15"/>
      <c r="BOU1105" s="15"/>
      <c r="BOV1105" s="15"/>
      <c r="BOY1105" s="15"/>
      <c r="BOZ1105" s="15"/>
      <c r="BPC1105" s="15"/>
      <c r="BPD1105" s="15"/>
      <c r="BPG1105" s="15"/>
      <c r="BPH1105" s="15"/>
      <c r="BPK1105" s="15"/>
      <c r="BPL1105" s="15"/>
      <c r="BPO1105" s="15"/>
      <c r="BPP1105" s="15"/>
      <c r="BPS1105" s="15"/>
      <c r="BPT1105" s="15"/>
      <c r="BPW1105" s="15"/>
      <c r="BPX1105" s="15"/>
      <c r="BQA1105" s="15"/>
      <c r="BQB1105" s="15"/>
      <c r="BQE1105" s="15"/>
      <c r="BQF1105" s="15"/>
      <c r="BQI1105" s="15"/>
      <c r="BQJ1105" s="15"/>
      <c r="BQM1105" s="15"/>
      <c r="BQN1105" s="15"/>
      <c r="BQQ1105" s="15"/>
      <c r="BQR1105" s="15"/>
      <c r="BQU1105" s="15"/>
      <c r="BQV1105" s="15"/>
      <c r="BQY1105" s="15"/>
      <c r="BQZ1105" s="15"/>
      <c r="BRC1105" s="15"/>
      <c r="BRD1105" s="15"/>
      <c r="BRG1105" s="15"/>
      <c r="BRH1105" s="15"/>
      <c r="BRK1105" s="15"/>
      <c r="BRL1105" s="15"/>
      <c r="BRO1105" s="15"/>
      <c r="BRP1105" s="15"/>
      <c r="BRS1105" s="15"/>
      <c r="BRT1105" s="15"/>
      <c r="BRW1105" s="15"/>
      <c r="BRX1105" s="15"/>
      <c r="BSA1105" s="15"/>
      <c r="BSB1105" s="15"/>
      <c r="BSE1105" s="15"/>
      <c r="BSF1105" s="15"/>
      <c r="BSI1105" s="15"/>
      <c r="BSJ1105" s="15"/>
      <c r="BSM1105" s="15"/>
      <c r="BSN1105" s="15"/>
      <c r="BSQ1105" s="15"/>
      <c r="BSR1105" s="15"/>
      <c r="BSU1105" s="15"/>
      <c r="BSV1105" s="15"/>
      <c r="BSY1105" s="15"/>
      <c r="BSZ1105" s="15"/>
      <c r="BTC1105" s="15"/>
      <c r="BTD1105" s="15"/>
      <c r="BTG1105" s="15"/>
      <c r="BTH1105" s="15"/>
      <c r="BTK1105" s="15"/>
      <c r="BTL1105" s="15"/>
      <c r="BTO1105" s="15"/>
      <c r="BTP1105" s="15"/>
      <c r="BTS1105" s="15"/>
      <c r="BTT1105" s="15"/>
      <c r="BTW1105" s="15"/>
      <c r="BTX1105" s="15"/>
      <c r="BUA1105" s="15"/>
      <c r="BUB1105" s="15"/>
      <c r="BUE1105" s="15"/>
      <c r="BUF1105" s="15"/>
      <c r="BUI1105" s="15"/>
      <c r="BUJ1105" s="15"/>
      <c r="BUM1105" s="15"/>
      <c r="BUN1105" s="15"/>
      <c r="BUQ1105" s="15"/>
      <c r="BUR1105" s="15"/>
      <c r="BUU1105" s="15"/>
      <c r="BUV1105" s="15"/>
      <c r="BUY1105" s="15"/>
      <c r="BUZ1105" s="15"/>
      <c r="BVC1105" s="15"/>
      <c r="BVD1105" s="15"/>
      <c r="BVG1105" s="15"/>
      <c r="BVH1105" s="15"/>
      <c r="BVK1105" s="15"/>
      <c r="BVL1105" s="15"/>
      <c r="BVO1105" s="15"/>
      <c r="BVP1105" s="15"/>
      <c r="BVS1105" s="15"/>
      <c r="BVT1105" s="15"/>
      <c r="BVW1105" s="15"/>
      <c r="BVX1105" s="15"/>
      <c r="BWA1105" s="15"/>
      <c r="BWB1105" s="15"/>
      <c r="BWE1105" s="15"/>
      <c r="BWF1105" s="15"/>
      <c r="BWI1105" s="15"/>
      <c r="BWJ1105" s="15"/>
      <c r="BWM1105" s="15"/>
      <c r="BWN1105" s="15"/>
      <c r="BWQ1105" s="15"/>
      <c r="BWR1105" s="15"/>
      <c r="BWU1105" s="15"/>
      <c r="BWV1105" s="15"/>
      <c r="BWY1105" s="15"/>
      <c r="BWZ1105" s="15"/>
      <c r="BXC1105" s="15"/>
      <c r="BXD1105" s="15"/>
      <c r="BXG1105" s="15"/>
      <c r="BXH1105" s="15"/>
      <c r="BXK1105" s="15"/>
      <c r="BXL1105" s="15"/>
      <c r="BXO1105" s="15"/>
      <c r="BXP1105" s="15"/>
      <c r="BXS1105" s="15"/>
      <c r="BXT1105" s="15"/>
      <c r="BXW1105" s="15"/>
      <c r="BXX1105" s="15"/>
      <c r="BYA1105" s="15"/>
      <c r="BYB1105" s="15"/>
      <c r="BYE1105" s="15"/>
      <c r="BYF1105" s="15"/>
      <c r="BYI1105" s="15"/>
      <c r="BYJ1105" s="15"/>
      <c r="BYM1105" s="15"/>
      <c r="BYN1105" s="15"/>
      <c r="BYQ1105" s="15"/>
      <c r="BYR1105" s="15"/>
      <c r="BYU1105" s="15"/>
      <c r="BYV1105" s="15"/>
      <c r="BYY1105" s="15"/>
      <c r="BYZ1105" s="15"/>
      <c r="BZC1105" s="15"/>
      <c r="BZD1105" s="15"/>
      <c r="BZG1105" s="15"/>
      <c r="BZH1105" s="15"/>
      <c r="BZK1105" s="15"/>
      <c r="BZL1105" s="15"/>
      <c r="BZO1105" s="15"/>
      <c r="BZP1105" s="15"/>
      <c r="BZS1105" s="15"/>
      <c r="BZT1105" s="15"/>
      <c r="BZW1105" s="15"/>
      <c r="BZX1105" s="15"/>
      <c r="CAA1105" s="15"/>
      <c r="CAB1105" s="15"/>
      <c r="CAE1105" s="15"/>
      <c r="CAF1105" s="15"/>
      <c r="CAI1105" s="15"/>
      <c r="CAJ1105" s="15"/>
      <c r="CAM1105" s="15"/>
      <c r="CAN1105" s="15"/>
      <c r="CAQ1105" s="15"/>
      <c r="CAR1105" s="15"/>
      <c r="CAU1105" s="15"/>
      <c r="CAV1105" s="15"/>
      <c r="CAY1105" s="15"/>
      <c r="CAZ1105" s="15"/>
      <c r="CBC1105" s="15"/>
      <c r="CBD1105" s="15"/>
      <c r="CBG1105" s="15"/>
      <c r="CBH1105" s="15"/>
      <c r="CBK1105" s="15"/>
      <c r="CBL1105" s="15"/>
      <c r="CBO1105" s="15"/>
      <c r="CBP1105" s="15"/>
      <c r="CBS1105" s="15"/>
      <c r="CBT1105" s="15"/>
      <c r="CBW1105" s="15"/>
      <c r="CBX1105" s="15"/>
      <c r="CCA1105" s="15"/>
      <c r="CCB1105" s="15"/>
      <c r="CCE1105" s="15"/>
      <c r="CCF1105" s="15"/>
      <c r="CCI1105" s="15"/>
      <c r="CCJ1105" s="15"/>
      <c r="CCM1105" s="15"/>
      <c r="CCN1105" s="15"/>
      <c r="CCQ1105" s="15"/>
      <c r="CCR1105" s="15"/>
      <c r="CCU1105" s="15"/>
      <c r="CCV1105" s="15"/>
      <c r="CCY1105" s="15"/>
      <c r="CCZ1105" s="15"/>
      <c r="CDC1105" s="15"/>
      <c r="CDD1105" s="15"/>
      <c r="CDG1105" s="15"/>
      <c r="CDH1105" s="15"/>
      <c r="CDK1105" s="15"/>
      <c r="CDL1105" s="15"/>
      <c r="CDO1105" s="15"/>
      <c r="CDP1105" s="15"/>
      <c r="CDS1105" s="15"/>
      <c r="CDT1105" s="15"/>
      <c r="CDW1105" s="15"/>
      <c r="CDX1105" s="15"/>
      <c r="CEA1105" s="15"/>
      <c r="CEB1105" s="15"/>
      <c r="CEE1105" s="15"/>
      <c r="CEF1105" s="15"/>
      <c r="CEI1105" s="15"/>
      <c r="CEJ1105" s="15"/>
      <c r="CEM1105" s="15"/>
      <c r="CEN1105" s="15"/>
      <c r="CEQ1105" s="15"/>
      <c r="CER1105" s="15"/>
      <c r="CEU1105" s="15"/>
      <c r="CEV1105" s="15"/>
      <c r="CEY1105" s="15"/>
      <c r="CEZ1105" s="15"/>
      <c r="CFC1105" s="15"/>
      <c r="CFD1105" s="15"/>
      <c r="CFG1105" s="15"/>
      <c r="CFH1105" s="15"/>
      <c r="CFK1105" s="15"/>
      <c r="CFL1105" s="15"/>
      <c r="CFO1105" s="15"/>
      <c r="CFP1105" s="15"/>
      <c r="CFS1105" s="15"/>
      <c r="CFT1105" s="15"/>
      <c r="CFW1105" s="15"/>
      <c r="CFX1105" s="15"/>
      <c r="CGA1105" s="15"/>
      <c r="CGB1105" s="15"/>
      <c r="CGE1105" s="15"/>
      <c r="CGF1105" s="15"/>
      <c r="CGI1105" s="15"/>
      <c r="CGJ1105" s="15"/>
      <c r="CGM1105" s="15"/>
      <c r="CGN1105" s="15"/>
      <c r="CGQ1105" s="15"/>
      <c r="CGR1105" s="15"/>
      <c r="CGU1105" s="15"/>
      <c r="CGV1105" s="15"/>
      <c r="CGY1105" s="15"/>
      <c r="CGZ1105" s="15"/>
      <c r="CHC1105" s="15"/>
      <c r="CHD1105" s="15"/>
      <c r="CHG1105" s="15"/>
      <c r="CHH1105" s="15"/>
      <c r="CHK1105" s="15"/>
      <c r="CHL1105" s="15"/>
      <c r="CHO1105" s="15"/>
      <c r="CHP1105" s="15"/>
      <c r="CHS1105" s="15"/>
      <c r="CHT1105" s="15"/>
      <c r="CHW1105" s="15"/>
      <c r="CHX1105" s="15"/>
      <c r="CIA1105" s="15"/>
      <c r="CIB1105" s="15"/>
      <c r="CIE1105" s="15"/>
      <c r="CIF1105" s="15"/>
      <c r="CII1105" s="15"/>
      <c r="CIJ1105" s="15"/>
      <c r="CIM1105" s="15"/>
      <c r="CIN1105" s="15"/>
      <c r="CIQ1105" s="15"/>
      <c r="CIR1105" s="15"/>
      <c r="CIU1105" s="15"/>
      <c r="CIV1105" s="15"/>
      <c r="CIY1105" s="15"/>
      <c r="CIZ1105" s="15"/>
      <c r="CJC1105" s="15"/>
      <c r="CJD1105" s="15"/>
      <c r="CJG1105" s="15"/>
      <c r="CJH1105" s="15"/>
      <c r="CJK1105" s="15"/>
      <c r="CJL1105" s="15"/>
      <c r="CJO1105" s="15"/>
      <c r="CJP1105" s="15"/>
      <c r="CJS1105" s="15"/>
      <c r="CJT1105" s="15"/>
      <c r="CJW1105" s="15"/>
      <c r="CJX1105" s="15"/>
      <c r="CKA1105" s="15"/>
      <c r="CKB1105" s="15"/>
      <c r="CKE1105" s="15"/>
      <c r="CKF1105" s="15"/>
      <c r="CKI1105" s="15"/>
      <c r="CKJ1105" s="15"/>
      <c r="CKM1105" s="15"/>
      <c r="CKN1105" s="15"/>
      <c r="CKQ1105" s="15"/>
      <c r="CKR1105" s="15"/>
      <c r="CKU1105" s="15"/>
      <c r="CKV1105" s="15"/>
      <c r="CKY1105" s="15"/>
      <c r="CKZ1105" s="15"/>
      <c r="CLC1105" s="15"/>
      <c r="CLD1105" s="15"/>
      <c r="CLG1105" s="15"/>
      <c r="CLH1105" s="15"/>
      <c r="CLK1105" s="15"/>
      <c r="CLL1105" s="15"/>
      <c r="CLO1105" s="15"/>
      <c r="CLP1105" s="15"/>
      <c r="CLS1105" s="15"/>
      <c r="CLT1105" s="15"/>
      <c r="CLW1105" s="15"/>
      <c r="CLX1105" s="15"/>
      <c r="CMA1105" s="15"/>
      <c r="CMB1105" s="15"/>
      <c r="CME1105" s="15"/>
      <c r="CMF1105" s="15"/>
      <c r="CMI1105" s="15"/>
      <c r="CMJ1105" s="15"/>
      <c r="CMM1105" s="15"/>
      <c r="CMN1105" s="15"/>
      <c r="CMQ1105" s="15"/>
      <c r="CMR1105" s="15"/>
      <c r="CMU1105" s="15"/>
      <c r="CMV1105" s="15"/>
      <c r="CMY1105" s="15"/>
      <c r="CMZ1105" s="15"/>
      <c r="CNC1105" s="15"/>
      <c r="CND1105" s="15"/>
      <c r="CNG1105" s="15"/>
      <c r="CNH1105" s="15"/>
      <c r="CNK1105" s="15"/>
      <c r="CNL1105" s="15"/>
      <c r="CNO1105" s="15"/>
      <c r="CNP1105" s="15"/>
      <c r="CNS1105" s="15"/>
      <c r="CNT1105" s="15"/>
      <c r="CNW1105" s="15"/>
      <c r="CNX1105" s="15"/>
      <c r="COA1105" s="15"/>
      <c r="COB1105" s="15"/>
      <c r="COE1105" s="15"/>
      <c r="COF1105" s="15"/>
      <c r="COI1105" s="15"/>
      <c r="COJ1105" s="15"/>
      <c r="COM1105" s="15"/>
      <c r="CON1105" s="15"/>
      <c r="COQ1105" s="15"/>
      <c r="COR1105" s="15"/>
      <c r="COU1105" s="15"/>
      <c r="COV1105" s="15"/>
      <c r="COY1105" s="15"/>
      <c r="COZ1105" s="15"/>
      <c r="CPC1105" s="15"/>
      <c r="CPD1105" s="15"/>
      <c r="CPG1105" s="15"/>
      <c r="CPH1105" s="15"/>
      <c r="CPK1105" s="15"/>
      <c r="CPL1105" s="15"/>
      <c r="CPO1105" s="15"/>
      <c r="CPP1105" s="15"/>
      <c r="CPS1105" s="15"/>
      <c r="CPT1105" s="15"/>
      <c r="CPW1105" s="15"/>
      <c r="CPX1105" s="15"/>
      <c r="CQA1105" s="15"/>
      <c r="CQB1105" s="15"/>
      <c r="CQE1105" s="15"/>
      <c r="CQF1105" s="15"/>
      <c r="CQI1105" s="15"/>
      <c r="CQJ1105" s="15"/>
      <c r="CQM1105" s="15"/>
      <c r="CQN1105" s="15"/>
      <c r="CQQ1105" s="15"/>
      <c r="CQR1105" s="15"/>
      <c r="CQU1105" s="15"/>
      <c r="CQV1105" s="15"/>
      <c r="CQY1105" s="15"/>
      <c r="CQZ1105" s="15"/>
      <c r="CRC1105" s="15"/>
      <c r="CRD1105" s="15"/>
      <c r="CRG1105" s="15"/>
      <c r="CRH1105" s="15"/>
      <c r="CRK1105" s="15"/>
      <c r="CRL1105" s="15"/>
      <c r="CRO1105" s="15"/>
      <c r="CRP1105" s="15"/>
      <c r="CRS1105" s="15"/>
      <c r="CRT1105" s="15"/>
      <c r="CRW1105" s="15"/>
      <c r="CRX1105" s="15"/>
      <c r="CSA1105" s="15"/>
      <c r="CSB1105" s="15"/>
      <c r="CSE1105" s="15"/>
      <c r="CSF1105" s="15"/>
      <c r="CSI1105" s="15"/>
      <c r="CSJ1105" s="15"/>
      <c r="CSM1105" s="15"/>
      <c r="CSN1105" s="15"/>
      <c r="CSQ1105" s="15"/>
      <c r="CSR1105" s="15"/>
      <c r="CSU1105" s="15"/>
      <c r="CSV1105" s="15"/>
      <c r="CSY1105" s="15"/>
      <c r="CSZ1105" s="15"/>
      <c r="CTC1105" s="15"/>
      <c r="CTD1105" s="15"/>
      <c r="CTG1105" s="15"/>
      <c r="CTH1105" s="15"/>
      <c r="CTK1105" s="15"/>
      <c r="CTL1105" s="15"/>
      <c r="CTO1105" s="15"/>
      <c r="CTP1105" s="15"/>
      <c r="CTS1105" s="15"/>
      <c r="CTT1105" s="15"/>
      <c r="CTW1105" s="15"/>
      <c r="CTX1105" s="15"/>
      <c r="CUA1105" s="15"/>
      <c r="CUB1105" s="15"/>
      <c r="CUE1105" s="15"/>
      <c r="CUF1105" s="15"/>
      <c r="CUI1105" s="15"/>
      <c r="CUJ1105" s="15"/>
      <c r="CUM1105" s="15"/>
      <c r="CUN1105" s="15"/>
      <c r="CUQ1105" s="15"/>
      <c r="CUR1105" s="15"/>
      <c r="CUU1105" s="15"/>
      <c r="CUV1105" s="15"/>
      <c r="CUY1105" s="15"/>
      <c r="CUZ1105" s="15"/>
      <c r="CVC1105" s="15"/>
      <c r="CVD1105" s="15"/>
      <c r="CVG1105" s="15"/>
      <c r="CVH1105" s="15"/>
      <c r="CVK1105" s="15"/>
      <c r="CVL1105" s="15"/>
      <c r="CVO1105" s="15"/>
      <c r="CVP1105" s="15"/>
      <c r="CVS1105" s="15"/>
      <c r="CVT1105" s="15"/>
      <c r="CVW1105" s="15"/>
      <c r="CVX1105" s="15"/>
      <c r="CWA1105" s="15"/>
      <c r="CWB1105" s="15"/>
      <c r="CWE1105" s="15"/>
      <c r="CWF1105" s="15"/>
      <c r="CWI1105" s="15"/>
      <c r="CWJ1105" s="15"/>
      <c r="CWM1105" s="15"/>
      <c r="CWN1105" s="15"/>
      <c r="CWQ1105" s="15"/>
      <c r="CWR1105" s="15"/>
      <c r="CWU1105" s="15"/>
      <c r="CWV1105" s="15"/>
      <c r="CWY1105" s="15"/>
      <c r="CWZ1105" s="15"/>
      <c r="CXC1105" s="15"/>
      <c r="CXD1105" s="15"/>
      <c r="CXG1105" s="15"/>
      <c r="CXH1105" s="15"/>
      <c r="CXK1105" s="15"/>
      <c r="CXL1105" s="15"/>
      <c r="CXO1105" s="15"/>
      <c r="CXP1105" s="15"/>
      <c r="CXS1105" s="15"/>
      <c r="CXT1105" s="15"/>
      <c r="CXW1105" s="15"/>
      <c r="CXX1105" s="15"/>
      <c r="CYA1105" s="15"/>
      <c r="CYB1105" s="15"/>
      <c r="CYE1105" s="15"/>
      <c r="CYF1105" s="15"/>
      <c r="CYI1105" s="15"/>
      <c r="CYJ1105" s="15"/>
      <c r="CYM1105" s="15"/>
      <c r="CYN1105" s="15"/>
      <c r="CYQ1105" s="15"/>
      <c r="CYR1105" s="15"/>
      <c r="CYU1105" s="15"/>
      <c r="CYV1105" s="15"/>
      <c r="CYY1105" s="15"/>
      <c r="CYZ1105" s="15"/>
      <c r="CZC1105" s="15"/>
      <c r="CZD1105" s="15"/>
      <c r="CZG1105" s="15"/>
      <c r="CZH1105" s="15"/>
      <c r="CZK1105" s="15"/>
      <c r="CZL1105" s="15"/>
      <c r="CZO1105" s="15"/>
      <c r="CZP1105" s="15"/>
      <c r="CZS1105" s="15"/>
      <c r="CZT1105" s="15"/>
      <c r="CZW1105" s="15"/>
      <c r="CZX1105" s="15"/>
      <c r="DAA1105" s="15"/>
      <c r="DAB1105" s="15"/>
      <c r="DAE1105" s="15"/>
      <c r="DAF1105" s="15"/>
      <c r="DAI1105" s="15"/>
      <c r="DAJ1105" s="15"/>
      <c r="DAM1105" s="15"/>
      <c r="DAN1105" s="15"/>
      <c r="DAQ1105" s="15"/>
      <c r="DAR1105" s="15"/>
      <c r="DAU1105" s="15"/>
      <c r="DAV1105" s="15"/>
      <c r="DAY1105" s="15"/>
      <c r="DAZ1105" s="15"/>
      <c r="DBC1105" s="15"/>
      <c r="DBD1105" s="15"/>
      <c r="DBG1105" s="15"/>
      <c r="DBH1105" s="15"/>
      <c r="DBK1105" s="15"/>
      <c r="DBL1105" s="15"/>
      <c r="DBO1105" s="15"/>
      <c r="DBP1105" s="15"/>
      <c r="DBS1105" s="15"/>
      <c r="DBT1105" s="15"/>
      <c r="DBW1105" s="15"/>
      <c r="DBX1105" s="15"/>
      <c r="DCA1105" s="15"/>
      <c r="DCB1105" s="15"/>
      <c r="DCE1105" s="15"/>
      <c r="DCF1105" s="15"/>
      <c r="DCI1105" s="15"/>
      <c r="DCJ1105" s="15"/>
      <c r="DCM1105" s="15"/>
      <c r="DCN1105" s="15"/>
      <c r="DCQ1105" s="15"/>
      <c r="DCR1105" s="15"/>
      <c r="DCU1105" s="15"/>
      <c r="DCV1105" s="15"/>
      <c r="DCY1105" s="15"/>
      <c r="DCZ1105" s="15"/>
      <c r="DDC1105" s="15"/>
      <c r="DDD1105" s="15"/>
      <c r="DDG1105" s="15"/>
      <c r="DDH1105" s="15"/>
      <c r="DDK1105" s="15"/>
      <c r="DDL1105" s="15"/>
      <c r="DDO1105" s="15"/>
      <c r="DDP1105" s="15"/>
      <c r="DDS1105" s="15"/>
      <c r="DDT1105" s="15"/>
      <c r="DDW1105" s="15"/>
      <c r="DDX1105" s="15"/>
      <c r="DEA1105" s="15"/>
      <c r="DEB1105" s="15"/>
      <c r="DEE1105" s="15"/>
      <c r="DEF1105" s="15"/>
      <c r="DEI1105" s="15"/>
      <c r="DEJ1105" s="15"/>
      <c r="DEM1105" s="15"/>
      <c r="DEN1105" s="15"/>
      <c r="DEQ1105" s="15"/>
      <c r="DER1105" s="15"/>
      <c r="DEU1105" s="15"/>
      <c r="DEV1105" s="15"/>
      <c r="DEY1105" s="15"/>
      <c r="DEZ1105" s="15"/>
      <c r="DFC1105" s="15"/>
      <c r="DFD1105" s="15"/>
      <c r="DFG1105" s="15"/>
      <c r="DFH1105" s="15"/>
      <c r="DFK1105" s="15"/>
      <c r="DFL1105" s="15"/>
      <c r="DFO1105" s="15"/>
      <c r="DFP1105" s="15"/>
      <c r="DFS1105" s="15"/>
      <c r="DFT1105" s="15"/>
      <c r="DFW1105" s="15"/>
      <c r="DFX1105" s="15"/>
      <c r="DGA1105" s="15"/>
      <c r="DGB1105" s="15"/>
      <c r="DGE1105" s="15"/>
      <c r="DGF1105" s="15"/>
      <c r="DGI1105" s="15"/>
      <c r="DGJ1105" s="15"/>
      <c r="DGM1105" s="15"/>
      <c r="DGN1105" s="15"/>
      <c r="DGQ1105" s="15"/>
      <c r="DGR1105" s="15"/>
      <c r="DGU1105" s="15"/>
      <c r="DGV1105" s="15"/>
      <c r="DGY1105" s="15"/>
      <c r="DGZ1105" s="15"/>
      <c r="DHC1105" s="15"/>
      <c r="DHD1105" s="15"/>
      <c r="DHG1105" s="15"/>
      <c r="DHH1105" s="15"/>
      <c r="DHK1105" s="15"/>
      <c r="DHL1105" s="15"/>
      <c r="DHO1105" s="15"/>
      <c r="DHP1105" s="15"/>
      <c r="DHS1105" s="15"/>
      <c r="DHT1105" s="15"/>
      <c r="DHW1105" s="15"/>
      <c r="DHX1105" s="15"/>
      <c r="DIA1105" s="15"/>
      <c r="DIB1105" s="15"/>
      <c r="DIE1105" s="15"/>
      <c r="DIF1105" s="15"/>
      <c r="DII1105" s="15"/>
      <c r="DIJ1105" s="15"/>
      <c r="DIM1105" s="15"/>
      <c r="DIN1105" s="15"/>
      <c r="DIQ1105" s="15"/>
      <c r="DIR1105" s="15"/>
      <c r="DIU1105" s="15"/>
      <c r="DIV1105" s="15"/>
      <c r="DIY1105" s="15"/>
      <c r="DIZ1105" s="15"/>
      <c r="DJC1105" s="15"/>
      <c r="DJD1105" s="15"/>
      <c r="DJG1105" s="15"/>
      <c r="DJH1105" s="15"/>
      <c r="DJK1105" s="15"/>
      <c r="DJL1105" s="15"/>
      <c r="DJO1105" s="15"/>
      <c r="DJP1105" s="15"/>
      <c r="DJS1105" s="15"/>
      <c r="DJT1105" s="15"/>
      <c r="DJW1105" s="15"/>
      <c r="DJX1105" s="15"/>
      <c r="DKA1105" s="15"/>
      <c r="DKB1105" s="15"/>
      <c r="DKE1105" s="15"/>
      <c r="DKF1105" s="15"/>
      <c r="DKI1105" s="15"/>
      <c r="DKJ1105" s="15"/>
      <c r="DKM1105" s="15"/>
      <c r="DKN1105" s="15"/>
      <c r="DKQ1105" s="15"/>
      <c r="DKR1105" s="15"/>
      <c r="DKU1105" s="15"/>
      <c r="DKV1105" s="15"/>
      <c r="DKY1105" s="15"/>
      <c r="DKZ1105" s="15"/>
      <c r="DLC1105" s="15"/>
      <c r="DLD1105" s="15"/>
      <c r="DLG1105" s="15"/>
      <c r="DLH1105" s="15"/>
      <c r="DLK1105" s="15"/>
      <c r="DLL1105" s="15"/>
      <c r="DLO1105" s="15"/>
      <c r="DLP1105" s="15"/>
      <c r="DLS1105" s="15"/>
      <c r="DLT1105" s="15"/>
      <c r="DLW1105" s="15"/>
      <c r="DLX1105" s="15"/>
      <c r="DMA1105" s="15"/>
      <c r="DMB1105" s="15"/>
      <c r="DME1105" s="15"/>
      <c r="DMF1105" s="15"/>
      <c r="DMI1105" s="15"/>
      <c r="DMJ1105" s="15"/>
      <c r="DMM1105" s="15"/>
      <c r="DMN1105" s="15"/>
      <c r="DMQ1105" s="15"/>
      <c r="DMR1105" s="15"/>
      <c r="DMU1105" s="15"/>
      <c r="DMV1105" s="15"/>
      <c r="DMY1105" s="15"/>
      <c r="DMZ1105" s="15"/>
      <c r="DNC1105" s="15"/>
      <c r="DND1105" s="15"/>
      <c r="DNG1105" s="15"/>
      <c r="DNH1105" s="15"/>
      <c r="DNK1105" s="15"/>
      <c r="DNL1105" s="15"/>
      <c r="DNO1105" s="15"/>
      <c r="DNP1105" s="15"/>
      <c r="DNS1105" s="15"/>
      <c r="DNT1105" s="15"/>
      <c r="DNW1105" s="15"/>
      <c r="DNX1105" s="15"/>
      <c r="DOA1105" s="15"/>
      <c r="DOB1105" s="15"/>
      <c r="DOE1105" s="15"/>
      <c r="DOF1105" s="15"/>
      <c r="DOI1105" s="15"/>
      <c r="DOJ1105" s="15"/>
      <c r="DOM1105" s="15"/>
      <c r="DON1105" s="15"/>
      <c r="DOQ1105" s="15"/>
      <c r="DOR1105" s="15"/>
      <c r="DOU1105" s="15"/>
      <c r="DOV1105" s="15"/>
      <c r="DOY1105" s="15"/>
      <c r="DOZ1105" s="15"/>
      <c r="DPC1105" s="15"/>
      <c r="DPD1105" s="15"/>
      <c r="DPG1105" s="15"/>
      <c r="DPH1105" s="15"/>
      <c r="DPK1105" s="15"/>
      <c r="DPL1105" s="15"/>
      <c r="DPO1105" s="15"/>
      <c r="DPP1105" s="15"/>
      <c r="DPS1105" s="15"/>
      <c r="DPT1105" s="15"/>
      <c r="DPW1105" s="15"/>
      <c r="DPX1105" s="15"/>
      <c r="DQA1105" s="15"/>
      <c r="DQB1105" s="15"/>
      <c r="DQE1105" s="15"/>
      <c r="DQF1105" s="15"/>
      <c r="DQI1105" s="15"/>
      <c r="DQJ1105" s="15"/>
      <c r="DQM1105" s="15"/>
      <c r="DQN1105" s="15"/>
      <c r="DQQ1105" s="15"/>
      <c r="DQR1105" s="15"/>
      <c r="DQU1105" s="15"/>
      <c r="DQV1105" s="15"/>
      <c r="DQY1105" s="15"/>
      <c r="DQZ1105" s="15"/>
      <c r="DRC1105" s="15"/>
      <c r="DRD1105" s="15"/>
      <c r="DRG1105" s="15"/>
      <c r="DRH1105" s="15"/>
      <c r="DRK1105" s="15"/>
      <c r="DRL1105" s="15"/>
      <c r="DRO1105" s="15"/>
      <c r="DRP1105" s="15"/>
      <c r="DRS1105" s="15"/>
      <c r="DRT1105" s="15"/>
      <c r="DRW1105" s="15"/>
      <c r="DRX1105" s="15"/>
      <c r="DSA1105" s="15"/>
      <c r="DSB1105" s="15"/>
      <c r="DSE1105" s="15"/>
      <c r="DSF1105" s="15"/>
      <c r="DSI1105" s="15"/>
      <c r="DSJ1105" s="15"/>
      <c r="DSM1105" s="15"/>
      <c r="DSN1105" s="15"/>
      <c r="DSQ1105" s="15"/>
      <c r="DSR1105" s="15"/>
      <c r="DSU1105" s="15"/>
      <c r="DSV1105" s="15"/>
      <c r="DSY1105" s="15"/>
      <c r="DSZ1105" s="15"/>
      <c r="DTC1105" s="15"/>
      <c r="DTD1105" s="15"/>
      <c r="DTG1105" s="15"/>
      <c r="DTH1105" s="15"/>
      <c r="DTK1105" s="15"/>
      <c r="DTL1105" s="15"/>
      <c r="DTO1105" s="15"/>
      <c r="DTP1105" s="15"/>
      <c r="DTS1105" s="15"/>
      <c r="DTT1105" s="15"/>
      <c r="DTW1105" s="15"/>
      <c r="DTX1105" s="15"/>
      <c r="DUA1105" s="15"/>
      <c r="DUB1105" s="15"/>
      <c r="DUE1105" s="15"/>
      <c r="DUF1105" s="15"/>
      <c r="DUI1105" s="15"/>
      <c r="DUJ1105" s="15"/>
      <c r="DUM1105" s="15"/>
      <c r="DUN1105" s="15"/>
      <c r="DUQ1105" s="15"/>
      <c r="DUR1105" s="15"/>
      <c r="DUU1105" s="15"/>
      <c r="DUV1105" s="15"/>
      <c r="DUY1105" s="15"/>
      <c r="DUZ1105" s="15"/>
      <c r="DVC1105" s="15"/>
      <c r="DVD1105" s="15"/>
      <c r="DVG1105" s="15"/>
      <c r="DVH1105" s="15"/>
      <c r="DVK1105" s="15"/>
      <c r="DVL1105" s="15"/>
      <c r="DVO1105" s="15"/>
      <c r="DVP1105" s="15"/>
      <c r="DVS1105" s="15"/>
      <c r="DVT1105" s="15"/>
      <c r="DVW1105" s="15"/>
      <c r="DVX1105" s="15"/>
      <c r="DWA1105" s="15"/>
      <c r="DWB1105" s="15"/>
      <c r="DWE1105" s="15"/>
      <c r="DWF1105" s="15"/>
      <c r="DWI1105" s="15"/>
      <c r="DWJ1105" s="15"/>
      <c r="DWM1105" s="15"/>
      <c r="DWN1105" s="15"/>
      <c r="DWQ1105" s="15"/>
      <c r="DWR1105" s="15"/>
      <c r="DWU1105" s="15"/>
      <c r="DWV1105" s="15"/>
      <c r="DWY1105" s="15"/>
      <c r="DWZ1105" s="15"/>
      <c r="DXC1105" s="15"/>
      <c r="DXD1105" s="15"/>
      <c r="DXG1105" s="15"/>
      <c r="DXH1105" s="15"/>
      <c r="DXK1105" s="15"/>
      <c r="DXL1105" s="15"/>
      <c r="DXO1105" s="15"/>
      <c r="DXP1105" s="15"/>
      <c r="DXS1105" s="15"/>
      <c r="DXT1105" s="15"/>
      <c r="DXW1105" s="15"/>
      <c r="DXX1105" s="15"/>
      <c r="DYA1105" s="15"/>
      <c r="DYB1105" s="15"/>
      <c r="DYE1105" s="15"/>
      <c r="DYF1105" s="15"/>
      <c r="DYI1105" s="15"/>
      <c r="DYJ1105" s="15"/>
      <c r="DYM1105" s="15"/>
      <c r="DYN1105" s="15"/>
      <c r="DYQ1105" s="15"/>
      <c r="DYR1105" s="15"/>
      <c r="DYU1105" s="15"/>
      <c r="DYV1105" s="15"/>
      <c r="DYY1105" s="15"/>
      <c r="DYZ1105" s="15"/>
      <c r="DZC1105" s="15"/>
      <c r="DZD1105" s="15"/>
      <c r="DZG1105" s="15"/>
      <c r="DZH1105" s="15"/>
      <c r="DZK1105" s="15"/>
      <c r="DZL1105" s="15"/>
      <c r="DZO1105" s="15"/>
      <c r="DZP1105" s="15"/>
      <c r="DZS1105" s="15"/>
      <c r="DZT1105" s="15"/>
      <c r="DZW1105" s="15"/>
      <c r="DZX1105" s="15"/>
      <c r="EAA1105" s="15"/>
      <c r="EAB1105" s="15"/>
      <c r="EAE1105" s="15"/>
      <c r="EAF1105" s="15"/>
      <c r="EAI1105" s="15"/>
      <c r="EAJ1105" s="15"/>
      <c r="EAM1105" s="15"/>
      <c r="EAN1105" s="15"/>
      <c r="EAQ1105" s="15"/>
      <c r="EAR1105" s="15"/>
      <c r="EAU1105" s="15"/>
      <c r="EAV1105" s="15"/>
      <c r="EAY1105" s="15"/>
      <c r="EAZ1105" s="15"/>
      <c r="EBC1105" s="15"/>
      <c r="EBD1105" s="15"/>
      <c r="EBG1105" s="15"/>
      <c r="EBH1105" s="15"/>
      <c r="EBK1105" s="15"/>
      <c r="EBL1105" s="15"/>
      <c r="EBO1105" s="15"/>
      <c r="EBP1105" s="15"/>
      <c r="EBS1105" s="15"/>
      <c r="EBT1105" s="15"/>
      <c r="EBW1105" s="15"/>
      <c r="EBX1105" s="15"/>
      <c r="ECA1105" s="15"/>
      <c r="ECB1105" s="15"/>
      <c r="ECE1105" s="15"/>
      <c r="ECF1105" s="15"/>
      <c r="ECI1105" s="15"/>
      <c r="ECJ1105" s="15"/>
      <c r="ECM1105" s="15"/>
      <c r="ECN1105" s="15"/>
      <c r="ECQ1105" s="15"/>
      <c r="ECR1105" s="15"/>
      <c r="ECU1105" s="15"/>
      <c r="ECV1105" s="15"/>
      <c r="ECY1105" s="15"/>
      <c r="ECZ1105" s="15"/>
      <c r="EDC1105" s="15"/>
      <c r="EDD1105" s="15"/>
      <c r="EDG1105" s="15"/>
      <c r="EDH1105" s="15"/>
      <c r="EDK1105" s="15"/>
      <c r="EDL1105" s="15"/>
      <c r="EDO1105" s="15"/>
      <c r="EDP1105" s="15"/>
      <c r="EDS1105" s="15"/>
      <c r="EDT1105" s="15"/>
      <c r="EDW1105" s="15"/>
      <c r="EDX1105" s="15"/>
      <c r="EEA1105" s="15"/>
      <c r="EEB1105" s="15"/>
      <c r="EEE1105" s="15"/>
      <c r="EEF1105" s="15"/>
      <c r="EEI1105" s="15"/>
      <c r="EEJ1105" s="15"/>
      <c r="EEM1105" s="15"/>
      <c r="EEN1105" s="15"/>
      <c r="EEQ1105" s="15"/>
      <c r="EER1105" s="15"/>
      <c r="EEU1105" s="15"/>
      <c r="EEV1105" s="15"/>
      <c r="EEY1105" s="15"/>
      <c r="EEZ1105" s="15"/>
      <c r="EFC1105" s="15"/>
      <c r="EFD1105" s="15"/>
      <c r="EFG1105" s="15"/>
      <c r="EFH1105" s="15"/>
      <c r="EFK1105" s="15"/>
      <c r="EFL1105" s="15"/>
      <c r="EFO1105" s="15"/>
      <c r="EFP1105" s="15"/>
      <c r="EFS1105" s="15"/>
      <c r="EFT1105" s="15"/>
      <c r="EFW1105" s="15"/>
      <c r="EFX1105" s="15"/>
      <c r="EGA1105" s="15"/>
      <c r="EGB1105" s="15"/>
      <c r="EGE1105" s="15"/>
      <c r="EGF1105" s="15"/>
      <c r="EGI1105" s="15"/>
      <c r="EGJ1105" s="15"/>
      <c r="EGM1105" s="15"/>
      <c r="EGN1105" s="15"/>
      <c r="EGQ1105" s="15"/>
      <c r="EGR1105" s="15"/>
      <c r="EGU1105" s="15"/>
      <c r="EGV1105" s="15"/>
      <c r="EGY1105" s="15"/>
      <c r="EGZ1105" s="15"/>
      <c r="EHC1105" s="15"/>
      <c r="EHD1105" s="15"/>
      <c r="EHG1105" s="15"/>
      <c r="EHH1105" s="15"/>
      <c r="EHK1105" s="15"/>
      <c r="EHL1105" s="15"/>
      <c r="EHO1105" s="15"/>
      <c r="EHP1105" s="15"/>
      <c r="EHS1105" s="15"/>
      <c r="EHT1105" s="15"/>
      <c r="EHW1105" s="15"/>
      <c r="EHX1105" s="15"/>
      <c r="EIA1105" s="15"/>
      <c r="EIB1105" s="15"/>
      <c r="EIE1105" s="15"/>
      <c r="EIF1105" s="15"/>
      <c r="EII1105" s="15"/>
      <c r="EIJ1105" s="15"/>
      <c r="EIM1105" s="15"/>
      <c r="EIN1105" s="15"/>
      <c r="EIQ1105" s="15"/>
      <c r="EIR1105" s="15"/>
      <c r="EIU1105" s="15"/>
      <c r="EIV1105" s="15"/>
      <c r="EIY1105" s="15"/>
      <c r="EIZ1105" s="15"/>
      <c r="EJC1105" s="15"/>
      <c r="EJD1105" s="15"/>
      <c r="EJG1105" s="15"/>
      <c r="EJH1105" s="15"/>
      <c r="EJK1105" s="15"/>
      <c r="EJL1105" s="15"/>
      <c r="EJO1105" s="15"/>
      <c r="EJP1105" s="15"/>
      <c r="EJS1105" s="15"/>
      <c r="EJT1105" s="15"/>
      <c r="EJW1105" s="15"/>
      <c r="EJX1105" s="15"/>
      <c r="EKA1105" s="15"/>
      <c r="EKB1105" s="15"/>
      <c r="EKE1105" s="15"/>
      <c r="EKF1105" s="15"/>
      <c r="EKI1105" s="15"/>
      <c r="EKJ1105" s="15"/>
      <c r="EKM1105" s="15"/>
      <c r="EKN1105" s="15"/>
      <c r="EKQ1105" s="15"/>
      <c r="EKR1105" s="15"/>
      <c r="EKU1105" s="15"/>
      <c r="EKV1105" s="15"/>
      <c r="EKY1105" s="15"/>
      <c r="EKZ1105" s="15"/>
      <c r="ELC1105" s="15"/>
      <c r="ELD1105" s="15"/>
      <c r="ELG1105" s="15"/>
      <c r="ELH1105" s="15"/>
      <c r="ELK1105" s="15"/>
      <c r="ELL1105" s="15"/>
      <c r="ELO1105" s="15"/>
      <c r="ELP1105" s="15"/>
      <c r="ELS1105" s="15"/>
      <c r="ELT1105" s="15"/>
      <c r="ELW1105" s="15"/>
      <c r="ELX1105" s="15"/>
      <c r="EMA1105" s="15"/>
      <c r="EMB1105" s="15"/>
      <c r="EME1105" s="15"/>
      <c r="EMF1105" s="15"/>
      <c r="EMI1105" s="15"/>
      <c r="EMJ1105" s="15"/>
      <c r="EMM1105" s="15"/>
      <c r="EMN1105" s="15"/>
      <c r="EMQ1105" s="15"/>
      <c r="EMR1105" s="15"/>
      <c r="EMU1105" s="15"/>
      <c r="EMV1105" s="15"/>
      <c r="EMY1105" s="15"/>
      <c r="EMZ1105" s="15"/>
      <c r="ENC1105" s="15"/>
      <c r="END1105" s="15"/>
      <c r="ENG1105" s="15"/>
      <c r="ENH1105" s="15"/>
      <c r="ENK1105" s="15"/>
      <c r="ENL1105" s="15"/>
      <c r="ENO1105" s="15"/>
      <c r="ENP1105" s="15"/>
      <c r="ENS1105" s="15"/>
      <c r="ENT1105" s="15"/>
      <c r="ENW1105" s="15"/>
      <c r="ENX1105" s="15"/>
      <c r="EOA1105" s="15"/>
      <c r="EOB1105" s="15"/>
      <c r="EOE1105" s="15"/>
      <c r="EOF1105" s="15"/>
      <c r="EOI1105" s="15"/>
      <c r="EOJ1105" s="15"/>
      <c r="EOM1105" s="15"/>
      <c r="EON1105" s="15"/>
      <c r="EOQ1105" s="15"/>
      <c r="EOR1105" s="15"/>
      <c r="EOU1105" s="15"/>
      <c r="EOV1105" s="15"/>
      <c r="EOY1105" s="15"/>
      <c r="EOZ1105" s="15"/>
      <c r="EPC1105" s="15"/>
      <c r="EPD1105" s="15"/>
      <c r="EPG1105" s="15"/>
      <c r="EPH1105" s="15"/>
      <c r="EPK1105" s="15"/>
      <c r="EPL1105" s="15"/>
      <c r="EPO1105" s="15"/>
      <c r="EPP1105" s="15"/>
      <c r="EPS1105" s="15"/>
      <c r="EPT1105" s="15"/>
      <c r="EPW1105" s="15"/>
      <c r="EPX1105" s="15"/>
      <c r="EQA1105" s="15"/>
      <c r="EQB1105" s="15"/>
      <c r="EQE1105" s="15"/>
      <c r="EQF1105" s="15"/>
      <c r="EQI1105" s="15"/>
      <c r="EQJ1105" s="15"/>
      <c r="EQM1105" s="15"/>
      <c r="EQN1105" s="15"/>
      <c r="EQQ1105" s="15"/>
      <c r="EQR1105" s="15"/>
      <c r="EQU1105" s="15"/>
      <c r="EQV1105" s="15"/>
      <c r="EQY1105" s="15"/>
      <c r="EQZ1105" s="15"/>
      <c r="ERC1105" s="15"/>
      <c r="ERD1105" s="15"/>
      <c r="ERG1105" s="15"/>
      <c r="ERH1105" s="15"/>
      <c r="ERK1105" s="15"/>
      <c r="ERL1105" s="15"/>
      <c r="ERO1105" s="15"/>
      <c r="ERP1105" s="15"/>
      <c r="ERS1105" s="15"/>
      <c r="ERT1105" s="15"/>
      <c r="ERW1105" s="15"/>
      <c r="ERX1105" s="15"/>
      <c r="ESA1105" s="15"/>
      <c r="ESB1105" s="15"/>
      <c r="ESE1105" s="15"/>
      <c r="ESF1105" s="15"/>
      <c r="ESI1105" s="15"/>
      <c r="ESJ1105" s="15"/>
      <c r="ESM1105" s="15"/>
      <c r="ESN1105" s="15"/>
      <c r="ESQ1105" s="15"/>
      <c r="ESR1105" s="15"/>
      <c r="ESU1105" s="15"/>
      <c r="ESV1105" s="15"/>
      <c r="ESY1105" s="15"/>
      <c r="ESZ1105" s="15"/>
      <c r="ETC1105" s="15"/>
      <c r="ETD1105" s="15"/>
      <c r="ETG1105" s="15"/>
      <c r="ETH1105" s="15"/>
      <c r="ETK1105" s="15"/>
      <c r="ETL1105" s="15"/>
      <c r="ETO1105" s="15"/>
      <c r="ETP1105" s="15"/>
      <c r="ETS1105" s="15"/>
      <c r="ETT1105" s="15"/>
      <c r="ETW1105" s="15"/>
      <c r="ETX1105" s="15"/>
      <c r="EUA1105" s="15"/>
      <c r="EUB1105" s="15"/>
      <c r="EUE1105" s="15"/>
      <c r="EUF1105" s="15"/>
      <c r="EUI1105" s="15"/>
      <c r="EUJ1105" s="15"/>
      <c r="EUM1105" s="15"/>
      <c r="EUN1105" s="15"/>
      <c r="EUQ1105" s="15"/>
      <c r="EUR1105" s="15"/>
      <c r="EUU1105" s="15"/>
      <c r="EUV1105" s="15"/>
      <c r="EUY1105" s="15"/>
      <c r="EUZ1105" s="15"/>
      <c r="EVC1105" s="15"/>
      <c r="EVD1105" s="15"/>
      <c r="EVG1105" s="15"/>
      <c r="EVH1105" s="15"/>
      <c r="EVK1105" s="15"/>
      <c r="EVL1105" s="15"/>
      <c r="EVO1105" s="15"/>
      <c r="EVP1105" s="15"/>
      <c r="EVS1105" s="15"/>
      <c r="EVT1105" s="15"/>
      <c r="EVW1105" s="15"/>
      <c r="EVX1105" s="15"/>
      <c r="EWA1105" s="15"/>
      <c r="EWB1105" s="15"/>
      <c r="EWE1105" s="15"/>
      <c r="EWF1105" s="15"/>
      <c r="EWI1105" s="15"/>
      <c r="EWJ1105" s="15"/>
      <c r="EWM1105" s="15"/>
      <c r="EWN1105" s="15"/>
      <c r="EWQ1105" s="15"/>
      <c r="EWR1105" s="15"/>
      <c r="EWU1105" s="15"/>
      <c r="EWV1105" s="15"/>
      <c r="EWY1105" s="15"/>
      <c r="EWZ1105" s="15"/>
      <c r="EXC1105" s="15"/>
      <c r="EXD1105" s="15"/>
      <c r="EXG1105" s="15"/>
      <c r="EXH1105" s="15"/>
      <c r="EXK1105" s="15"/>
      <c r="EXL1105" s="15"/>
      <c r="EXO1105" s="15"/>
      <c r="EXP1105" s="15"/>
      <c r="EXS1105" s="15"/>
      <c r="EXT1105" s="15"/>
      <c r="EXW1105" s="15"/>
      <c r="EXX1105" s="15"/>
      <c r="EYA1105" s="15"/>
      <c r="EYB1105" s="15"/>
      <c r="EYE1105" s="15"/>
      <c r="EYF1105" s="15"/>
      <c r="EYI1105" s="15"/>
      <c r="EYJ1105" s="15"/>
      <c r="EYM1105" s="15"/>
      <c r="EYN1105" s="15"/>
      <c r="EYQ1105" s="15"/>
      <c r="EYR1105" s="15"/>
      <c r="EYU1105" s="15"/>
      <c r="EYV1105" s="15"/>
      <c r="EYY1105" s="15"/>
      <c r="EYZ1105" s="15"/>
      <c r="EZC1105" s="15"/>
      <c r="EZD1105" s="15"/>
      <c r="EZG1105" s="15"/>
      <c r="EZH1105" s="15"/>
      <c r="EZK1105" s="15"/>
      <c r="EZL1105" s="15"/>
      <c r="EZO1105" s="15"/>
      <c r="EZP1105" s="15"/>
      <c r="EZS1105" s="15"/>
      <c r="EZT1105" s="15"/>
      <c r="EZW1105" s="15"/>
      <c r="EZX1105" s="15"/>
      <c r="FAA1105" s="15"/>
      <c r="FAB1105" s="15"/>
      <c r="FAE1105" s="15"/>
      <c r="FAF1105" s="15"/>
      <c r="FAI1105" s="15"/>
      <c r="FAJ1105" s="15"/>
      <c r="FAM1105" s="15"/>
      <c r="FAN1105" s="15"/>
      <c r="FAQ1105" s="15"/>
      <c r="FAR1105" s="15"/>
      <c r="FAU1105" s="15"/>
      <c r="FAV1105" s="15"/>
      <c r="FAY1105" s="15"/>
      <c r="FAZ1105" s="15"/>
      <c r="FBC1105" s="15"/>
      <c r="FBD1105" s="15"/>
      <c r="FBG1105" s="15"/>
      <c r="FBH1105" s="15"/>
      <c r="FBK1105" s="15"/>
      <c r="FBL1105" s="15"/>
      <c r="FBO1105" s="15"/>
      <c r="FBP1105" s="15"/>
      <c r="FBS1105" s="15"/>
      <c r="FBT1105" s="15"/>
      <c r="FBW1105" s="15"/>
      <c r="FBX1105" s="15"/>
      <c r="FCA1105" s="15"/>
      <c r="FCB1105" s="15"/>
      <c r="FCE1105" s="15"/>
      <c r="FCF1105" s="15"/>
      <c r="FCI1105" s="15"/>
      <c r="FCJ1105" s="15"/>
      <c r="FCM1105" s="15"/>
      <c r="FCN1105" s="15"/>
      <c r="FCQ1105" s="15"/>
      <c r="FCR1105" s="15"/>
      <c r="FCU1105" s="15"/>
      <c r="FCV1105" s="15"/>
      <c r="FCY1105" s="15"/>
      <c r="FCZ1105" s="15"/>
      <c r="FDC1105" s="15"/>
      <c r="FDD1105" s="15"/>
      <c r="FDG1105" s="15"/>
      <c r="FDH1105" s="15"/>
      <c r="FDK1105" s="15"/>
      <c r="FDL1105" s="15"/>
      <c r="FDO1105" s="15"/>
      <c r="FDP1105" s="15"/>
      <c r="FDS1105" s="15"/>
      <c r="FDT1105" s="15"/>
      <c r="FDW1105" s="15"/>
      <c r="FDX1105" s="15"/>
      <c r="FEA1105" s="15"/>
      <c r="FEB1105" s="15"/>
      <c r="FEE1105" s="15"/>
      <c r="FEF1105" s="15"/>
      <c r="FEI1105" s="15"/>
      <c r="FEJ1105" s="15"/>
      <c r="FEM1105" s="15"/>
      <c r="FEN1105" s="15"/>
      <c r="FEQ1105" s="15"/>
      <c r="FER1105" s="15"/>
      <c r="FEU1105" s="15"/>
      <c r="FEV1105" s="15"/>
      <c r="FEY1105" s="15"/>
      <c r="FEZ1105" s="15"/>
      <c r="FFC1105" s="15"/>
      <c r="FFD1105" s="15"/>
      <c r="FFG1105" s="15"/>
      <c r="FFH1105" s="15"/>
      <c r="FFK1105" s="15"/>
      <c r="FFL1105" s="15"/>
      <c r="FFO1105" s="15"/>
      <c r="FFP1105" s="15"/>
      <c r="FFS1105" s="15"/>
      <c r="FFT1105" s="15"/>
      <c r="FFW1105" s="15"/>
      <c r="FFX1105" s="15"/>
      <c r="FGA1105" s="15"/>
      <c r="FGB1105" s="15"/>
      <c r="FGE1105" s="15"/>
      <c r="FGF1105" s="15"/>
      <c r="FGI1105" s="15"/>
      <c r="FGJ1105" s="15"/>
      <c r="FGM1105" s="15"/>
      <c r="FGN1105" s="15"/>
      <c r="FGQ1105" s="15"/>
      <c r="FGR1105" s="15"/>
      <c r="FGU1105" s="15"/>
      <c r="FGV1105" s="15"/>
      <c r="FGY1105" s="15"/>
      <c r="FGZ1105" s="15"/>
      <c r="FHC1105" s="15"/>
      <c r="FHD1105" s="15"/>
      <c r="FHG1105" s="15"/>
      <c r="FHH1105" s="15"/>
      <c r="FHK1105" s="15"/>
      <c r="FHL1105" s="15"/>
      <c r="FHO1105" s="15"/>
      <c r="FHP1105" s="15"/>
      <c r="FHS1105" s="15"/>
      <c r="FHT1105" s="15"/>
      <c r="FHW1105" s="15"/>
      <c r="FHX1105" s="15"/>
      <c r="FIA1105" s="15"/>
      <c r="FIB1105" s="15"/>
      <c r="FIE1105" s="15"/>
      <c r="FIF1105" s="15"/>
      <c r="FII1105" s="15"/>
      <c r="FIJ1105" s="15"/>
      <c r="FIM1105" s="15"/>
      <c r="FIN1105" s="15"/>
      <c r="FIQ1105" s="15"/>
      <c r="FIR1105" s="15"/>
      <c r="FIU1105" s="15"/>
      <c r="FIV1105" s="15"/>
      <c r="FIY1105" s="15"/>
      <c r="FIZ1105" s="15"/>
      <c r="FJC1105" s="15"/>
      <c r="FJD1105" s="15"/>
      <c r="FJG1105" s="15"/>
      <c r="FJH1105" s="15"/>
      <c r="FJK1105" s="15"/>
      <c r="FJL1105" s="15"/>
      <c r="FJO1105" s="15"/>
      <c r="FJP1105" s="15"/>
      <c r="FJS1105" s="15"/>
      <c r="FJT1105" s="15"/>
      <c r="FJW1105" s="15"/>
      <c r="FJX1105" s="15"/>
      <c r="FKA1105" s="15"/>
      <c r="FKB1105" s="15"/>
      <c r="FKE1105" s="15"/>
      <c r="FKF1105" s="15"/>
      <c r="FKI1105" s="15"/>
      <c r="FKJ1105" s="15"/>
      <c r="FKM1105" s="15"/>
      <c r="FKN1105" s="15"/>
      <c r="FKQ1105" s="15"/>
      <c r="FKR1105" s="15"/>
      <c r="FKU1105" s="15"/>
      <c r="FKV1105" s="15"/>
      <c r="FKY1105" s="15"/>
      <c r="FKZ1105" s="15"/>
      <c r="FLC1105" s="15"/>
      <c r="FLD1105" s="15"/>
      <c r="FLG1105" s="15"/>
      <c r="FLH1105" s="15"/>
      <c r="FLK1105" s="15"/>
      <c r="FLL1105" s="15"/>
      <c r="FLO1105" s="15"/>
      <c r="FLP1105" s="15"/>
      <c r="FLS1105" s="15"/>
      <c r="FLT1105" s="15"/>
      <c r="FLW1105" s="15"/>
      <c r="FLX1105" s="15"/>
      <c r="FMA1105" s="15"/>
      <c r="FMB1105" s="15"/>
      <c r="FME1105" s="15"/>
      <c r="FMF1105" s="15"/>
      <c r="FMI1105" s="15"/>
      <c r="FMJ1105" s="15"/>
      <c r="FMM1105" s="15"/>
      <c r="FMN1105" s="15"/>
      <c r="FMQ1105" s="15"/>
      <c r="FMR1105" s="15"/>
      <c r="FMU1105" s="15"/>
      <c r="FMV1105" s="15"/>
      <c r="FMY1105" s="15"/>
      <c r="FMZ1105" s="15"/>
      <c r="FNC1105" s="15"/>
      <c r="FND1105" s="15"/>
      <c r="FNG1105" s="15"/>
      <c r="FNH1105" s="15"/>
      <c r="FNK1105" s="15"/>
      <c r="FNL1105" s="15"/>
      <c r="FNO1105" s="15"/>
      <c r="FNP1105" s="15"/>
      <c r="FNS1105" s="15"/>
      <c r="FNT1105" s="15"/>
      <c r="FNW1105" s="15"/>
      <c r="FNX1105" s="15"/>
      <c r="FOA1105" s="15"/>
      <c r="FOB1105" s="15"/>
      <c r="FOE1105" s="15"/>
      <c r="FOF1105" s="15"/>
      <c r="FOI1105" s="15"/>
      <c r="FOJ1105" s="15"/>
      <c r="FOM1105" s="15"/>
      <c r="FON1105" s="15"/>
      <c r="FOQ1105" s="15"/>
      <c r="FOR1105" s="15"/>
      <c r="FOU1105" s="15"/>
      <c r="FOV1105" s="15"/>
      <c r="FOY1105" s="15"/>
      <c r="FOZ1105" s="15"/>
      <c r="FPC1105" s="15"/>
      <c r="FPD1105" s="15"/>
      <c r="FPG1105" s="15"/>
      <c r="FPH1105" s="15"/>
      <c r="FPK1105" s="15"/>
      <c r="FPL1105" s="15"/>
      <c r="FPO1105" s="15"/>
      <c r="FPP1105" s="15"/>
      <c r="FPS1105" s="15"/>
      <c r="FPT1105" s="15"/>
      <c r="FPW1105" s="15"/>
      <c r="FPX1105" s="15"/>
      <c r="FQA1105" s="15"/>
      <c r="FQB1105" s="15"/>
      <c r="FQE1105" s="15"/>
      <c r="FQF1105" s="15"/>
      <c r="FQI1105" s="15"/>
      <c r="FQJ1105" s="15"/>
      <c r="FQM1105" s="15"/>
      <c r="FQN1105" s="15"/>
      <c r="FQQ1105" s="15"/>
      <c r="FQR1105" s="15"/>
      <c r="FQU1105" s="15"/>
      <c r="FQV1105" s="15"/>
      <c r="FQY1105" s="15"/>
      <c r="FQZ1105" s="15"/>
      <c r="FRC1105" s="15"/>
      <c r="FRD1105" s="15"/>
      <c r="FRG1105" s="15"/>
      <c r="FRH1105" s="15"/>
      <c r="FRK1105" s="15"/>
      <c r="FRL1105" s="15"/>
      <c r="FRO1105" s="15"/>
      <c r="FRP1105" s="15"/>
      <c r="FRS1105" s="15"/>
      <c r="FRT1105" s="15"/>
      <c r="FRW1105" s="15"/>
      <c r="FRX1105" s="15"/>
      <c r="FSA1105" s="15"/>
      <c r="FSB1105" s="15"/>
      <c r="FSE1105" s="15"/>
      <c r="FSF1105" s="15"/>
      <c r="FSI1105" s="15"/>
      <c r="FSJ1105" s="15"/>
      <c r="FSM1105" s="15"/>
      <c r="FSN1105" s="15"/>
      <c r="FSQ1105" s="15"/>
      <c r="FSR1105" s="15"/>
      <c r="FSU1105" s="15"/>
      <c r="FSV1105" s="15"/>
      <c r="FSY1105" s="15"/>
      <c r="FSZ1105" s="15"/>
      <c r="FTC1105" s="15"/>
      <c r="FTD1105" s="15"/>
      <c r="FTG1105" s="15"/>
      <c r="FTH1105" s="15"/>
      <c r="FTK1105" s="15"/>
      <c r="FTL1105" s="15"/>
      <c r="FTO1105" s="15"/>
      <c r="FTP1105" s="15"/>
      <c r="FTS1105" s="15"/>
      <c r="FTT1105" s="15"/>
      <c r="FTW1105" s="15"/>
      <c r="FTX1105" s="15"/>
      <c r="FUA1105" s="15"/>
      <c r="FUB1105" s="15"/>
      <c r="FUE1105" s="15"/>
      <c r="FUF1105" s="15"/>
      <c r="FUI1105" s="15"/>
      <c r="FUJ1105" s="15"/>
      <c r="FUM1105" s="15"/>
      <c r="FUN1105" s="15"/>
      <c r="FUQ1105" s="15"/>
      <c r="FUR1105" s="15"/>
      <c r="FUU1105" s="15"/>
      <c r="FUV1105" s="15"/>
      <c r="FUY1105" s="15"/>
      <c r="FUZ1105" s="15"/>
      <c r="FVC1105" s="15"/>
      <c r="FVD1105" s="15"/>
      <c r="FVG1105" s="15"/>
      <c r="FVH1105" s="15"/>
      <c r="FVK1105" s="15"/>
      <c r="FVL1105" s="15"/>
      <c r="FVO1105" s="15"/>
      <c r="FVP1105" s="15"/>
      <c r="FVS1105" s="15"/>
      <c r="FVT1105" s="15"/>
      <c r="FVW1105" s="15"/>
      <c r="FVX1105" s="15"/>
      <c r="FWA1105" s="15"/>
      <c r="FWB1105" s="15"/>
      <c r="FWE1105" s="15"/>
      <c r="FWF1105" s="15"/>
      <c r="FWI1105" s="15"/>
      <c r="FWJ1105" s="15"/>
      <c r="FWM1105" s="15"/>
      <c r="FWN1105" s="15"/>
      <c r="FWQ1105" s="15"/>
      <c r="FWR1105" s="15"/>
      <c r="FWU1105" s="15"/>
      <c r="FWV1105" s="15"/>
      <c r="FWY1105" s="15"/>
      <c r="FWZ1105" s="15"/>
      <c r="FXC1105" s="15"/>
      <c r="FXD1105" s="15"/>
      <c r="FXG1105" s="15"/>
      <c r="FXH1105" s="15"/>
      <c r="FXK1105" s="15"/>
      <c r="FXL1105" s="15"/>
      <c r="FXO1105" s="15"/>
      <c r="FXP1105" s="15"/>
      <c r="FXS1105" s="15"/>
      <c r="FXT1105" s="15"/>
      <c r="FXW1105" s="15"/>
      <c r="FXX1105" s="15"/>
      <c r="FYA1105" s="15"/>
      <c r="FYB1105" s="15"/>
      <c r="FYE1105" s="15"/>
      <c r="FYF1105" s="15"/>
      <c r="FYI1105" s="15"/>
      <c r="FYJ1105" s="15"/>
      <c r="FYM1105" s="15"/>
      <c r="FYN1105" s="15"/>
      <c r="FYQ1105" s="15"/>
      <c r="FYR1105" s="15"/>
      <c r="FYU1105" s="15"/>
      <c r="FYV1105" s="15"/>
      <c r="FYY1105" s="15"/>
      <c r="FYZ1105" s="15"/>
      <c r="FZC1105" s="15"/>
      <c r="FZD1105" s="15"/>
      <c r="FZG1105" s="15"/>
      <c r="FZH1105" s="15"/>
      <c r="FZK1105" s="15"/>
      <c r="FZL1105" s="15"/>
      <c r="FZO1105" s="15"/>
      <c r="FZP1105" s="15"/>
      <c r="FZS1105" s="15"/>
      <c r="FZT1105" s="15"/>
      <c r="FZW1105" s="15"/>
      <c r="FZX1105" s="15"/>
      <c r="GAA1105" s="15"/>
      <c r="GAB1105" s="15"/>
      <c r="GAE1105" s="15"/>
      <c r="GAF1105" s="15"/>
      <c r="GAI1105" s="15"/>
      <c r="GAJ1105" s="15"/>
      <c r="GAM1105" s="15"/>
      <c r="GAN1105" s="15"/>
      <c r="GAQ1105" s="15"/>
      <c r="GAR1105" s="15"/>
      <c r="GAU1105" s="15"/>
      <c r="GAV1105" s="15"/>
      <c r="GAY1105" s="15"/>
      <c r="GAZ1105" s="15"/>
      <c r="GBC1105" s="15"/>
      <c r="GBD1105" s="15"/>
      <c r="GBG1105" s="15"/>
      <c r="GBH1105" s="15"/>
      <c r="GBK1105" s="15"/>
      <c r="GBL1105" s="15"/>
      <c r="GBO1105" s="15"/>
      <c r="GBP1105" s="15"/>
      <c r="GBS1105" s="15"/>
      <c r="GBT1105" s="15"/>
      <c r="GBW1105" s="15"/>
      <c r="GBX1105" s="15"/>
      <c r="GCA1105" s="15"/>
      <c r="GCB1105" s="15"/>
      <c r="GCE1105" s="15"/>
      <c r="GCF1105" s="15"/>
      <c r="GCI1105" s="15"/>
      <c r="GCJ1105" s="15"/>
      <c r="GCM1105" s="15"/>
      <c r="GCN1105" s="15"/>
      <c r="GCQ1105" s="15"/>
      <c r="GCR1105" s="15"/>
      <c r="GCU1105" s="15"/>
      <c r="GCV1105" s="15"/>
      <c r="GCY1105" s="15"/>
      <c r="GCZ1105" s="15"/>
      <c r="GDC1105" s="15"/>
      <c r="GDD1105" s="15"/>
      <c r="GDG1105" s="15"/>
      <c r="GDH1105" s="15"/>
      <c r="GDK1105" s="15"/>
      <c r="GDL1105" s="15"/>
      <c r="GDO1105" s="15"/>
      <c r="GDP1105" s="15"/>
      <c r="GDS1105" s="15"/>
      <c r="GDT1105" s="15"/>
      <c r="GDW1105" s="15"/>
      <c r="GDX1105" s="15"/>
      <c r="GEA1105" s="15"/>
      <c r="GEB1105" s="15"/>
      <c r="GEE1105" s="15"/>
      <c r="GEF1105" s="15"/>
      <c r="GEI1105" s="15"/>
      <c r="GEJ1105" s="15"/>
      <c r="GEM1105" s="15"/>
      <c r="GEN1105" s="15"/>
      <c r="GEQ1105" s="15"/>
      <c r="GER1105" s="15"/>
      <c r="GEU1105" s="15"/>
      <c r="GEV1105" s="15"/>
      <c r="GEY1105" s="15"/>
      <c r="GEZ1105" s="15"/>
      <c r="GFC1105" s="15"/>
      <c r="GFD1105" s="15"/>
      <c r="GFG1105" s="15"/>
      <c r="GFH1105" s="15"/>
      <c r="GFK1105" s="15"/>
      <c r="GFL1105" s="15"/>
      <c r="GFO1105" s="15"/>
      <c r="GFP1105" s="15"/>
      <c r="GFS1105" s="15"/>
      <c r="GFT1105" s="15"/>
      <c r="GFW1105" s="15"/>
      <c r="GFX1105" s="15"/>
      <c r="GGA1105" s="15"/>
      <c r="GGB1105" s="15"/>
      <c r="GGE1105" s="15"/>
      <c r="GGF1105" s="15"/>
      <c r="GGI1105" s="15"/>
      <c r="GGJ1105" s="15"/>
      <c r="GGM1105" s="15"/>
      <c r="GGN1105" s="15"/>
      <c r="GGQ1105" s="15"/>
      <c r="GGR1105" s="15"/>
      <c r="GGU1105" s="15"/>
      <c r="GGV1105" s="15"/>
      <c r="GGY1105" s="15"/>
      <c r="GGZ1105" s="15"/>
      <c r="GHC1105" s="15"/>
      <c r="GHD1105" s="15"/>
      <c r="GHG1105" s="15"/>
      <c r="GHH1105" s="15"/>
      <c r="GHK1105" s="15"/>
      <c r="GHL1105" s="15"/>
      <c r="GHO1105" s="15"/>
      <c r="GHP1105" s="15"/>
      <c r="GHS1105" s="15"/>
      <c r="GHT1105" s="15"/>
      <c r="GHW1105" s="15"/>
      <c r="GHX1105" s="15"/>
      <c r="GIA1105" s="15"/>
      <c r="GIB1105" s="15"/>
      <c r="GIE1105" s="15"/>
      <c r="GIF1105" s="15"/>
      <c r="GII1105" s="15"/>
      <c r="GIJ1105" s="15"/>
      <c r="GIM1105" s="15"/>
      <c r="GIN1105" s="15"/>
      <c r="GIQ1105" s="15"/>
      <c r="GIR1105" s="15"/>
      <c r="GIU1105" s="15"/>
      <c r="GIV1105" s="15"/>
      <c r="GIY1105" s="15"/>
      <c r="GIZ1105" s="15"/>
      <c r="GJC1105" s="15"/>
      <c r="GJD1105" s="15"/>
      <c r="GJG1105" s="15"/>
      <c r="GJH1105" s="15"/>
      <c r="GJK1105" s="15"/>
      <c r="GJL1105" s="15"/>
      <c r="GJO1105" s="15"/>
      <c r="GJP1105" s="15"/>
      <c r="GJS1105" s="15"/>
      <c r="GJT1105" s="15"/>
      <c r="GJW1105" s="15"/>
      <c r="GJX1105" s="15"/>
      <c r="GKA1105" s="15"/>
      <c r="GKB1105" s="15"/>
      <c r="GKE1105" s="15"/>
      <c r="GKF1105" s="15"/>
      <c r="GKI1105" s="15"/>
      <c r="GKJ1105" s="15"/>
      <c r="GKM1105" s="15"/>
      <c r="GKN1105" s="15"/>
      <c r="GKQ1105" s="15"/>
      <c r="GKR1105" s="15"/>
      <c r="GKU1105" s="15"/>
      <c r="GKV1105" s="15"/>
      <c r="GKY1105" s="15"/>
      <c r="GKZ1105" s="15"/>
      <c r="GLC1105" s="15"/>
      <c r="GLD1105" s="15"/>
      <c r="GLG1105" s="15"/>
      <c r="GLH1105" s="15"/>
      <c r="GLK1105" s="15"/>
      <c r="GLL1105" s="15"/>
      <c r="GLO1105" s="15"/>
      <c r="GLP1105" s="15"/>
      <c r="GLS1105" s="15"/>
      <c r="GLT1105" s="15"/>
      <c r="GLW1105" s="15"/>
      <c r="GLX1105" s="15"/>
      <c r="GMA1105" s="15"/>
      <c r="GMB1105" s="15"/>
      <c r="GME1105" s="15"/>
      <c r="GMF1105" s="15"/>
      <c r="GMI1105" s="15"/>
      <c r="GMJ1105" s="15"/>
      <c r="GMM1105" s="15"/>
      <c r="GMN1105" s="15"/>
      <c r="GMQ1105" s="15"/>
      <c r="GMR1105" s="15"/>
      <c r="GMU1105" s="15"/>
      <c r="GMV1105" s="15"/>
      <c r="GMY1105" s="15"/>
      <c r="GMZ1105" s="15"/>
      <c r="GNC1105" s="15"/>
      <c r="GND1105" s="15"/>
      <c r="GNG1105" s="15"/>
      <c r="GNH1105" s="15"/>
      <c r="GNK1105" s="15"/>
      <c r="GNL1105" s="15"/>
      <c r="GNO1105" s="15"/>
      <c r="GNP1105" s="15"/>
      <c r="GNS1105" s="15"/>
      <c r="GNT1105" s="15"/>
      <c r="GNW1105" s="15"/>
      <c r="GNX1105" s="15"/>
      <c r="GOA1105" s="15"/>
      <c r="GOB1105" s="15"/>
      <c r="GOE1105" s="15"/>
      <c r="GOF1105" s="15"/>
      <c r="GOI1105" s="15"/>
      <c r="GOJ1105" s="15"/>
      <c r="GOM1105" s="15"/>
      <c r="GON1105" s="15"/>
      <c r="GOQ1105" s="15"/>
      <c r="GOR1105" s="15"/>
      <c r="GOU1105" s="15"/>
      <c r="GOV1105" s="15"/>
      <c r="GOY1105" s="15"/>
      <c r="GOZ1105" s="15"/>
      <c r="GPC1105" s="15"/>
      <c r="GPD1105" s="15"/>
      <c r="GPG1105" s="15"/>
      <c r="GPH1105" s="15"/>
      <c r="GPK1105" s="15"/>
      <c r="GPL1105" s="15"/>
      <c r="GPO1105" s="15"/>
      <c r="GPP1105" s="15"/>
      <c r="GPS1105" s="15"/>
      <c r="GPT1105" s="15"/>
      <c r="GPW1105" s="15"/>
      <c r="GPX1105" s="15"/>
      <c r="GQA1105" s="15"/>
      <c r="GQB1105" s="15"/>
      <c r="GQE1105" s="15"/>
      <c r="GQF1105" s="15"/>
      <c r="GQI1105" s="15"/>
      <c r="GQJ1105" s="15"/>
      <c r="GQM1105" s="15"/>
      <c r="GQN1105" s="15"/>
      <c r="GQQ1105" s="15"/>
      <c r="GQR1105" s="15"/>
      <c r="GQU1105" s="15"/>
      <c r="GQV1105" s="15"/>
      <c r="GQY1105" s="15"/>
      <c r="GQZ1105" s="15"/>
      <c r="GRC1105" s="15"/>
      <c r="GRD1105" s="15"/>
      <c r="GRG1105" s="15"/>
      <c r="GRH1105" s="15"/>
      <c r="GRK1105" s="15"/>
      <c r="GRL1105" s="15"/>
      <c r="GRO1105" s="15"/>
      <c r="GRP1105" s="15"/>
      <c r="GRS1105" s="15"/>
      <c r="GRT1105" s="15"/>
      <c r="GRW1105" s="15"/>
      <c r="GRX1105" s="15"/>
      <c r="GSA1105" s="15"/>
      <c r="GSB1105" s="15"/>
      <c r="GSE1105" s="15"/>
      <c r="GSF1105" s="15"/>
      <c r="GSI1105" s="15"/>
      <c r="GSJ1105" s="15"/>
      <c r="GSM1105" s="15"/>
      <c r="GSN1105" s="15"/>
      <c r="GSQ1105" s="15"/>
      <c r="GSR1105" s="15"/>
      <c r="GSU1105" s="15"/>
      <c r="GSV1105" s="15"/>
      <c r="GSY1105" s="15"/>
      <c r="GSZ1105" s="15"/>
      <c r="GTC1105" s="15"/>
      <c r="GTD1105" s="15"/>
      <c r="GTG1105" s="15"/>
      <c r="GTH1105" s="15"/>
      <c r="GTK1105" s="15"/>
      <c r="GTL1105" s="15"/>
      <c r="GTO1105" s="15"/>
      <c r="GTP1105" s="15"/>
      <c r="GTS1105" s="15"/>
      <c r="GTT1105" s="15"/>
      <c r="GTW1105" s="15"/>
      <c r="GTX1105" s="15"/>
      <c r="GUA1105" s="15"/>
      <c r="GUB1105" s="15"/>
      <c r="GUE1105" s="15"/>
      <c r="GUF1105" s="15"/>
      <c r="GUI1105" s="15"/>
      <c r="GUJ1105" s="15"/>
      <c r="GUM1105" s="15"/>
      <c r="GUN1105" s="15"/>
      <c r="GUQ1105" s="15"/>
      <c r="GUR1105" s="15"/>
      <c r="GUU1105" s="15"/>
      <c r="GUV1105" s="15"/>
      <c r="GUY1105" s="15"/>
      <c r="GUZ1105" s="15"/>
      <c r="GVC1105" s="15"/>
      <c r="GVD1105" s="15"/>
      <c r="GVG1105" s="15"/>
      <c r="GVH1105" s="15"/>
      <c r="GVK1105" s="15"/>
      <c r="GVL1105" s="15"/>
      <c r="GVO1105" s="15"/>
      <c r="GVP1105" s="15"/>
      <c r="GVS1105" s="15"/>
      <c r="GVT1105" s="15"/>
      <c r="GVW1105" s="15"/>
      <c r="GVX1105" s="15"/>
      <c r="GWA1105" s="15"/>
      <c r="GWB1105" s="15"/>
      <c r="GWE1105" s="15"/>
      <c r="GWF1105" s="15"/>
      <c r="GWI1105" s="15"/>
      <c r="GWJ1105" s="15"/>
      <c r="GWM1105" s="15"/>
      <c r="GWN1105" s="15"/>
      <c r="GWQ1105" s="15"/>
      <c r="GWR1105" s="15"/>
      <c r="GWU1105" s="15"/>
      <c r="GWV1105" s="15"/>
      <c r="GWY1105" s="15"/>
      <c r="GWZ1105" s="15"/>
      <c r="GXC1105" s="15"/>
      <c r="GXD1105" s="15"/>
      <c r="GXG1105" s="15"/>
      <c r="GXH1105" s="15"/>
      <c r="GXK1105" s="15"/>
      <c r="GXL1105" s="15"/>
      <c r="GXO1105" s="15"/>
      <c r="GXP1105" s="15"/>
      <c r="GXS1105" s="15"/>
      <c r="GXT1105" s="15"/>
      <c r="GXW1105" s="15"/>
      <c r="GXX1105" s="15"/>
      <c r="GYA1105" s="15"/>
      <c r="GYB1105" s="15"/>
      <c r="GYE1105" s="15"/>
      <c r="GYF1105" s="15"/>
      <c r="GYI1105" s="15"/>
      <c r="GYJ1105" s="15"/>
      <c r="GYM1105" s="15"/>
      <c r="GYN1105" s="15"/>
      <c r="GYQ1105" s="15"/>
      <c r="GYR1105" s="15"/>
      <c r="GYU1105" s="15"/>
      <c r="GYV1105" s="15"/>
      <c r="GYY1105" s="15"/>
      <c r="GYZ1105" s="15"/>
      <c r="GZC1105" s="15"/>
      <c r="GZD1105" s="15"/>
      <c r="GZG1105" s="15"/>
      <c r="GZH1105" s="15"/>
      <c r="GZK1105" s="15"/>
      <c r="GZL1105" s="15"/>
      <c r="GZO1105" s="15"/>
      <c r="GZP1105" s="15"/>
      <c r="GZS1105" s="15"/>
      <c r="GZT1105" s="15"/>
      <c r="GZW1105" s="15"/>
      <c r="GZX1105" s="15"/>
      <c r="HAA1105" s="15"/>
      <c r="HAB1105" s="15"/>
      <c r="HAE1105" s="15"/>
      <c r="HAF1105" s="15"/>
      <c r="HAI1105" s="15"/>
      <c r="HAJ1105" s="15"/>
      <c r="HAM1105" s="15"/>
      <c r="HAN1105" s="15"/>
      <c r="HAQ1105" s="15"/>
      <c r="HAR1105" s="15"/>
      <c r="HAU1105" s="15"/>
      <c r="HAV1105" s="15"/>
      <c r="HAY1105" s="15"/>
      <c r="HAZ1105" s="15"/>
      <c r="HBC1105" s="15"/>
      <c r="HBD1105" s="15"/>
      <c r="HBG1105" s="15"/>
      <c r="HBH1105" s="15"/>
      <c r="HBK1105" s="15"/>
      <c r="HBL1105" s="15"/>
      <c r="HBO1105" s="15"/>
      <c r="HBP1105" s="15"/>
      <c r="HBS1105" s="15"/>
      <c r="HBT1105" s="15"/>
      <c r="HBW1105" s="15"/>
      <c r="HBX1105" s="15"/>
      <c r="HCA1105" s="15"/>
      <c r="HCB1105" s="15"/>
      <c r="HCE1105" s="15"/>
      <c r="HCF1105" s="15"/>
      <c r="HCI1105" s="15"/>
      <c r="HCJ1105" s="15"/>
      <c r="HCM1105" s="15"/>
      <c r="HCN1105" s="15"/>
      <c r="HCQ1105" s="15"/>
      <c r="HCR1105" s="15"/>
      <c r="HCU1105" s="15"/>
      <c r="HCV1105" s="15"/>
      <c r="HCY1105" s="15"/>
      <c r="HCZ1105" s="15"/>
      <c r="HDC1105" s="15"/>
      <c r="HDD1105" s="15"/>
      <c r="HDG1105" s="15"/>
      <c r="HDH1105" s="15"/>
      <c r="HDK1105" s="15"/>
      <c r="HDL1105" s="15"/>
      <c r="HDO1105" s="15"/>
      <c r="HDP1105" s="15"/>
      <c r="HDS1105" s="15"/>
      <c r="HDT1105" s="15"/>
      <c r="HDW1105" s="15"/>
      <c r="HDX1105" s="15"/>
      <c r="HEA1105" s="15"/>
      <c r="HEB1105" s="15"/>
      <c r="HEE1105" s="15"/>
      <c r="HEF1105" s="15"/>
      <c r="HEI1105" s="15"/>
      <c r="HEJ1105" s="15"/>
      <c r="HEM1105" s="15"/>
      <c r="HEN1105" s="15"/>
      <c r="HEQ1105" s="15"/>
      <c r="HER1105" s="15"/>
      <c r="HEU1105" s="15"/>
      <c r="HEV1105" s="15"/>
      <c r="HEY1105" s="15"/>
      <c r="HEZ1105" s="15"/>
      <c r="HFC1105" s="15"/>
      <c r="HFD1105" s="15"/>
      <c r="HFG1105" s="15"/>
      <c r="HFH1105" s="15"/>
      <c r="HFK1105" s="15"/>
      <c r="HFL1105" s="15"/>
      <c r="HFO1105" s="15"/>
      <c r="HFP1105" s="15"/>
      <c r="HFS1105" s="15"/>
      <c r="HFT1105" s="15"/>
      <c r="HFW1105" s="15"/>
      <c r="HFX1105" s="15"/>
      <c r="HGA1105" s="15"/>
      <c r="HGB1105" s="15"/>
      <c r="HGE1105" s="15"/>
      <c r="HGF1105" s="15"/>
      <c r="HGI1105" s="15"/>
      <c r="HGJ1105" s="15"/>
      <c r="HGM1105" s="15"/>
      <c r="HGN1105" s="15"/>
      <c r="HGQ1105" s="15"/>
      <c r="HGR1105" s="15"/>
      <c r="HGU1105" s="15"/>
      <c r="HGV1105" s="15"/>
      <c r="HGY1105" s="15"/>
      <c r="HGZ1105" s="15"/>
      <c r="HHC1105" s="15"/>
      <c r="HHD1105" s="15"/>
      <c r="HHG1105" s="15"/>
      <c r="HHH1105" s="15"/>
      <c r="HHK1105" s="15"/>
      <c r="HHL1105" s="15"/>
      <c r="HHO1105" s="15"/>
      <c r="HHP1105" s="15"/>
      <c r="HHS1105" s="15"/>
      <c r="HHT1105" s="15"/>
      <c r="HHW1105" s="15"/>
      <c r="HHX1105" s="15"/>
      <c r="HIA1105" s="15"/>
      <c r="HIB1105" s="15"/>
      <c r="HIE1105" s="15"/>
      <c r="HIF1105" s="15"/>
      <c r="HII1105" s="15"/>
      <c r="HIJ1105" s="15"/>
      <c r="HIM1105" s="15"/>
      <c r="HIN1105" s="15"/>
      <c r="HIQ1105" s="15"/>
      <c r="HIR1105" s="15"/>
      <c r="HIU1105" s="15"/>
      <c r="HIV1105" s="15"/>
      <c r="HIY1105" s="15"/>
      <c r="HIZ1105" s="15"/>
      <c r="HJC1105" s="15"/>
      <c r="HJD1105" s="15"/>
      <c r="HJG1105" s="15"/>
      <c r="HJH1105" s="15"/>
      <c r="HJK1105" s="15"/>
      <c r="HJL1105" s="15"/>
      <c r="HJO1105" s="15"/>
      <c r="HJP1105" s="15"/>
      <c r="HJS1105" s="15"/>
      <c r="HJT1105" s="15"/>
      <c r="HJW1105" s="15"/>
      <c r="HJX1105" s="15"/>
      <c r="HKA1105" s="15"/>
      <c r="HKB1105" s="15"/>
      <c r="HKE1105" s="15"/>
      <c r="HKF1105" s="15"/>
      <c r="HKI1105" s="15"/>
      <c r="HKJ1105" s="15"/>
      <c r="HKM1105" s="15"/>
      <c r="HKN1105" s="15"/>
      <c r="HKQ1105" s="15"/>
      <c r="HKR1105" s="15"/>
      <c r="HKU1105" s="15"/>
      <c r="HKV1105" s="15"/>
      <c r="HKY1105" s="15"/>
      <c r="HKZ1105" s="15"/>
      <c r="HLC1105" s="15"/>
      <c r="HLD1105" s="15"/>
      <c r="HLG1105" s="15"/>
      <c r="HLH1105" s="15"/>
      <c r="HLK1105" s="15"/>
      <c r="HLL1105" s="15"/>
      <c r="HLO1105" s="15"/>
      <c r="HLP1105" s="15"/>
      <c r="HLS1105" s="15"/>
      <c r="HLT1105" s="15"/>
      <c r="HLW1105" s="15"/>
      <c r="HLX1105" s="15"/>
      <c r="HMA1105" s="15"/>
      <c r="HMB1105" s="15"/>
      <c r="HME1105" s="15"/>
      <c r="HMF1105" s="15"/>
      <c r="HMI1105" s="15"/>
      <c r="HMJ1105" s="15"/>
      <c r="HMM1105" s="15"/>
      <c r="HMN1105" s="15"/>
      <c r="HMQ1105" s="15"/>
      <c r="HMR1105" s="15"/>
      <c r="HMU1105" s="15"/>
      <c r="HMV1105" s="15"/>
      <c r="HMY1105" s="15"/>
      <c r="HMZ1105" s="15"/>
      <c r="HNC1105" s="15"/>
      <c r="HND1105" s="15"/>
      <c r="HNG1105" s="15"/>
      <c r="HNH1105" s="15"/>
      <c r="HNK1105" s="15"/>
      <c r="HNL1105" s="15"/>
      <c r="HNO1105" s="15"/>
      <c r="HNP1105" s="15"/>
      <c r="HNS1105" s="15"/>
      <c r="HNT1105" s="15"/>
      <c r="HNW1105" s="15"/>
      <c r="HNX1105" s="15"/>
      <c r="HOA1105" s="15"/>
      <c r="HOB1105" s="15"/>
      <c r="HOE1105" s="15"/>
      <c r="HOF1105" s="15"/>
      <c r="HOI1105" s="15"/>
      <c r="HOJ1105" s="15"/>
      <c r="HOM1105" s="15"/>
      <c r="HON1105" s="15"/>
      <c r="HOQ1105" s="15"/>
      <c r="HOR1105" s="15"/>
      <c r="HOU1105" s="15"/>
      <c r="HOV1105" s="15"/>
      <c r="HOY1105" s="15"/>
      <c r="HOZ1105" s="15"/>
      <c r="HPC1105" s="15"/>
      <c r="HPD1105" s="15"/>
      <c r="HPG1105" s="15"/>
      <c r="HPH1105" s="15"/>
      <c r="HPK1105" s="15"/>
      <c r="HPL1105" s="15"/>
      <c r="HPO1105" s="15"/>
      <c r="HPP1105" s="15"/>
      <c r="HPS1105" s="15"/>
      <c r="HPT1105" s="15"/>
      <c r="HPW1105" s="15"/>
      <c r="HPX1105" s="15"/>
      <c r="HQA1105" s="15"/>
      <c r="HQB1105" s="15"/>
      <c r="HQE1105" s="15"/>
      <c r="HQF1105" s="15"/>
      <c r="HQI1105" s="15"/>
      <c r="HQJ1105" s="15"/>
      <c r="HQM1105" s="15"/>
      <c r="HQN1105" s="15"/>
      <c r="HQQ1105" s="15"/>
      <c r="HQR1105" s="15"/>
      <c r="HQU1105" s="15"/>
      <c r="HQV1105" s="15"/>
      <c r="HQY1105" s="15"/>
      <c r="HQZ1105" s="15"/>
      <c r="HRC1105" s="15"/>
      <c r="HRD1105" s="15"/>
      <c r="HRG1105" s="15"/>
      <c r="HRH1105" s="15"/>
      <c r="HRK1105" s="15"/>
      <c r="HRL1105" s="15"/>
      <c r="HRO1105" s="15"/>
      <c r="HRP1105" s="15"/>
      <c r="HRS1105" s="15"/>
      <c r="HRT1105" s="15"/>
      <c r="HRW1105" s="15"/>
      <c r="HRX1105" s="15"/>
      <c r="HSA1105" s="15"/>
      <c r="HSB1105" s="15"/>
      <c r="HSE1105" s="15"/>
      <c r="HSF1105" s="15"/>
      <c r="HSI1105" s="15"/>
      <c r="HSJ1105" s="15"/>
      <c r="HSM1105" s="15"/>
      <c r="HSN1105" s="15"/>
      <c r="HSQ1105" s="15"/>
      <c r="HSR1105" s="15"/>
      <c r="HSU1105" s="15"/>
      <c r="HSV1105" s="15"/>
      <c r="HSY1105" s="15"/>
      <c r="HSZ1105" s="15"/>
      <c r="HTC1105" s="15"/>
      <c r="HTD1105" s="15"/>
      <c r="HTG1105" s="15"/>
      <c r="HTH1105" s="15"/>
      <c r="HTK1105" s="15"/>
      <c r="HTL1105" s="15"/>
      <c r="HTO1105" s="15"/>
      <c r="HTP1105" s="15"/>
      <c r="HTS1105" s="15"/>
      <c r="HTT1105" s="15"/>
      <c r="HTW1105" s="15"/>
      <c r="HTX1105" s="15"/>
      <c r="HUA1105" s="15"/>
      <c r="HUB1105" s="15"/>
      <c r="HUE1105" s="15"/>
      <c r="HUF1105" s="15"/>
      <c r="HUI1105" s="15"/>
      <c r="HUJ1105" s="15"/>
      <c r="HUM1105" s="15"/>
      <c r="HUN1105" s="15"/>
      <c r="HUQ1105" s="15"/>
      <c r="HUR1105" s="15"/>
      <c r="HUU1105" s="15"/>
      <c r="HUV1105" s="15"/>
      <c r="HUY1105" s="15"/>
      <c r="HUZ1105" s="15"/>
      <c r="HVC1105" s="15"/>
      <c r="HVD1105" s="15"/>
      <c r="HVG1105" s="15"/>
      <c r="HVH1105" s="15"/>
      <c r="HVK1105" s="15"/>
      <c r="HVL1105" s="15"/>
      <c r="HVO1105" s="15"/>
      <c r="HVP1105" s="15"/>
      <c r="HVS1105" s="15"/>
      <c r="HVT1105" s="15"/>
      <c r="HVW1105" s="15"/>
      <c r="HVX1105" s="15"/>
      <c r="HWA1105" s="15"/>
      <c r="HWB1105" s="15"/>
      <c r="HWE1105" s="15"/>
      <c r="HWF1105" s="15"/>
      <c r="HWI1105" s="15"/>
      <c r="HWJ1105" s="15"/>
      <c r="HWM1105" s="15"/>
      <c r="HWN1105" s="15"/>
      <c r="HWQ1105" s="15"/>
      <c r="HWR1105" s="15"/>
      <c r="HWU1105" s="15"/>
      <c r="HWV1105" s="15"/>
      <c r="HWY1105" s="15"/>
      <c r="HWZ1105" s="15"/>
      <c r="HXC1105" s="15"/>
      <c r="HXD1105" s="15"/>
      <c r="HXG1105" s="15"/>
      <c r="HXH1105" s="15"/>
      <c r="HXK1105" s="15"/>
      <c r="HXL1105" s="15"/>
      <c r="HXO1105" s="15"/>
      <c r="HXP1105" s="15"/>
      <c r="HXS1105" s="15"/>
      <c r="HXT1105" s="15"/>
      <c r="HXW1105" s="15"/>
      <c r="HXX1105" s="15"/>
      <c r="HYA1105" s="15"/>
      <c r="HYB1105" s="15"/>
      <c r="HYE1105" s="15"/>
      <c r="HYF1105" s="15"/>
      <c r="HYI1105" s="15"/>
      <c r="HYJ1105" s="15"/>
      <c r="HYM1105" s="15"/>
      <c r="HYN1105" s="15"/>
      <c r="HYQ1105" s="15"/>
      <c r="HYR1105" s="15"/>
      <c r="HYU1105" s="15"/>
      <c r="HYV1105" s="15"/>
      <c r="HYY1105" s="15"/>
      <c r="HYZ1105" s="15"/>
      <c r="HZC1105" s="15"/>
      <c r="HZD1105" s="15"/>
      <c r="HZG1105" s="15"/>
      <c r="HZH1105" s="15"/>
      <c r="HZK1105" s="15"/>
      <c r="HZL1105" s="15"/>
      <c r="HZO1105" s="15"/>
      <c r="HZP1105" s="15"/>
      <c r="HZS1105" s="15"/>
      <c r="HZT1105" s="15"/>
      <c r="HZW1105" s="15"/>
      <c r="HZX1105" s="15"/>
      <c r="IAA1105" s="15"/>
      <c r="IAB1105" s="15"/>
      <c r="IAE1105" s="15"/>
      <c r="IAF1105" s="15"/>
      <c r="IAI1105" s="15"/>
      <c r="IAJ1105" s="15"/>
      <c r="IAM1105" s="15"/>
      <c r="IAN1105" s="15"/>
      <c r="IAQ1105" s="15"/>
      <c r="IAR1105" s="15"/>
      <c r="IAU1105" s="15"/>
      <c r="IAV1105" s="15"/>
      <c r="IAY1105" s="15"/>
      <c r="IAZ1105" s="15"/>
      <c r="IBC1105" s="15"/>
      <c r="IBD1105" s="15"/>
      <c r="IBG1105" s="15"/>
      <c r="IBH1105" s="15"/>
      <c r="IBK1105" s="15"/>
      <c r="IBL1105" s="15"/>
      <c r="IBO1105" s="15"/>
      <c r="IBP1105" s="15"/>
      <c r="IBS1105" s="15"/>
      <c r="IBT1105" s="15"/>
      <c r="IBW1105" s="15"/>
      <c r="IBX1105" s="15"/>
      <c r="ICA1105" s="15"/>
      <c r="ICB1105" s="15"/>
      <c r="ICE1105" s="15"/>
      <c r="ICF1105" s="15"/>
      <c r="ICI1105" s="15"/>
      <c r="ICJ1105" s="15"/>
      <c r="ICM1105" s="15"/>
      <c r="ICN1105" s="15"/>
      <c r="ICQ1105" s="15"/>
      <c r="ICR1105" s="15"/>
      <c r="ICU1105" s="15"/>
      <c r="ICV1105" s="15"/>
      <c r="ICY1105" s="15"/>
      <c r="ICZ1105" s="15"/>
      <c r="IDC1105" s="15"/>
      <c r="IDD1105" s="15"/>
      <c r="IDG1105" s="15"/>
      <c r="IDH1105" s="15"/>
      <c r="IDK1105" s="15"/>
      <c r="IDL1105" s="15"/>
      <c r="IDO1105" s="15"/>
      <c r="IDP1105" s="15"/>
      <c r="IDS1105" s="15"/>
      <c r="IDT1105" s="15"/>
      <c r="IDW1105" s="15"/>
      <c r="IDX1105" s="15"/>
      <c r="IEA1105" s="15"/>
      <c r="IEB1105" s="15"/>
      <c r="IEE1105" s="15"/>
      <c r="IEF1105" s="15"/>
      <c r="IEI1105" s="15"/>
      <c r="IEJ1105" s="15"/>
      <c r="IEM1105" s="15"/>
      <c r="IEN1105" s="15"/>
      <c r="IEQ1105" s="15"/>
      <c r="IER1105" s="15"/>
      <c r="IEU1105" s="15"/>
      <c r="IEV1105" s="15"/>
      <c r="IEY1105" s="15"/>
      <c r="IEZ1105" s="15"/>
      <c r="IFC1105" s="15"/>
      <c r="IFD1105" s="15"/>
      <c r="IFG1105" s="15"/>
      <c r="IFH1105" s="15"/>
      <c r="IFK1105" s="15"/>
      <c r="IFL1105" s="15"/>
      <c r="IFO1105" s="15"/>
      <c r="IFP1105" s="15"/>
      <c r="IFS1105" s="15"/>
      <c r="IFT1105" s="15"/>
      <c r="IFW1105" s="15"/>
      <c r="IFX1105" s="15"/>
      <c r="IGA1105" s="15"/>
      <c r="IGB1105" s="15"/>
      <c r="IGE1105" s="15"/>
      <c r="IGF1105" s="15"/>
      <c r="IGI1105" s="15"/>
      <c r="IGJ1105" s="15"/>
      <c r="IGM1105" s="15"/>
      <c r="IGN1105" s="15"/>
      <c r="IGQ1105" s="15"/>
      <c r="IGR1105" s="15"/>
      <c r="IGU1105" s="15"/>
      <c r="IGV1105" s="15"/>
      <c r="IGY1105" s="15"/>
      <c r="IGZ1105" s="15"/>
      <c r="IHC1105" s="15"/>
      <c r="IHD1105" s="15"/>
      <c r="IHG1105" s="15"/>
      <c r="IHH1105" s="15"/>
      <c r="IHK1105" s="15"/>
      <c r="IHL1105" s="15"/>
      <c r="IHO1105" s="15"/>
      <c r="IHP1105" s="15"/>
      <c r="IHS1105" s="15"/>
      <c r="IHT1105" s="15"/>
      <c r="IHW1105" s="15"/>
      <c r="IHX1105" s="15"/>
      <c r="IIA1105" s="15"/>
      <c r="IIB1105" s="15"/>
      <c r="IIE1105" s="15"/>
      <c r="IIF1105" s="15"/>
      <c r="III1105" s="15"/>
      <c r="IIJ1105" s="15"/>
      <c r="IIM1105" s="15"/>
      <c r="IIN1105" s="15"/>
      <c r="IIQ1105" s="15"/>
      <c r="IIR1105" s="15"/>
      <c r="IIU1105" s="15"/>
      <c r="IIV1105" s="15"/>
      <c r="IIY1105" s="15"/>
      <c r="IIZ1105" s="15"/>
      <c r="IJC1105" s="15"/>
      <c r="IJD1105" s="15"/>
      <c r="IJG1105" s="15"/>
      <c r="IJH1105" s="15"/>
      <c r="IJK1105" s="15"/>
      <c r="IJL1105" s="15"/>
      <c r="IJO1105" s="15"/>
      <c r="IJP1105" s="15"/>
      <c r="IJS1105" s="15"/>
      <c r="IJT1105" s="15"/>
      <c r="IJW1105" s="15"/>
      <c r="IJX1105" s="15"/>
      <c r="IKA1105" s="15"/>
      <c r="IKB1105" s="15"/>
      <c r="IKE1105" s="15"/>
      <c r="IKF1105" s="15"/>
      <c r="IKI1105" s="15"/>
      <c r="IKJ1105" s="15"/>
      <c r="IKM1105" s="15"/>
      <c r="IKN1105" s="15"/>
      <c r="IKQ1105" s="15"/>
      <c r="IKR1105" s="15"/>
      <c r="IKU1105" s="15"/>
      <c r="IKV1105" s="15"/>
      <c r="IKY1105" s="15"/>
      <c r="IKZ1105" s="15"/>
      <c r="ILC1105" s="15"/>
      <c r="ILD1105" s="15"/>
      <c r="ILG1105" s="15"/>
      <c r="ILH1105" s="15"/>
      <c r="ILK1105" s="15"/>
      <c r="ILL1105" s="15"/>
      <c r="ILO1105" s="15"/>
      <c r="ILP1105" s="15"/>
      <c r="ILS1105" s="15"/>
      <c r="ILT1105" s="15"/>
      <c r="ILW1105" s="15"/>
      <c r="ILX1105" s="15"/>
      <c r="IMA1105" s="15"/>
      <c r="IMB1105" s="15"/>
      <c r="IME1105" s="15"/>
      <c r="IMF1105" s="15"/>
      <c r="IMI1105" s="15"/>
      <c r="IMJ1105" s="15"/>
      <c r="IMM1105" s="15"/>
      <c r="IMN1105" s="15"/>
      <c r="IMQ1105" s="15"/>
      <c r="IMR1105" s="15"/>
      <c r="IMU1105" s="15"/>
      <c r="IMV1105" s="15"/>
      <c r="IMY1105" s="15"/>
      <c r="IMZ1105" s="15"/>
      <c r="INC1105" s="15"/>
      <c r="IND1105" s="15"/>
      <c r="ING1105" s="15"/>
      <c r="INH1105" s="15"/>
      <c r="INK1105" s="15"/>
      <c r="INL1105" s="15"/>
      <c r="INO1105" s="15"/>
      <c r="INP1105" s="15"/>
      <c r="INS1105" s="15"/>
      <c r="INT1105" s="15"/>
      <c r="INW1105" s="15"/>
      <c r="INX1105" s="15"/>
      <c r="IOA1105" s="15"/>
      <c r="IOB1105" s="15"/>
      <c r="IOE1105" s="15"/>
      <c r="IOF1105" s="15"/>
      <c r="IOI1105" s="15"/>
      <c r="IOJ1105" s="15"/>
      <c r="IOM1105" s="15"/>
      <c r="ION1105" s="15"/>
      <c r="IOQ1105" s="15"/>
      <c r="IOR1105" s="15"/>
      <c r="IOU1105" s="15"/>
      <c r="IOV1105" s="15"/>
      <c r="IOY1105" s="15"/>
      <c r="IOZ1105" s="15"/>
      <c r="IPC1105" s="15"/>
      <c r="IPD1105" s="15"/>
      <c r="IPG1105" s="15"/>
      <c r="IPH1105" s="15"/>
      <c r="IPK1105" s="15"/>
      <c r="IPL1105" s="15"/>
      <c r="IPO1105" s="15"/>
      <c r="IPP1105" s="15"/>
      <c r="IPS1105" s="15"/>
      <c r="IPT1105" s="15"/>
      <c r="IPW1105" s="15"/>
      <c r="IPX1105" s="15"/>
      <c r="IQA1105" s="15"/>
      <c r="IQB1105" s="15"/>
      <c r="IQE1105" s="15"/>
      <c r="IQF1105" s="15"/>
      <c r="IQI1105" s="15"/>
      <c r="IQJ1105" s="15"/>
      <c r="IQM1105" s="15"/>
      <c r="IQN1105" s="15"/>
      <c r="IQQ1105" s="15"/>
      <c r="IQR1105" s="15"/>
      <c r="IQU1105" s="15"/>
      <c r="IQV1105" s="15"/>
      <c r="IQY1105" s="15"/>
      <c r="IQZ1105" s="15"/>
      <c r="IRC1105" s="15"/>
      <c r="IRD1105" s="15"/>
      <c r="IRG1105" s="15"/>
      <c r="IRH1105" s="15"/>
      <c r="IRK1105" s="15"/>
      <c r="IRL1105" s="15"/>
      <c r="IRO1105" s="15"/>
      <c r="IRP1105" s="15"/>
      <c r="IRS1105" s="15"/>
      <c r="IRT1105" s="15"/>
      <c r="IRW1105" s="15"/>
      <c r="IRX1105" s="15"/>
      <c r="ISA1105" s="15"/>
      <c r="ISB1105" s="15"/>
      <c r="ISE1105" s="15"/>
      <c r="ISF1105" s="15"/>
      <c r="ISI1105" s="15"/>
      <c r="ISJ1105" s="15"/>
      <c r="ISM1105" s="15"/>
      <c r="ISN1105" s="15"/>
      <c r="ISQ1105" s="15"/>
      <c r="ISR1105" s="15"/>
      <c r="ISU1105" s="15"/>
      <c r="ISV1105" s="15"/>
      <c r="ISY1105" s="15"/>
      <c r="ISZ1105" s="15"/>
      <c r="ITC1105" s="15"/>
      <c r="ITD1105" s="15"/>
      <c r="ITG1105" s="15"/>
      <c r="ITH1105" s="15"/>
      <c r="ITK1105" s="15"/>
      <c r="ITL1105" s="15"/>
      <c r="ITO1105" s="15"/>
      <c r="ITP1105" s="15"/>
      <c r="ITS1105" s="15"/>
      <c r="ITT1105" s="15"/>
      <c r="ITW1105" s="15"/>
      <c r="ITX1105" s="15"/>
      <c r="IUA1105" s="15"/>
      <c r="IUB1105" s="15"/>
      <c r="IUE1105" s="15"/>
      <c r="IUF1105" s="15"/>
      <c r="IUI1105" s="15"/>
      <c r="IUJ1105" s="15"/>
      <c r="IUM1105" s="15"/>
      <c r="IUN1105" s="15"/>
      <c r="IUQ1105" s="15"/>
      <c r="IUR1105" s="15"/>
      <c r="IUU1105" s="15"/>
      <c r="IUV1105" s="15"/>
      <c r="IUY1105" s="15"/>
      <c r="IUZ1105" s="15"/>
      <c r="IVC1105" s="15"/>
      <c r="IVD1105" s="15"/>
      <c r="IVG1105" s="15"/>
      <c r="IVH1105" s="15"/>
      <c r="IVK1105" s="15"/>
      <c r="IVL1105" s="15"/>
      <c r="IVO1105" s="15"/>
      <c r="IVP1105" s="15"/>
      <c r="IVS1105" s="15"/>
      <c r="IVT1105" s="15"/>
      <c r="IVW1105" s="15"/>
      <c r="IVX1105" s="15"/>
      <c r="IWA1105" s="15"/>
      <c r="IWB1105" s="15"/>
      <c r="IWE1105" s="15"/>
      <c r="IWF1105" s="15"/>
      <c r="IWI1105" s="15"/>
      <c r="IWJ1105" s="15"/>
      <c r="IWM1105" s="15"/>
      <c r="IWN1105" s="15"/>
      <c r="IWQ1105" s="15"/>
      <c r="IWR1105" s="15"/>
      <c r="IWU1105" s="15"/>
      <c r="IWV1105" s="15"/>
      <c r="IWY1105" s="15"/>
      <c r="IWZ1105" s="15"/>
      <c r="IXC1105" s="15"/>
      <c r="IXD1105" s="15"/>
      <c r="IXG1105" s="15"/>
      <c r="IXH1105" s="15"/>
      <c r="IXK1105" s="15"/>
      <c r="IXL1105" s="15"/>
      <c r="IXO1105" s="15"/>
      <c r="IXP1105" s="15"/>
      <c r="IXS1105" s="15"/>
      <c r="IXT1105" s="15"/>
      <c r="IXW1105" s="15"/>
      <c r="IXX1105" s="15"/>
      <c r="IYA1105" s="15"/>
      <c r="IYB1105" s="15"/>
      <c r="IYE1105" s="15"/>
      <c r="IYF1105" s="15"/>
      <c r="IYI1105" s="15"/>
      <c r="IYJ1105" s="15"/>
      <c r="IYM1105" s="15"/>
      <c r="IYN1105" s="15"/>
      <c r="IYQ1105" s="15"/>
      <c r="IYR1105" s="15"/>
      <c r="IYU1105" s="15"/>
      <c r="IYV1105" s="15"/>
      <c r="IYY1105" s="15"/>
      <c r="IYZ1105" s="15"/>
      <c r="IZC1105" s="15"/>
      <c r="IZD1105" s="15"/>
      <c r="IZG1105" s="15"/>
      <c r="IZH1105" s="15"/>
      <c r="IZK1105" s="15"/>
      <c r="IZL1105" s="15"/>
      <c r="IZO1105" s="15"/>
      <c r="IZP1105" s="15"/>
      <c r="IZS1105" s="15"/>
      <c r="IZT1105" s="15"/>
      <c r="IZW1105" s="15"/>
      <c r="IZX1105" s="15"/>
      <c r="JAA1105" s="15"/>
      <c r="JAB1105" s="15"/>
      <c r="JAE1105" s="15"/>
      <c r="JAF1105" s="15"/>
      <c r="JAI1105" s="15"/>
      <c r="JAJ1105" s="15"/>
      <c r="JAM1105" s="15"/>
      <c r="JAN1105" s="15"/>
      <c r="JAQ1105" s="15"/>
      <c r="JAR1105" s="15"/>
      <c r="JAU1105" s="15"/>
      <c r="JAV1105" s="15"/>
      <c r="JAY1105" s="15"/>
      <c r="JAZ1105" s="15"/>
      <c r="JBC1105" s="15"/>
      <c r="JBD1105" s="15"/>
      <c r="JBG1105" s="15"/>
      <c r="JBH1105" s="15"/>
      <c r="JBK1105" s="15"/>
      <c r="JBL1105" s="15"/>
      <c r="JBO1105" s="15"/>
      <c r="JBP1105" s="15"/>
      <c r="JBS1105" s="15"/>
      <c r="JBT1105" s="15"/>
      <c r="JBW1105" s="15"/>
      <c r="JBX1105" s="15"/>
      <c r="JCA1105" s="15"/>
      <c r="JCB1105" s="15"/>
      <c r="JCE1105" s="15"/>
      <c r="JCF1105" s="15"/>
      <c r="JCI1105" s="15"/>
      <c r="JCJ1105" s="15"/>
      <c r="JCM1105" s="15"/>
      <c r="JCN1105" s="15"/>
      <c r="JCQ1105" s="15"/>
      <c r="JCR1105" s="15"/>
      <c r="JCU1105" s="15"/>
      <c r="JCV1105" s="15"/>
      <c r="JCY1105" s="15"/>
      <c r="JCZ1105" s="15"/>
      <c r="JDC1105" s="15"/>
      <c r="JDD1105" s="15"/>
      <c r="JDG1105" s="15"/>
      <c r="JDH1105" s="15"/>
      <c r="JDK1105" s="15"/>
      <c r="JDL1105" s="15"/>
      <c r="JDO1105" s="15"/>
      <c r="JDP1105" s="15"/>
      <c r="JDS1105" s="15"/>
      <c r="JDT1105" s="15"/>
      <c r="JDW1105" s="15"/>
      <c r="JDX1105" s="15"/>
      <c r="JEA1105" s="15"/>
      <c r="JEB1105" s="15"/>
      <c r="JEE1105" s="15"/>
      <c r="JEF1105" s="15"/>
      <c r="JEI1105" s="15"/>
      <c r="JEJ1105" s="15"/>
      <c r="JEM1105" s="15"/>
      <c r="JEN1105" s="15"/>
      <c r="JEQ1105" s="15"/>
      <c r="JER1105" s="15"/>
      <c r="JEU1105" s="15"/>
      <c r="JEV1105" s="15"/>
      <c r="JEY1105" s="15"/>
      <c r="JEZ1105" s="15"/>
      <c r="JFC1105" s="15"/>
      <c r="JFD1105" s="15"/>
      <c r="JFG1105" s="15"/>
      <c r="JFH1105" s="15"/>
      <c r="JFK1105" s="15"/>
      <c r="JFL1105" s="15"/>
      <c r="JFO1105" s="15"/>
      <c r="JFP1105" s="15"/>
      <c r="JFS1105" s="15"/>
      <c r="JFT1105" s="15"/>
      <c r="JFW1105" s="15"/>
      <c r="JFX1105" s="15"/>
      <c r="JGA1105" s="15"/>
      <c r="JGB1105" s="15"/>
      <c r="JGE1105" s="15"/>
      <c r="JGF1105" s="15"/>
      <c r="JGI1105" s="15"/>
      <c r="JGJ1105" s="15"/>
      <c r="JGM1105" s="15"/>
      <c r="JGN1105" s="15"/>
      <c r="JGQ1105" s="15"/>
      <c r="JGR1105" s="15"/>
      <c r="JGU1105" s="15"/>
      <c r="JGV1105" s="15"/>
      <c r="JGY1105" s="15"/>
      <c r="JGZ1105" s="15"/>
      <c r="JHC1105" s="15"/>
      <c r="JHD1105" s="15"/>
      <c r="JHG1105" s="15"/>
      <c r="JHH1105" s="15"/>
      <c r="JHK1105" s="15"/>
      <c r="JHL1105" s="15"/>
      <c r="JHO1105" s="15"/>
      <c r="JHP1105" s="15"/>
      <c r="JHS1105" s="15"/>
      <c r="JHT1105" s="15"/>
      <c r="JHW1105" s="15"/>
      <c r="JHX1105" s="15"/>
      <c r="JIA1105" s="15"/>
      <c r="JIB1105" s="15"/>
      <c r="JIE1105" s="15"/>
      <c r="JIF1105" s="15"/>
      <c r="JII1105" s="15"/>
      <c r="JIJ1105" s="15"/>
      <c r="JIM1105" s="15"/>
      <c r="JIN1105" s="15"/>
      <c r="JIQ1105" s="15"/>
      <c r="JIR1105" s="15"/>
      <c r="JIU1105" s="15"/>
      <c r="JIV1105" s="15"/>
      <c r="JIY1105" s="15"/>
      <c r="JIZ1105" s="15"/>
      <c r="JJC1105" s="15"/>
      <c r="JJD1105" s="15"/>
      <c r="JJG1105" s="15"/>
      <c r="JJH1105" s="15"/>
      <c r="JJK1105" s="15"/>
      <c r="JJL1105" s="15"/>
      <c r="JJO1105" s="15"/>
      <c r="JJP1105" s="15"/>
      <c r="JJS1105" s="15"/>
      <c r="JJT1105" s="15"/>
      <c r="JJW1105" s="15"/>
      <c r="JJX1105" s="15"/>
      <c r="JKA1105" s="15"/>
      <c r="JKB1105" s="15"/>
      <c r="JKE1105" s="15"/>
      <c r="JKF1105" s="15"/>
      <c r="JKI1105" s="15"/>
      <c r="JKJ1105" s="15"/>
      <c r="JKM1105" s="15"/>
      <c r="JKN1105" s="15"/>
      <c r="JKQ1105" s="15"/>
      <c r="JKR1105" s="15"/>
      <c r="JKU1105" s="15"/>
      <c r="JKV1105" s="15"/>
      <c r="JKY1105" s="15"/>
      <c r="JKZ1105" s="15"/>
      <c r="JLC1105" s="15"/>
      <c r="JLD1105" s="15"/>
      <c r="JLG1105" s="15"/>
      <c r="JLH1105" s="15"/>
      <c r="JLK1105" s="15"/>
      <c r="JLL1105" s="15"/>
      <c r="JLO1105" s="15"/>
      <c r="JLP1105" s="15"/>
      <c r="JLS1105" s="15"/>
      <c r="JLT1105" s="15"/>
      <c r="JLW1105" s="15"/>
      <c r="JLX1105" s="15"/>
      <c r="JMA1105" s="15"/>
      <c r="JMB1105" s="15"/>
      <c r="JME1105" s="15"/>
      <c r="JMF1105" s="15"/>
      <c r="JMI1105" s="15"/>
      <c r="JMJ1105" s="15"/>
      <c r="JMM1105" s="15"/>
      <c r="JMN1105" s="15"/>
      <c r="JMQ1105" s="15"/>
      <c r="JMR1105" s="15"/>
      <c r="JMU1105" s="15"/>
      <c r="JMV1105" s="15"/>
      <c r="JMY1105" s="15"/>
      <c r="JMZ1105" s="15"/>
      <c r="JNC1105" s="15"/>
      <c r="JND1105" s="15"/>
      <c r="JNG1105" s="15"/>
      <c r="JNH1105" s="15"/>
      <c r="JNK1105" s="15"/>
      <c r="JNL1105" s="15"/>
      <c r="JNO1105" s="15"/>
      <c r="JNP1105" s="15"/>
      <c r="JNS1105" s="15"/>
      <c r="JNT1105" s="15"/>
      <c r="JNW1105" s="15"/>
      <c r="JNX1105" s="15"/>
      <c r="JOA1105" s="15"/>
      <c r="JOB1105" s="15"/>
      <c r="JOE1105" s="15"/>
      <c r="JOF1105" s="15"/>
      <c r="JOI1105" s="15"/>
      <c r="JOJ1105" s="15"/>
      <c r="JOM1105" s="15"/>
      <c r="JON1105" s="15"/>
      <c r="JOQ1105" s="15"/>
      <c r="JOR1105" s="15"/>
      <c r="JOU1105" s="15"/>
      <c r="JOV1105" s="15"/>
      <c r="JOY1105" s="15"/>
      <c r="JOZ1105" s="15"/>
      <c r="JPC1105" s="15"/>
      <c r="JPD1105" s="15"/>
      <c r="JPG1105" s="15"/>
      <c r="JPH1105" s="15"/>
      <c r="JPK1105" s="15"/>
      <c r="JPL1105" s="15"/>
      <c r="JPO1105" s="15"/>
      <c r="JPP1105" s="15"/>
      <c r="JPS1105" s="15"/>
      <c r="JPT1105" s="15"/>
      <c r="JPW1105" s="15"/>
      <c r="JPX1105" s="15"/>
      <c r="JQA1105" s="15"/>
      <c r="JQB1105" s="15"/>
      <c r="JQE1105" s="15"/>
      <c r="JQF1105" s="15"/>
      <c r="JQI1105" s="15"/>
      <c r="JQJ1105" s="15"/>
      <c r="JQM1105" s="15"/>
      <c r="JQN1105" s="15"/>
      <c r="JQQ1105" s="15"/>
      <c r="JQR1105" s="15"/>
      <c r="JQU1105" s="15"/>
      <c r="JQV1105" s="15"/>
      <c r="JQY1105" s="15"/>
      <c r="JQZ1105" s="15"/>
      <c r="JRC1105" s="15"/>
      <c r="JRD1105" s="15"/>
      <c r="JRG1105" s="15"/>
      <c r="JRH1105" s="15"/>
      <c r="JRK1105" s="15"/>
      <c r="JRL1105" s="15"/>
      <c r="JRO1105" s="15"/>
      <c r="JRP1105" s="15"/>
      <c r="JRS1105" s="15"/>
      <c r="JRT1105" s="15"/>
      <c r="JRW1105" s="15"/>
      <c r="JRX1105" s="15"/>
      <c r="JSA1105" s="15"/>
      <c r="JSB1105" s="15"/>
      <c r="JSE1105" s="15"/>
      <c r="JSF1105" s="15"/>
      <c r="JSI1105" s="15"/>
      <c r="JSJ1105" s="15"/>
      <c r="JSM1105" s="15"/>
      <c r="JSN1105" s="15"/>
      <c r="JSQ1105" s="15"/>
      <c r="JSR1105" s="15"/>
      <c r="JSU1105" s="15"/>
      <c r="JSV1105" s="15"/>
      <c r="JSY1105" s="15"/>
      <c r="JSZ1105" s="15"/>
      <c r="JTC1105" s="15"/>
      <c r="JTD1105" s="15"/>
      <c r="JTG1105" s="15"/>
      <c r="JTH1105" s="15"/>
      <c r="JTK1105" s="15"/>
      <c r="JTL1105" s="15"/>
      <c r="JTO1105" s="15"/>
      <c r="JTP1105" s="15"/>
      <c r="JTS1105" s="15"/>
      <c r="JTT1105" s="15"/>
      <c r="JTW1105" s="15"/>
      <c r="JTX1105" s="15"/>
      <c r="JUA1105" s="15"/>
      <c r="JUB1105" s="15"/>
      <c r="JUE1105" s="15"/>
      <c r="JUF1105" s="15"/>
      <c r="JUI1105" s="15"/>
      <c r="JUJ1105" s="15"/>
      <c r="JUM1105" s="15"/>
      <c r="JUN1105" s="15"/>
      <c r="JUQ1105" s="15"/>
      <c r="JUR1105" s="15"/>
      <c r="JUU1105" s="15"/>
      <c r="JUV1105" s="15"/>
      <c r="JUY1105" s="15"/>
      <c r="JUZ1105" s="15"/>
      <c r="JVC1105" s="15"/>
      <c r="JVD1105" s="15"/>
      <c r="JVG1105" s="15"/>
      <c r="JVH1105" s="15"/>
      <c r="JVK1105" s="15"/>
      <c r="JVL1105" s="15"/>
      <c r="JVO1105" s="15"/>
      <c r="JVP1105" s="15"/>
      <c r="JVS1105" s="15"/>
      <c r="JVT1105" s="15"/>
      <c r="JVW1105" s="15"/>
      <c r="JVX1105" s="15"/>
      <c r="JWA1105" s="15"/>
      <c r="JWB1105" s="15"/>
      <c r="JWE1105" s="15"/>
      <c r="JWF1105" s="15"/>
      <c r="JWI1105" s="15"/>
      <c r="JWJ1105" s="15"/>
      <c r="JWM1105" s="15"/>
      <c r="JWN1105" s="15"/>
      <c r="JWQ1105" s="15"/>
      <c r="JWR1105" s="15"/>
      <c r="JWU1105" s="15"/>
      <c r="JWV1105" s="15"/>
      <c r="JWY1105" s="15"/>
      <c r="JWZ1105" s="15"/>
      <c r="JXC1105" s="15"/>
      <c r="JXD1105" s="15"/>
      <c r="JXG1105" s="15"/>
      <c r="JXH1105" s="15"/>
      <c r="JXK1105" s="15"/>
      <c r="JXL1105" s="15"/>
      <c r="JXO1105" s="15"/>
      <c r="JXP1105" s="15"/>
      <c r="JXS1105" s="15"/>
      <c r="JXT1105" s="15"/>
      <c r="JXW1105" s="15"/>
      <c r="JXX1105" s="15"/>
      <c r="JYA1105" s="15"/>
      <c r="JYB1105" s="15"/>
      <c r="JYE1105" s="15"/>
      <c r="JYF1105" s="15"/>
      <c r="JYI1105" s="15"/>
      <c r="JYJ1105" s="15"/>
      <c r="JYM1105" s="15"/>
      <c r="JYN1105" s="15"/>
      <c r="JYQ1105" s="15"/>
      <c r="JYR1105" s="15"/>
      <c r="JYU1105" s="15"/>
      <c r="JYV1105" s="15"/>
      <c r="JYY1105" s="15"/>
      <c r="JYZ1105" s="15"/>
      <c r="JZC1105" s="15"/>
      <c r="JZD1105" s="15"/>
      <c r="JZG1105" s="15"/>
      <c r="JZH1105" s="15"/>
      <c r="JZK1105" s="15"/>
      <c r="JZL1105" s="15"/>
      <c r="JZO1105" s="15"/>
      <c r="JZP1105" s="15"/>
      <c r="JZS1105" s="15"/>
      <c r="JZT1105" s="15"/>
      <c r="JZW1105" s="15"/>
      <c r="JZX1105" s="15"/>
      <c r="KAA1105" s="15"/>
      <c r="KAB1105" s="15"/>
      <c r="KAE1105" s="15"/>
      <c r="KAF1105" s="15"/>
      <c r="KAI1105" s="15"/>
      <c r="KAJ1105" s="15"/>
      <c r="KAM1105" s="15"/>
      <c r="KAN1105" s="15"/>
      <c r="KAQ1105" s="15"/>
      <c r="KAR1105" s="15"/>
      <c r="KAU1105" s="15"/>
      <c r="KAV1105" s="15"/>
      <c r="KAY1105" s="15"/>
      <c r="KAZ1105" s="15"/>
      <c r="KBC1105" s="15"/>
      <c r="KBD1105" s="15"/>
      <c r="KBG1105" s="15"/>
      <c r="KBH1105" s="15"/>
      <c r="KBK1105" s="15"/>
      <c r="KBL1105" s="15"/>
      <c r="KBO1105" s="15"/>
      <c r="KBP1105" s="15"/>
      <c r="KBS1105" s="15"/>
      <c r="KBT1105" s="15"/>
      <c r="KBW1105" s="15"/>
      <c r="KBX1105" s="15"/>
      <c r="KCA1105" s="15"/>
      <c r="KCB1105" s="15"/>
      <c r="KCE1105" s="15"/>
      <c r="KCF1105" s="15"/>
      <c r="KCI1105" s="15"/>
      <c r="KCJ1105" s="15"/>
      <c r="KCM1105" s="15"/>
      <c r="KCN1105" s="15"/>
      <c r="KCQ1105" s="15"/>
      <c r="KCR1105" s="15"/>
      <c r="KCU1105" s="15"/>
      <c r="KCV1105" s="15"/>
      <c r="KCY1105" s="15"/>
      <c r="KCZ1105" s="15"/>
      <c r="KDC1105" s="15"/>
      <c r="KDD1105" s="15"/>
      <c r="KDG1105" s="15"/>
      <c r="KDH1105" s="15"/>
      <c r="KDK1105" s="15"/>
      <c r="KDL1105" s="15"/>
      <c r="KDO1105" s="15"/>
      <c r="KDP1105" s="15"/>
      <c r="KDS1105" s="15"/>
      <c r="KDT1105" s="15"/>
      <c r="KDW1105" s="15"/>
      <c r="KDX1105" s="15"/>
      <c r="KEA1105" s="15"/>
      <c r="KEB1105" s="15"/>
      <c r="KEE1105" s="15"/>
      <c r="KEF1105" s="15"/>
      <c r="KEI1105" s="15"/>
      <c r="KEJ1105" s="15"/>
      <c r="KEM1105" s="15"/>
      <c r="KEN1105" s="15"/>
      <c r="KEQ1105" s="15"/>
      <c r="KER1105" s="15"/>
      <c r="KEU1105" s="15"/>
      <c r="KEV1105" s="15"/>
      <c r="KEY1105" s="15"/>
      <c r="KEZ1105" s="15"/>
      <c r="KFC1105" s="15"/>
      <c r="KFD1105" s="15"/>
      <c r="KFG1105" s="15"/>
      <c r="KFH1105" s="15"/>
      <c r="KFK1105" s="15"/>
      <c r="KFL1105" s="15"/>
      <c r="KFO1105" s="15"/>
      <c r="KFP1105" s="15"/>
      <c r="KFS1105" s="15"/>
      <c r="KFT1105" s="15"/>
      <c r="KFW1105" s="15"/>
      <c r="KFX1105" s="15"/>
      <c r="KGA1105" s="15"/>
      <c r="KGB1105" s="15"/>
      <c r="KGE1105" s="15"/>
      <c r="KGF1105" s="15"/>
      <c r="KGI1105" s="15"/>
      <c r="KGJ1105" s="15"/>
      <c r="KGM1105" s="15"/>
      <c r="KGN1105" s="15"/>
      <c r="KGQ1105" s="15"/>
      <c r="KGR1105" s="15"/>
      <c r="KGU1105" s="15"/>
      <c r="KGV1105" s="15"/>
      <c r="KGY1105" s="15"/>
      <c r="KGZ1105" s="15"/>
      <c r="KHC1105" s="15"/>
      <c r="KHD1105" s="15"/>
      <c r="KHG1105" s="15"/>
      <c r="KHH1105" s="15"/>
      <c r="KHK1105" s="15"/>
      <c r="KHL1105" s="15"/>
      <c r="KHO1105" s="15"/>
      <c r="KHP1105" s="15"/>
      <c r="KHS1105" s="15"/>
      <c r="KHT1105" s="15"/>
      <c r="KHW1105" s="15"/>
      <c r="KHX1105" s="15"/>
      <c r="KIA1105" s="15"/>
      <c r="KIB1105" s="15"/>
      <c r="KIE1105" s="15"/>
      <c r="KIF1105" s="15"/>
      <c r="KII1105" s="15"/>
      <c r="KIJ1105" s="15"/>
      <c r="KIM1105" s="15"/>
      <c r="KIN1105" s="15"/>
      <c r="KIQ1105" s="15"/>
      <c r="KIR1105" s="15"/>
      <c r="KIU1105" s="15"/>
      <c r="KIV1105" s="15"/>
      <c r="KIY1105" s="15"/>
      <c r="KIZ1105" s="15"/>
      <c r="KJC1105" s="15"/>
      <c r="KJD1105" s="15"/>
      <c r="KJG1105" s="15"/>
      <c r="KJH1105" s="15"/>
      <c r="KJK1105" s="15"/>
      <c r="KJL1105" s="15"/>
      <c r="KJO1105" s="15"/>
      <c r="KJP1105" s="15"/>
      <c r="KJS1105" s="15"/>
      <c r="KJT1105" s="15"/>
      <c r="KJW1105" s="15"/>
      <c r="KJX1105" s="15"/>
      <c r="KKA1105" s="15"/>
      <c r="KKB1105" s="15"/>
      <c r="KKE1105" s="15"/>
      <c r="KKF1105" s="15"/>
      <c r="KKI1105" s="15"/>
      <c r="KKJ1105" s="15"/>
      <c r="KKM1105" s="15"/>
      <c r="KKN1105" s="15"/>
      <c r="KKQ1105" s="15"/>
      <c r="KKR1105" s="15"/>
      <c r="KKU1105" s="15"/>
      <c r="KKV1105" s="15"/>
      <c r="KKY1105" s="15"/>
      <c r="KKZ1105" s="15"/>
      <c r="KLC1105" s="15"/>
      <c r="KLD1105" s="15"/>
      <c r="KLG1105" s="15"/>
      <c r="KLH1105" s="15"/>
      <c r="KLK1105" s="15"/>
      <c r="KLL1105" s="15"/>
      <c r="KLO1105" s="15"/>
      <c r="KLP1105" s="15"/>
      <c r="KLS1105" s="15"/>
      <c r="KLT1105" s="15"/>
      <c r="KLW1105" s="15"/>
      <c r="KLX1105" s="15"/>
      <c r="KMA1105" s="15"/>
      <c r="KMB1105" s="15"/>
      <c r="KME1105" s="15"/>
      <c r="KMF1105" s="15"/>
      <c r="KMI1105" s="15"/>
      <c r="KMJ1105" s="15"/>
      <c r="KMM1105" s="15"/>
      <c r="KMN1105" s="15"/>
      <c r="KMQ1105" s="15"/>
      <c r="KMR1105" s="15"/>
      <c r="KMU1105" s="15"/>
      <c r="KMV1105" s="15"/>
      <c r="KMY1105" s="15"/>
      <c r="KMZ1105" s="15"/>
      <c r="KNC1105" s="15"/>
      <c r="KND1105" s="15"/>
      <c r="KNG1105" s="15"/>
      <c r="KNH1105" s="15"/>
      <c r="KNK1105" s="15"/>
      <c r="KNL1105" s="15"/>
      <c r="KNO1105" s="15"/>
      <c r="KNP1105" s="15"/>
      <c r="KNS1105" s="15"/>
      <c r="KNT1105" s="15"/>
      <c r="KNW1105" s="15"/>
      <c r="KNX1105" s="15"/>
      <c r="KOA1105" s="15"/>
      <c r="KOB1105" s="15"/>
      <c r="KOE1105" s="15"/>
      <c r="KOF1105" s="15"/>
      <c r="KOI1105" s="15"/>
      <c r="KOJ1105" s="15"/>
      <c r="KOM1105" s="15"/>
      <c r="KON1105" s="15"/>
      <c r="KOQ1105" s="15"/>
      <c r="KOR1105" s="15"/>
      <c r="KOU1105" s="15"/>
      <c r="KOV1105" s="15"/>
      <c r="KOY1105" s="15"/>
      <c r="KOZ1105" s="15"/>
      <c r="KPC1105" s="15"/>
      <c r="KPD1105" s="15"/>
      <c r="KPG1105" s="15"/>
      <c r="KPH1105" s="15"/>
      <c r="KPK1105" s="15"/>
      <c r="KPL1105" s="15"/>
      <c r="KPO1105" s="15"/>
      <c r="KPP1105" s="15"/>
      <c r="KPS1105" s="15"/>
      <c r="KPT1105" s="15"/>
      <c r="KPW1105" s="15"/>
      <c r="KPX1105" s="15"/>
      <c r="KQA1105" s="15"/>
      <c r="KQB1105" s="15"/>
      <c r="KQE1105" s="15"/>
      <c r="KQF1105" s="15"/>
      <c r="KQI1105" s="15"/>
      <c r="KQJ1105" s="15"/>
      <c r="KQM1105" s="15"/>
      <c r="KQN1105" s="15"/>
      <c r="KQQ1105" s="15"/>
      <c r="KQR1105" s="15"/>
      <c r="KQU1105" s="15"/>
      <c r="KQV1105" s="15"/>
      <c r="KQY1105" s="15"/>
      <c r="KQZ1105" s="15"/>
      <c r="KRC1105" s="15"/>
      <c r="KRD1105" s="15"/>
      <c r="KRG1105" s="15"/>
      <c r="KRH1105" s="15"/>
      <c r="KRK1105" s="15"/>
      <c r="KRL1105" s="15"/>
      <c r="KRO1105" s="15"/>
      <c r="KRP1105" s="15"/>
      <c r="KRS1105" s="15"/>
      <c r="KRT1105" s="15"/>
      <c r="KRW1105" s="15"/>
      <c r="KRX1105" s="15"/>
      <c r="KSA1105" s="15"/>
      <c r="KSB1105" s="15"/>
      <c r="KSE1105" s="15"/>
      <c r="KSF1105" s="15"/>
      <c r="KSI1105" s="15"/>
      <c r="KSJ1105" s="15"/>
      <c r="KSM1105" s="15"/>
      <c r="KSN1105" s="15"/>
      <c r="KSQ1105" s="15"/>
      <c r="KSR1105" s="15"/>
      <c r="KSU1105" s="15"/>
      <c r="KSV1105" s="15"/>
      <c r="KSY1105" s="15"/>
      <c r="KSZ1105" s="15"/>
      <c r="KTC1105" s="15"/>
      <c r="KTD1105" s="15"/>
      <c r="KTG1105" s="15"/>
      <c r="KTH1105" s="15"/>
      <c r="KTK1105" s="15"/>
      <c r="KTL1105" s="15"/>
      <c r="KTO1105" s="15"/>
      <c r="KTP1105" s="15"/>
      <c r="KTS1105" s="15"/>
      <c r="KTT1105" s="15"/>
      <c r="KTW1105" s="15"/>
      <c r="KTX1105" s="15"/>
      <c r="KUA1105" s="15"/>
      <c r="KUB1105" s="15"/>
      <c r="KUE1105" s="15"/>
      <c r="KUF1105" s="15"/>
      <c r="KUI1105" s="15"/>
      <c r="KUJ1105" s="15"/>
      <c r="KUM1105" s="15"/>
      <c r="KUN1105" s="15"/>
      <c r="KUQ1105" s="15"/>
      <c r="KUR1105" s="15"/>
      <c r="KUU1105" s="15"/>
      <c r="KUV1105" s="15"/>
      <c r="KUY1105" s="15"/>
      <c r="KUZ1105" s="15"/>
      <c r="KVC1105" s="15"/>
      <c r="KVD1105" s="15"/>
      <c r="KVG1105" s="15"/>
      <c r="KVH1105" s="15"/>
      <c r="KVK1105" s="15"/>
      <c r="KVL1105" s="15"/>
      <c r="KVO1105" s="15"/>
      <c r="KVP1105" s="15"/>
      <c r="KVS1105" s="15"/>
      <c r="KVT1105" s="15"/>
      <c r="KVW1105" s="15"/>
      <c r="KVX1105" s="15"/>
      <c r="KWA1105" s="15"/>
      <c r="KWB1105" s="15"/>
      <c r="KWE1105" s="15"/>
      <c r="KWF1105" s="15"/>
      <c r="KWI1105" s="15"/>
      <c r="KWJ1105" s="15"/>
      <c r="KWM1105" s="15"/>
      <c r="KWN1105" s="15"/>
      <c r="KWQ1105" s="15"/>
      <c r="KWR1105" s="15"/>
      <c r="KWU1105" s="15"/>
      <c r="KWV1105" s="15"/>
      <c r="KWY1105" s="15"/>
      <c r="KWZ1105" s="15"/>
      <c r="KXC1105" s="15"/>
      <c r="KXD1105" s="15"/>
      <c r="KXG1105" s="15"/>
      <c r="KXH1105" s="15"/>
      <c r="KXK1105" s="15"/>
      <c r="KXL1105" s="15"/>
      <c r="KXO1105" s="15"/>
      <c r="KXP1105" s="15"/>
      <c r="KXS1105" s="15"/>
      <c r="KXT1105" s="15"/>
      <c r="KXW1105" s="15"/>
      <c r="KXX1105" s="15"/>
      <c r="KYA1105" s="15"/>
      <c r="KYB1105" s="15"/>
      <c r="KYE1105" s="15"/>
      <c r="KYF1105" s="15"/>
      <c r="KYI1105" s="15"/>
      <c r="KYJ1105" s="15"/>
      <c r="KYM1105" s="15"/>
      <c r="KYN1105" s="15"/>
      <c r="KYQ1105" s="15"/>
      <c r="KYR1105" s="15"/>
      <c r="KYU1105" s="15"/>
      <c r="KYV1105" s="15"/>
      <c r="KYY1105" s="15"/>
      <c r="KYZ1105" s="15"/>
      <c r="KZC1105" s="15"/>
      <c r="KZD1105" s="15"/>
      <c r="KZG1105" s="15"/>
      <c r="KZH1105" s="15"/>
      <c r="KZK1105" s="15"/>
      <c r="KZL1105" s="15"/>
      <c r="KZO1105" s="15"/>
      <c r="KZP1105" s="15"/>
      <c r="KZS1105" s="15"/>
      <c r="KZT1105" s="15"/>
      <c r="KZW1105" s="15"/>
      <c r="KZX1105" s="15"/>
      <c r="LAA1105" s="15"/>
      <c r="LAB1105" s="15"/>
      <c r="LAE1105" s="15"/>
      <c r="LAF1105" s="15"/>
      <c r="LAI1105" s="15"/>
      <c r="LAJ1105" s="15"/>
      <c r="LAM1105" s="15"/>
      <c r="LAN1105" s="15"/>
      <c r="LAQ1105" s="15"/>
      <c r="LAR1105" s="15"/>
      <c r="LAU1105" s="15"/>
      <c r="LAV1105" s="15"/>
      <c r="LAY1105" s="15"/>
      <c r="LAZ1105" s="15"/>
      <c r="LBC1105" s="15"/>
      <c r="LBD1105" s="15"/>
      <c r="LBG1105" s="15"/>
      <c r="LBH1105" s="15"/>
      <c r="LBK1105" s="15"/>
      <c r="LBL1105" s="15"/>
      <c r="LBO1105" s="15"/>
      <c r="LBP1105" s="15"/>
      <c r="LBS1105" s="15"/>
      <c r="LBT1105" s="15"/>
      <c r="LBW1105" s="15"/>
      <c r="LBX1105" s="15"/>
      <c r="LCA1105" s="15"/>
      <c r="LCB1105" s="15"/>
      <c r="LCE1105" s="15"/>
      <c r="LCF1105" s="15"/>
      <c r="LCI1105" s="15"/>
      <c r="LCJ1105" s="15"/>
      <c r="LCM1105" s="15"/>
      <c r="LCN1105" s="15"/>
      <c r="LCQ1105" s="15"/>
      <c r="LCR1105" s="15"/>
      <c r="LCU1105" s="15"/>
      <c r="LCV1105" s="15"/>
      <c r="LCY1105" s="15"/>
      <c r="LCZ1105" s="15"/>
      <c r="LDC1105" s="15"/>
      <c r="LDD1105" s="15"/>
      <c r="LDG1105" s="15"/>
      <c r="LDH1105" s="15"/>
      <c r="LDK1105" s="15"/>
      <c r="LDL1105" s="15"/>
      <c r="LDO1105" s="15"/>
      <c r="LDP1105" s="15"/>
      <c r="LDS1105" s="15"/>
      <c r="LDT1105" s="15"/>
      <c r="LDW1105" s="15"/>
      <c r="LDX1105" s="15"/>
      <c r="LEA1105" s="15"/>
      <c r="LEB1105" s="15"/>
      <c r="LEE1105" s="15"/>
      <c r="LEF1105" s="15"/>
      <c r="LEI1105" s="15"/>
      <c r="LEJ1105" s="15"/>
      <c r="LEM1105" s="15"/>
      <c r="LEN1105" s="15"/>
      <c r="LEQ1105" s="15"/>
      <c r="LER1105" s="15"/>
      <c r="LEU1105" s="15"/>
      <c r="LEV1105" s="15"/>
      <c r="LEY1105" s="15"/>
      <c r="LEZ1105" s="15"/>
      <c r="LFC1105" s="15"/>
      <c r="LFD1105" s="15"/>
      <c r="LFG1105" s="15"/>
      <c r="LFH1105" s="15"/>
      <c r="LFK1105" s="15"/>
      <c r="LFL1105" s="15"/>
      <c r="LFO1105" s="15"/>
      <c r="LFP1105" s="15"/>
      <c r="LFS1105" s="15"/>
      <c r="LFT1105" s="15"/>
      <c r="LFW1105" s="15"/>
      <c r="LFX1105" s="15"/>
      <c r="LGA1105" s="15"/>
      <c r="LGB1105" s="15"/>
      <c r="LGE1105" s="15"/>
      <c r="LGF1105" s="15"/>
      <c r="LGI1105" s="15"/>
      <c r="LGJ1105" s="15"/>
      <c r="LGM1105" s="15"/>
      <c r="LGN1105" s="15"/>
      <c r="LGQ1105" s="15"/>
      <c r="LGR1105" s="15"/>
      <c r="LGU1105" s="15"/>
      <c r="LGV1105" s="15"/>
      <c r="LGY1105" s="15"/>
      <c r="LGZ1105" s="15"/>
      <c r="LHC1105" s="15"/>
      <c r="LHD1105" s="15"/>
      <c r="LHG1105" s="15"/>
      <c r="LHH1105" s="15"/>
      <c r="LHK1105" s="15"/>
      <c r="LHL1105" s="15"/>
      <c r="LHO1105" s="15"/>
      <c r="LHP1105" s="15"/>
      <c r="LHS1105" s="15"/>
      <c r="LHT1105" s="15"/>
      <c r="LHW1105" s="15"/>
      <c r="LHX1105" s="15"/>
      <c r="LIA1105" s="15"/>
      <c r="LIB1105" s="15"/>
      <c r="LIE1105" s="15"/>
      <c r="LIF1105" s="15"/>
      <c r="LII1105" s="15"/>
      <c r="LIJ1105" s="15"/>
      <c r="LIM1105" s="15"/>
      <c r="LIN1105" s="15"/>
      <c r="LIQ1105" s="15"/>
      <c r="LIR1105" s="15"/>
      <c r="LIU1105" s="15"/>
      <c r="LIV1105" s="15"/>
      <c r="LIY1105" s="15"/>
      <c r="LIZ1105" s="15"/>
      <c r="LJC1105" s="15"/>
      <c r="LJD1105" s="15"/>
      <c r="LJG1105" s="15"/>
      <c r="LJH1105" s="15"/>
      <c r="LJK1105" s="15"/>
      <c r="LJL1105" s="15"/>
      <c r="LJO1105" s="15"/>
      <c r="LJP1105" s="15"/>
      <c r="LJS1105" s="15"/>
      <c r="LJT1105" s="15"/>
      <c r="LJW1105" s="15"/>
      <c r="LJX1105" s="15"/>
      <c r="LKA1105" s="15"/>
      <c r="LKB1105" s="15"/>
      <c r="LKE1105" s="15"/>
      <c r="LKF1105" s="15"/>
      <c r="LKI1105" s="15"/>
      <c r="LKJ1105" s="15"/>
      <c r="LKM1105" s="15"/>
      <c r="LKN1105" s="15"/>
      <c r="LKQ1105" s="15"/>
      <c r="LKR1105" s="15"/>
      <c r="LKU1105" s="15"/>
      <c r="LKV1105" s="15"/>
      <c r="LKY1105" s="15"/>
      <c r="LKZ1105" s="15"/>
      <c r="LLC1105" s="15"/>
      <c r="LLD1105" s="15"/>
      <c r="LLG1105" s="15"/>
      <c r="LLH1105" s="15"/>
      <c r="LLK1105" s="15"/>
      <c r="LLL1105" s="15"/>
      <c r="LLO1105" s="15"/>
      <c r="LLP1105" s="15"/>
      <c r="LLS1105" s="15"/>
      <c r="LLT1105" s="15"/>
      <c r="LLW1105" s="15"/>
      <c r="LLX1105" s="15"/>
      <c r="LMA1105" s="15"/>
      <c r="LMB1105" s="15"/>
      <c r="LME1105" s="15"/>
      <c r="LMF1105" s="15"/>
      <c r="LMI1105" s="15"/>
      <c r="LMJ1105" s="15"/>
      <c r="LMM1105" s="15"/>
      <c r="LMN1105" s="15"/>
      <c r="LMQ1105" s="15"/>
      <c r="LMR1105" s="15"/>
      <c r="LMU1105" s="15"/>
      <c r="LMV1105" s="15"/>
      <c r="LMY1105" s="15"/>
      <c r="LMZ1105" s="15"/>
      <c r="LNC1105" s="15"/>
      <c r="LND1105" s="15"/>
      <c r="LNG1105" s="15"/>
      <c r="LNH1105" s="15"/>
      <c r="LNK1105" s="15"/>
      <c r="LNL1105" s="15"/>
      <c r="LNO1105" s="15"/>
      <c r="LNP1105" s="15"/>
      <c r="LNS1105" s="15"/>
      <c r="LNT1105" s="15"/>
      <c r="LNW1105" s="15"/>
      <c r="LNX1105" s="15"/>
      <c r="LOA1105" s="15"/>
      <c r="LOB1105" s="15"/>
      <c r="LOE1105" s="15"/>
      <c r="LOF1105" s="15"/>
      <c r="LOI1105" s="15"/>
      <c r="LOJ1105" s="15"/>
      <c r="LOM1105" s="15"/>
      <c r="LON1105" s="15"/>
      <c r="LOQ1105" s="15"/>
      <c r="LOR1105" s="15"/>
      <c r="LOU1105" s="15"/>
      <c r="LOV1105" s="15"/>
      <c r="LOY1105" s="15"/>
      <c r="LOZ1105" s="15"/>
      <c r="LPC1105" s="15"/>
      <c r="LPD1105" s="15"/>
      <c r="LPG1105" s="15"/>
      <c r="LPH1105" s="15"/>
      <c r="LPK1105" s="15"/>
      <c r="LPL1105" s="15"/>
      <c r="LPO1105" s="15"/>
      <c r="LPP1105" s="15"/>
      <c r="LPS1105" s="15"/>
      <c r="LPT1105" s="15"/>
      <c r="LPW1105" s="15"/>
      <c r="LPX1105" s="15"/>
      <c r="LQA1105" s="15"/>
      <c r="LQB1105" s="15"/>
      <c r="LQE1105" s="15"/>
      <c r="LQF1105" s="15"/>
      <c r="LQI1105" s="15"/>
      <c r="LQJ1105" s="15"/>
      <c r="LQM1105" s="15"/>
      <c r="LQN1105" s="15"/>
      <c r="LQQ1105" s="15"/>
      <c r="LQR1105" s="15"/>
      <c r="LQU1105" s="15"/>
      <c r="LQV1105" s="15"/>
      <c r="LQY1105" s="15"/>
      <c r="LQZ1105" s="15"/>
      <c r="LRC1105" s="15"/>
      <c r="LRD1105" s="15"/>
      <c r="LRG1105" s="15"/>
      <c r="LRH1105" s="15"/>
      <c r="LRK1105" s="15"/>
      <c r="LRL1105" s="15"/>
      <c r="LRO1105" s="15"/>
      <c r="LRP1105" s="15"/>
      <c r="LRS1105" s="15"/>
      <c r="LRT1105" s="15"/>
      <c r="LRW1105" s="15"/>
      <c r="LRX1105" s="15"/>
      <c r="LSA1105" s="15"/>
      <c r="LSB1105" s="15"/>
      <c r="LSE1105" s="15"/>
      <c r="LSF1105" s="15"/>
      <c r="LSI1105" s="15"/>
      <c r="LSJ1105" s="15"/>
      <c r="LSM1105" s="15"/>
      <c r="LSN1105" s="15"/>
      <c r="LSQ1105" s="15"/>
      <c r="LSR1105" s="15"/>
      <c r="LSU1105" s="15"/>
      <c r="LSV1105" s="15"/>
      <c r="LSY1105" s="15"/>
      <c r="LSZ1105" s="15"/>
      <c r="LTC1105" s="15"/>
      <c r="LTD1105" s="15"/>
      <c r="LTG1105" s="15"/>
      <c r="LTH1105" s="15"/>
      <c r="LTK1105" s="15"/>
      <c r="LTL1105" s="15"/>
      <c r="LTO1105" s="15"/>
      <c r="LTP1105" s="15"/>
      <c r="LTS1105" s="15"/>
      <c r="LTT1105" s="15"/>
      <c r="LTW1105" s="15"/>
      <c r="LTX1105" s="15"/>
      <c r="LUA1105" s="15"/>
      <c r="LUB1105" s="15"/>
      <c r="LUE1105" s="15"/>
      <c r="LUF1105" s="15"/>
      <c r="LUI1105" s="15"/>
      <c r="LUJ1105" s="15"/>
      <c r="LUM1105" s="15"/>
      <c r="LUN1105" s="15"/>
      <c r="LUQ1105" s="15"/>
      <c r="LUR1105" s="15"/>
      <c r="LUU1105" s="15"/>
      <c r="LUV1105" s="15"/>
      <c r="LUY1105" s="15"/>
      <c r="LUZ1105" s="15"/>
      <c r="LVC1105" s="15"/>
      <c r="LVD1105" s="15"/>
      <c r="LVG1105" s="15"/>
      <c r="LVH1105" s="15"/>
      <c r="LVK1105" s="15"/>
      <c r="LVL1105" s="15"/>
      <c r="LVO1105" s="15"/>
      <c r="LVP1105" s="15"/>
      <c r="LVS1105" s="15"/>
      <c r="LVT1105" s="15"/>
      <c r="LVW1105" s="15"/>
      <c r="LVX1105" s="15"/>
      <c r="LWA1105" s="15"/>
      <c r="LWB1105" s="15"/>
      <c r="LWE1105" s="15"/>
      <c r="LWF1105" s="15"/>
      <c r="LWI1105" s="15"/>
      <c r="LWJ1105" s="15"/>
      <c r="LWM1105" s="15"/>
      <c r="LWN1105" s="15"/>
      <c r="LWQ1105" s="15"/>
      <c r="LWR1105" s="15"/>
      <c r="LWU1105" s="15"/>
      <c r="LWV1105" s="15"/>
      <c r="LWY1105" s="15"/>
      <c r="LWZ1105" s="15"/>
      <c r="LXC1105" s="15"/>
      <c r="LXD1105" s="15"/>
      <c r="LXG1105" s="15"/>
      <c r="LXH1105" s="15"/>
      <c r="LXK1105" s="15"/>
      <c r="LXL1105" s="15"/>
      <c r="LXO1105" s="15"/>
      <c r="LXP1105" s="15"/>
      <c r="LXS1105" s="15"/>
      <c r="LXT1105" s="15"/>
      <c r="LXW1105" s="15"/>
      <c r="LXX1105" s="15"/>
      <c r="LYA1105" s="15"/>
      <c r="LYB1105" s="15"/>
      <c r="LYE1105" s="15"/>
      <c r="LYF1105" s="15"/>
      <c r="LYI1105" s="15"/>
      <c r="LYJ1105" s="15"/>
      <c r="LYM1105" s="15"/>
      <c r="LYN1105" s="15"/>
      <c r="LYQ1105" s="15"/>
      <c r="LYR1105" s="15"/>
      <c r="LYU1105" s="15"/>
      <c r="LYV1105" s="15"/>
      <c r="LYY1105" s="15"/>
      <c r="LYZ1105" s="15"/>
      <c r="LZC1105" s="15"/>
      <c r="LZD1105" s="15"/>
      <c r="LZG1105" s="15"/>
      <c r="LZH1105" s="15"/>
      <c r="LZK1105" s="15"/>
      <c r="LZL1105" s="15"/>
      <c r="LZO1105" s="15"/>
      <c r="LZP1105" s="15"/>
      <c r="LZS1105" s="15"/>
      <c r="LZT1105" s="15"/>
      <c r="LZW1105" s="15"/>
      <c r="LZX1105" s="15"/>
      <c r="MAA1105" s="15"/>
      <c r="MAB1105" s="15"/>
      <c r="MAE1105" s="15"/>
      <c r="MAF1105" s="15"/>
      <c r="MAI1105" s="15"/>
      <c r="MAJ1105" s="15"/>
      <c r="MAM1105" s="15"/>
      <c r="MAN1105" s="15"/>
      <c r="MAQ1105" s="15"/>
      <c r="MAR1105" s="15"/>
      <c r="MAU1105" s="15"/>
      <c r="MAV1105" s="15"/>
      <c r="MAY1105" s="15"/>
      <c r="MAZ1105" s="15"/>
      <c r="MBC1105" s="15"/>
      <c r="MBD1105" s="15"/>
      <c r="MBG1105" s="15"/>
      <c r="MBH1105" s="15"/>
      <c r="MBK1105" s="15"/>
      <c r="MBL1105" s="15"/>
      <c r="MBO1105" s="15"/>
      <c r="MBP1105" s="15"/>
      <c r="MBS1105" s="15"/>
      <c r="MBT1105" s="15"/>
      <c r="MBW1105" s="15"/>
      <c r="MBX1105" s="15"/>
      <c r="MCA1105" s="15"/>
      <c r="MCB1105" s="15"/>
      <c r="MCE1105" s="15"/>
      <c r="MCF1105" s="15"/>
      <c r="MCI1105" s="15"/>
      <c r="MCJ1105" s="15"/>
      <c r="MCM1105" s="15"/>
      <c r="MCN1105" s="15"/>
      <c r="MCQ1105" s="15"/>
      <c r="MCR1105" s="15"/>
      <c r="MCU1105" s="15"/>
      <c r="MCV1105" s="15"/>
      <c r="MCY1105" s="15"/>
      <c r="MCZ1105" s="15"/>
      <c r="MDC1105" s="15"/>
      <c r="MDD1105" s="15"/>
      <c r="MDG1105" s="15"/>
      <c r="MDH1105" s="15"/>
      <c r="MDK1105" s="15"/>
      <c r="MDL1105" s="15"/>
      <c r="MDO1105" s="15"/>
      <c r="MDP1105" s="15"/>
      <c r="MDS1105" s="15"/>
      <c r="MDT1105" s="15"/>
      <c r="MDW1105" s="15"/>
      <c r="MDX1105" s="15"/>
      <c r="MEA1105" s="15"/>
      <c r="MEB1105" s="15"/>
      <c r="MEE1105" s="15"/>
      <c r="MEF1105" s="15"/>
      <c r="MEI1105" s="15"/>
      <c r="MEJ1105" s="15"/>
      <c r="MEM1105" s="15"/>
      <c r="MEN1105" s="15"/>
      <c r="MEQ1105" s="15"/>
      <c r="MER1105" s="15"/>
      <c r="MEU1105" s="15"/>
      <c r="MEV1105" s="15"/>
      <c r="MEY1105" s="15"/>
      <c r="MEZ1105" s="15"/>
      <c r="MFC1105" s="15"/>
      <c r="MFD1105" s="15"/>
      <c r="MFG1105" s="15"/>
      <c r="MFH1105" s="15"/>
      <c r="MFK1105" s="15"/>
      <c r="MFL1105" s="15"/>
      <c r="MFO1105" s="15"/>
      <c r="MFP1105" s="15"/>
      <c r="MFS1105" s="15"/>
      <c r="MFT1105" s="15"/>
      <c r="MFW1105" s="15"/>
      <c r="MFX1105" s="15"/>
      <c r="MGA1105" s="15"/>
      <c r="MGB1105" s="15"/>
      <c r="MGE1105" s="15"/>
      <c r="MGF1105" s="15"/>
      <c r="MGI1105" s="15"/>
      <c r="MGJ1105" s="15"/>
      <c r="MGM1105" s="15"/>
      <c r="MGN1105" s="15"/>
      <c r="MGQ1105" s="15"/>
      <c r="MGR1105" s="15"/>
      <c r="MGU1105" s="15"/>
      <c r="MGV1105" s="15"/>
      <c r="MGY1105" s="15"/>
      <c r="MGZ1105" s="15"/>
      <c r="MHC1105" s="15"/>
      <c r="MHD1105" s="15"/>
      <c r="MHG1105" s="15"/>
      <c r="MHH1105" s="15"/>
      <c r="MHK1105" s="15"/>
      <c r="MHL1105" s="15"/>
      <c r="MHO1105" s="15"/>
      <c r="MHP1105" s="15"/>
      <c r="MHS1105" s="15"/>
      <c r="MHT1105" s="15"/>
      <c r="MHW1105" s="15"/>
      <c r="MHX1105" s="15"/>
      <c r="MIA1105" s="15"/>
      <c r="MIB1105" s="15"/>
      <c r="MIE1105" s="15"/>
      <c r="MIF1105" s="15"/>
      <c r="MII1105" s="15"/>
      <c r="MIJ1105" s="15"/>
      <c r="MIM1105" s="15"/>
      <c r="MIN1105" s="15"/>
      <c r="MIQ1105" s="15"/>
      <c r="MIR1105" s="15"/>
      <c r="MIU1105" s="15"/>
      <c r="MIV1105" s="15"/>
      <c r="MIY1105" s="15"/>
      <c r="MIZ1105" s="15"/>
      <c r="MJC1105" s="15"/>
      <c r="MJD1105" s="15"/>
      <c r="MJG1105" s="15"/>
      <c r="MJH1105" s="15"/>
      <c r="MJK1105" s="15"/>
      <c r="MJL1105" s="15"/>
      <c r="MJO1105" s="15"/>
      <c r="MJP1105" s="15"/>
      <c r="MJS1105" s="15"/>
      <c r="MJT1105" s="15"/>
      <c r="MJW1105" s="15"/>
      <c r="MJX1105" s="15"/>
      <c r="MKA1105" s="15"/>
      <c r="MKB1105" s="15"/>
      <c r="MKE1105" s="15"/>
      <c r="MKF1105" s="15"/>
      <c r="MKI1105" s="15"/>
      <c r="MKJ1105" s="15"/>
      <c r="MKM1105" s="15"/>
      <c r="MKN1105" s="15"/>
      <c r="MKQ1105" s="15"/>
      <c r="MKR1105" s="15"/>
      <c r="MKU1105" s="15"/>
      <c r="MKV1105" s="15"/>
      <c r="MKY1105" s="15"/>
      <c r="MKZ1105" s="15"/>
      <c r="MLC1105" s="15"/>
      <c r="MLD1105" s="15"/>
      <c r="MLG1105" s="15"/>
      <c r="MLH1105" s="15"/>
      <c r="MLK1105" s="15"/>
      <c r="MLL1105" s="15"/>
      <c r="MLO1105" s="15"/>
      <c r="MLP1105" s="15"/>
      <c r="MLS1105" s="15"/>
      <c r="MLT1105" s="15"/>
      <c r="MLW1105" s="15"/>
      <c r="MLX1105" s="15"/>
      <c r="MMA1105" s="15"/>
      <c r="MMB1105" s="15"/>
      <c r="MME1105" s="15"/>
      <c r="MMF1105" s="15"/>
      <c r="MMI1105" s="15"/>
      <c r="MMJ1105" s="15"/>
      <c r="MMM1105" s="15"/>
      <c r="MMN1105" s="15"/>
      <c r="MMQ1105" s="15"/>
      <c r="MMR1105" s="15"/>
      <c r="MMU1105" s="15"/>
      <c r="MMV1105" s="15"/>
      <c r="MMY1105" s="15"/>
      <c r="MMZ1105" s="15"/>
      <c r="MNC1105" s="15"/>
      <c r="MND1105" s="15"/>
      <c r="MNG1105" s="15"/>
      <c r="MNH1105" s="15"/>
      <c r="MNK1105" s="15"/>
      <c r="MNL1105" s="15"/>
      <c r="MNO1105" s="15"/>
      <c r="MNP1105" s="15"/>
      <c r="MNS1105" s="15"/>
      <c r="MNT1105" s="15"/>
      <c r="MNW1105" s="15"/>
      <c r="MNX1105" s="15"/>
      <c r="MOA1105" s="15"/>
      <c r="MOB1105" s="15"/>
      <c r="MOE1105" s="15"/>
      <c r="MOF1105" s="15"/>
      <c r="MOI1105" s="15"/>
      <c r="MOJ1105" s="15"/>
      <c r="MOM1105" s="15"/>
      <c r="MON1105" s="15"/>
      <c r="MOQ1105" s="15"/>
      <c r="MOR1105" s="15"/>
      <c r="MOU1105" s="15"/>
      <c r="MOV1105" s="15"/>
      <c r="MOY1105" s="15"/>
      <c r="MOZ1105" s="15"/>
      <c r="MPC1105" s="15"/>
      <c r="MPD1105" s="15"/>
      <c r="MPG1105" s="15"/>
      <c r="MPH1105" s="15"/>
      <c r="MPK1105" s="15"/>
      <c r="MPL1105" s="15"/>
      <c r="MPO1105" s="15"/>
      <c r="MPP1105" s="15"/>
      <c r="MPS1105" s="15"/>
      <c r="MPT1105" s="15"/>
      <c r="MPW1105" s="15"/>
      <c r="MPX1105" s="15"/>
      <c r="MQA1105" s="15"/>
      <c r="MQB1105" s="15"/>
      <c r="MQE1105" s="15"/>
      <c r="MQF1105" s="15"/>
      <c r="MQI1105" s="15"/>
      <c r="MQJ1105" s="15"/>
      <c r="MQM1105" s="15"/>
      <c r="MQN1105" s="15"/>
      <c r="MQQ1105" s="15"/>
      <c r="MQR1105" s="15"/>
      <c r="MQU1105" s="15"/>
      <c r="MQV1105" s="15"/>
      <c r="MQY1105" s="15"/>
      <c r="MQZ1105" s="15"/>
      <c r="MRC1105" s="15"/>
      <c r="MRD1105" s="15"/>
      <c r="MRG1105" s="15"/>
      <c r="MRH1105" s="15"/>
      <c r="MRK1105" s="15"/>
      <c r="MRL1105" s="15"/>
      <c r="MRO1105" s="15"/>
      <c r="MRP1105" s="15"/>
      <c r="MRS1105" s="15"/>
      <c r="MRT1105" s="15"/>
      <c r="MRW1105" s="15"/>
      <c r="MRX1105" s="15"/>
      <c r="MSA1105" s="15"/>
      <c r="MSB1105" s="15"/>
      <c r="MSE1105" s="15"/>
      <c r="MSF1105" s="15"/>
      <c r="MSI1105" s="15"/>
      <c r="MSJ1105" s="15"/>
      <c r="MSM1105" s="15"/>
      <c r="MSN1105" s="15"/>
      <c r="MSQ1105" s="15"/>
      <c r="MSR1105" s="15"/>
      <c r="MSU1105" s="15"/>
      <c r="MSV1105" s="15"/>
      <c r="MSY1105" s="15"/>
      <c r="MSZ1105" s="15"/>
      <c r="MTC1105" s="15"/>
      <c r="MTD1105" s="15"/>
      <c r="MTG1105" s="15"/>
      <c r="MTH1105" s="15"/>
      <c r="MTK1105" s="15"/>
      <c r="MTL1105" s="15"/>
      <c r="MTO1105" s="15"/>
      <c r="MTP1105" s="15"/>
      <c r="MTS1105" s="15"/>
      <c r="MTT1105" s="15"/>
      <c r="MTW1105" s="15"/>
      <c r="MTX1105" s="15"/>
      <c r="MUA1105" s="15"/>
      <c r="MUB1105" s="15"/>
      <c r="MUE1105" s="15"/>
      <c r="MUF1105" s="15"/>
      <c r="MUI1105" s="15"/>
      <c r="MUJ1105" s="15"/>
      <c r="MUM1105" s="15"/>
      <c r="MUN1105" s="15"/>
      <c r="MUQ1105" s="15"/>
      <c r="MUR1105" s="15"/>
      <c r="MUU1105" s="15"/>
      <c r="MUV1105" s="15"/>
      <c r="MUY1105" s="15"/>
      <c r="MUZ1105" s="15"/>
      <c r="MVC1105" s="15"/>
      <c r="MVD1105" s="15"/>
      <c r="MVG1105" s="15"/>
      <c r="MVH1105" s="15"/>
      <c r="MVK1105" s="15"/>
      <c r="MVL1105" s="15"/>
      <c r="MVO1105" s="15"/>
      <c r="MVP1105" s="15"/>
      <c r="MVS1105" s="15"/>
      <c r="MVT1105" s="15"/>
      <c r="MVW1105" s="15"/>
      <c r="MVX1105" s="15"/>
      <c r="MWA1105" s="15"/>
      <c r="MWB1105" s="15"/>
      <c r="MWE1105" s="15"/>
      <c r="MWF1105" s="15"/>
      <c r="MWI1105" s="15"/>
      <c r="MWJ1105" s="15"/>
      <c r="MWM1105" s="15"/>
      <c r="MWN1105" s="15"/>
      <c r="MWQ1105" s="15"/>
      <c r="MWR1105" s="15"/>
      <c r="MWU1105" s="15"/>
      <c r="MWV1105" s="15"/>
      <c r="MWY1105" s="15"/>
      <c r="MWZ1105" s="15"/>
      <c r="MXC1105" s="15"/>
      <c r="MXD1105" s="15"/>
      <c r="MXG1105" s="15"/>
      <c r="MXH1105" s="15"/>
      <c r="MXK1105" s="15"/>
      <c r="MXL1105" s="15"/>
      <c r="MXO1105" s="15"/>
      <c r="MXP1105" s="15"/>
      <c r="MXS1105" s="15"/>
      <c r="MXT1105" s="15"/>
      <c r="MXW1105" s="15"/>
      <c r="MXX1105" s="15"/>
      <c r="MYA1105" s="15"/>
      <c r="MYB1105" s="15"/>
      <c r="MYE1105" s="15"/>
      <c r="MYF1105" s="15"/>
      <c r="MYI1105" s="15"/>
      <c r="MYJ1105" s="15"/>
      <c r="MYM1105" s="15"/>
      <c r="MYN1105" s="15"/>
      <c r="MYQ1105" s="15"/>
      <c r="MYR1105" s="15"/>
      <c r="MYU1105" s="15"/>
      <c r="MYV1105" s="15"/>
      <c r="MYY1105" s="15"/>
      <c r="MYZ1105" s="15"/>
      <c r="MZC1105" s="15"/>
      <c r="MZD1105" s="15"/>
      <c r="MZG1105" s="15"/>
      <c r="MZH1105" s="15"/>
      <c r="MZK1105" s="15"/>
      <c r="MZL1105" s="15"/>
      <c r="MZO1105" s="15"/>
      <c r="MZP1105" s="15"/>
      <c r="MZS1105" s="15"/>
      <c r="MZT1105" s="15"/>
      <c r="MZW1105" s="15"/>
      <c r="MZX1105" s="15"/>
      <c r="NAA1105" s="15"/>
      <c r="NAB1105" s="15"/>
      <c r="NAE1105" s="15"/>
      <c r="NAF1105" s="15"/>
      <c r="NAI1105" s="15"/>
      <c r="NAJ1105" s="15"/>
      <c r="NAM1105" s="15"/>
      <c r="NAN1105" s="15"/>
      <c r="NAQ1105" s="15"/>
      <c r="NAR1105" s="15"/>
      <c r="NAU1105" s="15"/>
      <c r="NAV1105" s="15"/>
      <c r="NAY1105" s="15"/>
      <c r="NAZ1105" s="15"/>
      <c r="NBC1105" s="15"/>
      <c r="NBD1105" s="15"/>
      <c r="NBG1105" s="15"/>
      <c r="NBH1105" s="15"/>
      <c r="NBK1105" s="15"/>
      <c r="NBL1105" s="15"/>
      <c r="NBO1105" s="15"/>
      <c r="NBP1105" s="15"/>
      <c r="NBS1105" s="15"/>
      <c r="NBT1105" s="15"/>
      <c r="NBW1105" s="15"/>
      <c r="NBX1105" s="15"/>
      <c r="NCA1105" s="15"/>
      <c r="NCB1105" s="15"/>
      <c r="NCE1105" s="15"/>
      <c r="NCF1105" s="15"/>
      <c r="NCI1105" s="15"/>
      <c r="NCJ1105" s="15"/>
      <c r="NCM1105" s="15"/>
      <c r="NCN1105" s="15"/>
      <c r="NCQ1105" s="15"/>
      <c r="NCR1105" s="15"/>
      <c r="NCU1105" s="15"/>
      <c r="NCV1105" s="15"/>
      <c r="NCY1105" s="15"/>
      <c r="NCZ1105" s="15"/>
      <c r="NDC1105" s="15"/>
      <c r="NDD1105" s="15"/>
      <c r="NDG1105" s="15"/>
      <c r="NDH1105" s="15"/>
      <c r="NDK1105" s="15"/>
      <c r="NDL1105" s="15"/>
      <c r="NDO1105" s="15"/>
      <c r="NDP1105" s="15"/>
      <c r="NDS1105" s="15"/>
      <c r="NDT1105" s="15"/>
      <c r="NDW1105" s="15"/>
      <c r="NDX1105" s="15"/>
      <c r="NEA1105" s="15"/>
      <c r="NEB1105" s="15"/>
      <c r="NEE1105" s="15"/>
      <c r="NEF1105" s="15"/>
      <c r="NEI1105" s="15"/>
      <c r="NEJ1105" s="15"/>
      <c r="NEM1105" s="15"/>
      <c r="NEN1105" s="15"/>
      <c r="NEQ1105" s="15"/>
      <c r="NER1105" s="15"/>
      <c r="NEU1105" s="15"/>
      <c r="NEV1105" s="15"/>
      <c r="NEY1105" s="15"/>
      <c r="NEZ1105" s="15"/>
      <c r="NFC1105" s="15"/>
      <c r="NFD1105" s="15"/>
      <c r="NFG1105" s="15"/>
      <c r="NFH1105" s="15"/>
      <c r="NFK1105" s="15"/>
      <c r="NFL1105" s="15"/>
      <c r="NFO1105" s="15"/>
      <c r="NFP1105" s="15"/>
      <c r="NFS1105" s="15"/>
      <c r="NFT1105" s="15"/>
      <c r="NFW1105" s="15"/>
      <c r="NFX1105" s="15"/>
      <c r="NGA1105" s="15"/>
      <c r="NGB1105" s="15"/>
      <c r="NGE1105" s="15"/>
      <c r="NGF1105" s="15"/>
      <c r="NGI1105" s="15"/>
      <c r="NGJ1105" s="15"/>
      <c r="NGM1105" s="15"/>
      <c r="NGN1105" s="15"/>
      <c r="NGQ1105" s="15"/>
      <c r="NGR1105" s="15"/>
      <c r="NGU1105" s="15"/>
      <c r="NGV1105" s="15"/>
      <c r="NGY1105" s="15"/>
      <c r="NGZ1105" s="15"/>
      <c r="NHC1105" s="15"/>
      <c r="NHD1105" s="15"/>
      <c r="NHG1105" s="15"/>
      <c r="NHH1105" s="15"/>
      <c r="NHK1105" s="15"/>
      <c r="NHL1105" s="15"/>
      <c r="NHO1105" s="15"/>
      <c r="NHP1105" s="15"/>
      <c r="NHS1105" s="15"/>
      <c r="NHT1105" s="15"/>
      <c r="NHW1105" s="15"/>
      <c r="NHX1105" s="15"/>
      <c r="NIA1105" s="15"/>
      <c r="NIB1105" s="15"/>
      <c r="NIE1105" s="15"/>
      <c r="NIF1105" s="15"/>
      <c r="NII1105" s="15"/>
      <c r="NIJ1105" s="15"/>
      <c r="NIM1105" s="15"/>
      <c r="NIN1105" s="15"/>
      <c r="NIQ1105" s="15"/>
      <c r="NIR1105" s="15"/>
      <c r="NIU1105" s="15"/>
      <c r="NIV1105" s="15"/>
      <c r="NIY1105" s="15"/>
      <c r="NIZ1105" s="15"/>
      <c r="NJC1105" s="15"/>
      <c r="NJD1105" s="15"/>
      <c r="NJG1105" s="15"/>
      <c r="NJH1105" s="15"/>
      <c r="NJK1105" s="15"/>
      <c r="NJL1105" s="15"/>
      <c r="NJO1105" s="15"/>
      <c r="NJP1105" s="15"/>
      <c r="NJS1105" s="15"/>
      <c r="NJT1105" s="15"/>
      <c r="NJW1105" s="15"/>
      <c r="NJX1105" s="15"/>
      <c r="NKA1105" s="15"/>
      <c r="NKB1105" s="15"/>
      <c r="NKE1105" s="15"/>
      <c r="NKF1105" s="15"/>
      <c r="NKI1105" s="15"/>
      <c r="NKJ1105" s="15"/>
      <c r="NKM1105" s="15"/>
      <c r="NKN1105" s="15"/>
      <c r="NKQ1105" s="15"/>
      <c r="NKR1105" s="15"/>
      <c r="NKU1105" s="15"/>
      <c r="NKV1105" s="15"/>
      <c r="NKY1105" s="15"/>
      <c r="NKZ1105" s="15"/>
      <c r="NLC1105" s="15"/>
      <c r="NLD1105" s="15"/>
      <c r="NLG1105" s="15"/>
      <c r="NLH1105" s="15"/>
      <c r="NLK1105" s="15"/>
      <c r="NLL1105" s="15"/>
      <c r="NLO1105" s="15"/>
      <c r="NLP1105" s="15"/>
      <c r="NLS1105" s="15"/>
      <c r="NLT1105" s="15"/>
      <c r="NLW1105" s="15"/>
      <c r="NLX1105" s="15"/>
      <c r="NMA1105" s="15"/>
      <c r="NMB1105" s="15"/>
      <c r="NME1105" s="15"/>
      <c r="NMF1105" s="15"/>
      <c r="NMI1105" s="15"/>
      <c r="NMJ1105" s="15"/>
      <c r="NMM1105" s="15"/>
      <c r="NMN1105" s="15"/>
      <c r="NMQ1105" s="15"/>
      <c r="NMR1105" s="15"/>
      <c r="NMU1105" s="15"/>
      <c r="NMV1105" s="15"/>
      <c r="NMY1105" s="15"/>
      <c r="NMZ1105" s="15"/>
      <c r="NNC1105" s="15"/>
      <c r="NND1105" s="15"/>
      <c r="NNG1105" s="15"/>
      <c r="NNH1105" s="15"/>
      <c r="NNK1105" s="15"/>
      <c r="NNL1105" s="15"/>
      <c r="NNO1105" s="15"/>
      <c r="NNP1105" s="15"/>
      <c r="NNS1105" s="15"/>
      <c r="NNT1105" s="15"/>
      <c r="NNW1105" s="15"/>
      <c r="NNX1105" s="15"/>
      <c r="NOA1105" s="15"/>
      <c r="NOB1105" s="15"/>
      <c r="NOE1105" s="15"/>
      <c r="NOF1105" s="15"/>
      <c r="NOI1105" s="15"/>
      <c r="NOJ1105" s="15"/>
      <c r="NOM1105" s="15"/>
      <c r="NON1105" s="15"/>
      <c r="NOQ1105" s="15"/>
      <c r="NOR1105" s="15"/>
      <c r="NOU1105" s="15"/>
      <c r="NOV1105" s="15"/>
      <c r="NOY1105" s="15"/>
      <c r="NOZ1105" s="15"/>
      <c r="NPC1105" s="15"/>
      <c r="NPD1105" s="15"/>
      <c r="NPG1105" s="15"/>
      <c r="NPH1105" s="15"/>
      <c r="NPK1105" s="15"/>
      <c r="NPL1105" s="15"/>
      <c r="NPO1105" s="15"/>
      <c r="NPP1105" s="15"/>
      <c r="NPS1105" s="15"/>
      <c r="NPT1105" s="15"/>
      <c r="NPW1105" s="15"/>
      <c r="NPX1105" s="15"/>
      <c r="NQA1105" s="15"/>
      <c r="NQB1105" s="15"/>
      <c r="NQE1105" s="15"/>
      <c r="NQF1105" s="15"/>
      <c r="NQI1105" s="15"/>
      <c r="NQJ1105" s="15"/>
      <c r="NQM1105" s="15"/>
      <c r="NQN1105" s="15"/>
      <c r="NQQ1105" s="15"/>
      <c r="NQR1105" s="15"/>
      <c r="NQU1105" s="15"/>
      <c r="NQV1105" s="15"/>
      <c r="NQY1105" s="15"/>
      <c r="NQZ1105" s="15"/>
      <c r="NRC1105" s="15"/>
      <c r="NRD1105" s="15"/>
      <c r="NRG1105" s="15"/>
      <c r="NRH1105" s="15"/>
      <c r="NRK1105" s="15"/>
      <c r="NRL1105" s="15"/>
      <c r="NRO1105" s="15"/>
      <c r="NRP1105" s="15"/>
      <c r="NRS1105" s="15"/>
      <c r="NRT1105" s="15"/>
      <c r="NRW1105" s="15"/>
      <c r="NRX1105" s="15"/>
      <c r="NSA1105" s="15"/>
      <c r="NSB1105" s="15"/>
      <c r="NSE1105" s="15"/>
      <c r="NSF1105" s="15"/>
      <c r="NSI1105" s="15"/>
      <c r="NSJ1105" s="15"/>
      <c r="NSM1105" s="15"/>
      <c r="NSN1105" s="15"/>
      <c r="NSQ1105" s="15"/>
      <c r="NSR1105" s="15"/>
      <c r="NSU1105" s="15"/>
      <c r="NSV1105" s="15"/>
      <c r="NSY1105" s="15"/>
      <c r="NSZ1105" s="15"/>
      <c r="NTC1105" s="15"/>
      <c r="NTD1105" s="15"/>
      <c r="NTG1105" s="15"/>
      <c r="NTH1105" s="15"/>
      <c r="NTK1105" s="15"/>
      <c r="NTL1105" s="15"/>
      <c r="NTO1105" s="15"/>
      <c r="NTP1105" s="15"/>
      <c r="NTS1105" s="15"/>
      <c r="NTT1105" s="15"/>
      <c r="NTW1105" s="15"/>
      <c r="NTX1105" s="15"/>
      <c r="NUA1105" s="15"/>
      <c r="NUB1105" s="15"/>
      <c r="NUE1105" s="15"/>
      <c r="NUF1105" s="15"/>
      <c r="NUI1105" s="15"/>
      <c r="NUJ1105" s="15"/>
      <c r="NUM1105" s="15"/>
      <c r="NUN1105" s="15"/>
      <c r="NUQ1105" s="15"/>
      <c r="NUR1105" s="15"/>
      <c r="NUU1105" s="15"/>
      <c r="NUV1105" s="15"/>
      <c r="NUY1105" s="15"/>
      <c r="NUZ1105" s="15"/>
      <c r="NVC1105" s="15"/>
      <c r="NVD1105" s="15"/>
      <c r="NVG1105" s="15"/>
      <c r="NVH1105" s="15"/>
      <c r="NVK1105" s="15"/>
      <c r="NVL1105" s="15"/>
      <c r="NVO1105" s="15"/>
      <c r="NVP1105" s="15"/>
      <c r="NVS1105" s="15"/>
      <c r="NVT1105" s="15"/>
      <c r="NVW1105" s="15"/>
      <c r="NVX1105" s="15"/>
      <c r="NWA1105" s="15"/>
      <c r="NWB1105" s="15"/>
      <c r="NWE1105" s="15"/>
      <c r="NWF1105" s="15"/>
      <c r="NWI1105" s="15"/>
      <c r="NWJ1105" s="15"/>
      <c r="NWM1105" s="15"/>
      <c r="NWN1105" s="15"/>
      <c r="NWQ1105" s="15"/>
      <c r="NWR1105" s="15"/>
      <c r="NWU1105" s="15"/>
      <c r="NWV1105" s="15"/>
      <c r="NWY1105" s="15"/>
      <c r="NWZ1105" s="15"/>
      <c r="NXC1105" s="15"/>
      <c r="NXD1105" s="15"/>
      <c r="NXG1105" s="15"/>
      <c r="NXH1105" s="15"/>
      <c r="NXK1105" s="15"/>
      <c r="NXL1105" s="15"/>
      <c r="NXO1105" s="15"/>
      <c r="NXP1105" s="15"/>
      <c r="NXS1105" s="15"/>
      <c r="NXT1105" s="15"/>
      <c r="NXW1105" s="15"/>
      <c r="NXX1105" s="15"/>
      <c r="NYA1105" s="15"/>
      <c r="NYB1105" s="15"/>
      <c r="NYE1105" s="15"/>
      <c r="NYF1105" s="15"/>
      <c r="NYI1105" s="15"/>
      <c r="NYJ1105" s="15"/>
      <c r="NYM1105" s="15"/>
      <c r="NYN1105" s="15"/>
      <c r="NYQ1105" s="15"/>
      <c r="NYR1105" s="15"/>
      <c r="NYU1105" s="15"/>
      <c r="NYV1105" s="15"/>
      <c r="NYY1105" s="15"/>
      <c r="NYZ1105" s="15"/>
      <c r="NZC1105" s="15"/>
      <c r="NZD1105" s="15"/>
      <c r="NZG1105" s="15"/>
      <c r="NZH1105" s="15"/>
      <c r="NZK1105" s="15"/>
      <c r="NZL1105" s="15"/>
      <c r="NZO1105" s="15"/>
      <c r="NZP1105" s="15"/>
      <c r="NZS1105" s="15"/>
      <c r="NZT1105" s="15"/>
      <c r="NZW1105" s="15"/>
      <c r="NZX1105" s="15"/>
      <c r="OAA1105" s="15"/>
      <c r="OAB1105" s="15"/>
      <c r="OAE1105" s="15"/>
      <c r="OAF1105" s="15"/>
      <c r="OAI1105" s="15"/>
      <c r="OAJ1105" s="15"/>
      <c r="OAM1105" s="15"/>
      <c r="OAN1105" s="15"/>
      <c r="OAQ1105" s="15"/>
      <c r="OAR1105" s="15"/>
      <c r="OAU1105" s="15"/>
      <c r="OAV1105" s="15"/>
      <c r="OAY1105" s="15"/>
      <c r="OAZ1105" s="15"/>
      <c r="OBC1105" s="15"/>
      <c r="OBD1105" s="15"/>
      <c r="OBG1105" s="15"/>
      <c r="OBH1105" s="15"/>
      <c r="OBK1105" s="15"/>
      <c r="OBL1105" s="15"/>
      <c r="OBO1105" s="15"/>
      <c r="OBP1105" s="15"/>
      <c r="OBS1105" s="15"/>
      <c r="OBT1105" s="15"/>
      <c r="OBW1105" s="15"/>
      <c r="OBX1105" s="15"/>
      <c r="OCA1105" s="15"/>
      <c r="OCB1105" s="15"/>
      <c r="OCE1105" s="15"/>
      <c r="OCF1105" s="15"/>
      <c r="OCI1105" s="15"/>
      <c r="OCJ1105" s="15"/>
      <c r="OCM1105" s="15"/>
      <c r="OCN1105" s="15"/>
      <c r="OCQ1105" s="15"/>
      <c r="OCR1105" s="15"/>
      <c r="OCU1105" s="15"/>
      <c r="OCV1105" s="15"/>
      <c r="OCY1105" s="15"/>
      <c r="OCZ1105" s="15"/>
      <c r="ODC1105" s="15"/>
      <c r="ODD1105" s="15"/>
      <c r="ODG1105" s="15"/>
      <c r="ODH1105" s="15"/>
      <c r="ODK1105" s="15"/>
      <c r="ODL1105" s="15"/>
      <c r="ODO1105" s="15"/>
      <c r="ODP1105" s="15"/>
      <c r="ODS1105" s="15"/>
      <c r="ODT1105" s="15"/>
      <c r="ODW1105" s="15"/>
      <c r="ODX1105" s="15"/>
      <c r="OEA1105" s="15"/>
      <c r="OEB1105" s="15"/>
      <c r="OEE1105" s="15"/>
      <c r="OEF1105" s="15"/>
      <c r="OEI1105" s="15"/>
      <c r="OEJ1105" s="15"/>
      <c r="OEM1105" s="15"/>
      <c r="OEN1105" s="15"/>
      <c r="OEQ1105" s="15"/>
      <c r="OER1105" s="15"/>
      <c r="OEU1105" s="15"/>
      <c r="OEV1105" s="15"/>
      <c r="OEY1105" s="15"/>
      <c r="OEZ1105" s="15"/>
      <c r="OFC1105" s="15"/>
      <c r="OFD1105" s="15"/>
      <c r="OFG1105" s="15"/>
      <c r="OFH1105" s="15"/>
      <c r="OFK1105" s="15"/>
      <c r="OFL1105" s="15"/>
      <c r="OFO1105" s="15"/>
      <c r="OFP1105" s="15"/>
      <c r="OFS1105" s="15"/>
      <c r="OFT1105" s="15"/>
      <c r="OFW1105" s="15"/>
      <c r="OFX1105" s="15"/>
      <c r="OGA1105" s="15"/>
      <c r="OGB1105" s="15"/>
      <c r="OGE1105" s="15"/>
      <c r="OGF1105" s="15"/>
      <c r="OGI1105" s="15"/>
      <c r="OGJ1105" s="15"/>
      <c r="OGM1105" s="15"/>
      <c r="OGN1105" s="15"/>
      <c r="OGQ1105" s="15"/>
      <c r="OGR1105" s="15"/>
      <c r="OGU1105" s="15"/>
      <c r="OGV1105" s="15"/>
      <c r="OGY1105" s="15"/>
      <c r="OGZ1105" s="15"/>
      <c r="OHC1105" s="15"/>
      <c r="OHD1105" s="15"/>
      <c r="OHG1105" s="15"/>
      <c r="OHH1105" s="15"/>
      <c r="OHK1105" s="15"/>
      <c r="OHL1105" s="15"/>
      <c r="OHO1105" s="15"/>
      <c r="OHP1105" s="15"/>
      <c r="OHS1105" s="15"/>
      <c r="OHT1105" s="15"/>
      <c r="OHW1105" s="15"/>
      <c r="OHX1105" s="15"/>
      <c r="OIA1105" s="15"/>
      <c r="OIB1105" s="15"/>
      <c r="OIE1105" s="15"/>
      <c r="OIF1105" s="15"/>
      <c r="OII1105" s="15"/>
      <c r="OIJ1105" s="15"/>
      <c r="OIM1105" s="15"/>
      <c r="OIN1105" s="15"/>
      <c r="OIQ1105" s="15"/>
      <c r="OIR1105" s="15"/>
      <c r="OIU1105" s="15"/>
      <c r="OIV1105" s="15"/>
      <c r="OIY1105" s="15"/>
      <c r="OIZ1105" s="15"/>
      <c r="OJC1105" s="15"/>
      <c r="OJD1105" s="15"/>
      <c r="OJG1105" s="15"/>
      <c r="OJH1105" s="15"/>
      <c r="OJK1105" s="15"/>
      <c r="OJL1105" s="15"/>
      <c r="OJO1105" s="15"/>
      <c r="OJP1105" s="15"/>
      <c r="OJS1105" s="15"/>
      <c r="OJT1105" s="15"/>
      <c r="OJW1105" s="15"/>
      <c r="OJX1105" s="15"/>
      <c r="OKA1105" s="15"/>
      <c r="OKB1105" s="15"/>
      <c r="OKE1105" s="15"/>
      <c r="OKF1105" s="15"/>
      <c r="OKI1105" s="15"/>
      <c r="OKJ1105" s="15"/>
      <c r="OKM1105" s="15"/>
      <c r="OKN1105" s="15"/>
      <c r="OKQ1105" s="15"/>
      <c r="OKR1105" s="15"/>
      <c r="OKU1105" s="15"/>
      <c r="OKV1105" s="15"/>
      <c r="OKY1105" s="15"/>
      <c r="OKZ1105" s="15"/>
      <c r="OLC1105" s="15"/>
      <c r="OLD1105" s="15"/>
      <c r="OLG1105" s="15"/>
      <c r="OLH1105" s="15"/>
      <c r="OLK1105" s="15"/>
      <c r="OLL1105" s="15"/>
      <c r="OLO1105" s="15"/>
      <c r="OLP1105" s="15"/>
      <c r="OLS1105" s="15"/>
      <c r="OLT1105" s="15"/>
      <c r="OLW1105" s="15"/>
      <c r="OLX1105" s="15"/>
      <c r="OMA1105" s="15"/>
      <c r="OMB1105" s="15"/>
      <c r="OME1105" s="15"/>
      <c r="OMF1105" s="15"/>
      <c r="OMI1105" s="15"/>
      <c r="OMJ1105" s="15"/>
      <c r="OMM1105" s="15"/>
      <c r="OMN1105" s="15"/>
      <c r="OMQ1105" s="15"/>
      <c r="OMR1105" s="15"/>
      <c r="OMU1105" s="15"/>
      <c r="OMV1105" s="15"/>
      <c r="OMY1105" s="15"/>
      <c r="OMZ1105" s="15"/>
      <c r="ONC1105" s="15"/>
      <c r="OND1105" s="15"/>
      <c r="ONG1105" s="15"/>
      <c r="ONH1105" s="15"/>
      <c r="ONK1105" s="15"/>
      <c r="ONL1105" s="15"/>
      <c r="ONO1105" s="15"/>
      <c r="ONP1105" s="15"/>
      <c r="ONS1105" s="15"/>
      <c r="ONT1105" s="15"/>
      <c r="ONW1105" s="15"/>
      <c r="ONX1105" s="15"/>
      <c r="OOA1105" s="15"/>
      <c r="OOB1105" s="15"/>
      <c r="OOE1105" s="15"/>
      <c r="OOF1105" s="15"/>
      <c r="OOI1105" s="15"/>
      <c r="OOJ1105" s="15"/>
      <c r="OOM1105" s="15"/>
      <c r="OON1105" s="15"/>
      <c r="OOQ1105" s="15"/>
      <c r="OOR1105" s="15"/>
      <c r="OOU1105" s="15"/>
      <c r="OOV1105" s="15"/>
      <c r="OOY1105" s="15"/>
      <c r="OOZ1105" s="15"/>
      <c r="OPC1105" s="15"/>
      <c r="OPD1105" s="15"/>
      <c r="OPG1105" s="15"/>
      <c r="OPH1105" s="15"/>
      <c r="OPK1105" s="15"/>
      <c r="OPL1105" s="15"/>
      <c r="OPO1105" s="15"/>
      <c r="OPP1105" s="15"/>
      <c r="OPS1105" s="15"/>
      <c r="OPT1105" s="15"/>
      <c r="OPW1105" s="15"/>
      <c r="OPX1105" s="15"/>
      <c r="OQA1105" s="15"/>
      <c r="OQB1105" s="15"/>
      <c r="OQE1105" s="15"/>
      <c r="OQF1105" s="15"/>
      <c r="OQI1105" s="15"/>
      <c r="OQJ1105" s="15"/>
      <c r="OQM1105" s="15"/>
      <c r="OQN1105" s="15"/>
      <c r="OQQ1105" s="15"/>
      <c r="OQR1105" s="15"/>
      <c r="OQU1105" s="15"/>
      <c r="OQV1105" s="15"/>
      <c r="OQY1105" s="15"/>
      <c r="OQZ1105" s="15"/>
      <c r="ORC1105" s="15"/>
      <c r="ORD1105" s="15"/>
      <c r="ORG1105" s="15"/>
      <c r="ORH1105" s="15"/>
      <c r="ORK1105" s="15"/>
      <c r="ORL1105" s="15"/>
      <c r="ORO1105" s="15"/>
      <c r="ORP1105" s="15"/>
      <c r="ORS1105" s="15"/>
      <c r="ORT1105" s="15"/>
      <c r="ORW1105" s="15"/>
      <c r="ORX1105" s="15"/>
      <c r="OSA1105" s="15"/>
      <c r="OSB1105" s="15"/>
      <c r="OSE1105" s="15"/>
      <c r="OSF1105" s="15"/>
      <c r="OSI1105" s="15"/>
      <c r="OSJ1105" s="15"/>
      <c r="OSM1105" s="15"/>
      <c r="OSN1105" s="15"/>
      <c r="OSQ1105" s="15"/>
      <c r="OSR1105" s="15"/>
      <c r="OSU1105" s="15"/>
      <c r="OSV1105" s="15"/>
      <c r="OSY1105" s="15"/>
      <c r="OSZ1105" s="15"/>
      <c r="OTC1105" s="15"/>
      <c r="OTD1105" s="15"/>
      <c r="OTG1105" s="15"/>
      <c r="OTH1105" s="15"/>
      <c r="OTK1105" s="15"/>
      <c r="OTL1105" s="15"/>
      <c r="OTO1105" s="15"/>
      <c r="OTP1105" s="15"/>
      <c r="OTS1105" s="15"/>
      <c r="OTT1105" s="15"/>
      <c r="OTW1105" s="15"/>
      <c r="OTX1105" s="15"/>
      <c r="OUA1105" s="15"/>
      <c r="OUB1105" s="15"/>
      <c r="OUE1105" s="15"/>
      <c r="OUF1105" s="15"/>
      <c r="OUI1105" s="15"/>
      <c r="OUJ1105" s="15"/>
      <c r="OUM1105" s="15"/>
      <c r="OUN1105" s="15"/>
      <c r="OUQ1105" s="15"/>
      <c r="OUR1105" s="15"/>
      <c r="OUU1105" s="15"/>
      <c r="OUV1105" s="15"/>
      <c r="OUY1105" s="15"/>
      <c r="OUZ1105" s="15"/>
      <c r="OVC1105" s="15"/>
      <c r="OVD1105" s="15"/>
      <c r="OVG1105" s="15"/>
      <c r="OVH1105" s="15"/>
      <c r="OVK1105" s="15"/>
      <c r="OVL1105" s="15"/>
      <c r="OVO1105" s="15"/>
      <c r="OVP1105" s="15"/>
      <c r="OVS1105" s="15"/>
      <c r="OVT1105" s="15"/>
      <c r="OVW1105" s="15"/>
      <c r="OVX1105" s="15"/>
      <c r="OWA1105" s="15"/>
      <c r="OWB1105" s="15"/>
      <c r="OWE1105" s="15"/>
      <c r="OWF1105" s="15"/>
      <c r="OWI1105" s="15"/>
      <c r="OWJ1105" s="15"/>
      <c r="OWM1105" s="15"/>
      <c r="OWN1105" s="15"/>
      <c r="OWQ1105" s="15"/>
      <c r="OWR1105" s="15"/>
      <c r="OWU1105" s="15"/>
      <c r="OWV1105" s="15"/>
      <c r="OWY1105" s="15"/>
      <c r="OWZ1105" s="15"/>
      <c r="OXC1105" s="15"/>
      <c r="OXD1105" s="15"/>
      <c r="OXG1105" s="15"/>
      <c r="OXH1105" s="15"/>
      <c r="OXK1105" s="15"/>
      <c r="OXL1105" s="15"/>
      <c r="OXO1105" s="15"/>
      <c r="OXP1105" s="15"/>
      <c r="OXS1105" s="15"/>
      <c r="OXT1105" s="15"/>
      <c r="OXW1105" s="15"/>
      <c r="OXX1105" s="15"/>
      <c r="OYA1105" s="15"/>
      <c r="OYB1105" s="15"/>
      <c r="OYE1105" s="15"/>
      <c r="OYF1105" s="15"/>
      <c r="OYI1105" s="15"/>
      <c r="OYJ1105" s="15"/>
      <c r="OYM1105" s="15"/>
      <c r="OYN1105" s="15"/>
      <c r="OYQ1105" s="15"/>
      <c r="OYR1105" s="15"/>
      <c r="OYU1105" s="15"/>
      <c r="OYV1105" s="15"/>
      <c r="OYY1105" s="15"/>
      <c r="OYZ1105" s="15"/>
      <c r="OZC1105" s="15"/>
      <c r="OZD1105" s="15"/>
      <c r="OZG1105" s="15"/>
      <c r="OZH1105" s="15"/>
      <c r="OZK1105" s="15"/>
      <c r="OZL1105" s="15"/>
      <c r="OZO1105" s="15"/>
      <c r="OZP1105" s="15"/>
      <c r="OZS1105" s="15"/>
      <c r="OZT1105" s="15"/>
      <c r="OZW1105" s="15"/>
      <c r="OZX1105" s="15"/>
      <c r="PAA1105" s="15"/>
      <c r="PAB1105" s="15"/>
      <c r="PAE1105" s="15"/>
      <c r="PAF1105" s="15"/>
      <c r="PAI1105" s="15"/>
      <c r="PAJ1105" s="15"/>
      <c r="PAM1105" s="15"/>
      <c r="PAN1105" s="15"/>
      <c r="PAQ1105" s="15"/>
      <c r="PAR1105" s="15"/>
      <c r="PAU1105" s="15"/>
      <c r="PAV1105" s="15"/>
      <c r="PAY1105" s="15"/>
      <c r="PAZ1105" s="15"/>
      <c r="PBC1105" s="15"/>
      <c r="PBD1105" s="15"/>
      <c r="PBG1105" s="15"/>
      <c r="PBH1105" s="15"/>
      <c r="PBK1105" s="15"/>
      <c r="PBL1105" s="15"/>
      <c r="PBO1105" s="15"/>
      <c r="PBP1105" s="15"/>
      <c r="PBS1105" s="15"/>
      <c r="PBT1105" s="15"/>
      <c r="PBW1105" s="15"/>
      <c r="PBX1105" s="15"/>
      <c r="PCA1105" s="15"/>
      <c r="PCB1105" s="15"/>
      <c r="PCE1105" s="15"/>
      <c r="PCF1105" s="15"/>
      <c r="PCI1105" s="15"/>
      <c r="PCJ1105" s="15"/>
      <c r="PCM1105" s="15"/>
      <c r="PCN1105" s="15"/>
      <c r="PCQ1105" s="15"/>
      <c r="PCR1105" s="15"/>
      <c r="PCU1105" s="15"/>
      <c r="PCV1105" s="15"/>
      <c r="PCY1105" s="15"/>
      <c r="PCZ1105" s="15"/>
      <c r="PDC1105" s="15"/>
      <c r="PDD1105" s="15"/>
      <c r="PDG1105" s="15"/>
      <c r="PDH1105" s="15"/>
      <c r="PDK1105" s="15"/>
      <c r="PDL1105" s="15"/>
      <c r="PDO1105" s="15"/>
      <c r="PDP1105" s="15"/>
      <c r="PDS1105" s="15"/>
      <c r="PDT1105" s="15"/>
      <c r="PDW1105" s="15"/>
      <c r="PDX1105" s="15"/>
      <c r="PEA1105" s="15"/>
      <c r="PEB1105" s="15"/>
      <c r="PEE1105" s="15"/>
      <c r="PEF1105" s="15"/>
      <c r="PEI1105" s="15"/>
      <c r="PEJ1105" s="15"/>
      <c r="PEM1105" s="15"/>
      <c r="PEN1105" s="15"/>
      <c r="PEQ1105" s="15"/>
      <c r="PER1105" s="15"/>
      <c r="PEU1105" s="15"/>
      <c r="PEV1105" s="15"/>
      <c r="PEY1105" s="15"/>
      <c r="PEZ1105" s="15"/>
      <c r="PFC1105" s="15"/>
      <c r="PFD1105" s="15"/>
      <c r="PFG1105" s="15"/>
      <c r="PFH1105" s="15"/>
      <c r="PFK1105" s="15"/>
      <c r="PFL1105" s="15"/>
      <c r="PFO1105" s="15"/>
      <c r="PFP1105" s="15"/>
      <c r="PFS1105" s="15"/>
      <c r="PFT1105" s="15"/>
      <c r="PFW1105" s="15"/>
      <c r="PFX1105" s="15"/>
      <c r="PGA1105" s="15"/>
      <c r="PGB1105" s="15"/>
      <c r="PGE1105" s="15"/>
      <c r="PGF1105" s="15"/>
      <c r="PGI1105" s="15"/>
      <c r="PGJ1105" s="15"/>
      <c r="PGM1105" s="15"/>
      <c r="PGN1105" s="15"/>
      <c r="PGQ1105" s="15"/>
      <c r="PGR1105" s="15"/>
      <c r="PGU1105" s="15"/>
      <c r="PGV1105" s="15"/>
      <c r="PGY1105" s="15"/>
      <c r="PGZ1105" s="15"/>
      <c r="PHC1105" s="15"/>
      <c r="PHD1105" s="15"/>
      <c r="PHG1105" s="15"/>
      <c r="PHH1105" s="15"/>
      <c r="PHK1105" s="15"/>
      <c r="PHL1105" s="15"/>
      <c r="PHO1105" s="15"/>
      <c r="PHP1105" s="15"/>
      <c r="PHS1105" s="15"/>
      <c r="PHT1105" s="15"/>
      <c r="PHW1105" s="15"/>
      <c r="PHX1105" s="15"/>
      <c r="PIA1105" s="15"/>
      <c r="PIB1105" s="15"/>
      <c r="PIE1105" s="15"/>
      <c r="PIF1105" s="15"/>
      <c r="PII1105" s="15"/>
      <c r="PIJ1105" s="15"/>
      <c r="PIM1105" s="15"/>
      <c r="PIN1105" s="15"/>
      <c r="PIQ1105" s="15"/>
      <c r="PIR1105" s="15"/>
      <c r="PIU1105" s="15"/>
      <c r="PIV1105" s="15"/>
      <c r="PIY1105" s="15"/>
      <c r="PIZ1105" s="15"/>
      <c r="PJC1105" s="15"/>
      <c r="PJD1105" s="15"/>
      <c r="PJG1105" s="15"/>
      <c r="PJH1105" s="15"/>
      <c r="PJK1105" s="15"/>
      <c r="PJL1105" s="15"/>
      <c r="PJO1105" s="15"/>
      <c r="PJP1105" s="15"/>
      <c r="PJS1105" s="15"/>
      <c r="PJT1105" s="15"/>
      <c r="PJW1105" s="15"/>
      <c r="PJX1105" s="15"/>
      <c r="PKA1105" s="15"/>
      <c r="PKB1105" s="15"/>
      <c r="PKE1105" s="15"/>
      <c r="PKF1105" s="15"/>
      <c r="PKI1105" s="15"/>
      <c r="PKJ1105" s="15"/>
      <c r="PKM1105" s="15"/>
      <c r="PKN1105" s="15"/>
      <c r="PKQ1105" s="15"/>
      <c r="PKR1105" s="15"/>
      <c r="PKU1105" s="15"/>
      <c r="PKV1105" s="15"/>
      <c r="PKY1105" s="15"/>
      <c r="PKZ1105" s="15"/>
      <c r="PLC1105" s="15"/>
      <c r="PLD1105" s="15"/>
      <c r="PLG1105" s="15"/>
      <c r="PLH1105" s="15"/>
      <c r="PLK1105" s="15"/>
      <c r="PLL1105" s="15"/>
      <c r="PLO1105" s="15"/>
      <c r="PLP1105" s="15"/>
      <c r="PLS1105" s="15"/>
      <c r="PLT1105" s="15"/>
      <c r="PLW1105" s="15"/>
      <c r="PLX1105" s="15"/>
      <c r="PMA1105" s="15"/>
      <c r="PMB1105" s="15"/>
      <c r="PME1105" s="15"/>
      <c r="PMF1105" s="15"/>
      <c r="PMI1105" s="15"/>
      <c r="PMJ1105" s="15"/>
      <c r="PMM1105" s="15"/>
      <c r="PMN1105" s="15"/>
      <c r="PMQ1105" s="15"/>
      <c r="PMR1105" s="15"/>
      <c r="PMU1105" s="15"/>
      <c r="PMV1105" s="15"/>
      <c r="PMY1105" s="15"/>
      <c r="PMZ1105" s="15"/>
      <c r="PNC1105" s="15"/>
      <c r="PND1105" s="15"/>
      <c r="PNG1105" s="15"/>
      <c r="PNH1105" s="15"/>
      <c r="PNK1105" s="15"/>
      <c r="PNL1105" s="15"/>
      <c r="PNO1105" s="15"/>
      <c r="PNP1105" s="15"/>
      <c r="PNS1105" s="15"/>
      <c r="PNT1105" s="15"/>
      <c r="PNW1105" s="15"/>
      <c r="PNX1105" s="15"/>
      <c r="POA1105" s="15"/>
      <c r="POB1105" s="15"/>
      <c r="POE1105" s="15"/>
      <c r="POF1105" s="15"/>
      <c r="POI1105" s="15"/>
      <c r="POJ1105" s="15"/>
      <c r="POM1105" s="15"/>
      <c r="PON1105" s="15"/>
      <c r="POQ1105" s="15"/>
      <c r="POR1105" s="15"/>
      <c r="POU1105" s="15"/>
      <c r="POV1105" s="15"/>
      <c r="POY1105" s="15"/>
      <c r="POZ1105" s="15"/>
      <c r="PPC1105" s="15"/>
      <c r="PPD1105" s="15"/>
      <c r="PPG1105" s="15"/>
      <c r="PPH1105" s="15"/>
      <c r="PPK1105" s="15"/>
      <c r="PPL1105" s="15"/>
      <c r="PPO1105" s="15"/>
      <c r="PPP1105" s="15"/>
      <c r="PPS1105" s="15"/>
      <c r="PPT1105" s="15"/>
      <c r="PPW1105" s="15"/>
      <c r="PPX1105" s="15"/>
      <c r="PQA1105" s="15"/>
      <c r="PQB1105" s="15"/>
      <c r="PQE1105" s="15"/>
      <c r="PQF1105" s="15"/>
      <c r="PQI1105" s="15"/>
      <c r="PQJ1105" s="15"/>
      <c r="PQM1105" s="15"/>
      <c r="PQN1105" s="15"/>
      <c r="PQQ1105" s="15"/>
      <c r="PQR1105" s="15"/>
      <c r="PQU1105" s="15"/>
      <c r="PQV1105" s="15"/>
      <c r="PQY1105" s="15"/>
      <c r="PQZ1105" s="15"/>
      <c r="PRC1105" s="15"/>
      <c r="PRD1105" s="15"/>
      <c r="PRG1105" s="15"/>
      <c r="PRH1105" s="15"/>
      <c r="PRK1105" s="15"/>
      <c r="PRL1105" s="15"/>
      <c r="PRO1105" s="15"/>
      <c r="PRP1105" s="15"/>
      <c r="PRS1105" s="15"/>
      <c r="PRT1105" s="15"/>
      <c r="PRW1105" s="15"/>
      <c r="PRX1105" s="15"/>
      <c r="PSA1105" s="15"/>
      <c r="PSB1105" s="15"/>
      <c r="PSE1105" s="15"/>
      <c r="PSF1105" s="15"/>
      <c r="PSI1105" s="15"/>
      <c r="PSJ1105" s="15"/>
      <c r="PSM1105" s="15"/>
      <c r="PSN1105" s="15"/>
      <c r="PSQ1105" s="15"/>
      <c r="PSR1105" s="15"/>
      <c r="PSU1105" s="15"/>
      <c r="PSV1105" s="15"/>
      <c r="PSY1105" s="15"/>
      <c r="PSZ1105" s="15"/>
      <c r="PTC1105" s="15"/>
      <c r="PTD1105" s="15"/>
      <c r="PTG1105" s="15"/>
      <c r="PTH1105" s="15"/>
      <c r="PTK1105" s="15"/>
      <c r="PTL1105" s="15"/>
      <c r="PTO1105" s="15"/>
      <c r="PTP1105" s="15"/>
      <c r="PTS1105" s="15"/>
      <c r="PTT1105" s="15"/>
      <c r="PTW1105" s="15"/>
      <c r="PTX1105" s="15"/>
      <c r="PUA1105" s="15"/>
      <c r="PUB1105" s="15"/>
      <c r="PUE1105" s="15"/>
      <c r="PUF1105" s="15"/>
      <c r="PUI1105" s="15"/>
      <c r="PUJ1105" s="15"/>
      <c r="PUM1105" s="15"/>
      <c r="PUN1105" s="15"/>
      <c r="PUQ1105" s="15"/>
      <c r="PUR1105" s="15"/>
      <c r="PUU1105" s="15"/>
      <c r="PUV1105" s="15"/>
      <c r="PUY1105" s="15"/>
      <c r="PUZ1105" s="15"/>
      <c r="PVC1105" s="15"/>
      <c r="PVD1105" s="15"/>
      <c r="PVG1105" s="15"/>
      <c r="PVH1105" s="15"/>
      <c r="PVK1105" s="15"/>
      <c r="PVL1105" s="15"/>
      <c r="PVO1105" s="15"/>
      <c r="PVP1105" s="15"/>
      <c r="PVS1105" s="15"/>
      <c r="PVT1105" s="15"/>
      <c r="PVW1105" s="15"/>
      <c r="PVX1105" s="15"/>
      <c r="PWA1105" s="15"/>
      <c r="PWB1105" s="15"/>
      <c r="PWE1105" s="15"/>
      <c r="PWF1105" s="15"/>
      <c r="PWI1105" s="15"/>
      <c r="PWJ1105" s="15"/>
      <c r="PWM1105" s="15"/>
      <c r="PWN1105" s="15"/>
      <c r="PWQ1105" s="15"/>
      <c r="PWR1105" s="15"/>
      <c r="PWU1105" s="15"/>
      <c r="PWV1105" s="15"/>
      <c r="PWY1105" s="15"/>
      <c r="PWZ1105" s="15"/>
      <c r="PXC1105" s="15"/>
      <c r="PXD1105" s="15"/>
      <c r="PXG1105" s="15"/>
      <c r="PXH1105" s="15"/>
      <c r="PXK1105" s="15"/>
      <c r="PXL1105" s="15"/>
      <c r="PXO1105" s="15"/>
      <c r="PXP1105" s="15"/>
      <c r="PXS1105" s="15"/>
      <c r="PXT1105" s="15"/>
      <c r="PXW1105" s="15"/>
      <c r="PXX1105" s="15"/>
      <c r="PYA1105" s="15"/>
      <c r="PYB1105" s="15"/>
      <c r="PYE1105" s="15"/>
      <c r="PYF1105" s="15"/>
      <c r="PYI1105" s="15"/>
      <c r="PYJ1105" s="15"/>
      <c r="PYM1105" s="15"/>
      <c r="PYN1105" s="15"/>
      <c r="PYQ1105" s="15"/>
      <c r="PYR1105" s="15"/>
      <c r="PYU1105" s="15"/>
      <c r="PYV1105" s="15"/>
      <c r="PYY1105" s="15"/>
      <c r="PYZ1105" s="15"/>
      <c r="PZC1105" s="15"/>
      <c r="PZD1105" s="15"/>
      <c r="PZG1105" s="15"/>
      <c r="PZH1105" s="15"/>
      <c r="PZK1105" s="15"/>
      <c r="PZL1105" s="15"/>
      <c r="PZO1105" s="15"/>
      <c r="PZP1105" s="15"/>
      <c r="PZS1105" s="15"/>
      <c r="PZT1105" s="15"/>
      <c r="PZW1105" s="15"/>
      <c r="PZX1105" s="15"/>
      <c r="QAA1105" s="15"/>
      <c r="QAB1105" s="15"/>
      <c r="QAE1105" s="15"/>
      <c r="QAF1105" s="15"/>
      <c r="QAI1105" s="15"/>
      <c r="QAJ1105" s="15"/>
      <c r="QAM1105" s="15"/>
      <c r="QAN1105" s="15"/>
      <c r="QAQ1105" s="15"/>
      <c r="QAR1105" s="15"/>
      <c r="QAU1105" s="15"/>
      <c r="QAV1105" s="15"/>
      <c r="QAY1105" s="15"/>
      <c r="QAZ1105" s="15"/>
      <c r="QBC1105" s="15"/>
      <c r="QBD1105" s="15"/>
      <c r="QBG1105" s="15"/>
      <c r="QBH1105" s="15"/>
      <c r="QBK1105" s="15"/>
      <c r="QBL1105" s="15"/>
      <c r="QBO1105" s="15"/>
      <c r="QBP1105" s="15"/>
      <c r="QBS1105" s="15"/>
      <c r="QBT1105" s="15"/>
      <c r="QBW1105" s="15"/>
      <c r="QBX1105" s="15"/>
      <c r="QCA1105" s="15"/>
      <c r="QCB1105" s="15"/>
      <c r="QCE1105" s="15"/>
      <c r="QCF1105" s="15"/>
      <c r="QCI1105" s="15"/>
      <c r="QCJ1105" s="15"/>
      <c r="QCM1105" s="15"/>
      <c r="QCN1105" s="15"/>
      <c r="QCQ1105" s="15"/>
      <c r="QCR1105" s="15"/>
      <c r="QCU1105" s="15"/>
      <c r="QCV1105" s="15"/>
      <c r="QCY1105" s="15"/>
      <c r="QCZ1105" s="15"/>
      <c r="QDC1105" s="15"/>
      <c r="QDD1105" s="15"/>
      <c r="QDG1105" s="15"/>
      <c r="QDH1105" s="15"/>
      <c r="QDK1105" s="15"/>
      <c r="QDL1105" s="15"/>
      <c r="QDO1105" s="15"/>
      <c r="QDP1105" s="15"/>
      <c r="QDS1105" s="15"/>
      <c r="QDT1105" s="15"/>
      <c r="QDW1105" s="15"/>
      <c r="QDX1105" s="15"/>
      <c r="QEA1105" s="15"/>
      <c r="QEB1105" s="15"/>
      <c r="QEE1105" s="15"/>
      <c r="QEF1105" s="15"/>
      <c r="QEI1105" s="15"/>
      <c r="QEJ1105" s="15"/>
      <c r="QEM1105" s="15"/>
      <c r="QEN1105" s="15"/>
      <c r="QEQ1105" s="15"/>
      <c r="QER1105" s="15"/>
      <c r="QEU1105" s="15"/>
      <c r="QEV1105" s="15"/>
      <c r="QEY1105" s="15"/>
      <c r="QEZ1105" s="15"/>
      <c r="QFC1105" s="15"/>
      <c r="QFD1105" s="15"/>
      <c r="QFG1105" s="15"/>
      <c r="QFH1105" s="15"/>
      <c r="QFK1105" s="15"/>
      <c r="QFL1105" s="15"/>
      <c r="QFO1105" s="15"/>
      <c r="QFP1105" s="15"/>
      <c r="QFS1105" s="15"/>
      <c r="QFT1105" s="15"/>
      <c r="QFW1105" s="15"/>
      <c r="QFX1105" s="15"/>
      <c r="QGA1105" s="15"/>
      <c r="QGB1105" s="15"/>
      <c r="QGE1105" s="15"/>
      <c r="QGF1105" s="15"/>
      <c r="QGI1105" s="15"/>
      <c r="QGJ1105" s="15"/>
      <c r="QGM1105" s="15"/>
      <c r="QGN1105" s="15"/>
      <c r="QGQ1105" s="15"/>
      <c r="QGR1105" s="15"/>
      <c r="QGU1105" s="15"/>
      <c r="QGV1105" s="15"/>
      <c r="QGY1105" s="15"/>
      <c r="QGZ1105" s="15"/>
      <c r="QHC1105" s="15"/>
      <c r="QHD1105" s="15"/>
      <c r="QHG1105" s="15"/>
      <c r="QHH1105" s="15"/>
      <c r="QHK1105" s="15"/>
      <c r="QHL1105" s="15"/>
      <c r="QHO1105" s="15"/>
      <c r="QHP1105" s="15"/>
      <c r="QHS1105" s="15"/>
      <c r="QHT1105" s="15"/>
      <c r="QHW1105" s="15"/>
      <c r="QHX1105" s="15"/>
      <c r="QIA1105" s="15"/>
      <c r="QIB1105" s="15"/>
      <c r="QIE1105" s="15"/>
      <c r="QIF1105" s="15"/>
      <c r="QII1105" s="15"/>
      <c r="QIJ1105" s="15"/>
      <c r="QIM1105" s="15"/>
      <c r="QIN1105" s="15"/>
      <c r="QIQ1105" s="15"/>
      <c r="QIR1105" s="15"/>
      <c r="QIU1105" s="15"/>
      <c r="QIV1105" s="15"/>
      <c r="QIY1105" s="15"/>
      <c r="QIZ1105" s="15"/>
      <c r="QJC1105" s="15"/>
      <c r="QJD1105" s="15"/>
      <c r="QJG1105" s="15"/>
      <c r="QJH1105" s="15"/>
      <c r="QJK1105" s="15"/>
      <c r="QJL1105" s="15"/>
      <c r="QJO1105" s="15"/>
      <c r="QJP1105" s="15"/>
      <c r="QJS1105" s="15"/>
      <c r="QJT1105" s="15"/>
      <c r="QJW1105" s="15"/>
      <c r="QJX1105" s="15"/>
      <c r="QKA1105" s="15"/>
      <c r="QKB1105" s="15"/>
      <c r="QKE1105" s="15"/>
      <c r="QKF1105" s="15"/>
      <c r="QKI1105" s="15"/>
      <c r="QKJ1105" s="15"/>
      <c r="QKM1105" s="15"/>
      <c r="QKN1105" s="15"/>
      <c r="QKQ1105" s="15"/>
      <c r="QKR1105" s="15"/>
      <c r="QKU1105" s="15"/>
      <c r="QKV1105" s="15"/>
      <c r="QKY1105" s="15"/>
      <c r="QKZ1105" s="15"/>
      <c r="QLC1105" s="15"/>
      <c r="QLD1105" s="15"/>
      <c r="QLG1105" s="15"/>
      <c r="QLH1105" s="15"/>
      <c r="QLK1105" s="15"/>
      <c r="QLL1105" s="15"/>
      <c r="QLO1105" s="15"/>
      <c r="QLP1105" s="15"/>
      <c r="QLS1105" s="15"/>
      <c r="QLT1105" s="15"/>
      <c r="QLW1105" s="15"/>
      <c r="QLX1105" s="15"/>
      <c r="QMA1105" s="15"/>
      <c r="QMB1105" s="15"/>
      <c r="QME1105" s="15"/>
      <c r="QMF1105" s="15"/>
      <c r="QMI1105" s="15"/>
      <c r="QMJ1105" s="15"/>
      <c r="QMM1105" s="15"/>
      <c r="QMN1105" s="15"/>
      <c r="QMQ1105" s="15"/>
      <c r="QMR1105" s="15"/>
      <c r="QMU1105" s="15"/>
      <c r="QMV1105" s="15"/>
      <c r="QMY1105" s="15"/>
      <c r="QMZ1105" s="15"/>
      <c r="QNC1105" s="15"/>
      <c r="QND1105" s="15"/>
      <c r="QNG1105" s="15"/>
      <c r="QNH1105" s="15"/>
      <c r="QNK1105" s="15"/>
      <c r="QNL1105" s="15"/>
      <c r="QNO1105" s="15"/>
      <c r="QNP1105" s="15"/>
      <c r="QNS1105" s="15"/>
      <c r="QNT1105" s="15"/>
      <c r="QNW1105" s="15"/>
      <c r="QNX1105" s="15"/>
      <c r="QOA1105" s="15"/>
      <c r="QOB1105" s="15"/>
      <c r="QOE1105" s="15"/>
      <c r="QOF1105" s="15"/>
      <c r="QOI1105" s="15"/>
      <c r="QOJ1105" s="15"/>
      <c r="QOM1105" s="15"/>
      <c r="QON1105" s="15"/>
      <c r="QOQ1105" s="15"/>
      <c r="QOR1105" s="15"/>
      <c r="QOU1105" s="15"/>
      <c r="QOV1105" s="15"/>
      <c r="QOY1105" s="15"/>
      <c r="QOZ1105" s="15"/>
      <c r="QPC1105" s="15"/>
      <c r="QPD1105" s="15"/>
      <c r="QPG1105" s="15"/>
      <c r="QPH1105" s="15"/>
      <c r="QPK1105" s="15"/>
      <c r="QPL1105" s="15"/>
      <c r="QPO1105" s="15"/>
      <c r="QPP1105" s="15"/>
      <c r="QPS1105" s="15"/>
      <c r="QPT1105" s="15"/>
      <c r="QPW1105" s="15"/>
      <c r="QPX1105" s="15"/>
      <c r="QQA1105" s="15"/>
      <c r="QQB1105" s="15"/>
      <c r="QQE1105" s="15"/>
      <c r="QQF1105" s="15"/>
      <c r="QQI1105" s="15"/>
      <c r="QQJ1105" s="15"/>
      <c r="QQM1105" s="15"/>
      <c r="QQN1105" s="15"/>
      <c r="QQQ1105" s="15"/>
      <c r="QQR1105" s="15"/>
      <c r="QQU1105" s="15"/>
      <c r="QQV1105" s="15"/>
      <c r="QQY1105" s="15"/>
      <c r="QQZ1105" s="15"/>
      <c r="QRC1105" s="15"/>
      <c r="QRD1105" s="15"/>
      <c r="QRG1105" s="15"/>
      <c r="QRH1105" s="15"/>
      <c r="QRK1105" s="15"/>
      <c r="QRL1105" s="15"/>
      <c r="QRO1105" s="15"/>
      <c r="QRP1105" s="15"/>
      <c r="QRS1105" s="15"/>
      <c r="QRT1105" s="15"/>
      <c r="QRW1105" s="15"/>
      <c r="QRX1105" s="15"/>
      <c r="QSA1105" s="15"/>
      <c r="QSB1105" s="15"/>
      <c r="QSE1105" s="15"/>
      <c r="QSF1105" s="15"/>
      <c r="QSI1105" s="15"/>
      <c r="QSJ1105" s="15"/>
      <c r="QSM1105" s="15"/>
      <c r="QSN1105" s="15"/>
      <c r="QSQ1105" s="15"/>
      <c r="QSR1105" s="15"/>
      <c r="QSU1105" s="15"/>
      <c r="QSV1105" s="15"/>
      <c r="QSY1105" s="15"/>
      <c r="QSZ1105" s="15"/>
      <c r="QTC1105" s="15"/>
      <c r="QTD1105" s="15"/>
      <c r="QTG1105" s="15"/>
      <c r="QTH1105" s="15"/>
      <c r="QTK1105" s="15"/>
      <c r="QTL1105" s="15"/>
      <c r="QTO1105" s="15"/>
      <c r="QTP1105" s="15"/>
      <c r="QTS1105" s="15"/>
      <c r="QTT1105" s="15"/>
      <c r="QTW1105" s="15"/>
      <c r="QTX1105" s="15"/>
      <c r="QUA1105" s="15"/>
      <c r="QUB1105" s="15"/>
      <c r="QUE1105" s="15"/>
      <c r="QUF1105" s="15"/>
      <c r="QUI1105" s="15"/>
      <c r="QUJ1105" s="15"/>
      <c r="QUM1105" s="15"/>
      <c r="QUN1105" s="15"/>
      <c r="QUQ1105" s="15"/>
      <c r="QUR1105" s="15"/>
      <c r="QUU1105" s="15"/>
      <c r="QUV1105" s="15"/>
      <c r="QUY1105" s="15"/>
      <c r="QUZ1105" s="15"/>
      <c r="QVC1105" s="15"/>
      <c r="QVD1105" s="15"/>
      <c r="QVG1105" s="15"/>
      <c r="QVH1105" s="15"/>
      <c r="QVK1105" s="15"/>
      <c r="QVL1105" s="15"/>
      <c r="QVO1105" s="15"/>
      <c r="QVP1105" s="15"/>
      <c r="QVS1105" s="15"/>
      <c r="QVT1105" s="15"/>
      <c r="QVW1105" s="15"/>
      <c r="QVX1105" s="15"/>
      <c r="QWA1105" s="15"/>
      <c r="QWB1105" s="15"/>
      <c r="QWE1105" s="15"/>
      <c r="QWF1105" s="15"/>
      <c r="QWI1105" s="15"/>
      <c r="QWJ1105" s="15"/>
      <c r="QWM1105" s="15"/>
      <c r="QWN1105" s="15"/>
      <c r="QWQ1105" s="15"/>
      <c r="QWR1105" s="15"/>
      <c r="QWU1105" s="15"/>
      <c r="QWV1105" s="15"/>
      <c r="QWY1105" s="15"/>
      <c r="QWZ1105" s="15"/>
      <c r="QXC1105" s="15"/>
      <c r="QXD1105" s="15"/>
      <c r="QXG1105" s="15"/>
      <c r="QXH1105" s="15"/>
      <c r="QXK1105" s="15"/>
      <c r="QXL1105" s="15"/>
      <c r="QXO1105" s="15"/>
      <c r="QXP1105" s="15"/>
      <c r="QXS1105" s="15"/>
      <c r="QXT1105" s="15"/>
      <c r="QXW1105" s="15"/>
      <c r="QXX1105" s="15"/>
      <c r="QYA1105" s="15"/>
      <c r="QYB1105" s="15"/>
      <c r="QYE1105" s="15"/>
      <c r="QYF1105" s="15"/>
      <c r="QYI1105" s="15"/>
      <c r="QYJ1105" s="15"/>
      <c r="QYM1105" s="15"/>
      <c r="QYN1105" s="15"/>
      <c r="QYQ1105" s="15"/>
      <c r="QYR1105" s="15"/>
      <c r="QYU1105" s="15"/>
      <c r="QYV1105" s="15"/>
      <c r="QYY1105" s="15"/>
      <c r="QYZ1105" s="15"/>
      <c r="QZC1105" s="15"/>
      <c r="QZD1105" s="15"/>
      <c r="QZG1105" s="15"/>
      <c r="QZH1105" s="15"/>
      <c r="QZK1105" s="15"/>
      <c r="QZL1105" s="15"/>
      <c r="QZO1105" s="15"/>
      <c r="QZP1105" s="15"/>
      <c r="QZS1105" s="15"/>
      <c r="QZT1105" s="15"/>
      <c r="QZW1105" s="15"/>
      <c r="QZX1105" s="15"/>
      <c r="RAA1105" s="15"/>
      <c r="RAB1105" s="15"/>
      <c r="RAE1105" s="15"/>
      <c r="RAF1105" s="15"/>
      <c r="RAI1105" s="15"/>
      <c r="RAJ1105" s="15"/>
      <c r="RAM1105" s="15"/>
      <c r="RAN1105" s="15"/>
      <c r="RAQ1105" s="15"/>
      <c r="RAR1105" s="15"/>
      <c r="RAU1105" s="15"/>
      <c r="RAV1105" s="15"/>
      <c r="RAY1105" s="15"/>
      <c r="RAZ1105" s="15"/>
      <c r="RBC1105" s="15"/>
      <c r="RBD1105" s="15"/>
      <c r="RBG1105" s="15"/>
      <c r="RBH1105" s="15"/>
      <c r="RBK1105" s="15"/>
      <c r="RBL1105" s="15"/>
      <c r="RBO1105" s="15"/>
      <c r="RBP1105" s="15"/>
      <c r="RBS1105" s="15"/>
      <c r="RBT1105" s="15"/>
      <c r="RBW1105" s="15"/>
      <c r="RBX1105" s="15"/>
      <c r="RCA1105" s="15"/>
      <c r="RCB1105" s="15"/>
      <c r="RCE1105" s="15"/>
      <c r="RCF1105" s="15"/>
      <c r="RCI1105" s="15"/>
      <c r="RCJ1105" s="15"/>
      <c r="RCM1105" s="15"/>
      <c r="RCN1105" s="15"/>
      <c r="RCQ1105" s="15"/>
      <c r="RCR1105" s="15"/>
      <c r="RCU1105" s="15"/>
      <c r="RCV1105" s="15"/>
      <c r="RCY1105" s="15"/>
      <c r="RCZ1105" s="15"/>
      <c r="RDC1105" s="15"/>
      <c r="RDD1105" s="15"/>
      <c r="RDG1105" s="15"/>
      <c r="RDH1105" s="15"/>
      <c r="RDK1105" s="15"/>
      <c r="RDL1105" s="15"/>
      <c r="RDO1105" s="15"/>
      <c r="RDP1105" s="15"/>
      <c r="RDS1105" s="15"/>
      <c r="RDT1105" s="15"/>
      <c r="RDW1105" s="15"/>
      <c r="RDX1105" s="15"/>
      <c r="REA1105" s="15"/>
      <c r="REB1105" s="15"/>
      <c r="REE1105" s="15"/>
      <c r="REF1105" s="15"/>
      <c r="REI1105" s="15"/>
      <c r="REJ1105" s="15"/>
      <c r="REM1105" s="15"/>
      <c r="REN1105" s="15"/>
      <c r="REQ1105" s="15"/>
      <c r="RER1105" s="15"/>
      <c r="REU1105" s="15"/>
      <c r="REV1105" s="15"/>
      <c r="REY1105" s="15"/>
      <c r="REZ1105" s="15"/>
      <c r="RFC1105" s="15"/>
      <c r="RFD1105" s="15"/>
      <c r="RFG1105" s="15"/>
      <c r="RFH1105" s="15"/>
      <c r="RFK1105" s="15"/>
      <c r="RFL1105" s="15"/>
      <c r="RFO1105" s="15"/>
      <c r="RFP1105" s="15"/>
      <c r="RFS1105" s="15"/>
      <c r="RFT1105" s="15"/>
      <c r="RFW1105" s="15"/>
      <c r="RFX1105" s="15"/>
      <c r="RGA1105" s="15"/>
      <c r="RGB1105" s="15"/>
      <c r="RGE1105" s="15"/>
      <c r="RGF1105" s="15"/>
      <c r="RGI1105" s="15"/>
      <c r="RGJ1105" s="15"/>
      <c r="RGM1105" s="15"/>
      <c r="RGN1105" s="15"/>
      <c r="RGQ1105" s="15"/>
      <c r="RGR1105" s="15"/>
      <c r="RGU1105" s="15"/>
      <c r="RGV1105" s="15"/>
      <c r="RGY1105" s="15"/>
      <c r="RGZ1105" s="15"/>
      <c r="RHC1105" s="15"/>
      <c r="RHD1105" s="15"/>
      <c r="RHG1105" s="15"/>
      <c r="RHH1105" s="15"/>
      <c r="RHK1105" s="15"/>
      <c r="RHL1105" s="15"/>
      <c r="RHO1105" s="15"/>
      <c r="RHP1105" s="15"/>
      <c r="RHS1105" s="15"/>
      <c r="RHT1105" s="15"/>
      <c r="RHW1105" s="15"/>
      <c r="RHX1105" s="15"/>
      <c r="RIA1105" s="15"/>
      <c r="RIB1105" s="15"/>
      <c r="RIE1105" s="15"/>
      <c r="RIF1105" s="15"/>
      <c r="RII1105" s="15"/>
      <c r="RIJ1105" s="15"/>
      <c r="RIM1105" s="15"/>
      <c r="RIN1105" s="15"/>
      <c r="RIQ1105" s="15"/>
      <c r="RIR1105" s="15"/>
      <c r="RIU1105" s="15"/>
      <c r="RIV1105" s="15"/>
      <c r="RIY1105" s="15"/>
      <c r="RIZ1105" s="15"/>
      <c r="RJC1105" s="15"/>
      <c r="RJD1105" s="15"/>
      <c r="RJG1105" s="15"/>
      <c r="RJH1105" s="15"/>
      <c r="RJK1105" s="15"/>
      <c r="RJL1105" s="15"/>
      <c r="RJO1105" s="15"/>
      <c r="RJP1105" s="15"/>
      <c r="RJS1105" s="15"/>
      <c r="RJT1105" s="15"/>
      <c r="RJW1105" s="15"/>
      <c r="RJX1105" s="15"/>
      <c r="RKA1105" s="15"/>
      <c r="RKB1105" s="15"/>
      <c r="RKE1105" s="15"/>
      <c r="RKF1105" s="15"/>
      <c r="RKI1105" s="15"/>
      <c r="RKJ1105" s="15"/>
      <c r="RKM1105" s="15"/>
      <c r="RKN1105" s="15"/>
      <c r="RKQ1105" s="15"/>
      <c r="RKR1105" s="15"/>
      <c r="RKU1105" s="15"/>
      <c r="RKV1105" s="15"/>
      <c r="RKY1105" s="15"/>
      <c r="RKZ1105" s="15"/>
      <c r="RLC1105" s="15"/>
      <c r="RLD1105" s="15"/>
      <c r="RLG1105" s="15"/>
      <c r="RLH1105" s="15"/>
      <c r="RLK1105" s="15"/>
      <c r="RLL1105" s="15"/>
      <c r="RLO1105" s="15"/>
      <c r="RLP1105" s="15"/>
      <c r="RLS1105" s="15"/>
      <c r="RLT1105" s="15"/>
      <c r="RLW1105" s="15"/>
      <c r="RLX1105" s="15"/>
      <c r="RMA1105" s="15"/>
      <c r="RMB1105" s="15"/>
      <c r="RME1105" s="15"/>
      <c r="RMF1105" s="15"/>
      <c r="RMI1105" s="15"/>
      <c r="RMJ1105" s="15"/>
      <c r="RMM1105" s="15"/>
      <c r="RMN1105" s="15"/>
      <c r="RMQ1105" s="15"/>
      <c r="RMR1105" s="15"/>
      <c r="RMU1105" s="15"/>
      <c r="RMV1105" s="15"/>
      <c r="RMY1105" s="15"/>
      <c r="RMZ1105" s="15"/>
      <c r="RNC1105" s="15"/>
      <c r="RND1105" s="15"/>
      <c r="RNG1105" s="15"/>
      <c r="RNH1105" s="15"/>
      <c r="RNK1105" s="15"/>
      <c r="RNL1105" s="15"/>
      <c r="RNO1105" s="15"/>
      <c r="RNP1105" s="15"/>
      <c r="RNS1105" s="15"/>
      <c r="RNT1105" s="15"/>
      <c r="RNW1105" s="15"/>
      <c r="RNX1105" s="15"/>
      <c r="ROA1105" s="15"/>
      <c r="ROB1105" s="15"/>
      <c r="ROE1105" s="15"/>
      <c r="ROF1105" s="15"/>
      <c r="ROI1105" s="15"/>
      <c r="ROJ1105" s="15"/>
      <c r="ROM1105" s="15"/>
      <c r="RON1105" s="15"/>
      <c r="ROQ1105" s="15"/>
      <c r="ROR1105" s="15"/>
      <c r="ROU1105" s="15"/>
      <c r="ROV1105" s="15"/>
      <c r="ROY1105" s="15"/>
      <c r="ROZ1105" s="15"/>
      <c r="RPC1105" s="15"/>
      <c r="RPD1105" s="15"/>
      <c r="RPG1105" s="15"/>
      <c r="RPH1105" s="15"/>
      <c r="RPK1105" s="15"/>
      <c r="RPL1105" s="15"/>
      <c r="RPO1105" s="15"/>
      <c r="RPP1105" s="15"/>
      <c r="RPS1105" s="15"/>
      <c r="RPT1105" s="15"/>
      <c r="RPW1105" s="15"/>
      <c r="RPX1105" s="15"/>
      <c r="RQA1105" s="15"/>
      <c r="RQB1105" s="15"/>
      <c r="RQE1105" s="15"/>
      <c r="RQF1105" s="15"/>
      <c r="RQI1105" s="15"/>
      <c r="RQJ1105" s="15"/>
      <c r="RQM1105" s="15"/>
      <c r="RQN1105" s="15"/>
      <c r="RQQ1105" s="15"/>
      <c r="RQR1105" s="15"/>
      <c r="RQU1105" s="15"/>
      <c r="RQV1105" s="15"/>
      <c r="RQY1105" s="15"/>
      <c r="RQZ1105" s="15"/>
      <c r="RRC1105" s="15"/>
      <c r="RRD1105" s="15"/>
      <c r="RRG1105" s="15"/>
      <c r="RRH1105" s="15"/>
      <c r="RRK1105" s="15"/>
      <c r="RRL1105" s="15"/>
      <c r="RRO1105" s="15"/>
      <c r="RRP1105" s="15"/>
      <c r="RRS1105" s="15"/>
      <c r="RRT1105" s="15"/>
      <c r="RRW1105" s="15"/>
      <c r="RRX1105" s="15"/>
      <c r="RSA1105" s="15"/>
      <c r="RSB1105" s="15"/>
      <c r="RSE1105" s="15"/>
      <c r="RSF1105" s="15"/>
      <c r="RSI1105" s="15"/>
      <c r="RSJ1105" s="15"/>
      <c r="RSM1105" s="15"/>
      <c r="RSN1105" s="15"/>
      <c r="RSQ1105" s="15"/>
      <c r="RSR1105" s="15"/>
      <c r="RSU1105" s="15"/>
      <c r="RSV1105" s="15"/>
      <c r="RSY1105" s="15"/>
      <c r="RSZ1105" s="15"/>
      <c r="RTC1105" s="15"/>
      <c r="RTD1105" s="15"/>
      <c r="RTG1105" s="15"/>
      <c r="RTH1105" s="15"/>
      <c r="RTK1105" s="15"/>
      <c r="RTL1105" s="15"/>
      <c r="RTO1105" s="15"/>
      <c r="RTP1105" s="15"/>
      <c r="RTS1105" s="15"/>
      <c r="RTT1105" s="15"/>
      <c r="RTW1105" s="15"/>
      <c r="RTX1105" s="15"/>
      <c r="RUA1105" s="15"/>
      <c r="RUB1105" s="15"/>
      <c r="RUE1105" s="15"/>
      <c r="RUF1105" s="15"/>
      <c r="RUI1105" s="15"/>
      <c r="RUJ1105" s="15"/>
      <c r="RUM1105" s="15"/>
      <c r="RUN1105" s="15"/>
      <c r="RUQ1105" s="15"/>
      <c r="RUR1105" s="15"/>
      <c r="RUU1105" s="15"/>
      <c r="RUV1105" s="15"/>
      <c r="RUY1105" s="15"/>
      <c r="RUZ1105" s="15"/>
      <c r="RVC1105" s="15"/>
      <c r="RVD1105" s="15"/>
      <c r="RVG1105" s="15"/>
      <c r="RVH1105" s="15"/>
      <c r="RVK1105" s="15"/>
      <c r="RVL1105" s="15"/>
      <c r="RVO1105" s="15"/>
      <c r="RVP1105" s="15"/>
      <c r="RVS1105" s="15"/>
      <c r="RVT1105" s="15"/>
      <c r="RVW1105" s="15"/>
      <c r="RVX1105" s="15"/>
      <c r="RWA1105" s="15"/>
      <c r="RWB1105" s="15"/>
      <c r="RWE1105" s="15"/>
      <c r="RWF1105" s="15"/>
      <c r="RWI1105" s="15"/>
      <c r="RWJ1105" s="15"/>
      <c r="RWM1105" s="15"/>
      <c r="RWN1105" s="15"/>
      <c r="RWQ1105" s="15"/>
      <c r="RWR1105" s="15"/>
      <c r="RWU1105" s="15"/>
      <c r="RWV1105" s="15"/>
      <c r="RWY1105" s="15"/>
      <c r="RWZ1105" s="15"/>
      <c r="RXC1105" s="15"/>
      <c r="RXD1105" s="15"/>
      <c r="RXG1105" s="15"/>
      <c r="RXH1105" s="15"/>
      <c r="RXK1105" s="15"/>
      <c r="RXL1105" s="15"/>
      <c r="RXO1105" s="15"/>
      <c r="RXP1105" s="15"/>
      <c r="RXS1105" s="15"/>
      <c r="RXT1105" s="15"/>
      <c r="RXW1105" s="15"/>
      <c r="RXX1105" s="15"/>
      <c r="RYA1105" s="15"/>
      <c r="RYB1105" s="15"/>
      <c r="RYE1105" s="15"/>
      <c r="RYF1105" s="15"/>
      <c r="RYI1105" s="15"/>
      <c r="RYJ1105" s="15"/>
      <c r="RYM1105" s="15"/>
      <c r="RYN1105" s="15"/>
      <c r="RYQ1105" s="15"/>
      <c r="RYR1105" s="15"/>
      <c r="RYU1105" s="15"/>
      <c r="RYV1105" s="15"/>
      <c r="RYY1105" s="15"/>
      <c r="RYZ1105" s="15"/>
      <c r="RZC1105" s="15"/>
      <c r="RZD1105" s="15"/>
      <c r="RZG1105" s="15"/>
      <c r="RZH1105" s="15"/>
      <c r="RZK1105" s="15"/>
      <c r="RZL1105" s="15"/>
      <c r="RZO1105" s="15"/>
      <c r="RZP1105" s="15"/>
      <c r="RZS1105" s="15"/>
      <c r="RZT1105" s="15"/>
      <c r="RZW1105" s="15"/>
      <c r="RZX1105" s="15"/>
      <c r="SAA1105" s="15"/>
      <c r="SAB1105" s="15"/>
      <c r="SAE1105" s="15"/>
      <c r="SAF1105" s="15"/>
      <c r="SAI1105" s="15"/>
      <c r="SAJ1105" s="15"/>
      <c r="SAM1105" s="15"/>
      <c r="SAN1105" s="15"/>
      <c r="SAQ1105" s="15"/>
      <c r="SAR1105" s="15"/>
      <c r="SAU1105" s="15"/>
      <c r="SAV1105" s="15"/>
      <c r="SAY1105" s="15"/>
      <c r="SAZ1105" s="15"/>
      <c r="SBC1105" s="15"/>
      <c r="SBD1105" s="15"/>
      <c r="SBG1105" s="15"/>
      <c r="SBH1105" s="15"/>
      <c r="SBK1105" s="15"/>
      <c r="SBL1105" s="15"/>
      <c r="SBO1105" s="15"/>
      <c r="SBP1105" s="15"/>
      <c r="SBS1105" s="15"/>
      <c r="SBT1105" s="15"/>
      <c r="SBW1105" s="15"/>
      <c r="SBX1105" s="15"/>
      <c r="SCA1105" s="15"/>
      <c r="SCB1105" s="15"/>
      <c r="SCE1105" s="15"/>
      <c r="SCF1105" s="15"/>
      <c r="SCI1105" s="15"/>
      <c r="SCJ1105" s="15"/>
      <c r="SCM1105" s="15"/>
      <c r="SCN1105" s="15"/>
      <c r="SCQ1105" s="15"/>
      <c r="SCR1105" s="15"/>
      <c r="SCU1105" s="15"/>
      <c r="SCV1105" s="15"/>
      <c r="SCY1105" s="15"/>
      <c r="SCZ1105" s="15"/>
      <c r="SDC1105" s="15"/>
      <c r="SDD1105" s="15"/>
      <c r="SDG1105" s="15"/>
      <c r="SDH1105" s="15"/>
      <c r="SDK1105" s="15"/>
      <c r="SDL1105" s="15"/>
      <c r="SDO1105" s="15"/>
      <c r="SDP1105" s="15"/>
      <c r="SDS1105" s="15"/>
      <c r="SDT1105" s="15"/>
      <c r="SDW1105" s="15"/>
      <c r="SDX1105" s="15"/>
      <c r="SEA1105" s="15"/>
      <c r="SEB1105" s="15"/>
      <c r="SEE1105" s="15"/>
      <c r="SEF1105" s="15"/>
      <c r="SEI1105" s="15"/>
      <c r="SEJ1105" s="15"/>
      <c r="SEM1105" s="15"/>
      <c r="SEN1105" s="15"/>
      <c r="SEQ1105" s="15"/>
      <c r="SER1105" s="15"/>
      <c r="SEU1105" s="15"/>
      <c r="SEV1105" s="15"/>
      <c r="SEY1105" s="15"/>
      <c r="SEZ1105" s="15"/>
      <c r="SFC1105" s="15"/>
      <c r="SFD1105" s="15"/>
      <c r="SFG1105" s="15"/>
      <c r="SFH1105" s="15"/>
      <c r="SFK1105" s="15"/>
      <c r="SFL1105" s="15"/>
      <c r="SFO1105" s="15"/>
      <c r="SFP1105" s="15"/>
      <c r="SFS1105" s="15"/>
      <c r="SFT1105" s="15"/>
      <c r="SFW1105" s="15"/>
      <c r="SFX1105" s="15"/>
      <c r="SGA1105" s="15"/>
      <c r="SGB1105" s="15"/>
      <c r="SGE1105" s="15"/>
      <c r="SGF1105" s="15"/>
      <c r="SGI1105" s="15"/>
      <c r="SGJ1105" s="15"/>
      <c r="SGM1105" s="15"/>
      <c r="SGN1105" s="15"/>
      <c r="SGQ1105" s="15"/>
      <c r="SGR1105" s="15"/>
      <c r="SGU1105" s="15"/>
      <c r="SGV1105" s="15"/>
      <c r="SGY1105" s="15"/>
      <c r="SGZ1105" s="15"/>
      <c r="SHC1105" s="15"/>
      <c r="SHD1105" s="15"/>
      <c r="SHG1105" s="15"/>
      <c r="SHH1105" s="15"/>
      <c r="SHK1105" s="15"/>
      <c r="SHL1105" s="15"/>
      <c r="SHO1105" s="15"/>
      <c r="SHP1105" s="15"/>
      <c r="SHS1105" s="15"/>
      <c r="SHT1105" s="15"/>
      <c r="SHW1105" s="15"/>
      <c r="SHX1105" s="15"/>
      <c r="SIA1105" s="15"/>
      <c r="SIB1105" s="15"/>
      <c r="SIE1105" s="15"/>
      <c r="SIF1105" s="15"/>
      <c r="SII1105" s="15"/>
      <c r="SIJ1105" s="15"/>
      <c r="SIM1105" s="15"/>
      <c r="SIN1105" s="15"/>
      <c r="SIQ1105" s="15"/>
      <c r="SIR1105" s="15"/>
      <c r="SIU1105" s="15"/>
      <c r="SIV1105" s="15"/>
      <c r="SIY1105" s="15"/>
      <c r="SIZ1105" s="15"/>
      <c r="SJC1105" s="15"/>
      <c r="SJD1105" s="15"/>
      <c r="SJG1105" s="15"/>
      <c r="SJH1105" s="15"/>
      <c r="SJK1105" s="15"/>
      <c r="SJL1105" s="15"/>
      <c r="SJO1105" s="15"/>
      <c r="SJP1105" s="15"/>
      <c r="SJS1105" s="15"/>
      <c r="SJT1105" s="15"/>
      <c r="SJW1105" s="15"/>
      <c r="SJX1105" s="15"/>
      <c r="SKA1105" s="15"/>
      <c r="SKB1105" s="15"/>
      <c r="SKE1105" s="15"/>
      <c r="SKF1105" s="15"/>
      <c r="SKI1105" s="15"/>
      <c r="SKJ1105" s="15"/>
      <c r="SKM1105" s="15"/>
      <c r="SKN1105" s="15"/>
      <c r="SKQ1105" s="15"/>
      <c r="SKR1105" s="15"/>
      <c r="SKU1105" s="15"/>
      <c r="SKV1105" s="15"/>
      <c r="SKY1105" s="15"/>
      <c r="SKZ1105" s="15"/>
      <c r="SLC1105" s="15"/>
      <c r="SLD1105" s="15"/>
      <c r="SLG1105" s="15"/>
      <c r="SLH1105" s="15"/>
      <c r="SLK1105" s="15"/>
      <c r="SLL1105" s="15"/>
      <c r="SLO1105" s="15"/>
      <c r="SLP1105" s="15"/>
      <c r="SLS1105" s="15"/>
      <c r="SLT1105" s="15"/>
      <c r="SLW1105" s="15"/>
      <c r="SLX1105" s="15"/>
      <c r="SMA1105" s="15"/>
      <c r="SMB1105" s="15"/>
      <c r="SME1105" s="15"/>
      <c r="SMF1105" s="15"/>
      <c r="SMI1105" s="15"/>
      <c r="SMJ1105" s="15"/>
      <c r="SMM1105" s="15"/>
      <c r="SMN1105" s="15"/>
      <c r="SMQ1105" s="15"/>
      <c r="SMR1105" s="15"/>
      <c r="SMU1105" s="15"/>
      <c r="SMV1105" s="15"/>
      <c r="SMY1105" s="15"/>
      <c r="SMZ1105" s="15"/>
      <c r="SNC1105" s="15"/>
      <c r="SND1105" s="15"/>
      <c r="SNG1105" s="15"/>
      <c r="SNH1105" s="15"/>
      <c r="SNK1105" s="15"/>
      <c r="SNL1105" s="15"/>
      <c r="SNO1105" s="15"/>
      <c r="SNP1105" s="15"/>
      <c r="SNS1105" s="15"/>
      <c r="SNT1105" s="15"/>
      <c r="SNW1105" s="15"/>
      <c r="SNX1105" s="15"/>
      <c r="SOA1105" s="15"/>
      <c r="SOB1105" s="15"/>
      <c r="SOE1105" s="15"/>
      <c r="SOF1105" s="15"/>
      <c r="SOI1105" s="15"/>
      <c r="SOJ1105" s="15"/>
      <c r="SOM1105" s="15"/>
      <c r="SON1105" s="15"/>
      <c r="SOQ1105" s="15"/>
      <c r="SOR1105" s="15"/>
      <c r="SOU1105" s="15"/>
      <c r="SOV1105" s="15"/>
      <c r="SOY1105" s="15"/>
      <c r="SOZ1105" s="15"/>
      <c r="SPC1105" s="15"/>
      <c r="SPD1105" s="15"/>
      <c r="SPG1105" s="15"/>
      <c r="SPH1105" s="15"/>
      <c r="SPK1105" s="15"/>
      <c r="SPL1105" s="15"/>
      <c r="SPO1105" s="15"/>
      <c r="SPP1105" s="15"/>
      <c r="SPS1105" s="15"/>
      <c r="SPT1105" s="15"/>
      <c r="SPW1105" s="15"/>
      <c r="SPX1105" s="15"/>
      <c r="SQA1105" s="15"/>
      <c r="SQB1105" s="15"/>
      <c r="SQE1105" s="15"/>
      <c r="SQF1105" s="15"/>
      <c r="SQI1105" s="15"/>
      <c r="SQJ1105" s="15"/>
      <c r="SQM1105" s="15"/>
      <c r="SQN1105" s="15"/>
      <c r="SQQ1105" s="15"/>
      <c r="SQR1105" s="15"/>
      <c r="SQU1105" s="15"/>
      <c r="SQV1105" s="15"/>
      <c r="SQY1105" s="15"/>
      <c r="SQZ1105" s="15"/>
      <c r="SRC1105" s="15"/>
      <c r="SRD1105" s="15"/>
      <c r="SRG1105" s="15"/>
      <c r="SRH1105" s="15"/>
      <c r="SRK1105" s="15"/>
      <c r="SRL1105" s="15"/>
      <c r="SRO1105" s="15"/>
      <c r="SRP1105" s="15"/>
      <c r="SRS1105" s="15"/>
      <c r="SRT1105" s="15"/>
      <c r="SRW1105" s="15"/>
      <c r="SRX1105" s="15"/>
      <c r="SSA1105" s="15"/>
      <c r="SSB1105" s="15"/>
      <c r="SSE1105" s="15"/>
      <c r="SSF1105" s="15"/>
      <c r="SSI1105" s="15"/>
      <c r="SSJ1105" s="15"/>
      <c r="SSM1105" s="15"/>
      <c r="SSN1105" s="15"/>
      <c r="SSQ1105" s="15"/>
      <c r="SSR1105" s="15"/>
      <c r="SSU1105" s="15"/>
      <c r="SSV1105" s="15"/>
      <c r="SSY1105" s="15"/>
      <c r="SSZ1105" s="15"/>
      <c r="STC1105" s="15"/>
      <c r="STD1105" s="15"/>
      <c r="STG1105" s="15"/>
      <c r="STH1105" s="15"/>
      <c r="STK1105" s="15"/>
      <c r="STL1105" s="15"/>
      <c r="STO1105" s="15"/>
      <c r="STP1105" s="15"/>
      <c r="STS1105" s="15"/>
      <c r="STT1105" s="15"/>
      <c r="STW1105" s="15"/>
      <c r="STX1105" s="15"/>
      <c r="SUA1105" s="15"/>
      <c r="SUB1105" s="15"/>
      <c r="SUE1105" s="15"/>
      <c r="SUF1105" s="15"/>
      <c r="SUI1105" s="15"/>
      <c r="SUJ1105" s="15"/>
      <c r="SUM1105" s="15"/>
      <c r="SUN1105" s="15"/>
      <c r="SUQ1105" s="15"/>
      <c r="SUR1105" s="15"/>
      <c r="SUU1105" s="15"/>
      <c r="SUV1105" s="15"/>
      <c r="SUY1105" s="15"/>
      <c r="SUZ1105" s="15"/>
      <c r="SVC1105" s="15"/>
      <c r="SVD1105" s="15"/>
      <c r="SVG1105" s="15"/>
      <c r="SVH1105" s="15"/>
      <c r="SVK1105" s="15"/>
      <c r="SVL1105" s="15"/>
      <c r="SVO1105" s="15"/>
      <c r="SVP1105" s="15"/>
      <c r="SVS1105" s="15"/>
      <c r="SVT1105" s="15"/>
      <c r="SVW1105" s="15"/>
      <c r="SVX1105" s="15"/>
      <c r="SWA1105" s="15"/>
      <c r="SWB1105" s="15"/>
      <c r="SWE1105" s="15"/>
      <c r="SWF1105" s="15"/>
      <c r="SWI1105" s="15"/>
      <c r="SWJ1105" s="15"/>
      <c r="SWM1105" s="15"/>
      <c r="SWN1105" s="15"/>
      <c r="SWQ1105" s="15"/>
      <c r="SWR1105" s="15"/>
      <c r="SWU1105" s="15"/>
      <c r="SWV1105" s="15"/>
      <c r="SWY1105" s="15"/>
      <c r="SWZ1105" s="15"/>
      <c r="SXC1105" s="15"/>
      <c r="SXD1105" s="15"/>
      <c r="SXG1105" s="15"/>
      <c r="SXH1105" s="15"/>
      <c r="SXK1105" s="15"/>
      <c r="SXL1105" s="15"/>
      <c r="SXO1105" s="15"/>
      <c r="SXP1105" s="15"/>
      <c r="SXS1105" s="15"/>
      <c r="SXT1105" s="15"/>
      <c r="SXW1105" s="15"/>
      <c r="SXX1105" s="15"/>
      <c r="SYA1105" s="15"/>
      <c r="SYB1105" s="15"/>
      <c r="SYE1105" s="15"/>
      <c r="SYF1105" s="15"/>
      <c r="SYI1105" s="15"/>
      <c r="SYJ1105" s="15"/>
      <c r="SYM1105" s="15"/>
      <c r="SYN1105" s="15"/>
      <c r="SYQ1105" s="15"/>
      <c r="SYR1105" s="15"/>
      <c r="SYU1105" s="15"/>
      <c r="SYV1105" s="15"/>
      <c r="SYY1105" s="15"/>
      <c r="SYZ1105" s="15"/>
      <c r="SZC1105" s="15"/>
      <c r="SZD1105" s="15"/>
      <c r="SZG1105" s="15"/>
      <c r="SZH1105" s="15"/>
      <c r="SZK1105" s="15"/>
      <c r="SZL1105" s="15"/>
      <c r="SZO1105" s="15"/>
      <c r="SZP1105" s="15"/>
      <c r="SZS1105" s="15"/>
      <c r="SZT1105" s="15"/>
      <c r="SZW1105" s="15"/>
      <c r="SZX1105" s="15"/>
      <c r="TAA1105" s="15"/>
      <c r="TAB1105" s="15"/>
      <c r="TAE1105" s="15"/>
      <c r="TAF1105" s="15"/>
      <c r="TAI1105" s="15"/>
      <c r="TAJ1105" s="15"/>
      <c r="TAM1105" s="15"/>
      <c r="TAN1105" s="15"/>
      <c r="TAQ1105" s="15"/>
      <c r="TAR1105" s="15"/>
      <c r="TAU1105" s="15"/>
      <c r="TAV1105" s="15"/>
      <c r="TAY1105" s="15"/>
      <c r="TAZ1105" s="15"/>
      <c r="TBC1105" s="15"/>
      <c r="TBD1105" s="15"/>
      <c r="TBG1105" s="15"/>
      <c r="TBH1105" s="15"/>
      <c r="TBK1105" s="15"/>
      <c r="TBL1105" s="15"/>
      <c r="TBO1105" s="15"/>
      <c r="TBP1105" s="15"/>
      <c r="TBS1105" s="15"/>
      <c r="TBT1105" s="15"/>
      <c r="TBW1105" s="15"/>
      <c r="TBX1105" s="15"/>
      <c r="TCA1105" s="15"/>
      <c r="TCB1105" s="15"/>
      <c r="TCE1105" s="15"/>
      <c r="TCF1105" s="15"/>
      <c r="TCI1105" s="15"/>
      <c r="TCJ1105" s="15"/>
      <c r="TCM1105" s="15"/>
      <c r="TCN1105" s="15"/>
      <c r="TCQ1105" s="15"/>
      <c r="TCR1105" s="15"/>
      <c r="TCU1105" s="15"/>
      <c r="TCV1105" s="15"/>
      <c r="TCY1105" s="15"/>
      <c r="TCZ1105" s="15"/>
      <c r="TDC1105" s="15"/>
      <c r="TDD1105" s="15"/>
      <c r="TDG1105" s="15"/>
      <c r="TDH1105" s="15"/>
      <c r="TDK1105" s="15"/>
      <c r="TDL1105" s="15"/>
      <c r="TDO1105" s="15"/>
      <c r="TDP1105" s="15"/>
      <c r="TDS1105" s="15"/>
      <c r="TDT1105" s="15"/>
      <c r="TDW1105" s="15"/>
      <c r="TDX1105" s="15"/>
      <c r="TEA1105" s="15"/>
      <c r="TEB1105" s="15"/>
      <c r="TEE1105" s="15"/>
      <c r="TEF1105" s="15"/>
      <c r="TEI1105" s="15"/>
      <c r="TEJ1105" s="15"/>
      <c r="TEM1105" s="15"/>
      <c r="TEN1105" s="15"/>
      <c r="TEQ1105" s="15"/>
      <c r="TER1105" s="15"/>
      <c r="TEU1105" s="15"/>
      <c r="TEV1105" s="15"/>
      <c r="TEY1105" s="15"/>
      <c r="TEZ1105" s="15"/>
      <c r="TFC1105" s="15"/>
      <c r="TFD1105" s="15"/>
      <c r="TFG1105" s="15"/>
      <c r="TFH1105" s="15"/>
      <c r="TFK1105" s="15"/>
      <c r="TFL1105" s="15"/>
      <c r="TFO1105" s="15"/>
      <c r="TFP1105" s="15"/>
      <c r="TFS1105" s="15"/>
      <c r="TFT1105" s="15"/>
      <c r="TFW1105" s="15"/>
      <c r="TFX1105" s="15"/>
      <c r="TGA1105" s="15"/>
      <c r="TGB1105" s="15"/>
      <c r="TGE1105" s="15"/>
      <c r="TGF1105" s="15"/>
      <c r="TGI1105" s="15"/>
      <c r="TGJ1105" s="15"/>
      <c r="TGM1105" s="15"/>
      <c r="TGN1105" s="15"/>
      <c r="TGQ1105" s="15"/>
      <c r="TGR1105" s="15"/>
      <c r="TGU1105" s="15"/>
      <c r="TGV1105" s="15"/>
      <c r="TGY1105" s="15"/>
      <c r="TGZ1105" s="15"/>
      <c r="THC1105" s="15"/>
      <c r="THD1105" s="15"/>
      <c r="THG1105" s="15"/>
      <c r="THH1105" s="15"/>
      <c r="THK1105" s="15"/>
      <c r="THL1105" s="15"/>
      <c r="THO1105" s="15"/>
      <c r="THP1105" s="15"/>
      <c r="THS1105" s="15"/>
      <c r="THT1105" s="15"/>
      <c r="THW1105" s="15"/>
      <c r="THX1105" s="15"/>
      <c r="TIA1105" s="15"/>
      <c r="TIB1105" s="15"/>
      <c r="TIE1105" s="15"/>
      <c r="TIF1105" s="15"/>
      <c r="TII1105" s="15"/>
      <c r="TIJ1105" s="15"/>
      <c r="TIM1105" s="15"/>
      <c r="TIN1105" s="15"/>
      <c r="TIQ1105" s="15"/>
      <c r="TIR1105" s="15"/>
      <c r="TIU1105" s="15"/>
      <c r="TIV1105" s="15"/>
      <c r="TIY1105" s="15"/>
      <c r="TIZ1105" s="15"/>
      <c r="TJC1105" s="15"/>
      <c r="TJD1105" s="15"/>
      <c r="TJG1105" s="15"/>
      <c r="TJH1105" s="15"/>
      <c r="TJK1105" s="15"/>
      <c r="TJL1105" s="15"/>
      <c r="TJO1105" s="15"/>
      <c r="TJP1105" s="15"/>
      <c r="TJS1105" s="15"/>
      <c r="TJT1105" s="15"/>
      <c r="TJW1105" s="15"/>
      <c r="TJX1105" s="15"/>
      <c r="TKA1105" s="15"/>
      <c r="TKB1105" s="15"/>
      <c r="TKE1105" s="15"/>
      <c r="TKF1105" s="15"/>
      <c r="TKI1105" s="15"/>
      <c r="TKJ1105" s="15"/>
      <c r="TKM1105" s="15"/>
      <c r="TKN1105" s="15"/>
      <c r="TKQ1105" s="15"/>
      <c r="TKR1105" s="15"/>
      <c r="TKU1105" s="15"/>
      <c r="TKV1105" s="15"/>
      <c r="TKY1105" s="15"/>
      <c r="TKZ1105" s="15"/>
      <c r="TLC1105" s="15"/>
      <c r="TLD1105" s="15"/>
      <c r="TLG1105" s="15"/>
      <c r="TLH1105" s="15"/>
      <c r="TLK1105" s="15"/>
      <c r="TLL1105" s="15"/>
      <c r="TLO1105" s="15"/>
      <c r="TLP1105" s="15"/>
      <c r="TLS1105" s="15"/>
      <c r="TLT1105" s="15"/>
      <c r="TLW1105" s="15"/>
      <c r="TLX1105" s="15"/>
      <c r="TMA1105" s="15"/>
      <c r="TMB1105" s="15"/>
      <c r="TME1105" s="15"/>
      <c r="TMF1105" s="15"/>
      <c r="TMI1105" s="15"/>
      <c r="TMJ1105" s="15"/>
      <c r="TMM1105" s="15"/>
      <c r="TMN1105" s="15"/>
      <c r="TMQ1105" s="15"/>
      <c r="TMR1105" s="15"/>
      <c r="TMU1105" s="15"/>
      <c r="TMV1105" s="15"/>
      <c r="TMY1105" s="15"/>
      <c r="TMZ1105" s="15"/>
      <c r="TNC1105" s="15"/>
      <c r="TND1105" s="15"/>
      <c r="TNG1105" s="15"/>
      <c r="TNH1105" s="15"/>
      <c r="TNK1105" s="15"/>
      <c r="TNL1105" s="15"/>
      <c r="TNO1105" s="15"/>
      <c r="TNP1105" s="15"/>
      <c r="TNS1105" s="15"/>
      <c r="TNT1105" s="15"/>
      <c r="TNW1105" s="15"/>
      <c r="TNX1105" s="15"/>
      <c r="TOA1105" s="15"/>
      <c r="TOB1105" s="15"/>
      <c r="TOE1105" s="15"/>
      <c r="TOF1105" s="15"/>
      <c r="TOI1105" s="15"/>
      <c r="TOJ1105" s="15"/>
      <c r="TOM1105" s="15"/>
      <c r="TON1105" s="15"/>
      <c r="TOQ1105" s="15"/>
      <c r="TOR1105" s="15"/>
      <c r="TOU1105" s="15"/>
      <c r="TOV1105" s="15"/>
      <c r="TOY1105" s="15"/>
      <c r="TOZ1105" s="15"/>
      <c r="TPC1105" s="15"/>
      <c r="TPD1105" s="15"/>
      <c r="TPG1105" s="15"/>
      <c r="TPH1105" s="15"/>
      <c r="TPK1105" s="15"/>
      <c r="TPL1105" s="15"/>
      <c r="TPO1105" s="15"/>
      <c r="TPP1105" s="15"/>
      <c r="TPS1105" s="15"/>
      <c r="TPT1105" s="15"/>
      <c r="TPW1105" s="15"/>
      <c r="TPX1105" s="15"/>
      <c r="TQA1105" s="15"/>
      <c r="TQB1105" s="15"/>
      <c r="TQE1105" s="15"/>
      <c r="TQF1105" s="15"/>
      <c r="TQI1105" s="15"/>
      <c r="TQJ1105" s="15"/>
      <c r="TQM1105" s="15"/>
      <c r="TQN1105" s="15"/>
      <c r="TQQ1105" s="15"/>
      <c r="TQR1105" s="15"/>
      <c r="TQU1105" s="15"/>
      <c r="TQV1105" s="15"/>
      <c r="TQY1105" s="15"/>
      <c r="TQZ1105" s="15"/>
      <c r="TRC1105" s="15"/>
      <c r="TRD1105" s="15"/>
      <c r="TRG1105" s="15"/>
      <c r="TRH1105" s="15"/>
      <c r="TRK1105" s="15"/>
      <c r="TRL1105" s="15"/>
      <c r="TRO1105" s="15"/>
      <c r="TRP1105" s="15"/>
      <c r="TRS1105" s="15"/>
      <c r="TRT1105" s="15"/>
      <c r="TRW1105" s="15"/>
      <c r="TRX1105" s="15"/>
      <c r="TSA1105" s="15"/>
      <c r="TSB1105" s="15"/>
      <c r="TSE1105" s="15"/>
      <c r="TSF1105" s="15"/>
      <c r="TSI1105" s="15"/>
      <c r="TSJ1105" s="15"/>
      <c r="TSM1105" s="15"/>
      <c r="TSN1105" s="15"/>
      <c r="TSQ1105" s="15"/>
      <c r="TSR1105" s="15"/>
      <c r="TSU1105" s="15"/>
      <c r="TSV1105" s="15"/>
      <c r="TSY1105" s="15"/>
      <c r="TSZ1105" s="15"/>
      <c r="TTC1105" s="15"/>
      <c r="TTD1105" s="15"/>
      <c r="TTG1105" s="15"/>
      <c r="TTH1105" s="15"/>
      <c r="TTK1105" s="15"/>
      <c r="TTL1105" s="15"/>
      <c r="TTO1105" s="15"/>
      <c r="TTP1105" s="15"/>
      <c r="TTS1105" s="15"/>
      <c r="TTT1105" s="15"/>
      <c r="TTW1105" s="15"/>
      <c r="TTX1105" s="15"/>
      <c r="TUA1105" s="15"/>
      <c r="TUB1105" s="15"/>
      <c r="TUE1105" s="15"/>
      <c r="TUF1105" s="15"/>
      <c r="TUI1105" s="15"/>
      <c r="TUJ1105" s="15"/>
      <c r="TUM1105" s="15"/>
      <c r="TUN1105" s="15"/>
      <c r="TUQ1105" s="15"/>
      <c r="TUR1105" s="15"/>
      <c r="TUU1105" s="15"/>
      <c r="TUV1105" s="15"/>
      <c r="TUY1105" s="15"/>
      <c r="TUZ1105" s="15"/>
      <c r="TVC1105" s="15"/>
      <c r="TVD1105" s="15"/>
      <c r="TVG1105" s="15"/>
      <c r="TVH1105" s="15"/>
      <c r="TVK1105" s="15"/>
      <c r="TVL1105" s="15"/>
      <c r="TVO1105" s="15"/>
      <c r="TVP1105" s="15"/>
      <c r="TVS1105" s="15"/>
      <c r="TVT1105" s="15"/>
      <c r="TVW1105" s="15"/>
      <c r="TVX1105" s="15"/>
      <c r="TWA1105" s="15"/>
      <c r="TWB1105" s="15"/>
      <c r="TWE1105" s="15"/>
      <c r="TWF1105" s="15"/>
      <c r="TWI1105" s="15"/>
      <c r="TWJ1105" s="15"/>
      <c r="TWM1105" s="15"/>
      <c r="TWN1105" s="15"/>
      <c r="TWQ1105" s="15"/>
      <c r="TWR1105" s="15"/>
      <c r="TWU1105" s="15"/>
      <c r="TWV1105" s="15"/>
      <c r="TWY1105" s="15"/>
      <c r="TWZ1105" s="15"/>
      <c r="TXC1105" s="15"/>
      <c r="TXD1105" s="15"/>
      <c r="TXG1105" s="15"/>
      <c r="TXH1105" s="15"/>
      <c r="TXK1105" s="15"/>
      <c r="TXL1105" s="15"/>
      <c r="TXO1105" s="15"/>
      <c r="TXP1105" s="15"/>
      <c r="TXS1105" s="15"/>
      <c r="TXT1105" s="15"/>
      <c r="TXW1105" s="15"/>
      <c r="TXX1105" s="15"/>
      <c r="TYA1105" s="15"/>
      <c r="TYB1105" s="15"/>
      <c r="TYE1105" s="15"/>
      <c r="TYF1105" s="15"/>
      <c r="TYI1105" s="15"/>
      <c r="TYJ1105" s="15"/>
      <c r="TYM1105" s="15"/>
      <c r="TYN1105" s="15"/>
      <c r="TYQ1105" s="15"/>
      <c r="TYR1105" s="15"/>
      <c r="TYU1105" s="15"/>
      <c r="TYV1105" s="15"/>
      <c r="TYY1105" s="15"/>
      <c r="TYZ1105" s="15"/>
      <c r="TZC1105" s="15"/>
      <c r="TZD1105" s="15"/>
      <c r="TZG1105" s="15"/>
      <c r="TZH1105" s="15"/>
      <c r="TZK1105" s="15"/>
      <c r="TZL1105" s="15"/>
      <c r="TZO1105" s="15"/>
      <c r="TZP1105" s="15"/>
      <c r="TZS1105" s="15"/>
      <c r="TZT1105" s="15"/>
      <c r="TZW1105" s="15"/>
      <c r="TZX1105" s="15"/>
      <c r="UAA1105" s="15"/>
      <c r="UAB1105" s="15"/>
      <c r="UAE1105" s="15"/>
      <c r="UAF1105" s="15"/>
      <c r="UAI1105" s="15"/>
      <c r="UAJ1105" s="15"/>
      <c r="UAM1105" s="15"/>
      <c r="UAN1105" s="15"/>
      <c r="UAQ1105" s="15"/>
      <c r="UAR1105" s="15"/>
      <c r="UAU1105" s="15"/>
      <c r="UAV1105" s="15"/>
      <c r="UAY1105" s="15"/>
      <c r="UAZ1105" s="15"/>
      <c r="UBC1105" s="15"/>
      <c r="UBD1105" s="15"/>
      <c r="UBG1105" s="15"/>
      <c r="UBH1105" s="15"/>
      <c r="UBK1105" s="15"/>
      <c r="UBL1105" s="15"/>
      <c r="UBO1105" s="15"/>
      <c r="UBP1105" s="15"/>
      <c r="UBS1105" s="15"/>
      <c r="UBT1105" s="15"/>
      <c r="UBW1105" s="15"/>
      <c r="UBX1105" s="15"/>
      <c r="UCA1105" s="15"/>
      <c r="UCB1105" s="15"/>
      <c r="UCE1105" s="15"/>
      <c r="UCF1105" s="15"/>
      <c r="UCI1105" s="15"/>
      <c r="UCJ1105" s="15"/>
      <c r="UCM1105" s="15"/>
      <c r="UCN1105" s="15"/>
      <c r="UCQ1105" s="15"/>
      <c r="UCR1105" s="15"/>
      <c r="UCU1105" s="15"/>
      <c r="UCV1105" s="15"/>
      <c r="UCY1105" s="15"/>
      <c r="UCZ1105" s="15"/>
      <c r="UDC1105" s="15"/>
      <c r="UDD1105" s="15"/>
      <c r="UDG1105" s="15"/>
      <c r="UDH1105" s="15"/>
      <c r="UDK1105" s="15"/>
      <c r="UDL1105" s="15"/>
      <c r="UDO1105" s="15"/>
      <c r="UDP1105" s="15"/>
      <c r="UDS1105" s="15"/>
      <c r="UDT1105" s="15"/>
      <c r="UDW1105" s="15"/>
      <c r="UDX1105" s="15"/>
      <c r="UEA1105" s="15"/>
      <c r="UEB1105" s="15"/>
      <c r="UEE1105" s="15"/>
      <c r="UEF1105" s="15"/>
      <c r="UEI1105" s="15"/>
      <c r="UEJ1105" s="15"/>
      <c r="UEM1105" s="15"/>
      <c r="UEN1105" s="15"/>
      <c r="UEQ1105" s="15"/>
      <c r="UER1105" s="15"/>
      <c r="UEU1105" s="15"/>
      <c r="UEV1105" s="15"/>
      <c r="UEY1105" s="15"/>
      <c r="UEZ1105" s="15"/>
      <c r="UFC1105" s="15"/>
      <c r="UFD1105" s="15"/>
      <c r="UFG1105" s="15"/>
      <c r="UFH1105" s="15"/>
      <c r="UFK1105" s="15"/>
      <c r="UFL1105" s="15"/>
      <c r="UFO1105" s="15"/>
      <c r="UFP1105" s="15"/>
      <c r="UFS1105" s="15"/>
      <c r="UFT1105" s="15"/>
      <c r="UFW1105" s="15"/>
      <c r="UFX1105" s="15"/>
      <c r="UGA1105" s="15"/>
      <c r="UGB1105" s="15"/>
      <c r="UGE1105" s="15"/>
      <c r="UGF1105" s="15"/>
      <c r="UGI1105" s="15"/>
      <c r="UGJ1105" s="15"/>
      <c r="UGM1105" s="15"/>
      <c r="UGN1105" s="15"/>
      <c r="UGQ1105" s="15"/>
      <c r="UGR1105" s="15"/>
      <c r="UGU1105" s="15"/>
      <c r="UGV1105" s="15"/>
      <c r="UGY1105" s="15"/>
      <c r="UGZ1105" s="15"/>
      <c r="UHC1105" s="15"/>
      <c r="UHD1105" s="15"/>
      <c r="UHG1105" s="15"/>
      <c r="UHH1105" s="15"/>
      <c r="UHK1105" s="15"/>
      <c r="UHL1105" s="15"/>
      <c r="UHO1105" s="15"/>
      <c r="UHP1105" s="15"/>
      <c r="UHS1105" s="15"/>
      <c r="UHT1105" s="15"/>
      <c r="UHW1105" s="15"/>
      <c r="UHX1105" s="15"/>
      <c r="UIA1105" s="15"/>
      <c r="UIB1105" s="15"/>
      <c r="UIE1105" s="15"/>
      <c r="UIF1105" s="15"/>
      <c r="UII1105" s="15"/>
      <c r="UIJ1105" s="15"/>
      <c r="UIM1105" s="15"/>
      <c r="UIN1105" s="15"/>
      <c r="UIQ1105" s="15"/>
      <c r="UIR1105" s="15"/>
      <c r="UIU1105" s="15"/>
      <c r="UIV1105" s="15"/>
      <c r="UIY1105" s="15"/>
      <c r="UIZ1105" s="15"/>
      <c r="UJC1105" s="15"/>
      <c r="UJD1105" s="15"/>
      <c r="UJG1105" s="15"/>
      <c r="UJH1105" s="15"/>
      <c r="UJK1105" s="15"/>
      <c r="UJL1105" s="15"/>
      <c r="UJO1105" s="15"/>
      <c r="UJP1105" s="15"/>
      <c r="UJS1105" s="15"/>
      <c r="UJT1105" s="15"/>
      <c r="UJW1105" s="15"/>
      <c r="UJX1105" s="15"/>
      <c r="UKA1105" s="15"/>
      <c r="UKB1105" s="15"/>
      <c r="UKE1105" s="15"/>
      <c r="UKF1105" s="15"/>
      <c r="UKI1105" s="15"/>
      <c r="UKJ1105" s="15"/>
      <c r="UKM1105" s="15"/>
      <c r="UKN1105" s="15"/>
      <c r="UKQ1105" s="15"/>
      <c r="UKR1105" s="15"/>
      <c r="UKU1105" s="15"/>
      <c r="UKV1105" s="15"/>
      <c r="UKY1105" s="15"/>
      <c r="UKZ1105" s="15"/>
      <c r="ULC1105" s="15"/>
      <c r="ULD1105" s="15"/>
      <c r="ULG1105" s="15"/>
      <c r="ULH1105" s="15"/>
      <c r="ULK1105" s="15"/>
      <c r="ULL1105" s="15"/>
      <c r="ULO1105" s="15"/>
      <c r="ULP1105" s="15"/>
      <c r="ULS1105" s="15"/>
      <c r="ULT1105" s="15"/>
      <c r="ULW1105" s="15"/>
      <c r="ULX1105" s="15"/>
      <c r="UMA1105" s="15"/>
      <c r="UMB1105" s="15"/>
      <c r="UME1105" s="15"/>
      <c r="UMF1105" s="15"/>
      <c r="UMI1105" s="15"/>
      <c r="UMJ1105" s="15"/>
      <c r="UMM1105" s="15"/>
      <c r="UMN1105" s="15"/>
      <c r="UMQ1105" s="15"/>
      <c r="UMR1105" s="15"/>
      <c r="UMU1105" s="15"/>
      <c r="UMV1105" s="15"/>
      <c r="UMY1105" s="15"/>
      <c r="UMZ1105" s="15"/>
      <c r="UNC1105" s="15"/>
      <c r="UND1105" s="15"/>
      <c r="UNG1105" s="15"/>
      <c r="UNH1105" s="15"/>
      <c r="UNK1105" s="15"/>
      <c r="UNL1105" s="15"/>
      <c r="UNO1105" s="15"/>
      <c r="UNP1105" s="15"/>
      <c r="UNS1105" s="15"/>
      <c r="UNT1105" s="15"/>
      <c r="UNW1105" s="15"/>
      <c r="UNX1105" s="15"/>
      <c r="UOA1105" s="15"/>
      <c r="UOB1105" s="15"/>
      <c r="UOE1105" s="15"/>
      <c r="UOF1105" s="15"/>
      <c r="UOI1105" s="15"/>
      <c r="UOJ1105" s="15"/>
      <c r="UOM1105" s="15"/>
      <c r="UON1105" s="15"/>
      <c r="UOQ1105" s="15"/>
      <c r="UOR1105" s="15"/>
      <c r="UOU1105" s="15"/>
      <c r="UOV1105" s="15"/>
      <c r="UOY1105" s="15"/>
      <c r="UOZ1105" s="15"/>
      <c r="UPC1105" s="15"/>
      <c r="UPD1105" s="15"/>
      <c r="UPG1105" s="15"/>
      <c r="UPH1105" s="15"/>
      <c r="UPK1105" s="15"/>
      <c r="UPL1105" s="15"/>
      <c r="UPO1105" s="15"/>
      <c r="UPP1105" s="15"/>
      <c r="UPS1105" s="15"/>
      <c r="UPT1105" s="15"/>
      <c r="UPW1105" s="15"/>
      <c r="UPX1105" s="15"/>
      <c r="UQA1105" s="15"/>
      <c r="UQB1105" s="15"/>
      <c r="UQE1105" s="15"/>
      <c r="UQF1105" s="15"/>
      <c r="UQI1105" s="15"/>
      <c r="UQJ1105" s="15"/>
      <c r="UQM1105" s="15"/>
      <c r="UQN1105" s="15"/>
      <c r="UQQ1105" s="15"/>
      <c r="UQR1105" s="15"/>
      <c r="UQU1105" s="15"/>
      <c r="UQV1105" s="15"/>
      <c r="UQY1105" s="15"/>
      <c r="UQZ1105" s="15"/>
      <c r="URC1105" s="15"/>
      <c r="URD1105" s="15"/>
      <c r="URG1105" s="15"/>
      <c r="URH1105" s="15"/>
      <c r="URK1105" s="15"/>
      <c r="URL1105" s="15"/>
      <c r="URO1105" s="15"/>
      <c r="URP1105" s="15"/>
      <c r="URS1105" s="15"/>
      <c r="URT1105" s="15"/>
      <c r="URW1105" s="15"/>
      <c r="URX1105" s="15"/>
      <c r="USA1105" s="15"/>
      <c r="USB1105" s="15"/>
      <c r="USE1105" s="15"/>
      <c r="USF1105" s="15"/>
      <c r="USI1105" s="15"/>
      <c r="USJ1105" s="15"/>
      <c r="USM1105" s="15"/>
      <c r="USN1105" s="15"/>
      <c r="USQ1105" s="15"/>
      <c r="USR1105" s="15"/>
      <c r="USU1105" s="15"/>
      <c r="USV1105" s="15"/>
      <c r="USY1105" s="15"/>
      <c r="USZ1105" s="15"/>
      <c r="UTC1105" s="15"/>
      <c r="UTD1105" s="15"/>
      <c r="UTG1105" s="15"/>
      <c r="UTH1105" s="15"/>
      <c r="UTK1105" s="15"/>
      <c r="UTL1105" s="15"/>
      <c r="UTO1105" s="15"/>
      <c r="UTP1105" s="15"/>
      <c r="UTS1105" s="15"/>
      <c r="UTT1105" s="15"/>
      <c r="UTW1105" s="15"/>
      <c r="UTX1105" s="15"/>
      <c r="UUA1105" s="15"/>
      <c r="UUB1105" s="15"/>
      <c r="UUE1105" s="15"/>
      <c r="UUF1105" s="15"/>
      <c r="UUI1105" s="15"/>
      <c r="UUJ1105" s="15"/>
      <c r="UUM1105" s="15"/>
      <c r="UUN1105" s="15"/>
      <c r="UUQ1105" s="15"/>
      <c r="UUR1105" s="15"/>
      <c r="UUU1105" s="15"/>
      <c r="UUV1105" s="15"/>
      <c r="UUY1105" s="15"/>
      <c r="UUZ1105" s="15"/>
      <c r="UVC1105" s="15"/>
      <c r="UVD1105" s="15"/>
      <c r="UVG1105" s="15"/>
      <c r="UVH1105" s="15"/>
      <c r="UVK1105" s="15"/>
      <c r="UVL1105" s="15"/>
      <c r="UVO1105" s="15"/>
      <c r="UVP1105" s="15"/>
      <c r="UVS1105" s="15"/>
      <c r="UVT1105" s="15"/>
      <c r="UVW1105" s="15"/>
      <c r="UVX1105" s="15"/>
      <c r="UWA1105" s="15"/>
      <c r="UWB1105" s="15"/>
      <c r="UWE1105" s="15"/>
      <c r="UWF1105" s="15"/>
      <c r="UWI1105" s="15"/>
      <c r="UWJ1105" s="15"/>
      <c r="UWM1105" s="15"/>
      <c r="UWN1105" s="15"/>
      <c r="UWQ1105" s="15"/>
      <c r="UWR1105" s="15"/>
      <c r="UWU1105" s="15"/>
      <c r="UWV1105" s="15"/>
      <c r="UWY1105" s="15"/>
      <c r="UWZ1105" s="15"/>
      <c r="UXC1105" s="15"/>
      <c r="UXD1105" s="15"/>
      <c r="UXG1105" s="15"/>
      <c r="UXH1105" s="15"/>
      <c r="UXK1105" s="15"/>
      <c r="UXL1105" s="15"/>
      <c r="UXO1105" s="15"/>
      <c r="UXP1105" s="15"/>
      <c r="UXS1105" s="15"/>
      <c r="UXT1105" s="15"/>
      <c r="UXW1105" s="15"/>
      <c r="UXX1105" s="15"/>
      <c r="UYA1105" s="15"/>
      <c r="UYB1105" s="15"/>
      <c r="UYE1105" s="15"/>
      <c r="UYF1105" s="15"/>
      <c r="UYI1105" s="15"/>
      <c r="UYJ1105" s="15"/>
      <c r="UYM1105" s="15"/>
      <c r="UYN1105" s="15"/>
      <c r="UYQ1105" s="15"/>
      <c r="UYR1105" s="15"/>
      <c r="UYU1105" s="15"/>
      <c r="UYV1105" s="15"/>
      <c r="UYY1105" s="15"/>
      <c r="UYZ1105" s="15"/>
      <c r="UZC1105" s="15"/>
      <c r="UZD1105" s="15"/>
      <c r="UZG1105" s="15"/>
      <c r="UZH1105" s="15"/>
      <c r="UZK1105" s="15"/>
      <c r="UZL1105" s="15"/>
      <c r="UZO1105" s="15"/>
      <c r="UZP1105" s="15"/>
      <c r="UZS1105" s="15"/>
      <c r="UZT1105" s="15"/>
      <c r="UZW1105" s="15"/>
      <c r="UZX1105" s="15"/>
      <c r="VAA1105" s="15"/>
      <c r="VAB1105" s="15"/>
      <c r="VAE1105" s="15"/>
      <c r="VAF1105" s="15"/>
      <c r="VAI1105" s="15"/>
      <c r="VAJ1105" s="15"/>
      <c r="VAM1105" s="15"/>
      <c r="VAN1105" s="15"/>
      <c r="VAQ1105" s="15"/>
      <c r="VAR1105" s="15"/>
      <c r="VAU1105" s="15"/>
      <c r="VAV1105" s="15"/>
      <c r="VAY1105" s="15"/>
      <c r="VAZ1105" s="15"/>
      <c r="VBC1105" s="15"/>
      <c r="VBD1105" s="15"/>
      <c r="VBG1105" s="15"/>
      <c r="VBH1105" s="15"/>
      <c r="VBK1105" s="15"/>
      <c r="VBL1105" s="15"/>
      <c r="VBO1105" s="15"/>
      <c r="VBP1105" s="15"/>
      <c r="VBS1105" s="15"/>
      <c r="VBT1105" s="15"/>
      <c r="VBW1105" s="15"/>
      <c r="VBX1105" s="15"/>
      <c r="VCA1105" s="15"/>
      <c r="VCB1105" s="15"/>
      <c r="VCE1105" s="15"/>
      <c r="VCF1105" s="15"/>
      <c r="VCI1105" s="15"/>
      <c r="VCJ1105" s="15"/>
      <c r="VCM1105" s="15"/>
      <c r="VCN1105" s="15"/>
      <c r="VCQ1105" s="15"/>
      <c r="VCR1105" s="15"/>
      <c r="VCU1105" s="15"/>
      <c r="VCV1105" s="15"/>
      <c r="VCY1105" s="15"/>
      <c r="VCZ1105" s="15"/>
      <c r="VDC1105" s="15"/>
      <c r="VDD1105" s="15"/>
      <c r="VDG1105" s="15"/>
      <c r="VDH1105" s="15"/>
      <c r="VDK1105" s="15"/>
      <c r="VDL1105" s="15"/>
      <c r="VDO1105" s="15"/>
      <c r="VDP1105" s="15"/>
      <c r="VDS1105" s="15"/>
      <c r="VDT1105" s="15"/>
      <c r="VDW1105" s="15"/>
      <c r="VDX1105" s="15"/>
      <c r="VEA1105" s="15"/>
      <c r="VEB1105" s="15"/>
      <c r="VEE1105" s="15"/>
      <c r="VEF1105" s="15"/>
      <c r="VEI1105" s="15"/>
      <c r="VEJ1105" s="15"/>
      <c r="VEM1105" s="15"/>
      <c r="VEN1105" s="15"/>
      <c r="VEQ1105" s="15"/>
      <c r="VER1105" s="15"/>
      <c r="VEU1105" s="15"/>
      <c r="VEV1105" s="15"/>
      <c r="VEY1105" s="15"/>
      <c r="VEZ1105" s="15"/>
      <c r="VFC1105" s="15"/>
      <c r="VFD1105" s="15"/>
      <c r="VFG1105" s="15"/>
      <c r="VFH1105" s="15"/>
      <c r="VFK1105" s="15"/>
      <c r="VFL1105" s="15"/>
      <c r="VFO1105" s="15"/>
      <c r="VFP1105" s="15"/>
      <c r="VFS1105" s="15"/>
      <c r="VFT1105" s="15"/>
      <c r="VFW1105" s="15"/>
      <c r="VFX1105" s="15"/>
      <c r="VGA1105" s="15"/>
      <c r="VGB1105" s="15"/>
      <c r="VGE1105" s="15"/>
      <c r="VGF1105" s="15"/>
      <c r="VGI1105" s="15"/>
      <c r="VGJ1105" s="15"/>
      <c r="VGM1105" s="15"/>
      <c r="VGN1105" s="15"/>
      <c r="VGQ1105" s="15"/>
      <c r="VGR1105" s="15"/>
      <c r="VGU1105" s="15"/>
      <c r="VGV1105" s="15"/>
      <c r="VGY1105" s="15"/>
      <c r="VGZ1105" s="15"/>
      <c r="VHC1105" s="15"/>
      <c r="VHD1105" s="15"/>
      <c r="VHG1105" s="15"/>
      <c r="VHH1105" s="15"/>
      <c r="VHK1105" s="15"/>
      <c r="VHL1105" s="15"/>
      <c r="VHO1105" s="15"/>
      <c r="VHP1105" s="15"/>
      <c r="VHS1105" s="15"/>
      <c r="VHT1105" s="15"/>
      <c r="VHW1105" s="15"/>
      <c r="VHX1105" s="15"/>
      <c r="VIA1105" s="15"/>
      <c r="VIB1105" s="15"/>
      <c r="VIE1105" s="15"/>
      <c r="VIF1105" s="15"/>
      <c r="VII1105" s="15"/>
      <c r="VIJ1105" s="15"/>
      <c r="VIM1105" s="15"/>
      <c r="VIN1105" s="15"/>
      <c r="VIQ1105" s="15"/>
      <c r="VIR1105" s="15"/>
      <c r="VIU1105" s="15"/>
      <c r="VIV1105" s="15"/>
      <c r="VIY1105" s="15"/>
      <c r="VIZ1105" s="15"/>
      <c r="VJC1105" s="15"/>
      <c r="VJD1105" s="15"/>
      <c r="VJG1105" s="15"/>
      <c r="VJH1105" s="15"/>
      <c r="VJK1105" s="15"/>
      <c r="VJL1105" s="15"/>
      <c r="VJO1105" s="15"/>
      <c r="VJP1105" s="15"/>
      <c r="VJS1105" s="15"/>
      <c r="VJT1105" s="15"/>
      <c r="VJW1105" s="15"/>
      <c r="VJX1105" s="15"/>
      <c r="VKA1105" s="15"/>
      <c r="VKB1105" s="15"/>
      <c r="VKE1105" s="15"/>
      <c r="VKF1105" s="15"/>
      <c r="VKI1105" s="15"/>
      <c r="VKJ1105" s="15"/>
      <c r="VKM1105" s="15"/>
      <c r="VKN1105" s="15"/>
      <c r="VKQ1105" s="15"/>
      <c r="VKR1105" s="15"/>
      <c r="VKU1105" s="15"/>
      <c r="VKV1105" s="15"/>
      <c r="VKY1105" s="15"/>
      <c r="VKZ1105" s="15"/>
      <c r="VLC1105" s="15"/>
      <c r="VLD1105" s="15"/>
      <c r="VLG1105" s="15"/>
      <c r="VLH1105" s="15"/>
      <c r="VLK1105" s="15"/>
      <c r="VLL1105" s="15"/>
      <c r="VLO1105" s="15"/>
      <c r="VLP1105" s="15"/>
      <c r="VLS1105" s="15"/>
      <c r="VLT1105" s="15"/>
      <c r="VLW1105" s="15"/>
      <c r="VLX1105" s="15"/>
      <c r="VMA1105" s="15"/>
      <c r="VMB1105" s="15"/>
      <c r="VME1105" s="15"/>
      <c r="VMF1105" s="15"/>
      <c r="VMI1105" s="15"/>
      <c r="VMJ1105" s="15"/>
      <c r="VMM1105" s="15"/>
      <c r="VMN1105" s="15"/>
      <c r="VMQ1105" s="15"/>
      <c r="VMR1105" s="15"/>
      <c r="VMU1105" s="15"/>
      <c r="VMV1105" s="15"/>
      <c r="VMY1105" s="15"/>
      <c r="VMZ1105" s="15"/>
      <c r="VNC1105" s="15"/>
      <c r="VND1105" s="15"/>
      <c r="VNG1105" s="15"/>
      <c r="VNH1105" s="15"/>
      <c r="VNK1105" s="15"/>
      <c r="VNL1105" s="15"/>
      <c r="VNO1105" s="15"/>
      <c r="VNP1105" s="15"/>
      <c r="VNS1105" s="15"/>
      <c r="VNT1105" s="15"/>
      <c r="VNW1105" s="15"/>
      <c r="VNX1105" s="15"/>
      <c r="VOA1105" s="15"/>
      <c r="VOB1105" s="15"/>
      <c r="VOE1105" s="15"/>
      <c r="VOF1105" s="15"/>
      <c r="VOI1105" s="15"/>
      <c r="VOJ1105" s="15"/>
      <c r="VOM1105" s="15"/>
      <c r="VON1105" s="15"/>
      <c r="VOQ1105" s="15"/>
      <c r="VOR1105" s="15"/>
      <c r="VOU1105" s="15"/>
      <c r="VOV1105" s="15"/>
      <c r="VOY1105" s="15"/>
      <c r="VOZ1105" s="15"/>
      <c r="VPC1105" s="15"/>
      <c r="VPD1105" s="15"/>
      <c r="VPG1105" s="15"/>
      <c r="VPH1105" s="15"/>
      <c r="VPK1105" s="15"/>
      <c r="VPL1105" s="15"/>
      <c r="VPO1105" s="15"/>
      <c r="VPP1105" s="15"/>
      <c r="VPS1105" s="15"/>
      <c r="VPT1105" s="15"/>
      <c r="VPW1105" s="15"/>
      <c r="VPX1105" s="15"/>
      <c r="VQA1105" s="15"/>
      <c r="VQB1105" s="15"/>
      <c r="VQE1105" s="15"/>
      <c r="VQF1105" s="15"/>
      <c r="VQI1105" s="15"/>
      <c r="VQJ1105" s="15"/>
      <c r="VQM1105" s="15"/>
      <c r="VQN1105" s="15"/>
      <c r="VQQ1105" s="15"/>
      <c r="VQR1105" s="15"/>
      <c r="VQU1105" s="15"/>
      <c r="VQV1105" s="15"/>
      <c r="VQY1105" s="15"/>
      <c r="VQZ1105" s="15"/>
      <c r="VRC1105" s="15"/>
      <c r="VRD1105" s="15"/>
      <c r="VRG1105" s="15"/>
      <c r="VRH1105" s="15"/>
      <c r="VRK1105" s="15"/>
      <c r="VRL1105" s="15"/>
      <c r="VRO1105" s="15"/>
      <c r="VRP1105" s="15"/>
      <c r="VRS1105" s="15"/>
      <c r="VRT1105" s="15"/>
      <c r="VRW1105" s="15"/>
      <c r="VRX1105" s="15"/>
      <c r="VSA1105" s="15"/>
      <c r="VSB1105" s="15"/>
      <c r="VSE1105" s="15"/>
      <c r="VSF1105" s="15"/>
      <c r="VSI1105" s="15"/>
      <c r="VSJ1105" s="15"/>
      <c r="VSM1105" s="15"/>
      <c r="VSN1105" s="15"/>
      <c r="VSQ1105" s="15"/>
      <c r="VSR1105" s="15"/>
      <c r="VSU1105" s="15"/>
      <c r="VSV1105" s="15"/>
      <c r="VSY1105" s="15"/>
      <c r="VSZ1105" s="15"/>
      <c r="VTC1105" s="15"/>
      <c r="VTD1105" s="15"/>
      <c r="VTG1105" s="15"/>
      <c r="VTH1105" s="15"/>
      <c r="VTK1105" s="15"/>
      <c r="VTL1105" s="15"/>
      <c r="VTO1105" s="15"/>
      <c r="VTP1105" s="15"/>
      <c r="VTS1105" s="15"/>
      <c r="VTT1105" s="15"/>
      <c r="VTW1105" s="15"/>
      <c r="VTX1105" s="15"/>
      <c r="VUA1105" s="15"/>
      <c r="VUB1105" s="15"/>
      <c r="VUE1105" s="15"/>
      <c r="VUF1105" s="15"/>
      <c r="VUI1105" s="15"/>
      <c r="VUJ1105" s="15"/>
      <c r="VUM1105" s="15"/>
      <c r="VUN1105" s="15"/>
      <c r="VUQ1105" s="15"/>
      <c r="VUR1105" s="15"/>
      <c r="VUU1105" s="15"/>
      <c r="VUV1105" s="15"/>
      <c r="VUY1105" s="15"/>
      <c r="VUZ1105" s="15"/>
      <c r="VVC1105" s="15"/>
      <c r="VVD1105" s="15"/>
      <c r="VVG1105" s="15"/>
      <c r="VVH1105" s="15"/>
      <c r="VVK1105" s="15"/>
      <c r="VVL1105" s="15"/>
      <c r="VVO1105" s="15"/>
      <c r="VVP1105" s="15"/>
      <c r="VVS1105" s="15"/>
      <c r="VVT1105" s="15"/>
      <c r="VVW1105" s="15"/>
      <c r="VVX1105" s="15"/>
      <c r="VWA1105" s="15"/>
      <c r="VWB1105" s="15"/>
      <c r="VWE1105" s="15"/>
      <c r="VWF1105" s="15"/>
      <c r="VWI1105" s="15"/>
      <c r="VWJ1105" s="15"/>
      <c r="VWM1105" s="15"/>
      <c r="VWN1105" s="15"/>
      <c r="VWQ1105" s="15"/>
      <c r="VWR1105" s="15"/>
      <c r="VWU1105" s="15"/>
      <c r="VWV1105" s="15"/>
      <c r="VWY1105" s="15"/>
      <c r="VWZ1105" s="15"/>
      <c r="VXC1105" s="15"/>
      <c r="VXD1105" s="15"/>
      <c r="VXG1105" s="15"/>
      <c r="VXH1105" s="15"/>
      <c r="VXK1105" s="15"/>
      <c r="VXL1105" s="15"/>
      <c r="VXO1105" s="15"/>
      <c r="VXP1105" s="15"/>
      <c r="VXS1105" s="15"/>
      <c r="VXT1105" s="15"/>
      <c r="VXW1105" s="15"/>
      <c r="VXX1105" s="15"/>
      <c r="VYA1105" s="15"/>
      <c r="VYB1105" s="15"/>
      <c r="VYE1105" s="15"/>
      <c r="VYF1105" s="15"/>
      <c r="VYI1105" s="15"/>
      <c r="VYJ1105" s="15"/>
      <c r="VYM1105" s="15"/>
      <c r="VYN1105" s="15"/>
      <c r="VYQ1105" s="15"/>
      <c r="VYR1105" s="15"/>
      <c r="VYU1105" s="15"/>
      <c r="VYV1105" s="15"/>
      <c r="VYY1105" s="15"/>
      <c r="VYZ1105" s="15"/>
      <c r="VZC1105" s="15"/>
      <c r="VZD1105" s="15"/>
      <c r="VZG1105" s="15"/>
      <c r="VZH1105" s="15"/>
      <c r="VZK1105" s="15"/>
      <c r="VZL1105" s="15"/>
      <c r="VZO1105" s="15"/>
      <c r="VZP1105" s="15"/>
      <c r="VZS1105" s="15"/>
      <c r="VZT1105" s="15"/>
      <c r="VZW1105" s="15"/>
      <c r="VZX1105" s="15"/>
      <c r="WAA1105" s="15"/>
      <c r="WAB1105" s="15"/>
      <c r="WAE1105" s="15"/>
      <c r="WAF1105" s="15"/>
      <c r="WAI1105" s="15"/>
      <c r="WAJ1105" s="15"/>
      <c r="WAM1105" s="15"/>
      <c r="WAN1105" s="15"/>
      <c r="WAQ1105" s="15"/>
      <c r="WAR1105" s="15"/>
      <c r="WAU1105" s="15"/>
      <c r="WAV1105" s="15"/>
      <c r="WAY1105" s="15"/>
      <c r="WAZ1105" s="15"/>
      <c r="WBC1105" s="15"/>
      <c r="WBD1105" s="15"/>
      <c r="WBG1105" s="15"/>
      <c r="WBH1105" s="15"/>
      <c r="WBK1105" s="15"/>
      <c r="WBL1105" s="15"/>
      <c r="WBO1105" s="15"/>
      <c r="WBP1105" s="15"/>
      <c r="WBS1105" s="15"/>
      <c r="WBT1105" s="15"/>
      <c r="WBW1105" s="15"/>
      <c r="WBX1105" s="15"/>
      <c r="WCA1105" s="15"/>
      <c r="WCB1105" s="15"/>
      <c r="WCE1105" s="15"/>
      <c r="WCF1105" s="15"/>
      <c r="WCI1105" s="15"/>
      <c r="WCJ1105" s="15"/>
      <c r="WCM1105" s="15"/>
      <c r="WCN1105" s="15"/>
      <c r="WCQ1105" s="15"/>
      <c r="WCR1105" s="15"/>
      <c r="WCU1105" s="15"/>
      <c r="WCV1105" s="15"/>
      <c r="WCY1105" s="15"/>
      <c r="WCZ1105" s="15"/>
      <c r="WDC1105" s="15"/>
      <c r="WDD1105" s="15"/>
      <c r="WDG1105" s="15"/>
      <c r="WDH1105" s="15"/>
      <c r="WDK1105" s="15"/>
      <c r="WDL1105" s="15"/>
      <c r="WDO1105" s="15"/>
      <c r="WDP1105" s="15"/>
      <c r="WDS1105" s="15"/>
      <c r="WDT1105" s="15"/>
      <c r="WDW1105" s="15"/>
      <c r="WDX1105" s="15"/>
      <c r="WEA1105" s="15"/>
      <c r="WEB1105" s="15"/>
      <c r="WEE1105" s="15"/>
      <c r="WEF1105" s="15"/>
      <c r="WEI1105" s="15"/>
      <c r="WEJ1105" s="15"/>
      <c r="WEM1105" s="15"/>
      <c r="WEN1105" s="15"/>
      <c r="WEQ1105" s="15"/>
      <c r="WER1105" s="15"/>
      <c r="WEU1105" s="15"/>
      <c r="WEV1105" s="15"/>
      <c r="WEY1105" s="15"/>
      <c r="WEZ1105" s="15"/>
      <c r="WFC1105" s="15"/>
      <c r="WFD1105" s="15"/>
      <c r="WFG1105" s="15"/>
      <c r="WFH1105" s="15"/>
      <c r="WFK1105" s="15"/>
      <c r="WFL1105" s="15"/>
      <c r="WFO1105" s="15"/>
      <c r="WFP1105" s="15"/>
      <c r="WFS1105" s="15"/>
      <c r="WFT1105" s="15"/>
      <c r="WFW1105" s="15"/>
      <c r="WFX1105" s="15"/>
      <c r="WGA1105" s="15"/>
      <c r="WGB1105" s="15"/>
      <c r="WGE1105" s="15"/>
      <c r="WGF1105" s="15"/>
      <c r="WGI1105" s="15"/>
      <c r="WGJ1105" s="15"/>
      <c r="WGM1105" s="15"/>
      <c r="WGN1105" s="15"/>
      <c r="WGQ1105" s="15"/>
      <c r="WGR1105" s="15"/>
      <c r="WGU1105" s="15"/>
      <c r="WGV1105" s="15"/>
      <c r="WGY1105" s="15"/>
      <c r="WGZ1105" s="15"/>
      <c r="WHC1105" s="15"/>
      <c r="WHD1105" s="15"/>
      <c r="WHG1105" s="15"/>
      <c r="WHH1105" s="15"/>
      <c r="WHK1105" s="15"/>
      <c r="WHL1105" s="15"/>
      <c r="WHO1105" s="15"/>
      <c r="WHP1105" s="15"/>
      <c r="WHS1105" s="15"/>
      <c r="WHT1105" s="15"/>
      <c r="WHW1105" s="15"/>
      <c r="WHX1105" s="15"/>
      <c r="WIA1105" s="15"/>
      <c r="WIB1105" s="15"/>
      <c r="WIE1105" s="15"/>
      <c r="WIF1105" s="15"/>
      <c r="WII1105" s="15"/>
      <c r="WIJ1105" s="15"/>
      <c r="WIM1105" s="15"/>
      <c r="WIN1105" s="15"/>
      <c r="WIQ1105" s="15"/>
      <c r="WIR1105" s="15"/>
      <c r="WIU1105" s="15"/>
      <c r="WIV1105" s="15"/>
      <c r="WIY1105" s="15"/>
      <c r="WIZ1105" s="15"/>
      <c r="WJC1105" s="15"/>
      <c r="WJD1105" s="15"/>
      <c r="WJG1105" s="15"/>
      <c r="WJH1105" s="15"/>
      <c r="WJK1105" s="15"/>
      <c r="WJL1105" s="15"/>
      <c r="WJO1105" s="15"/>
      <c r="WJP1105" s="15"/>
      <c r="WJS1105" s="15"/>
      <c r="WJT1105" s="15"/>
      <c r="WJW1105" s="15"/>
      <c r="WJX1105" s="15"/>
      <c r="WKA1105" s="15"/>
      <c r="WKB1105" s="15"/>
      <c r="WKE1105" s="15"/>
      <c r="WKF1105" s="15"/>
      <c r="WKI1105" s="15"/>
      <c r="WKJ1105" s="15"/>
      <c r="WKM1105" s="15"/>
      <c r="WKN1105" s="15"/>
      <c r="WKQ1105" s="15"/>
      <c r="WKR1105" s="15"/>
      <c r="WKU1105" s="15"/>
      <c r="WKV1105" s="15"/>
      <c r="WKY1105" s="15"/>
      <c r="WKZ1105" s="15"/>
      <c r="WLC1105" s="15"/>
      <c r="WLD1105" s="15"/>
      <c r="WLG1105" s="15"/>
      <c r="WLH1105" s="15"/>
      <c r="WLK1105" s="15"/>
      <c r="WLL1105" s="15"/>
      <c r="WLO1105" s="15"/>
      <c r="WLP1105" s="15"/>
      <c r="WLS1105" s="15"/>
      <c r="WLT1105" s="15"/>
      <c r="WLW1105" s="15"/>
      <c r="WLX1105" s="15"/>
      <c r="WMA1105" s="15"/>
      <c r="WMB1105" s="15"/>
      <c r="WME1105" s="15"/>
      <c r="WMF1105" s="15"/>
      <c r="WMI1105" s="15"/>
      <c r="WMJ1105" s="15"/>
      <c r="WMM1105" s="15"/>
      <c r="WMN1105" s="15"/>
      <c r="WMQ1105" s="15"/>
      <c r="WMR1105" s="15"/>
      <c r="WMU1105" s="15"/>
      <c r="WMV1105" s="15"/>
      <c r="WMY1105" s="15"/>
      <c r="WMZ1105" s="15"/>
      <c r="WNC1105" s="15"/>
      <c r="WND1105" s="15"/>
      <c r="WNG1105" s="15"/>
      <c r="WNH1105" s="15"/>
      <c r="WNK1105" s="15"/>
      <c r="WNL1105" s="15"/>
      <c r="WNO1105" s="15"/>
      <c r="WNP1105" s="15"/>
      <c r="WNS1105" s="15"/>
      <c r="WNT1105" s="15"/>
      <c r="WNW1105" s="15"/>
      <c r="WNX1105" s="15"/>
      <c r="WOA1105" s="15"/>
      <c r="WOB1105" s="15"/>
      <c r="WOE1105" s="15"/>
      <c r="WOF1105" s="15"/>
      <c r="WOI1105" s="15"/>
      <c r="WOJ1105" s="15"/>
      <c r="WOM1105" s="15"/>
      <c r="WON1105" s="15"/>
      <c r="WOQ1105" s="15"/>
      <c r="WOR1105" s="15"/>
      <c r="WOU1105" s="15"/>
      <c r="WOV1105" s="15"/>
      <c r="WOY1105" s="15"/>
      <c r="WOZ1105" s="15"/>
      <c r="WPC1105" s="15"/>
      <c r="WPD1105" s="15"/>
      <c r="WPG1105" s="15"/>
      <c r="WPH1105" s="15"/>
      <c r="WPK1105" s="15"/>
      <c r="WPL1105" s="15"/>
      <c r="WPO1105" s="15"/>
      <c r="WPP1105" s="15"/>
      <c r="WPS1105" s="15"/>
      <c r="WPT1105" s="15"/>
      <c r="WPW1105" s="15"/>
      <c r="WPX1105" s="15"/>
      <c r="WQA1105" s="15"/>
      <c r="WQB1105" s="15"/>
      <c r="WQE1105" s="15"/>
      <c r="WQF1105" s="15"/>
      <c r="WQI1105" s="15"/>
      <c r="WQJ1105" s="15"/>
      <c r="WQM1105" s="15"/>
      <c r="WQN1105" s="15"/>
      <c r="WQQ1105" s="15"/>
      <c r="WQR1105" s="15"/>
      <c r="WQU1105" s="15"/>
      <c r="WQV1105" s="15"/>
      <c r="WQY1105" s="15"/>
      <c r="WQZ1105" s="15"/>
      <c r="WRC1105" s="15"/>
      <c r="WRD1105" s="15"/>
      <c r="WRG1105" s="15"/>
      <c r="WRH1105" s="15"/>
      <c r="WRK1105" s="15"/>
      <c r="WRL1105" s="15"/>
      <c r="WRO1105" s="15"/>
      <c r="WRP1105" s="15"/>
      <c r="WRS1105" s="15"/>
      <c r="WRT1105" s="15"/>
      <c r="WRW1105" s="15"/>
      <c r="WRX1105" s="15"/>
      <c r="WSA1105" s="15"/>
      <c r="WSB1105" s="15"/>
      <c r="WSE1105" s="15"/>
      <c r="WSF1105" s="15"/>
      <c r="WSI1105" s="15"/>
      <c r="WSJ1105" s="15"/>
      <c r="WSM1105" s="15"/>
      <c r="WSN1105" s="15"/>
      <c r="WSQ1105" s="15"/>
      <c r="WSR1105" s="15"/>
      <c r="WSU1105" s="15"/>
      <c r="WSV1105" s="15"/>
      <c r="WSY1105" s="15"/>
      <c r="WSZ1105" s="15"/>
      <c r="WTC1105" s="15"/>
      <c r="WTD1105" s="15"/>
      <c r="WTG1105" s="15"/>
      <c r="WTH1105" s="15"/>
      <c r="WTK1105" s="15"/>
      <c r="WTL1105" s="15"/>
      <c r="WTO1105" s="15"/>
      <c r="WTP1105" s="15"/>
      <c r="WTS1105" s="15"/>
      <c r="WTT1105" s="15"/>
      <c r="WTW1105" s="15"/>
      <c r="WTX1105" s="15"/>
      <c r="WUA1105" s="15"/>
      <c r="WUB1105" s="15"/>
      <c r="WUE1105" s="15"/>
      <c r="WUF1105" s="15"/>
      <c r="WUI1105" s="15"/>
      <c r="WUJ1105" s="15"/>
      <c r="WUM1105" s="15"/>
      <c r="WUN1105" s="15"/>
      <c r="WUQ1105" s="15"/>
      <c r="WUR1105" s="15"/>
      <c r="WUU1105" s="15"/>
      <c r="WUV1105" s="15"/>
      <c r="WUY1105" s="15"/>
      <c r="WUZ1105" s="15"/>
      <c r="WVC1105" s="15"/>
      <c r="WVD1105" s="15"/>
      <c r="WVG1105" s="15"/>
      <c r="WVH1105" s="15"/>
      <c r="WVK1105" s="15"/>
      <c r="WVL1105" s="15"/>
      <c r="WVO1105" s="15"/>
      <c r="WVP1105" s="15"/>
      <c r="WVS1105" s="15"/>
      <c r="WVT1105" s="15"/>
      <c r="WVW1105" s="15"/>
      <c r="WVX1105" s="15"/>
      <c r="WWA1105" s="15"/>
      <c r="WWB1105" s="15"/>
      <c r="WWE1105" s="15"/>
      <c r="WWF1105" s="15"/>
      <c r="WWI1105" s="15"/>
      <c r="WWJ1105" s="15"/>
      <c r="WWM1105" s="15"/>
      <c r="WWN1105" s="15"/>
      <c r="WWQ1105" s="15"/>
      <c r="WWR1105" s="15"/>
      <c r="WWU1105" s="15"/>
      <c r="WWV1105" s="15"/>
      <c r="WWY1105" s="15"/>
      <c r="WWZ1105" s="15"/>
      <c r="WXC1105" s="15"/>
      <c r="WXD1105" s="15"/>
      <c r="WXG1105" s="15"/>
      <c r="WXH1105" s="15"/>
      <c r="WXK1105" s="15"/>
      <c r="WXL1105" s="15"/>
      <c r="WXO1105" s="15"/>
      <c r="WXP1105" s="15"/>
      <c r="WXS1105" s="15"/>
      <c r="WXT1105" s="15"/>
      <c r="WXW1105" s="15"/>
      <c r="WXX1105" s="15"/>
      <c r="WYA1105" s="15"/>
      <c r="WYB1105" s="15"/>
      <c r="WYE1105" s="15"/>
      <c r="WYF1105" s="15"/>
      <c r="WYI1105" s="15"/>
      <c r="WYJ1105" s="15"/>
      <c r="WYM1105" s="15"/>
      <c r="WYN1105" s="15"/>
      <c r="WYQ1105" s="15"/>
      <c r="WYR1105" s="15"/>
      <c r="WYU1105" s="15"/>
      <c r="WYV1105" s="15"/>
      <c r="WYY1105" s="15"/>
      <c r="WYZ1105" s="15"/>
      <c r="WZC1105" s="15"/>
      <c r="WZD1105" s="15"/>
      <c r="WZG1105" s="15"/>
      <c r="WZH1105" s="15"/>
      <c r="WZK1105" s="15"/>
      <c r="WZL1105" s="15"/>
      <c r="WZO1105" s="15"/>
      <c r="WZP1105" s="15"/>
      <c r="WZS1105" s="15"/>
      <c r="WZT1105" s="15"/>
      <c r="WZW1105" s="15"/>
      <c r="WZX1105" s="15"/>
      <c r="XAA1105" s="15"/>
      <c r="XAB1105" s="15"/>
      <c r="XAE1105" s="15"/>
      <c r="XAF1105" s="15"/>
      <c r="XAI1105" s="15"/>
      <c r="XAJ1105" s="15"/>
      <c r="XAM1105" s="15"/>
      <c r="XAN1105" s="15"/>
      <c r="XAQ1105" s="15"/>
      <c r="XAR1105" s="15"/>
      <c r="XAU1105" s="15"/>
      <c r="XAV1105" s="15"/>
      <c r="XAY1105" s="15"/>
      <c r="XAZ1105" s="15"/>
      <c r="XBC1105" s="15"/>
      <c r="XBD1105" s="15"/>
      <c r="XBG1105" s="15"/>
      <c r="XBH1105" s="15"/>
      <c r="XBK1105" s="15"/>
      <c r="XBL1105" s="15"/>
      <c r="XBO1105" s="15"/>
      <c r="XBP1105" s="15"/>
      <c r="XBS1105" s="15"/>
      <c r="XBT1105" s="15"/>
      <c r="XBW1105" s="15"/>
      <c r="XBX1105" s="15"/>
      <c r="XCA1105" s="15"/>
      <c r="XCB1105" s="15"/>
      <c r="XCE1105" s="15"/>
      <c r="XCF1105" s="15"/>
      <c r="XCI1105" s="15"/>
      <c r="XCJ1105" s="15"/>
      <c r="XCM1105" s="15"/>
      <c r="XCN1105" s="15"/>
      <c r="XCQ1105" s="15"/>
      <c r="XCR1105" s="15"/>
      <c r="XCU1105" s="15"/>
      <c r="XCV1105" s="15"/>
      <c r="XCY1105" s="15"/>
      <c r="XCZ1105" s="15"/>
      <c r="XDC1105" s="15"/>
      <c r="XDD1105" s="15"/>
      <c r="XDG1105" s="15"/>
      <c r="XDH1105" s="15"/>
      <c r="XDK1105" s="15"/>
      <c r="XDL1105" s="15"/>
      <c r="XDO1105" s="15"/>
      <c r="XDP1105" s="15"/>
      <c r="XDS1105" s="15"/>
      <c r="XDT1105" s="15"/>
      <c r="XDW1105" s="15"/>
      <c r="XDX1105" s="15"/>
      <c r="XEA1105" s="15"/>
      <c r="XEB1105" s="15"/>
      <c r="XEE1105" s="15"/>
      <c r="XEF1105" s="15"/>
      <c r="XEI1105" s="15"/>
      <c r="XEJ1105" s="15"/>
      <c r="XEM1105" s="15"/>
      <c r="XEN1105" s="15"/>
      <c r="XEQ1105" s="15"/>
      <c r="XER1105" s="15"/>
      <c r="XEU1105" s="15"/>
      <c r="XEV1105" s="15"/>
      <c r="XEY1105" s="15"/>
      <c r="XEZ1105" s="15"/>
      <c r="XFC1105" s="15"/>
      <c r="XFD1105" s="15"/>
    </row>
    <row r="1106" spans="1:1024 1027:2048 2051:3072 3075:4096 4099:5120 5123:6144 6147:7168 7171:8192 8195:9216 9219:10240 10243:11264 11267:12288 12291:13312 13315:14336 14339:15360 15363:16384" outlineLevel="1" x14ac:dyDescent="0.3">
      <c r="A1106" t="s">
        <v>1834</v>
      </c>
      <c r="B1106" t="s">
        <v>269</v>
      </c>
      <c r="C1106" s="15" t="s">
        <v>10</v>
      </c>
      <c r="D1106" s="15" t="s">
        <v>1833</v>
      </c>
      <c r="E1106" t="s">
        <v>8512</v>
      </c>
      <c r="G1106" s="15"/>
      <c r="H1106" s="15"/>
      <c r="K1106" s="15"/>
      <c r="L1106" s="15"/>
      <c r="O1106" s="15"/>
      <c r="P1106" s="15"/>
      <c r="S1106" s="15"/>
      <c r="T1106" s="15"/>
      <c r="W1106" s="15"/>
      <c r="X1106" s="15"/>
      <c r="AA1106" s="15"/>
      <c r="AB1106" s="15"/>
      <c r="AE1106" s="15"/>
      <c r="AF1106" s="15"/>
      <c r="AI1106" s="15"/>
      <c r="AJ1106" s="15"/>
      <c r="AM1106" s="15"/>
      <c r="AN1106" s="15"/>
      <c r="AQ1106" s="15"/>
      <c r="AR1106" s="15"/>
      <c r="AU1106" s="15"/>
      <c r="AV1106" s="15"/>
      <c r="AY1106" s="15"/>
      <c r="AZ1106" s="15"/>
      <c r="BC1106" s="15"/>
      <c r="BD1106" s="15"/>
      <c r="BG1106" s="15"/>
      <c r="BH1106" s="15"/>
      <c r="BK1106" s="15"/>
      <c r="BL1106" s="15"/>
      <c r="BO1106" s="15"/>
      <c r="BP1106" s="15"/>
      <c r="BS1106" s="15"/>
      <c r="BT1106" s="15"/>
      <c r="BW1106" s="15"/>
      <c r="BX1106" s="15"/>
      <c r="CA1106" s="15"/>
      <c r="CB1106" s="15"/>
      <c r="CE1106" s="15"/>
      <c r="CF1106" s="15"/>
      <c r="CI1106" s="15"/>
      <c r="CJ1106" s="15"/>
      <c r="CM1106" s="15"/>
      <c r="CN1106" s="15"/>
      <c r="CQ1106" s="15"/>
      <c r="CR1106" s="15"/>
      <c r="CU1106" s="15"/>
      <c r="CV1106" s="15"/>
      <c r="CY1106" s="15"/>
      <c r="CZ1106" s="15"/>
      <c r="DC1106" s="15"/>
      <c r="DD1106" s="15"/>
      <c r="DG1106" s="15"/>
      <c r="DH1106" s="15"/>
      <c r="DK1106" s="15"/>
      <c r="DL1106" s="15"/>
      <c r="DO1106" s="15"/>
      <c r="DP1106" s="15"/>
      <c r="DS1106" s="15"/>
      <c r="DT1106" s="15"/>
      <c r="DW1106" s="15"/>
      <c r="DX1106" s="15"/>
      <c r="EA1106" s="15"/>
      <c r="EB1106" s="15"/>
      <c r="EE1106" s="15"/>
      <c r="EF1106" s="15"/>
      <c r="EI1106" s="15"/>
      <c r="EJ1106" s="15"/>
      <c r="EM1106" s="15"/>
      <c r="EN1106" s="15"/>
      <c r="EQ1106" s="15"/>
      <c r="ER1106" s="15"/>
      <c r="EU1106" s="15"/>
      <c r="EV1106" s="15"/>
      <c r="EY1106" s="15"/>
      <c r="EZ1106" s="15"/>
      <c r="FC1106" s="15"/>
      <c r="FD1106" s="15"/>
      <c r="FG1106" s="15"/>
      <c r="FH1106" s="15"/>
      <c r="FK1106" s="15"/>
      <c r="FL1106" s="15"/>
      <c r="FO1106" s="15"/>
      <c r="FP1106" s="15"/>
      <c r="FS1106" s="15"/>
      <c r="FT1106" s="15"/>
      <c r="FW1106" s="15"/>
      <c r="FX1106" s="15"/>
      <c r="GA1106" s="15"/>
      <c r="GB1106" s="15"/>
      <c r="GE1106" s="15"/>
      <c r="GF1106" s="15"/>
      <c r="GI1106" s="15"/>
      <c r="GJ1106" s="15"/>
      <c r="GM1106" s="15"/>
      <c r="GN1106" s="15"/>
      <c r="GQ1106" s="15"/>
      <c r="GR1106" s="15"/>
      <c r="GU1106" s="15"/>
      <c r="GV1106" s="15"/>
      <c r="GY1106" s="15"/>
      <c r="GZ1106" s="15"/>
      <c r="HC1106" s="15"/>
      <c r="HD1106" s="15"/>
      <c r="HG1106" s="15"/>
      <c r="HH1106" s="15"/>
      <c r="HK1106" s="15"/>
      <c r="HL1106" s="15"/>
      <c r="HO1106" s="15"/>
      <c r="HP1106" s="15"/>
      <c r="HS1106" s="15"/>
      <c r="HT1106" s="15"/>
      <c r="HW1106" s="15"/>
      <c r="HX1106" s="15"/>
      <c r="IA1106" s="15"/>
      <c r="IB1106" s="15"/>
      <c r="IE1106" s="15"/>
      <c r="IF1106" s="15"/>
      <c r="II1106" s="15"/>
      <c r="IJ1106" s="15"/>
      <c r="IM1106" s="15"/>
      <c r="IN1106" s="15"/>
      <c r="IQ1106" s="15"/>
      <c r="IR1106" s="15"/>
      <c r="IU1106" s="15"/>
      <c r="IV1106" s="15"/>
      <c r="IY1106" s="15"/>
      <c r="IZ1106" s="15"/>
      <c r="JC1106" s="15"/>
      <c r="JD1106" s="15"/>
      <c r="JG1106" s="15"/>
      <c r="JH1106" s="15"/>
      <c r="JK1106" s="15"/>
      <c r="JL1106" s="15"/>
      <c r="JO1106" s="15"/>
      <c r="JP1106" s="15"/>
      <c r="JS1106" s="15"/>
      <c r="JT1106" s="15"/>
      <c r="JW1106" s="15"/>
      <c r="JX1106" s="15"/>
      <c r="KA1106" s="15"/>
      <c r="KB1106" s="15"/>
      <c r="KE1106" s="15"/>
      <c r="KF1106" s="15"/>
      <c r="KI1106" s="15"/>
      <c r="KJ1106" s="15"/>
      <c r="KM1106" s="15"/>
      <c r="KN1106" s="15"/>
      <c r="KQ1106" s="15"/>
      <c r="KR1106" s="15"/>
      <c r="KU1106" s="15"/>
      <c r="KV1106" s="15"/>
      <c r="KY1106" s="15"/>
      <c r="KZ1106" s="15"/>
      <c r="LC1106" s="15"/>
      <c r="LD1106" s="15"/>
      <c r="LG1106" s="15"/>
      <c r="LH1106" s="15"/>
      <c r="LK1106" s="15"/>
      <c r="LL1106" s="15"/>
      <c r="LO1106" s="15"/>
      <c r="LP1106" s="15"/>
      <c r="LS1106" s="15"/>
      <c r="LT1106" s="15"/>
      <c r="LW1106" s="15"/>
      <c r="LX1106" s="15"/>
      <c r="MA1106" s="15"/>
      <c r="MB1106" s="15"/>
      <c r="ME1106" s="15"/>
      <c r="MF1106" s="15"/>
      <c r="MI1106" s="15"/>
      <c r="MJ1106" s="15"/>
      <c r="MM1106" s="15"/>
      <c r="MN1106" s="15"/>
      <c r="MQ1106" s="15"/>
      <c r="MR1106" s="15"/>
      <c r="MU1106" s="15"/>
      <c r="MV1106" s="15"/>
      <c r="MY1106" s="15"/>
      <c r="MZ1106" s="15"/>
      <c r="NC1106" s="15"/>
      <c r="ND1106" s="15"/>
      <c r="NG1106" s="15"/>
      <c r="NH1106" s="15"/>
      <c r="NK1106" s="15"/>
      <c r="NL1106" s="15"/>
      <c r="NO1106" s="15"/>
      <c r="NP1106" s="15"/>
      <c r="NS1106" s="15"/>
      <c r="NT1106" s="15"/>
      <c r="NW1106" s="15"/>
      <c r="NX1106" s="15"/>
      <c r="OA1106" s="15"/>
      <c r="OB1106" s="15"/>
      <c r="OE1106" s="15"/>
      <c r="OF1106" s="15"/>
      <c r="OI1106" s="15"/>
      <c r="OJ1106" s="15"/>
      <c r="OM1106" s="15"/>
      <c r="ON1106" s="15"/>
      <c r="OQ1106" s="15"/>
      <c r="OR1106" s="15"/>
      <c r="OU1106" s="15"/>
      <c r="OV1106" s="15"/>
      <c r="OY1106" s="15"/>
      <c r="OZ1106" s="15"/>
      <c r="PC1106" s="15"/>
      <c r="PD1106" s="15"/>
      <c r="PG1106" s="15"/>
      <c r="PH1106" s="15"/>
      <c r="PK1106" s="15"/>
      <c r="PL1106" s="15"/>
      <c r="PO1106" s="15"/>
      <c r="PP1106" s="15"/>
      <c r="PS1106" s="15"/>
      <c r="PT1106" s="15"/>
      <c r="PW1106" s="15"/>
      <c r="PX1106" s="15"/>
      <c r="QA1106" s="15"/>
      <c r="QB1106" s="15"/>
      <c r="QE1106" s="15"/>
      <c r="QF1106" s="15"/>
      <c r="QI1106" s="15"/>
      <c r="QJ1106" s="15"/>
      <c r="QM1106" s="15"/>
      <c r="QN1106" s="15"/>
      <c r="QQ1106" s="15"/>
      <c r="QR1106" s="15"/>
      <c r="QU1106" s="15"/>
      <c r="QV1106" s="15"/>
      <c r="QY1106" s="15"/>
      <c r="QZ1106" s="15"/>
      <c r="RC1106" s="15"/>
      <c r="RD1106" s="15"/>
      <c r="RG1106" s="15"/>
      <c r="RH1106" s="15"/>
      <c r="RK1106" s="15"/>
      <c r="RL1106" s="15"/>
      <c r="RO1106" s="15"/>
      <c r="RP1106" s="15"/>
      <c r="RS1106" s="15"/>
      <c r="RT1106" s="15"/>
      <c r="RW1106" s="15"/>
      <c r="RX1106" s="15"/>
      <c r="SA1106" s="15"/>
      <c r="SB1106" s="15"/>
      <c r="SE1106" s="15"/>
      <c r="SF1106" s="15"/>
      <c r="SI1106" s="15"/>
      <c r="SJ1106" s="15"/>
      <c r="SM1106" s="15"/>
      <c r="SN1106" s="15"/>
      <c r="SQ1106" s="15"/>
      <c r="SR1106" s="15"/>
      <c r="SU1106" s="15"/>
      <c r="SV1106" s="15"/>
      <c r="SY1106" s="15"/>
      <c r="SZ1106" s="15"/>
      <c r="TC1106" s="15"/>
      <c r="TD1106" s="15"/>
      <c r="TG1106" s="15"/>
      <c r="TH1106" s="15"/>
      <c r="TK1106" s="15"/>
      <c r="TL1106" s="15"/>
      <c r="TO1106" s="15"/>
      <c r="TP1106" s="15"/>
      <c r="TS1106" s="15"/>
      <c r="TT1106" s="15"/>
      <c r="TW1106" s="15"/>
      <c r="TX1106" s="15"/>
      <c r="UA1106" s="15"/>
      <c r="UB1106" s="15"/>
      <c r="UE1106" s="15"/>
      <c r="UF1106" s="15"/>
      <c r="UI1106" s="15"/>
      <c r="UJ1106" s="15"/>
      <c r="UM1106" s="15"/>
      <c r="UN1106" s="15"/>
      <c r="UQ1106" s="15"/>
      <c r="UR1106" s="15"/>
      <c r="UU1106" s="15"/>
      <c r="UV1106" s="15"/>
      <c r="UY1106" s="15"/>
      <c r="UZ1106" s="15"/>
      <c r="VC1106" s="15"/>
      <c r="VD1106" s="15"/>
      <c r="VG1106" s="15"/>
      <c r="VH1106" s="15"/>
      <c r="VK1106" s="15"/>
      <c r="VL1106" s="15"/>
      <c r="VO1106" s="15"/>
      <c r="VP1106" s="15"/>
      <c r="VS1106" s="15"/>
      <c r="VT1106" s="15"/>
      <c r="VW1106" s="15"/>
      <c r="VX1106" s="15"/>
      <c r="WA1106" s="15"/>
      <c r="WB1106" s="15"/>
      <c r="WE1106" s="15"/>
      <c r="WF1106" s="15"/>
      <c r="WI1106" s="15"/>
      <c r="WJ1106" s="15"/>
      <c r="WM1106" s="15"/>
      <c r="WN1106" s="15"/>
      <c r="WQ1106" s="15"/>
      <c r="WR1106" s="15"/>
      <c r="WU1106" s="15"/>
      <c r="WV1106" s="15"/>
      <c r="WY1106" s="15"/>
      <c r="WZ1106" s="15"/>
      <c r="XC1106" s="15"/>
      <c r="XD1106" s="15"/>
      <c r="XG1106" s="15"/>
      <c r="XH1106" s="15"/>
      <c r="XK1106" s="15"/>
      <c r="XL1106" s="15"/>
      <c r="XO1106" s="15"/>
      <c r="XP1106" s="15"/>
      <c r="XS1106" s="15"/>
      <c r="XT1106" s="15"/>
      <c r="XW1106" s="15"/>
      <c r="XX1106" s="15"/>
      <c r="YA1106" s="15"/>
      <c r="YB1106" s="15"/>
      <c r="YE1106" s="15"/>
      <c r="YF1106" s="15"/>
      <c r="YI1106" s="15"/>
      <c r="YJ1106" s="15"/>
      <c r="YM1106" s="15"/>
      <c r="YN1106" s="15"/>
      <c r="YQ1106" s="15"/>
      <c r="YR1106" s="15"/>
      <c r="YU1106" s="15"/>
      <c r="YV1106" s="15"/>
      <c r="YY1106" s="15"/>
      <c r="YZ1106" s="15"/>
      <c r="ZC1106" s="15"/>
      <c r="ZD1106" s="15"/>
      <c r="ZG1106" s="15"/>
      <c r="ZH1106" s="15"/>
      <c r="ZK1106" s="15"/>
      <c r="ZL1106" s="15"/>
      <c r="ZO1106" s="15"/>
      <c r="ZP1106" s="15"/>
      <c r="ZS1106" s="15"/>
      <c r="ZT1106" s="15"/>
      <c r="ZW1106" s="15"/>
      <c r="ZX1106" s="15"/>
      <c r="AAA1106" s="15"/>
      <c r="AAB1106" s="15"/>
      <c r="AAE1106" s="15"/>
      <c r="AAF1106" s="15"/>
      <c r="AAI1106" s="15"/>
      <c r="AAJ1106" s="15"/>
      <c r="AAM1106" s="15"/>
      <c r="AAN1106" s="15"/>
      <c r="AAQ1106" s="15"/>
      <c r="AAR1106" s="15"/>
      <c r="AAU1106" s="15"/>
      <c r="AAV1106" s="15"/>
      <c r="AAY1106" s="15"/>
      <c r="AAZ1106" s="15"/>
      <c r="ABC1106" s="15"/>
      <c r="ABD1106" s="15"/>
      <c r="ABG1106" s="15"/>
      <c r="ABH1106" s="15"/>
      <c r="ABK1106" s="15"/>
      <c r="ABL1106" s="15"/>
      <c r="ABO1106" s="15"/>
      <c r="ABP1106" s="15"/>
      <c r="ABS1106" s="15"/>
      <c r="ABT1106" s="15"/>
      <c r="ABW1106" s="15"/>
      <c r="ABX1106" s="15"/>
      <c r="ACA1106" s="15"/>
      <c r="ACB1106" s="15"/>
      <c r="ACE1106" s="15"/>
      <c r="ACF1106" s="15"/>
      <c r="ACI1106" s="15"/>
      <c r="ACJ1106" s="15"/>
      <c r="ACM1106" s="15"/>
      <c r="ACN1106" s="15"/>
      <c r="ACQ1106" s="15"/>
      <c r="ACR1106" s="15"/>
      <c r="ACU1106" s="15"/>
      <c r="ACV1106" s="15"/>
      <c r="ACY1106" s="15"/>
      <c r="ACZ1106" s="15"/>
      <c r="ADC1106" s="15"/>
      <c r="ADD1106" s="15"/>
      <c r="ADG1106" s="15"/>
      <c r="ADH1106" s="15"/>
      <c r="ADK1106" s="15"/>
      <c r="ADL1106" s="15"/>
      <c r="ADO1106" s="15"/>
      <c r="ADP1106" s="15"/>
      <c r="ADS1106" s="15"/>
      <c r="ADT1106" s="15"/>
      <c r="ADW1106" s="15"/>
      <c r="ADX1106" s="15"/>
      <c r="AEA1106" s="15"/>
      <c r="AEB1106" s="15"/>
      <c r="AEE1106" s="15"/>
      <c r="AEF1106" s="15"/>
      <c r="AEI1106" s="15"/>
      <c r="AEJ1106" s="15"/>
      <c r="AEM1106" s="15"/>
      <c r="AEN1106" s="15"/>
      <c r="AEQ1106" s="15"/>
      <c r="AER1106" s="15"/>
      <c r="AEU1106" s="15"/>
      <c r="AEV1106" s="15"/>
      <c r="AEY1106" s="15"/>
      <c r="AEZ1106" s="15"/>
      <c r="AFC1106" s="15"/>
      <c r="AFD1106" s="15"/>
      <c r="AFG1106" s="15"/>
      <c r="AFH1106" s="15"/>
      <c r="AFK1106" s="15"/>
      <c r="AFL1106" s="15"/>
      <c r="AFO1106" s="15"/>
      <c r="AFP1106" s="15"/>
      <c r="AFS1106" s="15"/>
      <c r="AFT1106" s="15"/>
      <c r="AFW1106" s="15"/>
      <c r="AFX1106" s="15"/>
      <c r="AGA1106" s="15"/>
      <c r="AGB1106" s="15"/>
      <c r="AGE1106" s="15"/>
      <c r="AGF1106" s="15"/>
      <c r="AGI1106" s="15"/>
      <c r="AGJ1106" s="15"/>
      <c r="AGM1106" s="15"/>
      <c r="AGN1106" s="15"/>
      <c r="AGQ1106" s="15"/>
      <c r="AGR1106" s="15"/>
      <c r="AGU1106" s="15"/>
      <c r="AGV1106" s="15"/>
      <c r="AGY1106" s="15"/>
      <c r="AGZ1106" s="15"/>
      <c r="AHC1106" s="15"/>
      <c r="AHD1106" s="15"/>
      <c r="AHG1106" s="15"/>
      <c r="AHH1106" s="15"/>
      <c r="AHK1106" s="15"/>
      <c r="AHL1106" s="15"/>
      <c r="AHO1106" s="15"/>
      <c r="AHP1106" s="15"/>
      <c r="AHS1106" s="15"/>
      <c r="AHT1106" s="15"/>
      <c r="AHW1106" s="15"/>
      <c r="AHX1106" s="15"/>
      <c r="AIA1106" s="15"/>
      <c r="AIB1106" s="15"/>
      <c r="AIE1106" s="15"/>
      <c r="AIF1106" s="15"/>
      <c r="AII1106" s="15"/>
      <c r="AIJ1106" s="15"/>
      <c r="AIM1106" s="15"/>
      <c r="AIN1106" s="15"/>
      <c r="AIQ1106" s="15"/>
      <c r="AIR1106" s="15"/>
      <c r="AIU1106" s="15"/>
      <c r="AIV1106" s="15"/>
      <c r="AIY1106" s="15"/>
      <c r="AIZ1106" s="15"/>
      <c r="AJC1106" s="15"/>
      <c r="AJD1106" s="15"/>
      <c r="AJG1106" s="15"/>
      <c r="AJH1106" s="15"/>
      <c r="AJK1106" s="15"/>
      <c r="AJL1106" s="15"/>
      <c r="AJO1106" s="15"/>
      <c r="AJP1106" s="15"/>
      <c r="AJS1106" s="15"/>
      <c r="AJT1106" s="15"/>
      <c r="AJW1106" s="15"/>
      <c r="AJX1106" s="15"/>
      <c r="AKA1106" s="15"/>
      <c r="AKB1106" s="15"/>
      <c r="AKE1106" s="15"/>
      <c r="AKF1106" s="15"/>
      <c r="AKI1106" s="15"/>
      <c r="AKJ1106" s="15"/>
      <c r="AKM1106" s="15"/>
      <c r="AKN1106" s="15"/>
      <c r="AKQ1106" s="15"/>
      <c r="AKR1106" s="15"/>
      <c r="AKU1106" s="15"/>
      <c r="AKV1106" s="15"/>
      <c r="AKY1106" s="15"/>
      <c r="AKZ1106" s="15"/>
      <c r="ALC1106" s="15"/>
      <c r="ALD1106" s="15"/>
      <c r="ALG1106" s="15"/>
      <c r="ALH1106" s="15"/>
      <c r="ALK1106" s="15"/>
      <c r="ALL1106" s="15"/>
      <c r="ALO1106" s="15"/>
      <c r="ALP1106" s="15"/>
      <c r="ALS1106" s="15"/>
      <c r="ALT1106" s="15"/>
      <c r="ALW1106" s="15"/>
      <c r="ALX1106" s="15"/>
      <c r="AMA1106" s="15"/>
      <c r="AMB1106" s="15"/>
      <c r="AME1106" s="15"/>
      <c r="AMF1106" s="15"/>
      <c r="AMI1106" s="15"/>
      <c r="AMJ1106" s="15"/>
      <c r="AMM1106" s="15"/>
      <c r="AMN1106" s="15"/>
      <c r="AMQ1106" s="15"/>
      <c r="AMR1106" s="15"/>
      <c r="AMU1106" s="15"/>
      <c r="AMV1106" s="15"/>
      <c r="AMY1106" s="15"/>
      <c r="AMZ1106" s="15"/>
      <c r="ANC1106" s="15"/>
      <c r="AND1106" s="15"/>
      <c r="ANG1106" s="15"/>
      <c r="ANH1106" s="15"/>
      <c r="ANK1106" s="15"/>
      <c r="ANL1106" s="15"/>
      <c r="ANO1106" s="15"/>
      <c r="ANP1106" s="15"/>
      <c r="ANS1106" s="15"/>
      <c r="ANT1106" s="15"/>
      <c r="ANW1106" s="15"/>
      <c r="ANX1106" s="15"/>
      <c r="AOA1106" s="15"/>
      <c r="AOB1106" s="15"/>
      <c r="AOE1106" s="15"/>
      <c r="AOF1106" s="15"/>
      <c r="AOI1106" s="15"/>
      <c r="AOJ1106" s="15"/>
      <c r="AOM1106" s="15"/>
      <c r="AON1106" s="15"/>
      <c r="AOQ1106" s="15"/>
      <c r="AOR1106" s="15"/>
      <c r="AOU1106" s="15"/>
      <c r="AOV1106" s="15"/>
      <c r="AOY1106" s="15"/>
      <c r="AOZ1106" s="15"/>
      <c r="APC1106" s="15"/>
      <c r="APD1106" s="15"/>
      <c r="APG1106" s="15"/>
      <c r="APH1106" s="15"/>
      <c r="APK1106" s="15"/>
      <c r="APL1106" s="15"/>
      <c r="APO1106" s="15"/>
      <c r="APP1106" s="15"/>
      <c r="APS1106" s="15"/>
      <c r="APT1106" s="15"/>
      <c r="APW1106" s="15"/>
      <c r="APX1106" s="15"/>
      <c r="AQA1106" s="15"/>
      <c r="AQB1106" s="15"/>
      <c r="AQE1106" s="15"/>
      <c r="AQF1106" s="15"/>
      <c r="AQI1106" s="15"/>
      <c r="AQJ1106" s="15"/>
      <c r="AQM1106" s="15"/>
      <c r="AQN1106" s="15"/>
      <c r="AQQ1106" s="15"/>
      <c r="AQR1106" s="15"/>
      <c r="AQU1106" s="15"/>
      <c r="AQV1106" s="15"/>
      <c r="AQY1106" s="15"/>
      <c r="AQZ1106" s="15"/>
      <c r="ARC1106" s="15"/>
      <c r="ARD1106" s="15"/>
      <c r="ARG1106" s="15"/>
      <c r="ARH1106" s="15"/>
      <c r="ARK1106" s="15"/>
      <c r="ARL1106" s="15"/>
      <c r="ARO1106" s="15"/>
      <c r="ARP1106" s="15"/>
      <c r="ARS1106" s="15"/>
      <c r="ART1106" s="15"/>
      <c r="ARW1106" s="15"/>
      <c r="ARX1106" s="15"/>
      <c r="ASA1106" s="15"/>
      <c r="ASB1106" s="15"/>
      <c r="ASE1106" s="15"/>
      <c r="ASF1106" s="15"/>
      <c r="ASI1106" s="15"/>
      <c r="ASJ1106" s="15"/>
      <c r="ASM1106" s="15"/>
      <c r="ASN1106" s="15"/>
      <c r="ASQ1106" s="15"/>
      <c r="ASR1106" s="15"/>
      <c r="ASU1106" s="15"/>
      <c r="ASV1106" s="15"/>
      <c r="ASY1106" s="15"/>
      <c r="ASZ1106" s="15"/>
      <c r="ATC1106" s="15"/>
      <c r="ATD1106" s="15"/>
      <c r="ATG1106" s="15"/>
      <c r="ATH1106" s="15"/>
      <c r="ATK1106" s="15"/>
      <c r="ATL1106" s="15"/>
      <c r="ATO1106" s="15"/>
      <c r="ATP1106" s="15"/>
      <c r="ATS1106" s="15"/>
      <c r="ATT1106" s="15"/>
      <c r="ATW1106" s="15"/>
      <c r="ATX1106" s="15"/>
      <c r="AUA1106" s="15"/>
      <c r="AUB1106" s="15"/>
      <c r="AUE1106" s="15"/>
      <c r="AUF1106" s="15"/>
      <c r="AUI1106" s="15"/>
      <c r="AUJ1106" s="15"/>
      <c r="AUM1106" s="15"/>
      <c r="AUN1106" s="15"/>
      <c r="AUQ1106" s="15"/>
      <c r="AUR1106" s="15"/>
      <c r="AUU1106" s="15"/>
      <c r="AUV1106" s="15"/>
      <c r="AUY1106" s="15"/>
      <c r="AUZ1106" s="15"/>
      <c r="AVC1106" s="15"/>
      <c r="AVD1106" s="15"/>
      <c r="AVG1106" s="15"/>
      <c r="AVH1106" s="15"/>
      <c r="AVK1106" s="15"/>
      <c r="AVL1106" s="15"/>
      <c r="AVO1106" s="15"/>
      <c r="AVP1106" s="15"/>
      <c r="AVS1106" s="15"/>
      <c r="AVT1106" s="15"/>
      <c r="AVW1106" s="15"/>
      <c r="AVX1106" s="15"/>
      <c r="AWA1106" s="15"/>
      <c r="AWB1106" s="15"/>
      <c r="AWE1106" s="15"/>
      <c r="AWF1106" s="15"/>
      <c r="AWI1106" s="15"/>
      <c r="AWJ1106" s="15"/>
      <c r="AWM1106" s="15"/>
      <c r="AWN1106" s="15"/>
      <c r="AWQ1106" s="15"/>
      <c r="AWR1106" s="15"/>
      <c r="AWU1106" s="15"/>
      <c r="AWV1106" s="15"/>
      <c r="AWY1106" s="15"/>
      <c r="AWZ1106" s="15"/>
      <c r="AXC1106" s="15"/>
      <c r="AXD1106" s="15"/>
      <c r="AXG1106" s="15"/>
      <c r="AXH1106" s="15"/>
      <c r="AXK1106" s="15"/>
      <c r="AXL1106" s="15"/>
      <c r="AXO1106" s="15"/>
      <c r="AXP1106" s="15"/>
      <c r="AXS1106" s="15"/>
      <c r="AXT1106" s="15"/>
      <c r="AXW1106" s="15"/>
      <c r="AXX1106" s="15"/>
      <c r="AYA1106" s="15"/>
      <c r="AYB1106" s="15"/>
      <c r="AYE1106" s="15"/>
      <c r="AYF1106" s="15"/>
      <c r="AYI1106" s="15"/>
      <c r="AYJ1106" s="15"/>
      <c r="AYM1106" s="15"/>
      <c r="AYN1106" s="15"/>
      <c r="AYQ1106" s="15"/>
      <c r="AYR1106" s="15"/>
      <c r="AYU1106" s="15"/>
      <c r="AYV1106" s="15"/>
      <c r="AYY1106" s="15"/>
      <c r="AYZ1106" s="15"/>
      <c r="AZC1106" s="15"/>
      <c r="AZD1106" s="15"/>
      <c r="AZG1106" s="15"/>
      <c r="AZH1106" s="15"/>
      <c r="AZK1106" s="15"/>
      <c r="AZL1106" s="15"/>
      <c r="AZO1106" s="15"/>
      <c r="AZP1106" s="15"/>
      <c r="AZS1106" s="15"/>
      <c r="AZT1106" s="15"/>
      <c r="AZW1106" s="15"/>
      <c r="AZX1106" s="15"/>
      <c r="BAA1106" s="15"/>
      <c r="BAB1106" s="15"/>
      <c r="BAE1106" s="15"/>
      <c r="BAF1106" s="15"/>
      <c r="BAI1106" s="15"/>
      <c r="BAJ1106" s="15"/>
      <c r="BAM1106" s="15"/>
      <c r="BAN1106" s="15"/>
      <c r="BAQ1106" s="15"/>
      <c r="BAR1106" s="15"/>
      <c r="BAU1106" s="15"/>
      <c r="BAV1106" s="15"/>
      <c r="BAY1106" s="15"/>
      <c r="BAZ1106" s="15"/>
      <c r="BBC1106" s="15"/>
      <c r="BBD1106" s="15"/>
      <c r="BBG1106" s="15"/>
      <c r="BBH1106" s="15"/>
      <c r="BBK1106" s="15"/>
      <c r="BBL1106" s="15"/>
      <c r="BBO1106" s="15"/>
      <c r="BBP1106" s="15"/>
      <c r="BBS1106" s="15"/>
      <c r="BBT1106" s="15"/>
      <c r="BBW1106" s="15"/>
      <c r="BBX1106" s="15"/>
      <c r="BCA1106" s="15"/>
      <c r="BCB1106" s="15"/>
      <c r="BCE1106" s="15"/>
      <c r="BCF1106" s="15"/>
      <c r="BCI1106" s="15"/>
      <c r="BCJ1106" s="15"/>
      <c r="BCM1106" s="15"/>
      <c r="BCN1106" s="15"/>
      <c r="BCQ1106" s="15"/>
      <c r="BCR1106" s="15"/>
      <c r="BCU1106" s="15"/>
      <c r="BCV1106" s="15"/>
      <c r="BCY1106" s="15"/>
      <c r="BCZ1106" s="15"/>
      <c r="BDC1106" s="15"/>
      <c r="BDD1106" s="15"/>
      <c r="BDG1106" s="15"/>
      <c r="BDH1106" s="15"/>
      <c r="BDK1106" s="15"/>
      <c r="BDL1106" s="15"/>
      <c r="BDO1106" s="15"/>
      <c r="BDP1106" s="15"/>
      <c r="BDS1106" s="15"/>
      <c r="BDT1106" s="15"/>
      <c r="BDW1106" s="15"/>
      <c r="BDX1106" s="15"/>
      <c r="BEA1106" s="15"/>
      <c r="BEB1106" s="15"/>
      <c r="BEE1106" s="15"/>
      <c r="BEF1106" s="15"/>
      <c r="BEI1106" s="15"/>
      <c r="BEJ1106" s="15"/>
      <c r="BEM1106" s="15"/>
      <c r="BEN1106" s="15"/>
      <c r="BEQ1106" s="15"/>
      <c r="BER1106" s="15"/>
      <c r="BEU1106" s="15"/>
      <c r="BEV1106" s="15"/>
      <c r="BEY1106" s="15"/>
      <c r="BEZ1106" s="15"/>
      <c r="BFC1106" s="15"/>
      <c r="BFD1106" s="15"/>
      <c r="BFG1106" s="15"/>
      <c r="BFH1106" s="15"/>
      <c r="BFK1106" s="15"/>
      <c r="BFL1106" s="15"/>
      <c r="BFO1106" s="15"/>
      <c r="BFP1106" s="15"/>
      <c r="BFS1106" s="15"/>
      <c r="BFT1106" s="15"/>
      <c r="BFW1106" s="15"/>
      <c r="BFX1106" s="15"/>
      <c r="BGA1106" s="15"/>
      <c r="BGB1106" s="15"/>
      <c r="BGE1106" s="15"/>
      <c r="BGF1106" s="15"/>
      <c r="BGI1106" s="15"/>
      <c r="BGJ1106" s="15"/>
      <c r="BGM1106" s="15"/>
      <c r="BGN1106" s="15"/>
      <c r="BGQ1106" s="15"/>
      <c r="BGR1106" s="15"/>
      <c r="BGU1106" s="15"/>
      <c r="BGV1106" s="15"/>
      <c r="BGY1106" s="15"/>
      <c r="BGZ1106" s="15"/>
      <c r="BHC1106" s="15"/>
      <c r="BHD1106" s="15"/>
      <c r="BHG1106" s="15"/>
      <c r="BHH1106" s="15"/>
      <c r="BHK1106" s="15"/>
      <c r="BHL1106" s="15"/>
      <c r="BHO1106" s="15"/>
      <c r="BHP1106" s="15"/>
      <c r="BHS1106" s="15"/>
      <c r="BHT1106" s="15"/>
      <c r="BHW1106" s="15"/>
      <c r="BHX1106" s="15"/>
      <c r="BIA1106" s="15"/>
      <c r="BIB1106" s="15"/>
      <c r="BIE1106" s="15"/>
      <c r="BIF1106" s="15"/>
      <c r="BII1106" s="15"/>
      <c r="BIJ1106" s="15"/>
      <c r="BIM1106" s="15"/>
      <c r="BIN1106" s="15"/>
      <c r="BIQ1106" s="15"/>
      <c r="BIR1106" s="15"/>
      <c r="BIU1106" s="15"/>
      <c r="BIV1106" s="15"/>
      <c r="BIY1106" s="15"/>
      <c r="BIZ1106" s="15"/>
      <c r="BJC1106" s="15"/>
      <c r="BJD1106" s="15"/>
      <c r="BJG1106" s="15"/>
      <c r="BJH1106" s="15"/>
      <c r="BJK1106" s="15"/>
      <c r="BJL1106" s="15"/>
      <c r="BJO1106" s="15"/>
      <c r="BJP1106" s="15"/>
      <c r="BJS1106" s="15"/>
      <c r="BJT1106" s="15"/>
      <c r="BJW1106" s="15"/>
      <c r="BJX1106" s="15"/>
      <c r="BKA1106" s="15"/>
      <c r="BKB1106" s="15"/>
      <c r="BKE1106" s="15"/>
      <c r="BKF1106" s="15"/>
      <c r="BKI1106" s="15"/>
      <c r="BKJ1106" s="15"/>
      <c r="BKM1106" s="15"/>
      <c r="BKN1106" s="15"/>
      <c r="BKQ1106" s="15"/>
      <c r="BKR1106" s="15"/>
      <c r="BKU1106" s="15"/>
      <c r="BKV1106" s="15"/>
      <c r="BKY1106" s="15"/>
      <c r="BKZ1106" s="15"/>
      <c r="BLC1106" s="15"/>
      <c r="BLD1106" s="15"/>
      <c r="BLG1106" s="15"/>
      <c r="BLH1106" s="15"/>
      <c r="BLK1106" s="15"/>
      <c r="BLL1106" s="15"/>
      <c r="BLO1106" s="15"/>
      <c r="BLP1106" s="15"/>
      <c r="BLS1106" s="15"/>
      <c r="BLT1106" s="15"/>
      <c r="BLW1106" s="15"/>
      <c r="BLX1106" s="15"/>
      <c r="BMA1106" s="15"/>
      <c r="BMB1106" s="15"/>
      <c r="BME1106" s="15"/>
      <c r="BMF1106" s="15"/>
      <c r="BMI1106" s="15"/>
      <c r="BMJ1106" s="15"/>
      <c r="BMM1106" s="15"/>
      <c r="BMN1106" s="15"/>
      <c r="BMQ1106" s="15"/>
      <c r="BMR1106" s="15"/>
      <c r="BMU1106" s="15"/>
      <c r="BMV1106" s="15"/>
      <c r="BMY1106" s="15"/>
      <c r="BMZ1106" s="15"/>
      <c r="BNC1106" s="15"/>
      <c r="BND1106" s="15"/>
      <c r="BNG1106" s="15"/>
      <c r="BNH1106" s="15"/>
      <c r="BNK1106" s="15"/>
      <c r="BNL1106" s="15"/>
      <c r="BNO1106" s="15"/>
      <c r="BNP1106" s="15"/>
      <c r="BNS1106" s="15"/>
      <c r="BNT1106" s="15"/>
      <c r="BNW1106" s="15"/>
      <c r="BNX1106" s="15"/>
      <c r="BOA1106" s="15"/>
      <c r="BOB1106" s="15"/>
      <c r="BOE1106" s="15"/>
      <c r="BOF1106" s="15"/>
      <c r="BOI1106" s="15"/>
      <c r="BOJ1106" s="15"/>
      <c r="BOM1106" s="15"/>
      <c r="BON1106" s="15"/>
      <c r="BOQ1106" s="15"/>
      <c r="BOR1106" s="15"/>
      <c r="BOU1106" s="15"/>
      <c r="BOV1106" s="15"/>
      <c r="BOY1106" s="15"/>
      <c r="BOZ1106" s="15"/>
      <c r="BPC1106" s="15"/>
      <c r="BPD1106" s="15"/>
      <c r="BPG1106" s="15"/>
      <c r="BPH1106" s="15"/>
      <c r="BPK1106" s="15"/>
      <c r="BPL1106" s="15"/>
      <c r="BPO1106" s="15"/>
      <c r="BPP1106" s="15"/>
      <c r="BPS1106" s="15"/>
      <c r="BPT1106" s="15"/>
      <c r="BPW1106" s="15"/>
      <c r="BPX1106" s="15"/>
      <c r="BQA1106" s="15"/>
      <c r="BQB1106" s="15"/>
      <c r="BQE1106" s="15"/>
      <c r="BQF1106" s="15"/>
      <c r="BQI1106" s="15"/>
      <c r="BQJ1106" s="15"/>
      <c r="BQM1106" s="15"/>
      <c r="BQN1106" s="15"/>
      <c r="BQQ1106" s="15"/>
      <c r="BQR1106" s="15"/>
      <c r="BQU1106" s="15"/>
      <c r="BQV1106" s="15"/>
      <c r="BQY1106" s="15"/>
      <c r="BQZ1106" s="15"/>
      <c r="BRC1106" s="15"/>
      <c r="BRD1106" s="15"/>
      <c r="BRG1106" s="15"/>
      <c r="BRH1106" s="15"/>
      <c r="BRK1106" s="15"/>
      <c r="BRL1106" s="15"/>
      <c r="BRO1106" s="15"/>
      <c r="BRP1106" s="15"/>
      <c r="BRS1106" s="15"/>
      <c r="BRT1106" s="15"/>
      <c r="BRW1106" s="15"/>
      <c r="BRX1106" s="15"/>
      <c r="BSA1106" s="15"/>
      <c r="BSB1106" s="15"/>
      <c r="BSE1106" s="15"/>
      <c r="BSF1106" s="15"/>
      <c r="BSI1106" s="15"/>
      <c r="BSJ1106" s="15"/>
      <c r="BSM1106" s="15"/>
      <c r="BSN1106" s="15"/>
      <c r="BSQ1106" s="15"/>
      <c r="BSR1106" s="15"/>
      <c r="BSU1106" s="15"/>
      <c r="BSV1106" s="15"/>
      <c r="BSY1106" s="15"/>
      <c r="BSZ1106" s="15"/>
      <c r="BTC1106" s="15"/>
      <c r="BTD1106" s="15"/>
      <c r="BTG1106" s="15"/>
      <c r="BTH1106" s="15"/>
      <c r="BTK1106" s="15"/>
      <c r="BTL1106" s="15"/>
      <c r="BTO1106" s="15"/>
      <c r="BTP1106" s="15"/>
      <c r="BTS1106" s="15"/>
      <c r="BTT1106" s="15"/>
      <c r="BTW1106" s="15"/>
      <c r="BTX1106" s="15"/>
      <c r="BUA1106" s="15"/>
      <c r="BUB1106" s="15"/>
      <c r="BUE1106" s="15"/>
      <c r="BUF1106" s="15"/>
      <c r="BUI1106" s="15"/>
      <c r="BUJ1106" s="15"/>
      <c r="BUM1106" s="15"/>
      <c r="BUN1106" s="15"/>
      <c r="BUQ1106" s="15"/>
      <c r="BUR1106" s="15"/>
      <c r="BUU1106" s="15"/>
      <c r="BUV1106" s="15"/>
      <c r="BUY1106" s="15"/>
      <c r="BUZ1106" s="15"/>
      <c r="BVC1106" s="15"/>
      <c r="BVD1106" s="15"/>
      <c r="BVG1106" s="15"/>
      <c r="BVH1106" s="15"/>
      <c r="BVK1106" s="15"/>
      <c r="BVL1106" s="15"/>
      <c r="BVO1106" s="15"/>
      <c r="BVP1106" s="15"/>
      <c r="BVS1106" s="15"/>
      <c r="BVT1106" s="15"/>
      <c r="BVW1106" s="15"/>
      <c r="BVX1106" s="15"/>
      <c r="BWA1106" s="15"/>
      <c r="BWB1106" s="15"/>
      <c r="BWE1106" s="15"/>
      <c r="BWF1106" s="15"/>
      <c r="BWI1106" s="15"/>
      <c r="BWJ1106" s="15"/>
      <c r="BWM1106" s="15"/>
      <c r="BWN1106" s="15"/>
      <c r="BWQ1106" s="15"/>
      <c r="BWR1106" s="15"/>
      <c r="BWU1106" s="15"/>
      <c r="BWV1106" s="15"/>
      <c r="BWY1106" s="15"/>
      <c r="BWZ1106" s="15"/>
      <c r="BXC1106" s="15"/>
      <c r="BXD1106" s="15"/>
      <c r="BXG1106" s="15"/>
      <c r="BXH1106" s="15"/>
      <c r="BXK1106" s="15"/>
      <c r="BXL1106" s="15"/>
      <c r="BXO1106" s="15"/>
      <c r="BXP1106" s="15"/>
      <c r="BXS1106" s="15"/>
      <c r="BXT1106" s="15"/>
      <c r="BXW1106" s="15"/>
      <c r="BXX1106" s="15"/>
      <c r="BYA1106" s="15"/>
      <c r="BYB1106" s="15"/>
      <c r="BYE1106" s="15"/>
      <c r="BYF1106" s="15"/>
      <c r="BYI1106" s="15"/>
      <c r="BYJ1106" s="15"/>
      <c r="BYM1106" s="15"/>
      <c r="BYN1106" s="15"/>
      <c r="BYQ1106" s="15"/>
      <c r="BYR1106" s="15"/>
      <c r="BYU1106" s="15"/>
      <c r="BYV1106" s="15"/>
      <c r="BYY1106" s="15"/>
      <c r="BYZ1106" s="15"/>
      <c r="BZC1106" s="15"/>
      <c r="BZD1106" s="15"/>
      <c r="BZG1106" s="15"/>
      <c r="BZH1106" s="15"/>
      <c r="BZK1106" s="15"/>
      <c r="BZL1106" s="15"/>
      <c r="BZO1106" s="15"/>
      <c r="BZP1106" s="15"/>
      <c r="BZS1106" s="15"/>
      <c r="BZT1106" s="15"/>
      <c r="BZW1106" s="15"/>
      <c r="BZX1106" s="15"/>
      <c r="CAA1106" s="15"/>
      <c r="CAB1106" s="15"/>
      <c r="CAE1106" s="15"/>
      <c r="CAF1106" s="15"/>
      <c r="CAI1106" s="15"/>
      <c r="CAJ1106" s="15"/>
      <c r="CAM1106" s="15"/>
      <c r="CAN1106" s="15"/>
      <c r="CAQ1106" s="15"/>
      <c r="CAR1106" s="15"/>
      <c r="CAU1106" s="15"/>
      <c r="CAV1106" s="15"/>
      <c r="CAY1106" s="15"/>
      <c r="CAZ1106" s="15"/>
      <c r="CBC1106" s="15"/>
      <c r="CBD1106" s="15"/>
      <c r="CBG1106" s="15"/>
      <c r="CBH1106" s="15"/>
      <c r="CBK1106" s="15"/>
      <c r="CBL1106" s="15"/>
      <c r="CBO1106" s="15"/>
      <c r="CBP1106" s="15"/>
      <c r="CBS1106" s="15"/>
      <c r="CBT1106" s="15"/>
      <c r="CBW1106" s="15"/>
      <c r="CBX1106" s="15"/>
      <c r="CCA1106" s="15"/>
      <c r="CCB1106" s="15"/>
      <c r="CCE1106" s="15"/>
      <c r="CCF1106" s="15"/>
      <c r="CCI1106" s="15"/>
      <c r="CCJ1106" s="15"/>
      <c r="CCM1106" s="15"/>
      <c r="CCN1106" s="15"/>
      <c r="CCQ1106" s="15"/>
      <c r="CCR1106" s="15"/>
      <c r="CCU1106" s="15"/>
      <c r="CCV1106" s="15"/>
      <c r="CCY1106" s="15"/>
      <c r="CCZ1106" s="15"/>
      <c r="CDC1106" s="15"/>
      <c r="CDD1106" s="15"/>
      <c r="CDG1106" s="15"/>
      <c r="CDH1106" s="15"/>
      <c r="CDK1106" s="15"/>
      <c r="CDL1106" s="15"/>
      <c r="CDO1106" s="15"/>
      <c r="CDP1106" s="15"/>
      <c r="CDS1106" s="15"/>
      <c r="CDT1106" s="15"/>
      <c r="CDW1106" s="15"/>
      <c r="CDX1106" s="15"/>
      <c r="CEA1106" s="15"/>
      <c r="CEB1106" s="15"/>
      <c r="CEE1106" s="15"/>
      <c r="CEF1106" s="15"/>
      <c r="CEI1106" s="15"/>
      <c r="CEJ1106" s="15"/>
      <c r="CEM1106" s="15"/>
      <c r="CEN1106" s="15"/>
      <c r="CEQ1106" s="15"/>
      <c r="CER1106" s="15"/>
      <c r="CEU1106" s="15"/>
      <c r="CEV1106" s="15"/>
      <c r="CEY1106" s="15"/>
      <c r="CEZ1106" s="15"/>
      <c r="CFC1106" s="15"/>
      <c r="CFD1106" s="15"/>
      <c r="CFG1106" s="15"/>
      <c r="CFH1106" s="15"/>
      <c r="CFK1106" s="15"/>
      <c r="CFL1106" s="15"/>
      <c r="CFO1106" s="15"/>
      <c r="CFP1106" s="15"/>
      <c r="CFS1106" s="15"/>
      <c r="CFT1106" s="15"/>
      <c r="CFW1106" s="15"/>
      <c r="CFX1106" s="15"/>
      <c r="CGA1106" s="15"/>
      <c r="CGB1106" s="15"/>
      <c r="CGE1106" s="15"/>
      <c r="CGF1106" s="15"/>
      <c r="CGI1106" s="15"/>
      <c r="CGJ1106" s="15"/>
      <c r="CGM1106" s="15"/>
      <c r="CGN1106" s="15"/>
      <c r="CGQ1106" s="15"/>
      <c r="CGR1106" s="15"/>
      <c r="CGU1106" s="15"/>
      <c r="CGV1106" s="15"/>
      <c r="CGY1106" s="15"/>
      <c r="CGZ1106" s="15"/>
      <c r="CHC1106" s="15"/>
      <c r="CHD1106" s="15"/>
      <c r="CHG1106" s="15"/>
      <c r="CHH1106" s="15"/>
      <c r="CHK1106" s="15"/>
      <c r="CHL1106" s="15"/>
      <c r="CHO1106" s="15"/>
      <c r="CHP1106" s="15"/>
      <c r="CHS1106" s="15"/>
      <c r="CHT1106" s="15"/>
      <c r="CHW1106" s="15"/>
      <c r="CHX1106" s="15"/>
      <c r="CIA1106" s="15"/>
      <c r="CIB1106" s="15"/>
      <c r="CIE1106" s="15"/>
      <c r="CIF1106" s="15"/>
      <c r="CII1106" s="15"/>
      <c r="CIJ1106" s="15"/>
      <c r="CIM1106" s="15"/>
      <c r="CIN1106" s="15"/>
      <c r="CIQ1106" s="15"/>
      <c r="CIR1106" s="15"/>
      <c r="CIU1106" s="15"/>
      <c r="CIV1106" s="15"/>
      <c r="CIY1106" s="15"/>
      <c r="CIZ1106" s="15"/>
      <c r="CJC1106" s="15"/>
      <c r="CJD1106" s="15"/>
      <c r="CJG1106" s="15"/>
      <c r="CJH1106" s="15"/>
      <c r="CJK1106" s="15"/>
      <c r="CJL1106" s="15"/>
      <c r="CJO1106" s="15"/>
      <c r="CJP1106" s="15"/>
      <c r="CJS1106" s="15"/>
      <c r="CJT1106" s="15"/>
      <c r="CJW1106" s="15"/>
      <c r="CJX1106" s="15"/>
      <c r="CKA1106" s="15"/>
      <c r="CKB1106" s="15"/>
      <c r="CKE1106" s="15"/>
      <c r="CKF1106" s="15"/>
      <c r="CKI1106" s="15"/>
      <c r="CKJ1106" s="15"/>
      <c r="CKM1106" s="15"/>
      <c r="CKN1106" s="15"/>
      <c r="CKQ1106" s="15"/>
      <c r="CKR1106" s="15"/>
      <c r="CKU1106" s="15"/>
      <c r="CKV1106" s="15"/>
      <c r="CKY1106" s="15"/>
      <c r="CKZ1106" s="15"/>
      <c r="CLC1106" s="15"/>
      <c r="CLD1106" s="15"/>
      <c r="CLG1106" s="15"/>
      <c r="CLH1106" s="15"/>
      <c r="CLK1106" s="15"/>
      <c r="CLL1106" s="15"/>
      <c r="CLO1106" s="15"/>
      <c r="CLP1106" s="15"/>
      <c r="CLS1106" s="15"/>
      <c r="CLT1106" s="15"/>
      <c r="CLW1106" s="15"/>
      <c r="CLX1106" s="15"/>
      <c r="CMA1106" s="15"/>
      <c r="CMB1106" s="15"/>
      <c r="CME1106" s="15"/>
      <c r="CMF1106" s="15"/>
      <c r="CMI1106" s="15"/>
      <c r="CMJ1106" s="15"/>
      <c r="CMM1106" s="15"/>
      <c r="CMN1106" s="15"/>
      <c r="CMQ1106" s="15"/>
      <c r="CMR1106" s="15"/>
      <c r="CMU1106" s="15"/>
      <c r="CMV1106" s="15"/>
      <c r="CMY1106" s="15"/>
      <c r="CMZ1106" s="15"/>
      <c r="CNC1106" s="15"/>
      <c r="CND1106" s="15"/>
      <c r="CNG1106" s="15"/>
      <c r="CNH1106" s="15"/>
      <c r="CNK1106" s="15"/>
      <c r="CNL1106" s="15"/>
      <c r="CNO1106" s="15"/>
      <c r="CNP1106" s="15"/>
      <c r="CNS1106" s="15"/>
      <c r="CNT1106" s="15"/>
      <c r="CNW1106" s="15"/>
      <c r="CNX1106" s="15"/>
      <c r="COA1106" s="15"/>
      <c r="COB1106" s="15"/>
      <c r="COE1106" s="15"/>
      <c r="COF1106" s="15"/>
      <c r="COI1106" s="15"/>
      <c r="COJ1106" s="15"/>
      <c r="COM1106" s="15"/>
      <c r="CON1106" s="15"/>
      <c r="COQ1106" s="15"/>
      <c r="COR1106" s="15"/>
      <c r="COU1106" s="15"/>
      <c r="COV1106" s="15"/>
      <c r="COY1106" s="15"/>
      <c r="COZ1106" s="15"/>
      <c r="CPC1106" s="15"/>
      <c r="CPD1106" s="15"/>
      <c r="CPG1106" s="15"/>
      <c r="CPH1106" s="15"/>
      <c r="CPK1106" s="15"/>
      <c r="CPL1106" s="15"/>
      <c r="CPO1106" s="15"/>
      <c r="CPP1106" s="15"/>
      <c r="CPS1106" s="15"/>
      <c r="CPT1106" s="15"/>
      <c r="CPW1106" s="15"/>
      <c r="CPX1106" s="15"/>
      <c r="CQA1106" s="15"/>
      <c r="CQB1106" s="15"/>
      <c r="CQE1106" s="15"/>
      <c r="CQF1106" s="15"/>
      <c r="CQI1106" s="15"/>
      <c r="CQJ1106" s="15"/>
      <c r="CQM1106" s="15"/>
      <c r="CQN1106" s="15"/>
      <c r="CQQ1106" s="15"/>
      <c r="CQR1106" s="15"/>
      <c r="CQU1106" s="15"/>
      <c r="CQV1106" s="15"/>
      <c r="CQY1106" s="15"/>
      <c r="CQZ1106" s="15"/>
      <c r="CRC1106" s="15"/>
      <c r="CRD1106" s="15"/>
      <c r="CRG1106" s="15"/>
      <c r="CRH1106" s="15"/>
      <c r="CRK1106" s="15"/>
      <c r="CRL1106" s="15"/>
      <c r="CRO1106" s="15"/>
      <c r="CRP1106" s="15"/>
      <c r="CRS1106" s="15"/>
      <c r="CRT1106" s="15"/>
      <c r="CRW1106" s="15"/>
      <c r="CRX1106" s="15"/>
      <c r="CSA1106" s="15"/>
      <c r="CSB1106" s="15"/>
      <c r="CSE1106" s="15"/>
      <c r="CSF1106" s="15"/>
      <c r="CSI1106" s="15"/>
      <c r="CSJ1106" s="15"/>
      <c r="CSM1106" s="15"/>
      <c r="CSN1106" s="15"/>
      <c r="CSQ1106" s="15"/>
      <c r="CSR1106" s="15"/>
      <c r="CSU1106" s="15"/>
      <c r="CSV1106" s="15"/>
      <c r="CSY1106" s="15"/>
      <c r="CSZ1106" s="15"/>
      <c r="CTC1106" s="15"/>
      <c r="CTD1106" s="15"/>
      <c r="CTG1106" s="15"/>
      <c r="CTH1106" s="15"/>
      <c r="CTK1106" s="15"/>
      <c r="CTL1106" s="15"/>
      <c r="CTO1106" s="15"/>
      <c r="CTP1106" s="15"/>
      <c r="CTS1106" s="15"/>
      <c r="CTT1106" s="15"/>
      <c r="CTW1106" s="15"/>
      <c r="CTX1106" s="15"/>
      <c r="CUA1106" s="15"/>
      <c r="CUB1106" s="15"/>
      <c r="CUE1106" s="15"/>
      <c r="CUF1106" s="15"/>
      <c r="CUI1106" s="15"/>
      <c r="CUJ1106" s="15"/>
      <c r="CUM1106" s="15"/>
      <c r="CUN1106" s="15"/>
      <c r="CUQ1106" s="15"/>
      <c r="CUR1106" s="15"/>
      <c r="CUU1106" s="15"/>
      <c r="CUV1106" s="15"/>
      <c r="CUY1106" s="15"/>
      <c r="CUZ1106" s="15"/>
      <c r="CVC1106" s="15"/>
      <c r="CVD1106" s="15"/>
      <c r="CVG1106" s="15"/>
      <c r="CVH1106" s="15"/>
      <c r="CVK1106" s="15"/>
      <c r="CVL1106" s="15"/>
      <c r="CVO1106" s="15"/>
      <c r="CVP1106" s="15"/>
      <c r="CVS1106" s="15"/>
      <c r="CVT1106" s="15"/>
      <c r="CVW1106" s="15"/>
      <c r="CVX1106" s="15"/>
      <c r="CWA1106" s="15"/>
      <c r="CWB1106" s="15"/>
      <c r="CWE1106" s="15"/>
      <c r="CWF1106" s="15"/>
      <c r="CWI1106" s="15"/>
      <c r="CWJ1106" s="15"/>
      <c r="CWM1106" s="15"/>
      <c r="CWN1106" s="15"/>
      <c r="CWQ1106" s="15"/>
      <c r="CWR1106" s="15"/>
      <c r="CWU1106" s="15"/>
      <c r="CWV1106" s="15"/>
      <c r="CWY1106" s="15"/>
      <c r="CWZ1106" s="15"/>
      <c r="CXC1106" s="15"/>
      <c r="CXD1106" s="15"/>
      <c r="CXG1106" s="15"/>
      <c r="CXH1106" s="15"/>
      <c r="CXK1106" s="15"/>
      <c r="CXL1106" s="15"/>
      <c r="CXO1106" s="15"/>
      <c r="CXP1106" s="15"/>
      <c r="CXS1106" s="15"/>
      <c r="CXT1106" s="15"/>
      <c r="CXW1106" s="15"/>
      <c r="CXX1106" s="15"/>
      <c r="CYA1106" s="15"/>
      <c r="CYB1106" s="15"/>
      <c r="CYE1106" s="15"/>
      <c r="CYF1106" s="15"/>
      <c r="CYI1106" s="15"/>
      <c r="CYJ1106" s="15"/>
      <c r="CYM1106" s="15"/>
      <c r="CYN1106" s="15"/>
      <c r="CYQ1106" s="15"/>
      <c r="CYR1106" s="15"/>
      <c r="CYU1106" s="15"/>
      <c r="CYV1106" s="15"/>
      <c r="CYY1106" s="15"/>
      <c r="CYZ1106" s="15"/>
      <c r="CZC1106" s="15"/>
      <c r="CZD1106" s="15"/>
      <c r="CZG1106" s="15"/>
      <c r="CZH1106" s="15"/>
      <c r="CZK1106" s="15"/>
      <c r="CZL1106" s="15"/>
      <c r="CZO1106" s="15"/>
      <c r="CZP1106" s="15"/>
      <c r="CZS1106" s="15"/>
      <c r="CZT1106" s="15"/>
      <c r="CZW1106" s="15"/>
      <c r="CZX1106" s="15"/>
      <c r="DAA1106" s="15"/>
      <c r="DAB1106" s="15"/>
      <c r="DAE1106" s="15"/>
      <c r="DAF1106" s="15"/>
      <c r="DAI1106" s="15"/>
      <c r="DAJ1106" s="15"/>
      <c r="DAM1106" s="15"/>
      <c r="DAN1106" s="15"/>
      <c r="DAQ1106" s="15"/>
      <c r="DAR1106" s="15"/>
      <c r="DAU1106" s="15"/>
      <c r="DAV1106" s="15"/>
      <c r="DAY1106" s="15"/>
      <c r="DAZ1106" s="15"/>
      <c r="DBC1106" s="15"/>
      <c r="DBD1106" s="15"/>
      <c r="DBG1106" s="15"/>
      <c r="DBH1106" s="15"/>
      <c r="DBK1106" s="15"/>
      <c r="DBL1106" s="15"/>
      <c r="DBO1106" s="15"/>
      <c r="DBP1106" s="15"/>
      <c r="DBS1106" s="15"/>
      <c r="DBT1106" s="15"/>
      <c r="DBW1106" s="15"/>
      <c r="DBX1106" s="15"/>
      <c r="DCA1106" s="15"/>
      <c r="DCB1106" s="15"/>
      <c r="DCE1106" s="15"/>
      <c r="DCF1106" s="15"/>
      <c r="DCI1106" s="15"/>
      <c r="DCJ1106" s="15"/>
      <c r="DCM1106" s="15"/>
      <c r="DCN1106" s="15"/>
      <c r="DCQ1106" s="15"/>
      <c r="DCR1106" s="15"/>
      <c r="DCU1106" s="15"/>
      <c r="DCV1106" s="15"/>
      <c r="DCY1106" s="15"/>
      <c r="DCZ1106" s="15"/>
      <c r="DDC1106" s="15"/>
      <c r="DDD1106" s="15"/>
      <c r="DDG1106" s="15"/>
      <c r="DDH1106" s="15"/>
      <c r="DDK1106" s="15"/>
      <c r="DDL1106" s="15"/>
      <c r="DDO1106" s="15"/>
      <c r="DDP1106" s="15"/>
      <c r="DDS1106" s="15"/>
      <c r="DDT1106" s="15"/>
      <c r="DDW1106" s="15"/>
      <c r="DDX1106" s="15"/>
      <c r="DEA1106" s="15"/>
      <c r="DEB1106" s="15"/>
      <c r="DEE1106" s="15"/>
      <c r="DEF1106" s="15"/>
      <c r="DEI1106" s="15"/>
      <c r="DEJ1106" s="15"/>
      <c r="DEM1106" s="15"/>
      <c r="DEN1106" s="15"/>
      <c r="DEQ1106" s="15"/>
      <c r="DER1106" s="15"/>
      <c r="DEU1106" s="15"/>
      <c r="DEV1106" s="15"/>
      <c r="DEY1106" s="15"/>
      <c r="DEZ1106" s="15"/>
      <c r="DFC1106" s="15"/>
      <c r="DFD1106" s="15"/>
      <c r="DFG1106" s="15"/>
      <c r="DFH1106" s="15"/>
      <c r="DFK1106" s="15"/>
      <c r="DFL1106" s="15"/>
      <c r="DFO1106" s="15"/>
      <c r="DFP1106" s="15"/>
      <c r="DFS1106" s="15"/>
      <c r="DFT1106" s="15"/>
      <c r="DFW1106" s="15"/>
      <c r="DFX1106" s="15"/>
      <c r="DGA1106" s="15"/>
      <c r="DGB1106" s="15"/>
      <c r="DGE1106" s="15"/>
      <c r="DGF1106" s="15"/>
      <c r="DGI1106" s="15"/>
      <c r="DGJ1106" s="15"/>
      <c r="DGM1106" s="15"/>
      <c r="DGN1106" s="15"/>
      <c r="DGQ1106" s="15"/>
      <c r="DGR1106" s="15"/>
      <c r="DGU1106" s="15"/>
      <c r="DGV1106" s="15"/>
      <c r="DGY1106" s="15"/>
      <c r="DGZ1106" s="15"/>
      <c r="DHC1106" s="15"/>
      <c r="DHD1106" s="15"/>
      <c r="DHG1106" s="15"/>
      <c r="DHH1106" s="15"/>
      <c r="DHK1106" s="15"/>
      <c r="DHL1106" s="15"/>
      <c r="DHO1106" s="15"/>
      <c r="DHP1106" s="15"/>
      <c r="DHS1106" s="15"/>
      <c r="DHT1106" s="15"/>
      <c r="DHW1106" s="15"/>
      <c r="DHX1106" s="15"/>
      <c r="DIA1106" s="15"/>
      <c r="DIB1106" s="15"/>
      <c r="DIE1106" s="15"/>
      <c r="DIF1106" s="15"/>
      <c r="DII1106" s="15"/>
      <c r="DIJ1106" s="15"/>
      <c r="DIM1106" s="15"/>
      <c r="DIN1106" s="15"/>
      <c r="DIQ1106" s="15"/>
      <c r="DIR1106" s="15"/>
      <c r="DIU1106" s="15"/>
      <c r="DIV1106" s="15"/>
      <c r="DIY1106" s="15"/>
      <c r="DIZ1106" s="15"/>
      <c r="DJC1106" s="15"/>
      <c r="DJD1106" s="15"/>
      <c r="DJG1106" s="15"/>
      <c r="DJH1106" s="15"/>
      <c r="DJK1106" s="15"/>
      <c r="DJL1106" s="15"/>
      <c r="DJO1106" s="15"/>
      <c r="DJP1106" s="15"/>
      <c r="DJS1106" s="15"/>
      <c r="DJT1106" s="15"/>
      <c r="DJW1106" s="15"/>
      <c r="DJX1106" s="15"/>
      <c r="DKA1106" s="15"/>
      <c r="DKB1106" s="15"/>
      <c r="DKE1106" s="15"/>
      <c r="DKF1106" s="15"/>
      <c r="DKI1106" s="15"/>
      <c r="DKJ1106" s="15"/>
      <c r="DKM1106" s="15"/>
      <c r="DKN1106" s="15"/>
      <c r="DKQ1106" s="15"/>
      <c r="DKR1106" s="15"/>
      <c r="DKU1106" s="15"/>
      <c r="DKV1106" s="15"/>
      <c r="DKY1106" s="15"/>
      <c r="DKZ1106" s="15"/>
      <c r="DLC1106" s="15"/>
      <c r="DLD1106" s="15"/>
      <c r="DLG1106" s="15"/>
      <c r="DLH1106" s="15"/>
      <c r="DLK1106" s="15"/>
      <c r="DLL1106" s="15"/>
      <c r="DLO1106" s="15"/>
      <c r="DLP1106" s="15"/>
      <c r="DLS1106" s="15"/>
      <c r="DLT1106" s="15"/>
      <c r="DLW1106" s="15"/>
      <c r="DLX1106" s="15"/>
      <c r="DMA1106" s="15"/>
      <c r="DMB1106" s="15"/>
      <c r="DME1106" s="15"/>
      <c r="DMF1106" s="15"/>
      <c r="DMI1106" s="15"/>
      <c r="DMJ1106" s="15"/>
      <c r="DMM1106" s="15"/>
      <c r="DMN1106" s="15"/>
      <c r="DMQ1106" s="15"/>
      <c r="DMR1106" s="15"/>
      <c r="DMU1106" s="15"/>
      <c r="DMV1106" s="15"/>
      <c r="DMY1106" s="15"/>
      <c r="DMZ1106" s="15"/>
      <c r="DNC1106" s="15"/>
      <c r="DND1106" s="15"/>
      <c r="DNG1106" s="15"/>
      <c r="DNH1106" s="15"/>
      <c r="DNK1106" s="15"/>
      <c r="DNL1106" s="15"/>
      <c r="DNO1106" s="15"/>
      <c r="DNP1106" s="15"/>
      <c r="DNS1106" s="15"/>
      <c r="DNT1106" s="15"/>
      <c r="DNW1106" s="15"/>
      <c r="DNX1106" s="15"/>
      <c r="DOA1106" s="15"/>
      <c r="DOB1106" s="15"/>
      <c r="DOE1106" s="15"/>
      <c r="DOF1106" s="15"/>
      <c r="DOI1106" s="15"/>
      <c r="DOJ1106" s="15"/>
      <c r="DOM1106" s="15"/>
      <c r="DON1106" s="15"/>
      <c r="DOQ1106" s="15"/>
      <c r="DOR1106" s="15"/>
      <c r="DOU1106" s="15"/>
      <c r="DOV1106" s="15"/>
      <c r="DOY1106" s="15"/>
      <c r="DOZ1106" s="15"/>
      <c r="DPC1106" s="15"/>
      <c r="DPD1106" s="15"/>
      <c r="DPG1106" s="15"/>
      <c r="DPH1106" s="15"/>
      <c r="DPK1106" s="15"/>
      <c r="DPL1106" s="15"/>
      <c r="DPO1106" s="15"/>
      <c r="DPP1106" s="15"/>
      <c r="DPS1106" s="15"/>
      <c r="DPT1106" s="15"/>
      <c r="DPW1106" s="15"/>
      <c r="DPX1106" s="15"/>
      <c r="DQA1106" s="15"/>
      <c r="DQB1106" s="15"/>
      <c r="DQE1106" s="15"/>
      <c r="DQF1106" s="15"/>
      <c r="DQI1106" s="15"/>
      <c r="DQJ1106" s="15"/>
      <c r="DQM1106" s="15"/>
      <c r="DQN1106" s="15"/>
      <c r="DQQ1106" s="15"/>
      <c r="DQR1106" s="15"/>
      <c r="DQU1106" s="15"/>
      <c r="DQV1106" s="15"/>
      <c r="DQY1106" s="15"/>
      <c r="DQZ1106" s="15"/>
      <c r="DRC1106" s="15"/>
      <c r="DRD1106" s="15"/>
      <c r="DRG1106" s="15"/>
      <c r="DRH1106" s="15"/>
      <c r="DRK1106" s="15"/>
      <c r="DRL1106" s="15"/>
      <c r="DRO1106" s="15"/>
      <c r="DRP1106" s="15"/>
      <c r="DRS1106" s="15"/>
      <c r="DRT1106" s="15"/>
      <c r="DRW1106" s="15"/>
      <c r="DRX1106" s="15"/>
      <c r="DSA1106" s="15"/>
      <c r="DSB1106" s="15"/>
      <c r="DSE1106" s="15"/>
      <c r="DSF1106" s="15"/>
      <c r="DSI1106" s="15"/>
      <c r="DSJ1106" s="15"/>
      <c r="DSM1106" s="15"/>
      <c r="DSN1106" s="15"/>
      <c r="DSQ1106" s="15"/>
      <c r="DSR1106" s="15"/>
      <c r="DSU1106" s="15"/>
      <c r="DSV1106" s="15"/>
      <c r="DSY1106" s="15"/>
      <c r="DSZ1106" s="15"/>
      <c r="DTC1106" s="15"/>
      <c r="DTD1106" s="15"/>
      <c r="DTG1106" s="15"/>
      <c r="DTH1106" s="15"/>
      <c r="DTK1106" s="15"/>
      <c r="DTL1106" s="15"/>
      <c r="DTO1106" s="15"/>
      <c r="DTP1106" s="15"/>
      <c r="DTS1106" s="15"/>
      <c r="DTT1106" s="15"/>
      <c r="DTW1106" s="15"/>
      <c r="DTX1106" s="15"/>
      <c r="DUA1106" s="15"/>
      <c r="DUB1106" s="15"/>
      <c r="DUE1106" s="15"/>
      <c r="DUF1106" s="15"/>
      <c r="DUI1106" s="15"/>
      <c r="DUJ1106" s="15"/>
      <c r="DUM1106" s="15"/>
      <c r="DUN1106" s="15"/>
      <c r="DUQ1106" s="15"/>
      <c r="DUR1106" s="15"/>
      <c r="DUU1106" s="15"/>
      <c r="DUV1106" s="15"/>
      <c r="DUY1106" s="15"/>
      <c r="DUZ1106" s="15"/>
      <c r="DVC1106" s="15"/>
      <c r="DVD1106" s="15"/>
      <c r="DVG1106" s="15"/>
      <c r="DVH1106" s="15"/>
      <c r="DVK1106" s="15"/>
      <c r="DVL1106" s="15"/>
      <c r="DVO1106" s="15"/>
      <c r="DVP1106" s="15"/>
      <c r="DVS1106" s="15"/>
      <c r="DVT1106" s="15"/>
      <c r="DVW1106" s="15"/>
      <c r="DVX1106" s="15"/>
      <c r="DWA1106" s="15"/>
      <c r="DWB1106" s="15"/>
      <c r="DWE1106" s="15"/>
      <c r="DWF1106" s="15"/>
      <c r="DWI1106" s="15"/>
      <c r="DWJ1106" s="15"/>
      <c r="DWM1106" s="15"/>
      <c r="DWN1106" s="15"/>
      <c r="DWQ1106" s="15"/>
      <c r="DWR1106" s="15"/>
      <c r="DWU1106" s="15"/>
      <c r="DWV1106" s="15"/>
      <c r="DWY1106" s="15"/>
      <c r="DWZ1106" s="15"/>
      <c r="DXC1106" s="15"/>
      <c r="DXD1106" s="15"/>
      <c r="DXG1106" s="15"/>
      <c r="DXH1106" s="15"/>
      <c r="DXK1106" s="15"/>
      <c r="DXL1106" s="15"/>
      <c r="DXO1106" s="15"/>
      <c r="DXP1106" s="15"/>
      <c r="DXS1106" s="15"/>
      <c r="DXT1106" s="15"/>
      <c r="DXW1106" s="15"/>
      <c r="DXX1106" s="15"/>
      <c r="DYA1106" s="15"/>
      <c r="DYB1106" s="15"/>
      <c r="DYE1106" s="15"/>
      <c r="DYF1106" s="15"/>
      <c r="DYI1106" s="15"/>
      <c r="DYJ1106" s="15"/>
      <c r="DYM1106" s="15"/>
      <c r="DYN1106" s="15"/>
      <c r="DYQ1106" s="15"/>
      <c r="DYR1106" s="15"/>
      <c r="DYU1106" s="15"/>
      <c r="DYV1106" s="15"/>
      <c r="DYY1106" s="15"/>
      <c r="DYZ1106" s="15"/>
      <c r="DZC1106" s="15"/>
      <c r="DZD1106" s="15"/>
      <c r="DZG1106" s="15"/>
      <c r="DZH1106" s="15"/>
      <c r="DZK1106" s="15"/>
      <c r="DZL1106" s="15"/>
      <c r="DZO1106" s="15"/>
      <c r="DZP1106" s="15"/>
      <c r="DZS1106" s="15"/>
      <c r="DZT1106" s="15"/>
      <c r="DZW1106" s="15"/>
      <c r="DZX1106" s="15"/>
      <c r="EAA1106" s="15"/>
      <c r="EAB1106" s="15"/>
      <c r="EAE1106" s="15"/>
      <c r="EAF1106" s="15"/>
      <c r="EAI1106" s="15"/>
      <c r="EAJ1106" s="15"/>
      <c r="EAM1106" s="15"/>
      <c r="EAN1106" s="15"/>
      <c r="EAQ1106" s="15"/>
      <c r="EAR1106" s="15"/>
      <c r="EAU1106" s="15"/>
      <c r="EAV1106" s="15"/>
      <c r="EAY1106" s="15"/>
      <c r="EAZ1106" s="15"/>
      <c r="EBC1106" s="15"/>
      <c r="EBD1106" s="15"/>
      <c r="EBG1106" s="15"/>
      <c r="EBH1106" s="15"/>
      <c r="EBK1106" s="15"/>
      <c r="EBL1106" s="15"/>
      <c r="EBO1106" s="15"/>
      <c r="EBP1106" s="15"/>
      <c r="EBS1106" s="15"/>
      <c r="EBT1106" s="15"/>
      <c r="EBW1106" s="15"/>
      <c r="EBX1106" s="15"/>
      <c r="ECA1106" s="15"/>
      <c r="ECB1106" s="15"/>
      <c r="ECE1106" s="15"/>
      <c r="ECF1106" s="15"/>
      <c r="ECI1106" s="15"/>
      <c r="ECJ1106" s="15"/>
      <c r="ECM1106" s="15"/>
      <c r="ECN1106" s="15"/>
      <c r="ECQ1106" s="15"/>
      <c r="ECR1106" s="15"/>
      <c r="ECU1106" s="15"/>
      <c r="ECV1106" s="15"/>
      <c r="ECY1106" s="15"/>
      <c r="ECZ1106" s="15"/>
      <c r="EDC1106" s="15"/>
      <c r="EDD1106" s="15"/>
      <c r="EDG1106" s="15"/>
      <c r="EDH1106" s="15"/>
      <c r="EDK1106" s="15"/>
      <c r="EDL1106" s="15"/>
      <c r="EDO1106" s="15"/>
      <c r="EDP1106" s="15"/>
      <c r="EDS1106" s="15"/>
      <c r="EDT1106" s="15"/>
      <c r="EDW1106" s="15"/>
      <c r="EDX1106" s="15"/>
      <c r="EEA1106" s="15"/>
      <c r="EEB1106" s="15"/>
      <c r="EEE1106" s="15"/>
      <c r="EEF1106" s="15"/>
      <c r="EEI1106" s="15"/>
      <c r="EEJ1106" s="15"/>
      <c r="EEM1106" s="15"/>
      <c r="EEN1106" s="15"/>
      <c r="EEQ1106" s="15"/>
      <c r="EER1106" s="15"/>
      <c r="EEU1106" s="15"/>
      <c r="EEV1106" s="15"/>
      <c r="EEY1106" s="15"/>
      <c r="EEZ1106" s="15"/>
      <c r="EFC1106" s="15"/>
      <c r="EFD1106" s="15"/>
      <c r="EFG1106" s="15"/>
      <c r="EFH1106" s="15"/>
      <c r="EFK1106" s="15"/>
      <c r="EFL1106" s="15"/>
      <c r="EFO1106" s="15"/>
      <c r="EFP1106" s="15"/>
      <c r="EFS1106" s="15"/>
      <c r="EFT1106" s="15"/>
      <c r="EFW1106" s="15"/>
      <c r="EFX1106" s="15"/>
      <c r="EGA1106" s="15"/>
      <c r="EGB1106" s="15"/>
      <c r="EGE1106" s="15"/>
      <c r="EGF1106" s="15"/>
      <c r="EGI1106" s="15"/>
      <c r="EGJ1106" s="15"/>
      <c r="EGM1106" s="15"/>
      <c r="EGN1106" s="15"/>
      <c r="EGQ1106" s="15"/>
      <c r="EGR1106" s="15"/>
      <c r="EGU1106" s="15"/>
      <c r="EGV1106" s="15"/>
      <c r="EGY1106" s="15"/>
      <c r="EGZ1106" s="15"/>
      <c r="EHC1106" s="15"/>
      <c r="EHD1106" s="15"/>
      <c r="EHG1106" s="15"/>
      <c r="EHH1106" s="15"/>
      <c r="EHK1106" s="15"/>
      <c r="EHL1106" s="15"/>
      <c r="EHO1106" s="15"/>
      <c r="EHP1106" s="15"/>
      <c r="EHS1106" s="15"/>
      <c r="EHT1106" s="15"/>
      <c r="EHW1106" s="15"/>
      <c r="EHX1106" s="15"/>
      <c r="EIA1106" s="15"/>
      <c r="EIB1106" s="15"/>
      <c r="EIE1106" s="15"/>
      <c r="EIF1106" s="15"/>
      <c r="EII1106" s="15"/>
      <c r="EIJ1106" s="15"/>
      <c r="EIM1106" s="15"/>
      <c r="EIN1106" s="15"/>
      <c r="EIQ1106" s="15"/>
      <c r="EIR1106" s="15"/>
      <c r="EIU1106" s="15"/>
      <c r="EIV1106" s="15"/>
      <c r="EIY1106" s="15"/>
      <c r="EIZ1106" s="15"/>
      <c r="EJC1106" s="15"/>
      <c r="EJD1106" s="15"/>
      <c r="EJG1106" s="15"/>
      <c r="EJH1106" s="15"/>
      <c r="EJK1106" s="15"/>
      <c r="EJL1106" s="15"/>
      <c r="EJO1106" s="15"/>
      <c r="EJP1106" s="15"/>
      <c r="EJS1106" s="15"/>
      <c r="EJT1106" s="15"/>
      <c r="EJW1106" s="15"/>
      <c r="EJX1106" s="15"/>
      <c r="EKA1106" s="15"/>
      <c r="EKB1106" s="15"/>
      <c r="EKE1106" s="15"/>
      <c r="EKF1106" s="15"/>
      <c r="EKI1106" s="15"/>
      <c r="EKJ1106" s="15"/>
      <c r="EKM1106" s="15"/>
      <c r="EKN1106" s="15"/>
      <c r="EKQ1106" s="15"/>
      <c r="EKR1106" s="15"/>
      <c r="EKU1106" s="15"/>
      <c r="EKV1106" s="15"/>
      <c r="EKY1106" s="15"/>
      <c r="EKZ1106" s="15"/>
      <c r="ELC1106" s="15"/>
      <c r="ELD1106" s="15"/>
      <c r="ELG1106" s="15"/>
      <c r="ELH1106" s="15"/>
      <c r="ELK1106" s="15"/>
      <c r="ELL1106" s="15"/>
      <c r="ELO1106" s="15"/>
      <c r="ELP1106" s="15"/>
      <c r="ELS1106" s="15"/>
      <c r="ELT1106" s="15"/>
      <c r="ELW1106" s="15"/>
      <c r="ELX1106" s="15"/>
      <c r="EMA1106" s="15"/>
      <c r="EMB1106" s="15"/>
      <c r="EME1106" s="15"/>
      <c r="EMF1106" s="15"/>
      <c r="EMI1106" s="15"/>
      <c r="EMJ1106" s="15"/>
      <c r="EMM1106" s="15"/>
      <c r="EMN1106" s="15"/>
      <c r="EMQ1106" s="15"/>
      <c r="EMR1106" s="15"/>
      <c r="EMU1106" s="15"/>
      <c r="EMV1106" s="15"/>
      <c r="EMY1106" s="15"/>
      <c r="EMZ1106" s="15"/>
      <c r="ENC1106" s="15"/>
      <c r="END1106" s="15"/>
      <c r="ENG1106" s="15"/>
      <c r="ENH1106" s="15"/>
      <c r="ENK1106" s="15"/>
      <c r="ENL1106" s="15"/>
      <c r="ENO1106" s="15"/>
      <c r="ENP1106" s="15"/>
      <c r="ENS1106" s="15"/>
      <c r="ENT1106" s="15"/>
      <c r="ENW1106" s="15"/>
      <c r="ENX1106" s="15"/>
      <c r="EOA1106" s="15"/>
      <c r="EOB1106" s="15"/>
      <c r="EOE1106" s="15"/>
      <c r="EOF1106" s="15"/>
      <c r="EOI1106" s="15"/>
      <c r="EOJ1106" s="15"/>
      <c r="EOM1106" s="15"/>
      <c r="EON1106" s="15"/>
      <c r="EOQ1106" s="15"/>
      <c r="EOR1106" s="15"/>
      <c r="EOU1106" s="15"/>
      <c r="EOV1106" s="15"/>
      <c r="EOY1106" s="15"/>
      <c r="EOZ1106" s="15"/>
      <c r="EPC1106" s="15"/>
      <c r="EPD1106" s="15"/>
      <c r="EPG1106" s="15"/>
      <c r="EPH1106" s="15"/>
      <c r="EPK1106" s="15"/>
      <c r="EPL1106" s="15"/>
      <c r="EPO1106" s="15"/>
      <c r="EPP1106" s="15"/>
      <c r="EPS1106" s="15"/>
      <c r="EPT1106" s="15"/>
      <c r="EPW1106" s="15"/>
      <c r="EPX1106" s="15"/>
      <c r="EQA1106" s="15"/>
      <c r="EQB1106" s="15"/>
      <c r="EQE1106" s="15"/>
      <c r="EQF1106" s="15"/>
      <c r="EQI1106" s="15"/>
      <c r="EQJ1106" s="15"/>
      <c r="EQM1106" s="15"/>
      <c r="EQN1106" s="15"/>
      <c r="EQQ1106" s="15"/>
      <c r="EQR1106" s="15"/>
      <c r="EQU1106" s="15"/>
      <c r="EQV1106" s="15"/>
      <c r="EQY1106" s="15"/>
      <c r="EQZ1106" s="15"/>
      <c r="ERC1106" s="15"/>
      <c r="ERD1106" s="15"/>
      <c r="ERG1106" s="15"/>
      <c r="ERH1106" s="15"/>
      <c r="ERK1106" s="15"/>
      <c r="ERL1106" s="15"/>
      <c r="ERO1106" s="15"/>
      <c r="ERP1106" s="15"/>
      <c r="ERS1106" s="15"/>
      <c r="ERT1106" s="15"/>
      <c r="ERW1106" s="15"/>
      <c r="ERX1106" s="15"/>
      <c r="ESA1106" s="15"/>
      <c r="ESB1106" s="15"/>
      <c r="ESE1106" s="15"/>
      <c r="ESF1106" s="15"/>
      <c r="ESI1106" s="15"/>
      <c r="ESJ1106" s="15"/>
      <c r="ESM1106" s="15"/>
      <c r="ESN1106" s="15"/>
      <c r="ESQ1106" s="15"/>
      <c r="ESR1106" s="15"/>
      <c r="ESU1106" s="15"/>
      <c r="ESV1106" s="15"/>
      <c r="ESY1106" s="15"/>
      <c r="ESZ1106" s="15"/>
      <c r="ETC1106" s="15"/>
      <c r="ETD1106" s="15"/>
      <c r="ETG1106" s="15"/>
      <c r="ETH1106" s="15"/>
      <c r="ETK1106" s="15"/>
      <c r="ETL1106" s="15"/>
      <c r="ETO1106" s="15"/>
      <c r="ETP1106" s="15"/>
      <c r="ETS1106" s="15"/>
      <c r="ETT1106" s="15"/>
      <c r="ETW1106" s="15"/>
      <c r="ETX1106" s="15"/>
      <c r="EUA1106" s="15"/>
      <c r="EUB1106" s="15"/>
      <c r="EUE1106" s="15"/>
      <c r="EUF1106" s="15"/>
      <c r="EUI1106" s="15"/>
      <c r="EUJ1106" s="15"/>
      <c r="EUM1106" s="15"/>
      <c r="EUN1106" s="15"/>
      <c r="EUQ1106" s="15"/>
      <c r="EUR1106" s="15"/>
      <c r="EUU1106" s="15"/>
      <c r="EUV1106" s="15"/>
      <c r="EUY1106" s="15"/>
      <c r="EUZ1106" s="15"/>
      <c r="EVC1106" s="15"/>
      <c r="EVD1106" s="15"/>
      <c r="EVG1106" s="15"/>
      <c r="EVH1106" s="15"/>
      <c r="EVK1106" s="15"/>
      <c r="EVL1106" s="15"/>
      <c r="EVO1106" s="15"/>
      <c r="EVP1106" s="15"/>
      <c r="EVS1106" s="15"/>
      <c r="EVT1106" s="15"/>
      <c r="EVW1106" s="15"/>
      <c r="EVX1106" s="15"/>
      <c r="EWA1106" s="15"/>
      <c r="EWB1106" s="15"/>
      <c r="EWE1106" s="15"/>
      <c r="EWF1106" s="15"/>
      <c r="EWI1106" s="15"/>
      <c r="EWJ1106" s="15"/>
      <c r="EWM1106" s="15"/>
      <c r="EWN1106" s="15"/>
      <c r="EWQ1106" s="15"/>
      <c r="EWR1106" s="15"/>
      <c r="EWU1106" s="15"/>
      <c r="EWV1106" s="15"/>
      <c r="EWY1106" s="15"/>
      <c r="EWZ1106" s="15"/>
      <c r="EXC1106" s="15"/>
      <c r="EXD1106" s="15"/>
      <c r="EXG1106" s="15"/>
      <c r="EXH1106" s="15"/>
      <c r="EXK1106" s="15"/>
      <c r="EXL1106" s="15"/>
      <c r="EXO1106" s="15"/>
      <c r="EXP1106" s="15"/>
      <c r="EXS1106" s="15"/>
      <c r="EXT1106" s="15"/>
      <c r="EXW1106" s="15"/>
      <c r="EXX1106" s="15"/>
      <c r="EYA1106" s="15"/>
      <c r="EYB1106" s="15"/>
      <c r="EYE1106" s="15"/>
      <c r="EYF1106" s="15"/>
      <c r="EYI1106" s="15"/>
      <c r="EYJ1106" s="15"/>
      <c r="EYM1106" s="15"/>
      <c r="EYN1106" s="15"/>
      <c r="EYQ1106" s="15"/>
      <c r="EYR1106" s="15"/>
      <c r="EYU1106" s="15"/>
      <c r="EYV1106" s="15"/>
      <c r="EYY1106" s="15"/>
      <c r="EYZ1106" s="15"/>
      <c r="EZC1106" s="15"/>
      <c r="EZD1106" s="15"/>
      <c r="EZG1106" s="15"/>
      <c r="EZH1106" s="15"/>
      <c r="EZK1106" s="15"/>
      <c r="EZL1106" s="15"/>
      <c r="EZO1106" s="15"/>
      <c r="EZP1106" s="15"/>
      <c r="EZS1106" s="15"/>
      <c r="EZT1106" s="15"/>
      <c r="EZW1106" s="15"/>
      <c r="EZX1106" s="15"/>
      <c r="FAA1106" s="15"/>
      <c r="FAB1106" s="15"/>
      <c r="FAE1106" s="15"/>
      <c r="FAF1106" s="15"/>
      <c r="FAI1106" s="15"/>
      <c r="FAJ1106" s="15"/>
      <c r="FAM1106" s="15"/>
      <c r="FAN1106" s="15"/>
      <c r="FAQ1106" s="15"/>
      <c r="FAR1106" s="15"/>
      <c r="FAU1106" s="15"/>
      <c r="FAV1106" s="15"/>
      <c r="FAY1106" s="15"/>
      <c r="FAZ1106" s="15"/>
      <c r="FBC1106" s="15"/>
      <c r="FBD1106" s="15"/>
      <c r="FBG1106" s="15"/>
      <c r="FBH1106" s="15"/>
      <c r="FBK1106" s="15"/>
      <c r="FBL1106" s="15"/>
      <c r="FBO1106" s="15"/>
      <c r="FBP1106" s="15"/>
      <c r="FBS1106" s="15"/>
      <c r="FBT1106" s="15"/>
      <c r="FBW1106" s="15"/>
      <c r="FBX1106" s="15"/>
      <c r="FCA1106" s="15"/>
      <c r="FCB1106" s="15"/>
      <c r="FCE1106" s="15"/>
      <c r="FCF1106" s="15"/>
      <c r="FCI1106" s="15"/>
      <c r="FCJ1106" s="15"/>
      <c r="FCM1106" s="15"/>
      <c r="FCN1106" s="15"/>
      <c r="FCQ1106" s="15"/>
      <c r="FCR1106" s="15"/>
      <c r="FCU1106" s="15"/>
      <c r="FCV1106" s="15"/>
      <c r="FCY1106" s="15"/>
      <c r="FCZ1106" s="15"/>
      <c r="FDC1106" s="15"/>
      <c r="FDD1106" s="15"/>
      <c r="FDG1106" s="15"/>
      <c r="FDH1106" s="15"/>
      <c r="FDK1106" s="15"/>
      <c r="FDL1106" s="15"/>
      <c r="FDO1106" s="15"/>
      <c r="FDP1106" s="15"/>
      <c r="FDS1106" s="15"/>
      <c r="FDT1106" s="15"/>
      <c r="FDW1106" s="15"/>
      <c r="FDX1106" s="15"/>
      <c r="FEA1106" s="15"/>
      <c r="FEB1106" s="15"/>
      <c r="FEE1106" s="15"/>
      <c r="FEF1106" s="15"/>
      <c r="FEI1106" s="15"/>
      <c r="FEJ1106" s="15"/>
      <c r="FEM1106" s="15"/>
      <c r="FEN1106" s="15"/>
      <c r="FEQ1106" s="15"/>
      <c r="FER1106" s="15"/>
      <c r="FEU1106" s="15"/>
      <c r="FEV1106" s="15"/>
      <c r="FEY1106" s="15"/>
      <c r="FEZ1106" s="15"/>
      <c r="FFC1106" s="15"/>
      <c r="FFD1106" s="15"/>
      <c r="FFG1106" s="15"/>
      <c r="FFH1106" s="15"/>
      <c r="FFK1106" s="15"/>
      <c r="FFL1106" s="15"/>
      <c r="FFO1106" s="15"/>
      <c r="FFP1106" s="15"/>
      <c r="FFS1106" s="15"/>
      <c r="FFT1106" s="15"/>
      <c r="FFW1106" s="15"/>
      <c r="FFX1106" s="15"/>
      <c r="FGA1106" s="15"/>
      <c r="FGB1106" s="15"/>
      <c r="FGE1106" s="15"/>
      <c r="FGF1106" s="15"/>
      <c r="FGI1106" s="15"/>
      <c r="FGJ1106" s="15"/>
      <c r="FGM1106" s="15"/>
      <c r="FGN1106" s="15"/>
      <c r="FGQ1106" s="15"/>
      <c r="FGR1106" s="15"/>
      <c r="FGU1106" s="15"/>
      <c r="FGV1106" s="15"/>
      <c r="FGY1106" s="15"/>
      <c r="FGZ1106" s="15"/>
      <c r="FHC1106" s="15"/>
      <c r="FHD1106" s="15"/>
      <c r="FHG1106" s="15"/>
      <c r="FHH1106" s="15"/>
      <c r="FHK1106" s="15"/>
      <c r="FHL1106" s="15"/>
      <c r="FHO1106" s="15"/>
      <c r="FHP1106" s="15"/>
      <c r="FHS1106" s="15"/>
      <c r="FHT1106" s="15"/>
      <c r="FHW1106" s="15"/>
      <c r="FHX1106" s="15"/>
      <c r="FIA1106" s="15"/>
      <c r="FIB1106" s="15"/>
      <c r="FIE1106" s="15"/>
      <c r="FIF1106" s="15"/>
      <c r="FII1106" s="15"/>
      <c r="FIJ1106" s="15"/>
      <c r="FIM1106" s="15"/>
      <c r="FIN1106" s="15"/>
      <c r="FIQ1106" s="15"/>
      <c r="FIR1106" s="15"/>
      <c r="FIU1106" s="15"/>
      <c r="FIV1106" s="15"/>
      <c r="FIY1106" s="15"/>
      <c r="FIZ1106" s="15"/>
      <c r="FJC1106" s="15"/>
      <c r="FJD1106" s="15"/>
      <c r="FJG1106" s="15"/>
      <c r="FJH1106" s="15"/>
      <c r="FJK1106" s="15"/>
      <c r="FJL1106" s="15"/>
      <c r="FJO1106" s="15"/>
      <c r="FJP1106" s="15"/>
      <c r="FJS1106" s="15"/>
      <c r="FJT1106" s="15"/>
      <c r="FJW1106" s="15"/>
      <c r="FJX1106" s="15"/>
      <c r="FKA1106" s="15"/>
      <c r="FKB1106" s="15"/>
      <c r="FKE1106" s="15"/>
      <c r="FKF1106" s="15"/>
      <c r="FKI1106" s="15"/>
      <c r="FKJ1106" s="15"/>
      <c r="FKM1106" s="15"/>
      <c r="FKN1106" s="15"/>
      <c r="FKQ1106" s="15"/>
      <c r="FKR1106" s="15"/>
      <c r="FKU1106" s="15"/>
      <c r="FKV1106" s="15"/>
      <c r="FKY1106" s="15"/>
      <c r="FKZ1106" s="15"/>
      <c r="FLC1106" s="15"/>
      <c r="FLD1106" s="15"/>
      <c r="FLG1106" s="15"/>
      <c r="FLH1106" s="15"/>
      <c r="FLK1106" s="15"/>
      <c r="FLL1106" s="15"/>
      <c r="FLO1106" s="15"/>
      <c r="FLP1106" s="15"/>
      <c r="FLS1106" s="15"/>
      <c r="FLT1106" s="15"/>
      <c r="FLW1106" s="15"/>
      <c r="FLX1106" s="15"/>
      <c r="FMA1106" s="15"/>
      <c r="FMB1106" s="15"/>
      <c r="FME1106" s="15"/>
      <c r="FMF1106" s="15"/>
      <c r="FMI1106" s="15"/>
      <c r="FMJ1106" s="15"/>
      <c r="FMM1106" s="15"/>
      <c r="FMN1106" s="15"/>
      <c r="FMQ1106" s="15"/>
      <c r="FMR1106" s="15"/>
      <c r="FMU1106" s="15"/>
      <c r="FMV1106" s="15"/>
      <c r="FMY1106" s="15"/>
      <c r="FMZ1106" s="15"/>
      <c r="FNC1106" s="15"/>
      <c r="FND1106" s="15"/>
      <c r="FNG1106" s="15"/>
      <c r="FNH1106" s="15"/>
      <c r="FNK1106" s="15"/>
      <c r="FNL1106" s="15"/>
      <c r="FNO1106" s="15"/>
      <c r="FNP1106" s="15"/>
      <c r="FNS1106" s="15"/>
      <c r="FNT1106" s="15"/>
      <c r="FNW1106" s="15"/>
      <c r="FNX1106" s="15"/>
      <c r="FOA1106" s="15"/>
      <c r="FOB1106" s="15"/>
      <c r="FOE1106" s="15"/>
      <c r="FOF1106" s="15"/>
      <c r="FOI1106" s="15"/>
      <c r="FOJ1106" s="15"/>
      <c r="FOM1106" s="15"/>
      <c r="FON1106" s="15"/>
      <c r="FOQ1106" s="15"/>
      <c r="FOR1106" s="15"/>
      <c r="FOU1106" s="15"/>
      <c r="FOV1106" s="15"/>
      <c r="FOY1106" s="15"/>
      <c r="FOZ1106" s="15"/>
      <c r="FPC1106" s="15"/>
      <c r="FPD1106" s="15"/>
      <c r="FPG1106" s="15"/>
      <c r="FPH1106" s="15"/>
      <c r="FPK1106" s="15"/>
      <c r="FPL1106" s="15"/>
      <c r="FPO1106" s="15"/>
      <c r="FPP1106" s="15"/>
      <c r="FPS1106" s="15"/>
      <c r="FPT1106" s="15"/>
      <c r="FPW1106" s="15"/>
      <c r="FPX1106" s="15"/>
      <c r="FQA1106" s="15"/>
      <c r="FQB1106" s="15"/>
      <c r="FQE1106" s="15"/>
      <c r="FQF1106" s="15"/>
      <c r="FQI1106" s="15"/>
      <c r="FQJ1106" s="15"/>
      <c r="FQM1106" s="15"/>
      <c r="FQN1106" s="15"/>
      <c r="FQQ1106" s="15"/>
      <c r="FQR1106" s="15"/>
      <c r="FQU1106" s="15"/>
      <c r="FQV1106" s="15"/>
      <c r="FQY1106" s="15"/>
      <c r="FQZ1106" s="15"/>
      <c r="FRC1106" s="15"/>
      <c r="FRD1106" s="15"/>
      <c r="FRG1106" s="15"/>
      <c r="FRH1106" s="15"/>
      <c r="FRK1106" s="15"/>
      <c r="FRL1106" s="15"/>
      <c r="FRO1106" s="15"/>
      <c r="FRP1106" s="15"/>
      <c r="FRS1106" s="15"/>
      <c r="FRT1106" s="15"/>
      <c r="FRW1106" s="15"/>
      <c r="FRX1106" s="15"/>
      <c r="FSA1106" s="15"/>
      <c r="FSB1106" s="15"/>
      <c r="FSE1106" s="15"/>
      <c r="FSF1106" s="15"/>
      <c r="FSI1106" s="15"/>
      <c r="FSJ1106" s="15"/>
      <c r="FSM1106" s="15"/>
      <c r="FSN1106" s="15"/>
      <c r="FSQ1106" s="15"/>
      <c r="FSR1106" s="15"/>
      <c r="FSU1106" s="15"/>
      <c r="FSV1106" s="15"/>
      <c r="FSY1106" s="15"/>
      <c r="FSZ1106" s="15"/>
      <c r="FTC1106" s="15"/>
      <c r="FTD1106" s="15"/>
      <c r="FTG1106" s="15"/>
      <c r="FTH1106" s="15"/>
      <c r="FTK1106" s="15"/>
      <c r="FTL1106" s="15"/>
      <c r="FTO1106" s="15"/>
      <c r="FTP1106" s="15"/>
      <c r="FTS1106" s="15"/>
      <c r="FTT1106" s="15"/>
      <c r="FTW1106" s="15"/>
      <c r="FTX1106" s="15"/>
      <c r="FUA1106" s="15"/>
      <c r="FUB1106" s="15"/>
      <c r="FUE1106" s="15"/>
      <c r="FUF1106" s="15"/>
      <c r="FUI1106" s="15"/>
      <c r="FUJ1106" s="15"/>
      <c r="FUM1106" s="15"/>
      <c r="FUN1106" s="15"/>
      <c r="FUQ1106" s="15"/>
      <c r="FUR1106" s="15"/>
      <c r="FUU1106" s="15"/>
      <c r="FUV1106" s="15"/>
      <c r="FUY1106" s="15"/>
      <c r="FUZ1106" s="15"/>
      <c r="FVC1106" s="15"/>
      <c r="FVD1106" s="15"/>
      <c r="FVG1106" s="15"/>
      <c r="FVH1106" s="15"/>
      <c r="FVK1106" s="15"/>
      <c r="FVL1106" s="15"/>
      <c r="FVO1106" s="15"/>
      <c r="FVP1106" s="15"/>
      <c r="FVS1106" s="15"/>
      <c r="FVT1106" s="15"/>
      <c r="FVW1106" s="15"/>
      <c r="FVX1106" s="15"/>
      <c r="FWA1106" s="15"/>
      <c r="FWB1106" s="15"/>
      <c r="FWE1106" s="15"/>
      <c r="FWF1106" s="15"/>
      <c r="FWI1106" s="15"/>
      <c r="FWJ1106" s="15"/>
      <c r="FWM1106" s="15"/>
      <c r="FWN1106" s="15"/>
      <c r="FWQ1106" s="15"/>
      <c r="FWR1106" s="15"/>
      <c r="FWU1106" s="15"/>
      <c r="FWV1106" s="15"/>
      <c r="FWY1106" s="15"/>
      <c r="FWZ1106" s="15"/>
      <c r="FXC1106" s="15"/>
      <c r="FXD1106" s="15"/>
      <c r="FXG1106" s="15"/>
      <c r="FXH1106" s="15"/>
      <c r="FXK1106" s="15"/>
      <c r="FXL1106" s="15"/>
      <c r="FXO1106" s="15"/>
      <c r="FXP1106" s="15"/>
      <c r="FXS1106" s="15"/>
      <c r="FXT1106" s="15"/>
      <c r="FXW1106" s="15"/>
      <c r="FXX1106" s="15"/>
      <c r="FYA1106" s="15"/>
      <c r="FYB1106" s="15"/>
      <c r="FYE1106" s="15"/>
      <c r="FYF1106" s="15"/>
      <c r="FYI1106" s="15"/>
      <c r="FYJ1106" s="15"/>
      <c r="FYM1106" s="15"/>
      <c r="FYN1106" s="15"/>
      <c r="FYQ1106" s="15"/>
      <c r="FYR1106" s="15"/>
      <c r="FYU1106" s="15"/>
      <c r="FYV1106" s="15"/>
      <c r="FYY1106" s="15"/>
      <c r="FYZ1106" s="15"/>
      <c r="FZC1106" s="15"/>
      <c r="FZD1106" s="15"/>
      <c r="FZG1106" s="15"/>
      <c r="FZH1106" s="15"/>
      <c r="FZK1106" s="15"/>
      <c r="FZL1106" s="15"/>
      <c r="FZO1106" s="15"/>
      <c r="FZP1106" s="15"/>
      <c r="FZS1106" s="15"/>
      <c r="FZT1106" s="15"/>
      <c r="FZW1106" s="15"/>
      <c r="FZX1106" s="15"/>
      <c r="GAA1106" s="15"/>
      <c r="GAB1106" s="15"/>
      <c r="GAE1106" s="15"/>
      <c r="GAF1106" s="15"/>
      <c r="GAI1106" s="15"/>
      <c r="GAJ1106" s="15"/>
      <c r="GAM1106" s="15"/>
      <c r="GAN1106" s="15"/>
      <c r="GAQ1106" s="15"/>
      <c r="GAR1106" s="15"/>
      <c r="GAU1106" s="15"/>
      <c r="GAV1106" s="15"/>
      <c r="GAY1106" s="15"/>
      <c r="GAZ1106" s="15"/>
      <c r="GBC1106" s="15"/>
      <c r="GBD1106" s="15"/>
      <c r="GBG1106" s="15"/>
      <c r="GBH1106" s="15"/>
      <c r="GBK1106" s="15"/>
      <c r="GBL1106" s="15"/>
      <c r="GBO1106" s="15"/>
      <c r="GBP1106" s="15"/>
      <c r="GBS1106" s="15"/>
      <c r="GBT1106" s="15"/>
      <c r="GBW1106" s="15"/>
      <c r="GBX1106" s="15"/>
      <c r="GCA1106" s="15"/>
      <c r="GCB1106" s="15"/>
      <c r="GCE1106" s="15"/>
      <c r="GCF1106" s="15"/>
      <c r="GCI1106" s="15"/>
      <c r="GCJ1106" s="15"/>
      <c r="GCM1106" s="15"/>
      <c r="GCN1106" s="15"/>
      <c r="GCQ1106" s="15"/>
      <c r="GCR1106" s="15"/>
      <c r="GCU1106" s="15"/>
      <c r="GCV1106" s="15"/>
      <c r="GCY1106" s="15"/>
      <c r="GCZ1106" s="15"/>
      <c r="GDC1106" s="15"/>
      <c r="GDD1106" s="15"/>
      <c r="GDG1106" s="15"/>
      <c r="GDH1106" s="15"/>
      <c r="GDK1106" s="15"/>
      <c r="GDL1106" s="15"/>
      <c r="GDO1106" s="15"/>
      <c r="GDP1106" s="15"/>
      <c r="GDS1106" s="15"/>
      <c r="GDT1106" s="15"/>
      <c r="GDW1106" s="15"/>
      <c r="GDX1106" s="15"/>
      <c r="GEA1106" s="15"/>
      <c r="GEB1106" s="15"/>
      <c r="GEE1106" s="15"/>
      <c r="GEF1106" s="15"/>
      <c r="GEI1106" s="15"/>
      <c r="GEJ1106" s="15"/>
      <c r="GEM1106" s="15"/>
      <c r="GEN1106" s="15"/>
      <c r="GEQ1106" s="15"/>
      <c r="GER1106" s="15"/>
      <c r="GEU1106" s="15"/>
      <c r="GEV1106" s="15"/>
      <c r="GEY1106" s="15"/>
      <c r="GEZ1106" s="15"/>
      <c r="GFC1106" s="15"/>
      <c r="GFD1106" s="15"/>
      <c r="GFG1106" s="15"/>
      <c r="GFH1106" s="15"/>
      <c r="GFK1106" s="15"/>
      <c r="GFL1106" s="15"/>
      <c r="GFO1106" s="15"/>
      <c r="GFP1106" s="15"/>
      <c r="GFS1106" s="15"/>
      <c r="GFT1106" s="15"/>
      <c r="GFW1106" s="15"/>
      <c r="GFX1106" s="15"/>
      <c r="GGA1106" s="15"/>
      <c r="GGB1106" s="15"/>
      <c r="GGE1106" s="15"/>
      <c r="GGF1106" s="15"/>
      <c r="GGI1106" s="15"/>
      <c r="GGJ1106" s="15"/>
      <c r="GGM1106" s="15"/>
      <c r="GGN1106" s="15"/>
      <c r="GGQ1106" s="15"/>
      <c r="GGR1106" s="15"/>
      <c r="GGU1106" s="15"/>
      <c r="GGV1106" s="15"/>
      <c r="GGY1106" s="15"/>
      <c r="GGZ1106" s="15"/>
      <c r="GHC1106" s="15"/>
      <c r="GHD1106" s="15"/>
      <c r="GHG1106" s="15"/>
      <c r="GHH1106" s="15"/>
      <c r="GHK1106" s="15"/>
      <c r="GHL1106" s="15"/>
      <c r="GHO1106" s="15"/>
      <c r="GHP1106" s="15"/>
      <c r="GHS1106" s="15"/>
      <c r="GHT1106" s="15"/>
      <c r="GHW1106" s="15"/>
      <c r="GHX1106" s="15"/>
      <c r="GIA1106" s="15"/>
      <c r="GIB1106" s="15"/>
      <c r="GIE1106" s="15"/>
      <c r="GIF1106" s="15"/>
      <c r="GII1106" s="15"/>
      <c r="GIJ1106" s="15"/>
      <c r="GIM1106" s="15"/>
      <c r="GIN1106" s="15"/>
      <c r="GIQ1106" s="15"/>
      <c r="GIR1106" s="15"/>
      <c r="GIU1106" s="15"/>
      <c r="GIV1106" s="15"/>
      <c r="GIY1106" s="15"/>
      <c r="GIZ1106" s="15"/>
      <c r="GJC1106" s="15"/>
      <c r="GJD1106" s="15"/>
      <c r="GJG1106" s="15"/>
      <c r="GJH1106" s="15"/>
      <c r="GJK1106" s="15"/>
      <c r="GJL1106" s="15"/>
      <c r="GJO1106" s="15"/>
      <c r="GJP1106" s="15"/>
      <c r="GJS1106" s="15"/>
      <c r="GJT1106" s="15"/>
      <c r="GJW1106" s="15"/>
      <c r="GJX1106" s="15"/>
      <c r="GKA1106" s="15"/>
      <c r="GKB1106" s="15"/>
      <c r="GKE1106" s="15"/>
      <c r="GKF1106" s="15"/>
      <c r="GKI1106" s="15"/>
      <c r="GKJ1106" s="15"/>
      <c r="GKM1106" s="15"/>
      <c r="GKN1106" s="15"/>
      <c r="GKQ1106" s="15"/>
      <c r="GKR1106" s="15"/>
      <c r="GKU1106" s="15"/>
      <c r="GKV1106" s="15"/>
      <c r="GKY1106" s="15"/>
      <c r="GKZ1106" s="15"/>
      <c r="GLC1106" s="15"/>
      <c r="GLD1106" s="15"/>
      <c r="GLG1106" s="15"/>
      <c r="GLH1106" s="15"/>
      <c r="GLK1106" s="15"/>
      <c r="GLL1106" s="15"/>
      <c r="GLO1106" s="15"/>
      <c r="GLP1106" s="15"/>
      <c r="GLS1106" s="15"/>
      <c r="GLT1106" s="15"/>
      <c r="GLW1106" s="15"/>
      <c r="GLX1106" s="15"/>
      <c r="GMA1106" s="15"/>
      <c r="GMB1106" s="15"/>
      <c r="GME1106" s="15"/>
      <c r="GMF1106" s="15"/>
      <c r="GMI1106" s="15"/>
      <c r="GMJ1106" s="15"/>
      <c r="GMM1106" s="15"/>
      <c r="GMN1106" s="15"/>
      <c r="GMQ1106" s="15"/>
      <c r="GMR1106" s="15"/>
      <c r="GMU1106" s="15"/>
      <c r="GMV1106" s="15"/>
      <c r="GMY1106" s="15"/>
      <c r="GMZ1106" s="15"/>
      <c r="GNC1106" s="15"/>
      <c r="GND1106" s="15"/>
      <c r="GNG1106" s="15"/>
      <c r="GNH1106" s="15"/>
      <c r="GNK1106" s="15"/>
      <c r="GNL1106" s="15"/>
      <c r="GNO1106" s="15"/>
      <c r="GNP1106" s="15"/>
      <c r="GNS1106" s="15"/>
      <c r="GNT1106" s="15"/>
      <c r="GNW1106" s="15"/>
      <c r="GNX1106" s="15"/>
      <c r="GOA1106" s="15"/>
      <c r="GOB1106" s="15"/>
      <c r="GOE1106" s="15"/>
      <c r="GOF1106" s="15"/>
      <c r="GOI1106" s="15"/>
      <c r="GOJ1106" s="15"/>
      <c r="GOM1106" s="15"/>
      <c r="GON1106" s="15"/>
      <c r="GOQ1106" s="15"/>
      <c r="GOR1106" s="15"/>
      <c r="GOU1106" s="15"/>
      <c r="GOV1106" s="15"/>
      <c r="GOY1106" s="15"/>
      <c r="GOZ1106" s="15"/>
      <c r="GPC1106" s="15"/>
      <c r="GPD1106" s="15"/>
      <c r="GPG1106" s="15"/>
      <c r="GPH1106" s="15"/>
      <c r="GPK1106" s="15"/>
      <c r="GPL1106" s="15"/>
      <c r="GPO1106" s="15"/>
      <c r="GPP1106" s="15"/>
      <c r="GPS1106" s="15"/>
      <c r="GPT1106" s="15"/>
      <c r="GPW1106" s="15"/>
      <c r="GPX1106" s="15"/>
      <c r="GQA1106" s="15"/>
      <c r="GQB1106" s="15"/>
      <c r="GQE1106" s="15"/>
      <c r="GQF1106" s="15"/>
      <c r="GQI1106" s="15"/>
      <c r="GQJ1106" s="15"/>
      <c r="GQM1106" s="15"/>
      <c r="GQN1106" s="15"/>
      <c r="GQQ1106" s="15"/>
      <c r="GQR1106" s="15"/>
      <c r="GQU1106" s="15"/>
      <c r="GQV1106" s="15"/>
      <c r="GQY1106" s="15"/>
      <c r="GQZ1106" s="15"/>
      <c r="GRC1106" s="15"/>
      <c r="GRD1106" s="15"/>
      <c r="GRG1106" s="15"/>
      <c r="GRH1106" s="15"/>
      <c r="GRK1106" s="15"/>
      <c r="GRL1106" s="15"/>
      <c r="GRO1106" s="15"/>
      <c r="GRP1106" s="15"/>
      <c r="GRS1106" s="15"/>
      <c r="GRT1106" s="15"/>
      <c r="GRW1106" s="15"/>
      <c r="GRX1106" s="15"/>
      <c r="GSA1106" s="15"/>
      <c r="GSB1106" s="15"/>
      <c r="GSE1106" s="15"/>
      <c r="GSF1106" s="15"/>
      <c r="GSI1106" s="15"/>
      <c r="GSJ1106" s="15"/>
      <c r="GSM1106" s="15"/>
      <c r="GSN1106" s="15"/>
      <c r="GSQ1106" s="15"/>
      <c r="GSR1106" s="15"/>
      <c r="GSU1106" s="15"/>
      <c r="GSV1106" s="15"/>
      <c r="GSY1106" s="15"/>
      <c r="GSZ1106" s="15"/>
      <c r="GTC1106" s="15"/>
      <c r="GTD1106" s="15"/>
      <c r="GTG1106" s="15"/>
      <c r="GTH1106" s="15"/>
      <c r="GTK1106" s="15"/>
      <c r="GTL1106" s="15"/>
      <c r="GTO1106" s="15"/>
      <c r="GTP1106" s="15"/>
      <c r="GTS1106" s="15"/>
      <c r="GTT1106" s="15"/>
      <c r="GTW1106" s="15"/>
      <c r="GTX1106" s="15"/>
      <c r="GUA1106" s="15"/>
      <c r="GUB1106" s="15"/>
      <c r="GUE1106" s="15"/>
      <c r="GUF1106" s="15"/>
      <c r="GUI1106" s="15"/>
      <c r="GUJ1106" s="15"/>
      <c r="GUM1106" s="15"/>
      <c r="GUN1106" s="15"/>
      <c r="GUQ1106" s="15"/>
      <c r="GUR1106" s="15"/>
      <c r="GUU1106" s="15"/>
      <c r="GUV1106" s="15"/>
      <c r="GUY1106" s="15"/>
      <c r="GUZ1106" s="15"/>
      <c r="GVC1106" s="15"/>
      <c r="GVD1106" s="15"/>
      <c r="GVG1106" s="15"/>
      <c r="GVH1106" s="15"/>
      <c r="GVK1106" s="15"/>
      <c r="GVL1106" s="15"/>
      <c r="GVO1106" s="15"/>
      <c r="GVP1106" s="15"/>
      <c r="GVS1106" s="15"/>
      <c r="GVT1106" s="15"/>
      <c r="GVW1106" s="15"/>
      <c r="GVX1106" s="15"/>
      <c r="GWA1106" s="15"/>
      <c r="GWB1106" s="15"/>
      <c r="GWE1106" s="15"/>
      <c r="GWF1106" s="15"/>
      <c r="GWI1106" s="15"/>
      <c r="GWJ1106" s="15"/>
      <c r="GWM1106" s="15"/>
      <c r="GWN1106" s="15"/>
      <c r="GWQ1106" s="15"/>
      <c r="GWR1106" s="15"/>
      <c r="GWU1106" s="15"/>
      <c r="GWV1106" s="15"/>
      <c r="GWY1106" s="15"/>
      <c r="GWZ1106" s="15"/>
      <c r="GXC1106" s="15"/>
      <c r="GXD1106" s="15"/>
      <c r="GXG1106" s="15"/>
      <c r="GXH1106" s="15"/>
      <c r="GXK1106" s="15"/>
      <c r="GXL1106" s="15"/>
      <c r="GXO1106" s="15"/>
      <c r="GXP1106" s="15"/>
      <c r="GXS1106" s="15"/>
      <c r="GXT1106" s="15"/>
      <c r="GXW1106" s="15"/>
      <c r="GXX1106" s="15"/>
      <c r="GYA1106" s="15"/>
      <c r="GYB1106" s="15"/>
      <c r="GYE1106" s="15"/>
      <c r="GYF1106" s="15"/>
      <c r="GYI1106" s="15"/>
      <c r="GYJ1106" s="15"/>
      <c r="GYM1106" s="15"/>
      <c r="GYN1106" s="15"/>
      <c r="GYQ1106" s="15"/>
      <c r="GYR1106" s="15"/>
      <c r="GYU1106" s="15"/>
      <c r="GYV1106" s="15"/>
      <c r="GYY1106" s="15"/>
      <c r="GYZ1106" s="15"/>
      <c r="GZC1106" s="15"/>
      <c r="GZD1106" s="15"/>
      <c r="GZG1106" s="15"/>
      <c r="GZH1106" s="15"/>
      <c r="GZK1106" s="15"/>
      <c r="GZL1106" s="15"/>
      <c r="GZO1106" s="15"/>
      <c r="GZP1106" s="15"/>
      <c r="GZS1106" s="15"/>
      <c r="GZT1106" s="15"/>
      <c r="GZW1106" s="15"/>
      <c r="GZX1106" s="15"/>
      <c r="HAA1106" s="15"/>
      <c r="HAB1106" s="15"/>
      <c r="HAE1106" s="15"/>
      <c r="HAF1106" s="15"/>
      <c r="HAI1106" s="15"/>
      <c r="HAJ1106" s="15"/>
      <c r="HAM1106" s="15"/>
      <c r="HAN1106" s="15"/>
      <c r="HAQ1106" s="15"/>
      <c r="HAR1106" s="15"/>
      <c r="HAU1106" s="15"/>
      <c r="HAV1106" s="15"/>
      <c r="HAY1106" s="15"/>
      <c r="HAZ1106" s="15"/>
      <c r="HBC1106" s="15"/>
      <c r="HBD1106" s="15"/>
      <c r="HBG1106" s="15"/>
      <c r="HBH1106" s="15"/>
      <c r="HBK1106" s="15"/>
      <c r="HBL1106" s="15"/>
      <c r="HBO1106" s="15"/>
      <c r="HBP1106" s="15"/>
      <c r="HBS1106" s="15"/>
      <c r="HBT1106" s="15"/>
      <c r="HBW1106" s="15"/>
      <c r="HBX1106" s="15"/>
      <c r="HCA1106" s="15"/>
      <c r="HCB1106" s="15"/>
      <c r="HCE1106" s="15"/>
      <c r="HCF1106" s="15"/>
      <c r="HCI1106" s="15"/>
      <c r="HCJ1106" s="15"/>
      <c r="HCM1106" s="15"/>
      <c r="HCN1106" s="15"/>
      <c r="HCQ1106" s="15"/>
      <c r="HCR1106" s="15"/>
      <c r="HCU1106" s="15"/>
      <c r="HCV1106" s="15"/>
      <c r="HCY1106" s="15"/>
      <c r="HCZ1106" s="15"/>
      <c r="HDC1106" s="15"/>
      <c r="HDD1106" s="15"/>
      <c r="HDG1106" s="15"/>
      <c r="HDH1106" s="15"/>
      <c r="HDK1106" s="15"/>
      <c r="HDL1106" s="15"/>
      <c r="HDO1106" s="15"/>
      <c r="HDP1106" s="15"/>
      <c r="HDS1106" s="15"/>
      <c r="HDT1106" s="15"/>
      <c r="HDW1106" s="15"/>
      <c r="HDX1106" s="15"/>
      <c r="HEA1106" s="15"/>
      <c r="HEB1106" s="15"/>
      <c r="HEE1106" s="15"/>
      <c r="HEF1106" s="15"/>
      <c r="HEI1106" s="15"/>
      <c r="HEJ1106" s="15"/>
      <c r="HEM1106" s="15"/>
      <c r="HEN1106" s="15"/>
      <c r="HEQ1106" s="15"/>
      <c r="HER1106" s="15"/>
      <c r="HEU1106" s="15"/>
      <c r="HEV1106" s="15"/>
      <c r="HEY1106" s="15"/>
      <c r="HEZ1106" s="15"/>
      <c r="HFC1106" s="15"/>
      <c r="HFD1106" s="15"/>
      <c r="HFG1106" s="15"/>
      <c r="HFH1106" s="15"/>
      <c r="HFK1106" s="15"/>
      <c r="HFL1106" s="15"/>
      <c r="HFO1106" s="15"/>
      <c r="HFP1106" s="15"/>
      <c r="HFS1106" s="15"/>
      <c r="HFT1106" s="15"/>
      <c r="HFW1106" s="15"/>
      <c r="HFX1106" s="15"/>
      <c r="HGA1106" s="15"/>
      <c r="HGB1106" s="15"/>
      <c r="HGE1106" s="15"/>
      <c r="HGF1106" s="15"/>
      <c r="HGI1106" s="15"/>
      <c r="HGJ1106" s="15"/>
      <c r="HGM1106" s="15"/>
      <c r="HGN1106" s="15"/>
      <c r="HGQ1106" s="15"/>
      <c r="HGR1106" s="15"/>
      <c r="HGU1106" s="15"/>
      <c r="HGV1106" s="15"/>
      <c r="HGY1106" s="15"/>
      <c r="HGZ1106" s="15"/>
      <c r="HHC1106" s="15"/>
      <c r="HHD1106" s="15"/>
      <c r="HHG1106" s="15"/>
      <c r="HHH1106" s="15"/>
      <c r="HHK1106" s="15"/>
      <c r="HHL1106" s="15"/>
      <c r="HHO1106" s="15"/>
      <c r="HHP1106" s="15"/>
      <c r="HHS1106" s="15"/>
      <c r="HHT1106" s="15"/>
      <c r="HHW1106" s="15"/>
      <c r="HHX1106" s="15"/>
      <c r="HIA1106" s="15"/>
      <c r="HIB1106" s="15"/>
      <c r="HIE1106" s="15"/>
      <c r="HIF1106" s="15"/>
      <c r="HII1106" s="15"/>
      <c r="HIJ1106" s="15"/>
      <c r="HIM1106" s="15"/>
      <c r="HIN1106" s="15"/>
      <c r="HIQ1106" s="15"/>
      <c r="HIR1106" s="15"/>
      <c r="HIU1106" s="15"/>
      <c r="HIV1106" s="15"/>
      <c r="HIY1106" s="15"/>
      <c r="HIZ1106" s="15"/>
      <c r="HJC1106" s="15"/>
      <c r="HJD1106" s="15"/>
      <c r="HJG1106" s="15"/>
      <c r="HJH1106" s="15"/>
      <c r="HJK1106" s="15"/>
      <c r="HJL1106" s="15"/>
      <c r="HJO1106" s="15"/>
      <c r="HJP1106" s="15"/>
      <c r="HJS1106" s="15"/>
      <c r="HJT1106" s="15"/>
      <c r="HJW1106" s="15"/>
      <c r="HJX1106" s="15"/>
      <c r="HKA1106" s="15"/>
      <c r="HKB1106" s="15"/>
      <c r="HKE1106" s="15"/>
      <c r="HKF1106" s="15"/>
      <c r="HKI1106" s="15"/>
      <c r="HKJ1106" s="15"/>
      <c r="HKM1106" s="15"/>
      <c r="HKN1106" s="15"/>
      <c r="HKQ1106" s="15"/>
      <c r="HKR1106" s="15"/>
      <c r="HKU1106" s="15"/>
      <c r="HKV1106" s="15"/>
      <c r="HKY1106" s="15"/>
      <c r="HKZ1106" s="15"/>
      <c r="HLC1106" s="15"/>
      <c r="HLD1106" s="15"/>
      <c r="HLG1106" s="15"/>
      <c r="HLH1106" s="15"/>
      <c r="HLK1106" s="15"/>
      <c r="HLL1106" s="15"/>
      <c r="HLO1106" s="15"/>
      <c r="HLP1106" s="15"/>
      <c r="HLS1106" s="15"/>
      <c r="HLT1106" s="15"/>
      <c r="HLW1106" s="15"/>
      <c r="HLX1106" s="15"/>
      <c r="HMA1106" s="15"/>
      <c r="HMB1106" s="15"/>
      <c r="HME1106" s="15"/>
      <c r="HMF1106" s="15"/>
      <c r="HMI1106" s="15"/>
      <c r="HMJ1106" s="15"/>
      <c r="HMM1106" s="15"/>
      <c r="HMN1106" s="15"/>
      <c r="HMQ1106" s="15"/>
      <c r="HMR1106" s="15"/>
      <c r="HMU1106" s="15"/>
      <c r="HMV1106" s="15"/>
      <c r="HMY1106" s="15"/>
      <c r="HMZ1106" s="15"/>
      <c r="HNC1106" s="15"/>
      <c r="HND1106" s="15"/>
      <c r="HNG1106" s="15"/>
      <c r="HNH1106" s="15"/>
      <c r="HNK1106" s="15"/>
      <c r="HNL1106" s="15"/>
      <c r="HNO1106" s="15"/>
      <c r="HNP1106" s="15"/>
      <c r="HNS1106" s="15"/>
      <c r="HNT1106" s="15"/>
      <c r="HNW1106" s="15"/>
      <c r="HNX1106" s="15"/>
      <c r="HOA1106" s="15"/>
      <c r="HOB1106" s="15"/>
      <c r="HOE1106" s="15"/>
      <c r="HOF1106" s="15"/>
      <c r="HOI1106" s="15"/>
      <c r="HOJ1106" s="15"/>
      <c r="HOM1106" s="15"/>
      <c r="HON1106" s="15"/>
      <c r="HOQ1106" s="15"/>
      <c r="HOR1106" s="15"/>
      <c r="HOU1106" s="15"/>
      <c r="HOV1106" s="15"/>
      <c r="HOY1106" s="15"/>
      <c r="HOZ1106" s="15"/>
      <c r="HPC1106" s="15"/>
      <c r="HPD1106" s="15"/>
      <c r="HPG1106" s="15"/>
      <c r="HPH1106" s="15"/>
      <c r="HPK1106" s="15"/>
      <c r="HPL1106" s="15"/>
      <c r="HPO1106" s="15"/>
      <c r="HPP1106" s="15"/>
      <c r="HPS1106" s="15"/>
      <c r="HPT1106" s="15"/>
      <c r="HPW1106" s="15"/>
      <c r="HPX1106" s="15"/>
      <c r="HQA1106" s="15"/>
      <c r="HQB1106" s="15"/>
      <c r="HQE1106" s="15"/>
      <c r="HQF1106" s="15"/>
      <c r="HQI1106" s="15"/>
      <c r="HQJ1106" s="15"/>
      <c r="HQM1106" s="15"/>
      <c r="HQN1106" s="15"/>
      <c r="HQQ1106" s="15"/>
      <c r="HQR1106" s="15"/>
      <c r="HQU1106" s="15"/>
      <c r="HQV1106" s="15"/>
      <c r="HQY1106" s="15"/>
      <c r="HQZ1106" s="15"/>
      <c r="HRC1106" s="15"/>
      <c r="HRD1106" s="15"/>
      <c r="HRG1106" s="15"/>
      <c r="HRH1106" s="15"/>
      <c r="HRK1106" s="15"/>
      <c r="HRL1106" s="15"/>
      <c r="HRO1106" s="15"/>
      <c r="HRP1106" s="15"/>
      <c r="HRS1106" s="15"/>
      <c r="HRT1106" s="15"/>
      <c r="HRW1106" s="15"/>
      <c r="HRX1106" s="15"/>
      <c r="HSA1106" s="15"/>
      <c r="HSB1106" s="15"/>
      <c r="HSE1106" s="15"/>
      <c r="HSF1106" s="15"/>
      <c r="HSI1106" s="15"/>
      <c r="HSJ1106" s="15"/>
      <c r="HSM1106" s="15"/>
      <c r="HSN1106" s="15"/>
      <c r="HSQ1106" s="15"/>
      <c r="HSR1106" s="15"/>
      <c r="HSU1106" s="15"/>
      <c r="HSV1106" s="15"/>
      <c r="HSY1106" s="15"/>
      <c r="HSZ1106" s="15"/>
      <c r="HTC1106" s="15"/>
      <c r="HTD1106" s="15"/>
      <c r="HTG1106" s="15"/>
      <c r="HTH1106" s="15"/>
      <c r="HTK1106" s="15"/>
      <c r="HTL1106" s="15"/>
      <c r="HTO1106" s="15"/>
      <c r="HTP1106" s="15"/>
      <c r="HTS1106" s="15"/>
      <c r="HTT1106" s="15"/>
      <c r="HTW1106" s="15"/>
      <c r="HTX1106" s="15"/>
      <c r="HUA1106" s="15"/>
      <c r="HUB1106" s="15"/>
      <c r="HUE1106" s="15"/>
      <c r="HUF1106" s="15"/>
      <c r="HUI1106" s="15"/>
      <c r="HUJ1106" s="15"/>
      <c r="HUM1106" s="15"/>
      <c r="HUN1106" s="15"/>
      <c r="HUQ1106" s="15"/>
      <c r="HUR1106" s="15"/>
      <c r="HUU1106" s="15"/>
      <c r="HUV1106" s="15"/>
      <c r="HUY1106" s="15"/>
      <c r="HUZ1106" s="15"/>
      <c r="HVC1106" s="15"/>
      <c r="HVD1106" s="15"/>
      <c r="HVG1106" s="15"/>
      <c r="HVH1106" s="15"/>
      <c r="HVK1106" s="15"/>
      <c r="HVL1106" s="15"/>
      <c r="HVO1106" s="15"/>
      <c r="HVP1106" s="15"/>
      <c r="HVS1106" s="15"/>
      <c r="HVT1106" s="15"/>
      <c r="HVW1106" s="15"/>
      <c r="HVX1106" s="15"/>
      <c r="HWA1106" s="15"/>
      <c r="HWB1106" s="15"/>
      <c r="HWE1106" s="15"/>
      <c r="HWF1106" s="15"/>
      <c r="HWI1106" s="15"/>
      <c r="HWJ1106" s="15"/>
      <c r="HWM1106" s="15"/>
      <c r="HWN1106" s="15"/>
      <c r="HWQ1106" s="15"/>
      <c r="HWR1106" s="15"/>
      <c r="HWU1106" s="15"/>
      <c r="HWV1106" s="15"/>
      <c r="HWY1106" s="15"/>
      <c r="HWZ1106" s="15"/>
      <c r="HXC1106" s="15"/>
      <c r="HXD1106" s="15"/>
      <c r="HXG1106" s="15"/>
      <c r="HXH1106" s="15"/>
      <c r="HXK1106" s="15"/>
      <c r="HXL1106" s="15"/>
      <c r="HXO1106" s="15"/>
      <c r="HXP1106" s="15"/>
      <c r="HXS1106" s="15"/>
      <c r="HXT1106" s="15"/>
      <c r="HXW1106" s="15"/>
      <c r="HXX1106" s="15"/>
      <c r="HYA1106" s="15"/>
      <c r="HYB1106" s="15"/>
      <c r="HYE1106" s="15"/>
      <c r="HYF1106" s="15"/>
      <c r="HYI1106" s="15"/>
      <c r="HYJ1106" s="15"/>
      <c r="HYM1106" s="15"/>
      <c r="HYN1106" s="15"/>
      <c r="HYQ1106" s="15"/>
      <c r="HYR1106" s="15"/>
      <c r="HYU1106" s="15"/>
      <c r="HYV1106" s="15"/>
      <c r="HYY1106" s="15"/>
      <c r="HYZ1106" s="15"/>
      <c r="HZC1106" s="15"/>
      <c r="HZD1106" s="15"/>
      <c r="HZG1106" s="15"/>
      <c r="HZH1106" s="15"/>
      <c r="HZK1106" s="15"/>
      <c r="HZL1106" s="15"/>
      <c r="HZO1106" s="15"/>
      <c r="HZP1106" s="15"/>
      <c r="HZS1106" s="15"/>
      <c r="HZT1106" s="15"/>
      <c r="HZW1106" s="15"/>
      <c r="HZX1106" s="15"/>
      <c r="IAA1106" s="15"/>
      <c r="IAB1106" s="15"/>
      <c r="IAE1106" s="15"/>
      <c r="IAF1106" s="15"/>
      <c r="IAI1106" s="15"/>
      <c r="IAJ1106" s="15"/>
      <c r="IAM1106" s="15"/>
      <c r="IAN1106" s="15"/>
      <c r="IAQ1106" s="15"/>
      <c r="IAR1106" s="15"/>
      <c r="IAU1106" s="15"/>
      <c r="IAV1106" s="15"/>
      <c r="IAY1106" s="15"/>
      <c r="IAZ1106" s="15"/>
      <c r="IBC1106" s="15"/>
      <c r="IBD1106" s="15"/>
      <c r="IBG1106" s="15"/>
      <c r="IBH1106" s="15"/>
      <c r="IBK1106" s="15"/>
      <c r="IBL1106" s="15"/>
      <c r="IBO1106" s="15"/>
      <c r="IBP1106" s="15"/>
      <c r="IBS1106" s="15"/>
      <c r="IBT1106" s="15"/>
      <c r="IBW1106" s="15"/>
      <c r="IBX1106" s="15"/>
      <c r="ICA1106" s="15"/>
      <c r="ICB1106" s="15"/>
      <c r="ICE1106" s="15"/>
      <c r="ICF1106" s="15"/>
      <c r="ICI1106" s="15"/>
      <c r="ICJ1106" s="15"/>
      <c r="ICM1106" s="15"/>
      <c r="ICN1106" s="15"/>
      <c r="ICQ1106" s="15"/>
      <c r="ICR1106" s="15"/>
      <c r="ICU1106" s="15"/>
      <c r="ICV1106" s="15"/>
      <c r="ICY1106" s="15"/>
      <c r="ICZ1106" s="15"/>
      <c r="IDC1106" s="15"/>
      <c r="IDD1106" s="15"/>
      <c r="IDG1106" s="15"/>
      <c r="IDH1106" s="15"/>
      <c r="IDK1106" s="15"/>
      <c r="IDL1106" s="15"/>
      <c r="IDO1106" s="15"/>
      <c r="IDP1106" s="15"/>
      <c r="IDS1106" s="15"/>
      <c r="IDT1106" s="15"/>
      <c r="IDW1106" s="15"/>
      <c r="IDX1106" s="15"/>
      <c r="IEA1106" s="15"/>
      <c r="IEB1106" s="15"/>
      <c r="IEE1106" s="15"/>
      <c r="IEF1106" s="15"/>
      <c r="IEI1106" s="15"/>
      <c r="IEJ1106" s="15"/>
      <c r="IEM1106" s="15"/>
      <c r="IEN1106" s="15"/>
      <c r="IEQ1106" s="15"/>
      <c r="IER1106" s="15"/>
      <c r="IEU1106" s="15"/>
      <c r="IEV1106" s="15"/>
      <c r="IEY1106" s="15"/>
      <c r="IEZ1106" s="15"/>
      <c r="IFC1106" s="15"/>
      <c r="IFD1106" s="15"/>
      <c r="IFG1106" s="15"/>
      <c r="IFH1106" s="15"/>
      <c r="IFK1106" s="15"/>
      <c r="IFL1106" s="15"/>
      <c r="IFO1106" s="15"/>
      <c r="IFP1106" s="15"/>
      <c r="IFS1106" s="15"/>
      <c r="IFT1106" s="15"/>
      <c r="IFW1106" s="15"/>
      <c r="IFX1106" s="15"/>
      <c r="IGA1106" s="15"/>
      <c r="IGB1106" s="15"/>
      <c r="IGE1106" s="15"/>
      <c r="IGF1106" s="15"/>
      <c r="IGI1106" s="15"/>
      <c r="IGJ1106" s="15"/>
      <c r="IGM1106" s="15"/>
      <c r="IGN1106" s="15"/>
      <c r="IGQ1106" s="15"/>
      <c r="IGR1106" s="15"/>
      <c r="IGU1106" s="15"/>
      <c r="IGV1106" s="15"/>
      <c r="IGY1106" s="15"/>
      <c r="IGZ1106" s="15"/>
      <c r="IHC1106" s="15"/>
      <c r="IHD1106" s="15"/>
      <c r="IHG1106" s="15"/>
      <c r="IHH1106" s="15"/>
      <c r="IHK1106" s="15"/>
      <c r="IHL1106" s="15"/>
      <c r="IHO1106" s="15"/>
      <c r="IHP1106" s="15"/>
      <c r="IHS1106" s="15"/>
      <c r="IHT1106" s="15"/>
      <c r="IHW1106" s="15"/>
      <c r="IHX1106" s="15"/>
      <c r="IIA1106" s="15"/>
      <c r="IIB1106" s="15"/>
      <c r="IIE1106" s="15"/>
      <c r="IIF1106" s="15"/>
      <c r="III1106" s="15"/>
      <c r="IIJ1106" s="15"/>
      <c r="IIM1106" s="15"/>
      <c r="IIN1106" s="15"/>
      <c r="IIQ1106" s="15"/>
      <c r="IIR1106" s="15"/>
      <c r="IIU1106" s="15"/>
      <c r="IIV1106" s="15"/>
      <c r="IIY1106" s="15"/>
      <c r="IIZ1106" s="15"/>
      <c r="IJC1106" s="15"/>
      <c r="IJD1106" s="15"/>
      <c r="IJG1106" s="15"/>
      <c r="IJH1106" s="15"/>
      <c r="IJK1106" s="15"/>
      <c r="IJL1106" s="15"/>
      <c r="IJO1106" s="15"/>
      <c r="IJP1106" s="15"/>
      <c r="IJS1106" s="15"/>
      <c r="IJT1106" s="15"/>
      <c r="IJW1106" s="15"/>
      <c r="IJX1106" s="15"/>
      <c r="IKA1106" s="15"/>
      <c r="IKB1106" s="15"/>
      <c r="IKE1106" s="15"/>
      <c r="IKF1106" s="15"/>
      <c r="IKI1106" s="15"/>
      <c r="IKJ1106" s="15"/>
      <c r="IKM1106" s="15"/>
      <c r="IKN1106" s="15"/>
      <c r="IKQ1106" s="15"/>
      <c r="IKR1106" s="15"/>
      <c r="IKU1106" s="15"/>
      <c r="IKV1106" s="15"/>
      <c r="IKY1106" s="15"/>
      <c r="IKZ1106" s="15"/>
      <c r="ILC1106" s="15"/>
      <c r="ILD1106" s="15"/>
      <c r="ILG1106" s="15"/>
      <c r="ILH1106" s="15"/>
      <c r="ILK1106" s="15"/>
      <c r="ILL1106" s="15"/>
      <c r="ILO1106" s="15"/>
      <c r="ILP1106" s="15"/>
      <c r="ILS1106" s="15"/>
      <c r="ILT1106" s="15"/>
      <c r="ILW1106" s="15"/>
      <c r="ILX1106" s="15"/>
      <c r="IMA1106" s="15"/>
      <c r="IMB1106" s="15"/>
      <c r="IME1106" s="15"/>
      <c r="IMF1106" s="15"/>
      <c r="IMI1106" s="15"/>
      <c r="IMJ1106" s="15"/>
      <c r="IMM1106" s="15"/>
      <c r="IMN1106" s="15"/>
      <c r="IMQ1106" s="15"/>
      <c r="IMR1106" s="15"/>
      <c r="IMU1106" s="15"/>
      <c r="IMV1106" s="15"/>
      <c r="IMY1106" s="15"/>
      <c r="IMZ1106" s="15"/>
      <c r="INC1106" s="15"/>
      <c r="IND1106" s="15"/>
      <c r="ING1106" s="15"/>
      <c r="INH1106" s="15"/>
      <c r="INK1106" s="15"/>
      <c r="INL1106" s="15"/>
      <c r="INO1106" s="15"/>
      <c r="INP1106" s="15"/>
      <c r="INS1106" s="15"/>
      <c r="INT1106" s="15"/>
      <c r="INW1106" s="15"/>
      <c r="INX1106" s="15"/>
      <c r="IOA1106" s="15"/>
      <c r="IOB1106" s="15"/>
      <c r="IOE1106" s="15"/>
      <c r="IOF1106" s="15"/>
      <c r="IOI1106" s="15"/>
      <c r="IOJ1106" s="15"/>
      <c r="IOM1106" s="15"/>
      <c r="ION1106" s="15"/>
      <c r="IOQ1106" s="15"/>
      <c r="IOR1106" s="15"/>
      <c r="IOU1106" s="15"/>
      <c r="IOV1106" s="15"/>
      <c r="IOY1106" s="15"/>
      <c r="IOZ1106" s="15"/>
      <c r="IPC1106" s="15"/>
      <c r="IPD1106" s="15"/>
      <c r="IPG1106" s="15"/>
      <c r="IPH1106" s="15"/>
      <c r="IPK1106" s="15"/>
      <c r="IPL1106" s="15"/>
      <c r="IPO1106" s="15"/>
      <c r="IPP1106" s="15"/>
      <c r="IPS1106" s="15"/>
      <c r="IPT1106" s="15"/>
      <c r="IPW1106" s="15"/>
      <c r="IPX1106" s="15"/>
      <c r="IQA1106" s="15"/>
      <c r="IQB1106" s="15"/>
      <c r="IQE1106" s="15"/>
      <c r="IQF1106" s="15"/>
      <c r="IQI1106" s="15"/>
      <c r="IQJ1106" s="15"/>
      <c r="IQM1106" s="15"/>
      <c r="IQN1106" s="15"/>
      <c r="IQQ1106" s="15"/>
      <c r="IQR1106" s="15"/>
      <c r="IQU1106" s="15"/>
      <c r="IQV1106" s="15"/>
      <c r="IQY1106" s="15"/>
      <c r="IQZ1106" s="15"/>
      <c r="IRC1106" s="15"/>
      <c r="IRD1106" s="15"/>
      <c r="IRG1106" s="15"/>
      <c r="IRH1106" s="15"/>
      <c r="IRK1106" s="15"/>
      <c r="IRL1106" s="15"/>
      <c r="IRO1106" s="15"/>
      <c r="IRP1106" s="15"/>
      <c r="IRS1106" s="15"/>
      <c r="IRT1106" s="15"/>
      <c r="IRW1106" s="15"/>
      <c r="IRX1106" s="15"/>
      <c r="ISA1106" s="15"/>
      <c r="ISB1106" s="15"/>
      <c r="ISE1106" s="15"/>
      <c r="ISF1106" s="15"/>
      <c r="ISI1106" s="15"/>
      <c r="ISJ1106" s="15"/>
      <c r="ISM1106" s="15"/>
      <c r="ISN1106" s="15"/>
      <c r="ISQ1106" s="15"/>
      <c r="ISR1106" s="15"/>
      <c r="ISU1106" s="15"/>
      <c r="ISV1106" s="15"/>
      <c r="ISY1106" s="15"/>
      <c r="ISZ1106" s="15"/>
      <c r="ITC1106" s="15"/>
      <c r="ITD1106" s="15"/>
      <c r="ITG1106" s="15"/>
      <c r="ITH1106" s="15"/>
      <c r="ITK1106" s="15"/>
      <c r="ITL1106" s="15"/>
      <c r="ITO1106" s="15"/>
      <c r="ITP1106" s="15"/>
      <c r="ITS1106" s="15"/>
      <c r="ITT1106" s="15"/>
      <c r="ITW1106" s="15"/>
      <c r="ITX1106" s="15"/>
      <c r="IUA1106" s="15"/>
      <c r="IUB1106" s="15"/>
      <c r="IUE1106" s="15"/>
      <c r="IUF1106" s="15"/>
      <c r="IUI1106" s="15"/>
      <c r="IUJ1106" s="15"/>
      <c r="IUM1106" s="15"/>
      <c r="IUN1106" s="15"/>
      <c r="IUQ1106" s="15"/>
      <c r="IUR1106" s="15"/>
      <c r="IUU1106" s="15"/>
      <c r="IUV1106" s="15"/>
      <c r="IUY1106" s="15"/>
      <c r="IUZ1106" s="15"/>
      <c r="IVC1106" s="15"/>
      <c r="IVD1106" s="15"/>
      <c r="IVG1106" s="15"/>
      <c r="IVH1106" s="15"/>
      <c r="IVK1106" s="15"/>
      <c r="IVL1106" s="15"/>
      <c r="IVO1106" s="15"/>
      <c r="IVP1106" s="15"/>
      <c r="IVS1106" s="15"/>
      <c r="IVT1106" s="15"/>
      <c r="IVW1106" s="15"/>
      <c r="IVX1106" s="15"/>
      <c r="IWA1106" s="15"/>
      <c r="IWB1106" s="15"/>
      <c r="IWE1106" s="15"/>
      <c r="IWF1106" s="15"/>
      <c r="IWI1106" s="15"/>
      <c r="IWJ1106" s="15"/>
      <c r="IWM1106" s="15"/>
      <c r="IWN1106" s="15"/>
      <c r="IWQ1106" s="15"/>
      <c r="IWR1106" s="15"/>
      <c r="IWU1106" s="15"/>
      <c r="IWV1106" s="15"/>
      <c r="IWY1106" s="15"/>
      <c r="IWZ1106" s="15"/>
      <c r="IXC1106" s="15"/>
      <c r="IXD1106" s="15"/>
      <c r="IXG1106" s="15"/>
      <c r="IXH1106" s="15"/>
      <c r="IXK1106" s="15"/>
      <c r="IXL1106" s="15"/>
      <c r="IXO1106" s="15"/>
      <c r="IXP1106" s="15"/>
      <c r="IXS1106" s="15"/>
      <c r="IXT1106" s="15"/>
      <c r="IXW1106" s="15"/>
      <c r="IXX1106" s="15"/>
      <c r="IYA1106" s="15"/>
      <c r="IYB1106" s="15"/>
      <c r="IYE1106" s="15"/>
      <c r="IYF1106" s="15"/>
      <c r="IYI1106" s="15"/>
      <c r="IYJ1106" s="15"/>
      <c r="IYM1106" s="15"/>
      <c r="IYN1106" s="15"/>
      <c r="IYQ1106" s="15"/>
      <c r="IYR1106" s="15"/>
      <c r="IYU1106" s="15"/>
      <c r="IYV1106" s="15"/>
      <c r="IYY1106" s="15"/>
      <c r="IYZ1106" s="15"/>
      <c r="IZC1106" s="15"/>
      <c r="IZD1106" s="15"/>
      <c r="IZG1106" s="15"/>
      <c r="IZH1106" s="15"/>
      <c r="IZK1106" s="15"/>
      <c r="IZL1106" s="15"/>
      <c r="IZO1106" s="15"/>
      <c r="IZP1106" s="15"/>
      <c r="IZS1106" s="15"/>
      <c r="IZT1106" s="15"/>
      <c r="IZW1106" s="15"/>
      <c r="IZX1106" s="15"/>
      <c r="JAA1106" s="15"/>
      <c r="JAB1106" s="15"/>
      <c r="JAE1106" s="15"/>
      <c r="JAF1106" s="15"/>
      <c r="JAI1106" s="15"/>
      <c r="JAJ1106" s="15"/>
      <c r="JAM1106" s="15"/>
      <c r="JAN1106" s="15"/>
      <c r="JAQ1106" s="15"/>
      <c r="JAR1106" s="15"/>
      <c r="JAU1106" s="15"/>
      <c r="JAV1106" s="15"/>
      <c r="JAY1106" s="15"/>
      <c r="JAZ1106" s="15"/>
      <c r="JBC1106" s="15"/>
      <c r="JBD1106" s="15"/>
      <c r="JBG1106" s="15"/>
      <c r="JBH1106" s="15"/>
      <c r="JBK1106" s="15"/>
      <c r="JBL1106" s="15"/>
      <c r="JBO1106" s="15"/>
      <c r="JBP1106" s="15"/>
      <c r="JBS1106" s="15"/>
      <c r="JBT1106" s="15"/>
      <c r="JBW1106" s="15"/>
      <c r="JBX1106" s="15"/>
      <c r="JCA1106" s="15"/>
      <c r="JCB1106" s="15"/>
      <c r="JCE1106" s="15"/>
      <c r="JCF1106" s="15"/>
      <c r="JCI1106" s="15"/>
      <c r="JCJ1106" s="15"/>
      <c r="JCM1106" s="15"/>
      <c r="JCN1106" s="15"/>
      <c r="JCQ1106" s="15"/>
      <c r="JCR1106" s="15"/>
      <c r="JCU1106" s="15"/>
      <c r="JCV1106" s="15"/>
      <c r="JCY1106" s="15"/>
      <c r="JCZ1106" s="15"/>
      <c r="JDC1106" s="15"/>
      <c r="JDD1106" s="15"/>
      <c r="JDG1106" s="15"/>
      <c r="JDH1106" s="15"/>
      <c r="JDK1106" s="15"/>
      <c r="JDL1106" s="15"/>
      <c r="JDO1106" s="15"/>
      <c r="JDP1106" s="15"/>
      <c r="JDS1106" s="15"/>
      <c r="JDT1106" s="15"/>
      <c r="JDW1106" s="15"/>
      <c r="JDX1106" s="15"/>
      <c r="JEA1106" s="15"/>
      <c r="JEB1106" s="15"/>
      <c r="JEE1106" s="15"/>
      <c r="JEF1106" s="15"/>
      <c r="JEI1106" s="15"/>
      <c r="JEJ1106" s="15"/>
      <c r="JEM1106" s="15"/>
      <c r="JEN1106" s="15"/>
      <c r="JEQ1106" s="15"/>
      <c r="JER1106" s="15"/>
      <c r="JEU1106" s="15"/>
      <c r="JEV1106" s="15"/>
      <c r="JEY1106" s="15"/>
      <c r="JEZ1106" s="15"/>
      <c r="JFC1106" s="15"/>
      <c r="JFD1106" s="15"/>
      <c r="JFG1106" s="15"/>
      <c r="JFH1106" s="15"/>
      <c r="JFK1106" s="15"/>
      <c r="JFL1106" s="15"/>
      <c r="JFO1106" s="15"/>
      <c r="JFP1106" s="15"/>
      <c r="JFS1106" s="15"/>
      <c r="JFT1106" s="15"/>
      <c r="JFW1106" s="15"/>
      <c r="JFX1106" s="15"/>
      <c r="JGA1106" s="15"/>
      <c r="JGB1106" s="15"/>
      <c r="JGE1106" s="15"/>
      <c r="JGF1106" s="15"/>
      <c r="JGI1106" s="15"/>
      <c r="JGJ1106" s="15"/>
      <c r="JGM1106" s="15"/>
      <c r="JGN1106" s="15"/>
      <c r="JGQ1106" s="15"/>
      <c r="JGR1106" s="15"/>
      <c r="JGU1106" s="15"/>
      <c r="JGV1106" s="15"/>
      <c r="JGY1106" s="15"/>
      <c r="JGZ1106" s="15"/>
      <c r="JHC1106" s="15"/>
      <c r="JHD1106" s="15"/>
      <c r="JHG1106" s="15"/>
      <c r="JHH1106" s="15"/>
      <c r="JHK1106" s="15"/>
      <c r="JHL1106" s="15"/>
      <c r="JHO1106" s="15"/>
      <c r="JHP1106" s="15"/>
      <c r="JHS1106" s="15"/>
      <c r="JHT1106" s="15"/>
      <c r="JHW1106" s="15"/>
      <c r="JHX1106" s="15"/>
      <c r="JIA1106" s="15"/>
      <c r="JIB1106" s="15"/>
      <c r="JIE1106" s="15"/>
      <c r="JIF1106" s="15"/>
      <c r="JII1106" s="15"/>
      <c r="JIJ1106" s="15"/>
      <c r="JIM1106" s="15"/>
      <c r="JIN1106" s="15"/>
      <c r="JIQ1106" s="15"/>
      <c r="JIR1106" s="15"/>
      <c r="JIU1106" s="15"/>
      <c r="JIV1106" s="15"/>
      <c r="JIY1106" s="15"/>
      <c r="JIZ1106" s="15"/>
      <c r="JJC1106" s="15"/>
      <c r="JJD1106" s="15"/>
      <c r="JJG1106" s="15"/>
      <c r="JJH1106" s="15"/>
      <c r="JJK1106" s="15"/>
      <c r="JJL1106" s="15"/>
      <c r="JJO1106" s="15"/>
      <c r="JJP1106" s="15"/>
      <c r="JJS1106" s="15"/>
      <c r="JJT1106" s="15"/>
      <c r="JJW1106" s="15"/>
      <c r="JJX1106" s="15"/>
      <c r="JKA1106" s="15"/>
      <c r="JKB1106" s="15"/>
      <c r="JKE1106" s="15"/>
      <c r="JKF1106" s="15"/>
      <c r="JKI1106" s="15"/>
      <c r="JKJ1106" s="15"/>
      <c r="JKM1106" s="15"/>
      <c r="JKN1106" s="15"/>
      <c r="JKQ1106" s="15"/>
      <c r="JKR1106" s="15"/>
      <c r="JKU1106" s="15"/>
      <c r="JKV1106" s="15"/>
      <c r="JKY1106" s="15"/>
      <c r="JKZ1106" s="15"/>
      <c r="JLC1106" s="15"/>
      <c r="JLD1106" s="15"/>
      <c r="JLG1106" s="15"/>
      <c r="JLH1106" s="15"/>
      <c r="JLK1106" s="15"/>
      <c r="JLL1106" s="15"/>
      <c r="JLO1106" s="15"/>
      <c r="JLP1106" s="15"/>
      <c r="JLS1106" s="15"/>
      <c r="JLT1106" s="15"/>
      <c r="JLW1106" s="15"/>
      <c r="JLX1106" s="15"/>
      <c r="JMA1106" s="15"/>
      <c r="JMB1106" s="15"/>
      <c r="JME1106" s="15"/>
      <c r="JMF1106" s="15"/>
      <c r="JMI1106" s="15"/>
      <c r="JMJ1106" s="15"/>
      <c r="JMM1106" s="15"/>
      <c r="JMN1106" s="15"/>
      <c r="JMQ1106" s="15"/>
      <c r="JMR1106" s="15"/>
      <c r="JMU1106" s="15"/>
      <c r="JMV1106" s="15"/>
      <c r="JMY1106" s="15"/>
      <c r="JMZ1106" s="15"/>
      <c r="JNC1106" s="15"/>
      <c r="JND1106" s="15"/>
      <c r="JNG1106" s="15"/>
      <c r="JNH1106" s="15"/>
      <c r="JNK1106" s="15"/>
      <c r="JNL1106" s="15"/>
      <c r="JNO1106" s="15"/>
      <c r="JNP1106" s="15"/>
      <c r="JNS1106" s="15"/>
      <c r="JNT1106" s="15"/>
      <c r="JNW1106" s="15"/>
      <c r="JNX1106" s="15"/>
      <c r="JOA1106" s="15"/>
      <c r="JOB1106" s="15"/>
      <c r="JOE1106" s="15"/>
      <c r="JOF1106" s="15"/>
      <c r="JOI1106" s="15"/>
      <c r="JOJ1106" s="15"/>
      <c r="JOM1106" s="15"/>
      <c r="JON1106" s="15"/>
      <c r="JOQ1106" s="15"/>
      <c r="JOR1106" s="15"/>
      <c r="JOU1106" s="15"/>
      <c r="JOV1106" s="15"/>
      <c r="JOY1106" s="15"/>
      <c r="JOZ1106" s="15"/>
      <c r="JPC1106" s="15"/>
      <c r="JPD1106" s="15"/>
      <c r="JPG1106" s="15"/>
      <c r="JPH1106" s="15"/>
      <c r="JPK1106" s="15"/>
      <c r="JPL1106" s="15"/>
      <c r="JPO1106" s="15"/>
      <c r="JPP1106" s="15"/>
      <c r="JPS1106" s="15"/>
      <c r="JPT1106" s="15"/>
      <c r="JPW1106" s="15"/>
      <c r="JPX1106" s="15"/>
      <c r="JQA1106" s="15"/>
      <c r="JQB1106" s="15"/>
      <c r="JQE1106" s="15"/>
      <c r="JQF1106" s="15"/>
      <c r="JQI1106" s="15"/>
      <c r="JQJ1106" s="15"/>
      <c r="JQM1106" s="15"/>
      <c r="JQN1106" s="15"/>
      <c r="JQQ1106" s="15"/>
      <c r="JQR1106" s="15"/>
      <c r="JQU1106" s="15"/>
      <c r="JQV1106" s="15"/>
      <c r="JQY1106" s="15"/>
      <c r="JQZ1106" s="15"/>
      <c r="JRC1106" s="15"/>
      <c r="JRD1106" s="15"/>
      <c r="JRG1106" s="15"/>
      <c r="JRH1106" s="15"/>
      <c r="JRK1106" s="15"/>
      <c r="JRL1106" s="15"/>
      <c r="JRO1106" s="15"/>
      <c r="JRP1106" s="15"/>
      <c r="JRS1106" s="15"/>
      <c r="JRT1106" s="15"/>
      <c r="JRW1106" s="15"/>
      <c r="JRX1106" s="15"/>
      <c r="JSA1106" s="15"/>
      <c r="JSB1106" s="15"/>
      <c r="JSE1106" s="15"/>
      <c r="JSF1106" s="15"/>
      <c r="JSI1106" s="15"/>
      <c r="JSJ1106" s="15"/>
      <c r="JSM1106" s="15"/>
      <c r="JSN1106" s="15"/>
      <c r="JSQ1106" s="15"/>
      <c r="JSR1106" s="15"/>
      <c r="JSU1106" s="15"/>
      <c r="JSV1106" s="15"/>
      <c r="JSY1106" s="15"/>
      <c r="JSZ1106" s="15"/>
      <c r="JTC1106" s="15"/>
      <c r="JTD1106" s="15"/>
      <c r="JTG1106" s="15"/>
      <c r="JTH1106" s="15"/>
      <c r="JTK1106" s="15"/>
      <c r="JTL1106" s="15"/>
      <c r="JTO1106" s="15"/>
      <c r="JTP1106" s="15"/>
      <c r="JTS1106" s="15"/>
      <c r="JTT1106" s="15"/>
      <c r="JTW1106" s="15"/>
      <c r="JTX1106" s="15"/>
      <c r="JUA1106" s="15"/>
      <c r="JUB1106" s="15"/>
      <c r="JUE1106" s="15"/>
      <c r="JUF1106" s="15"/>
      <c r="JUI1106" s="15"/>
      <c r="JUJ1106" s="15"/>
      <c r="JUM1106" s="15"/>
      <c r="JUN1106" s="15"/>
      <c r="JUQ1106" s="15"/>
      <c r="JUR1106" s="15"/>
      <c r="JUU1106" s="15"/>
      <c r="JUV1106" s="15"/>
      <c r="JUY1106" s="15"/>
      <c r="JUZ1106" s="15"/>
      <c r="JVC1106" s="15"/>
      <c r="JVD1106" s="15"/>
      <c r="JVG1106" s="15"/>
      <c r="JVH1106" s="15"/>
      <c r="JVK1106" s="15"/>
      <c r="JVL1106" s="15"/>
      <c r="JVO1106" s="15"/>
      <c r="JVP1106" s="15"/>
      <c r="JVS1106" s="15"/>
      <c r="JVT1106" s="15"/>
      <c r="JVW1106" s="15"/>
      <c r="JVX1106" s="15"/>
      <c r="JWA1106" s="15"/>
      <c r="JWB1106" s="15"/>
      <c r="JWE1106" s="15"/>
      <c r="JWF1106" s="15"/>
      <c r="JWI1106" s="15"/>
      <c r="JWJ1106" s="15"/>
      <c r="JWM1106" s="15"/>
      <c r="JWN1106" s="15"/>
      <c r="JWQ1106" s="15"/>
      <c r="JWR1106" s="15"/>
      <c r="JWU1106" s="15"/>
      <c r="JWV1106" s="15"/>
      <c r="JWY1106" s="15"/>
      <c r="JWZ1106" s="15"/>
      <c r="JXC1106" s="15"/>
      <c r="JXD1106" s="15"/>
      <c r="JXG1106" s="15"/>
      <c r="JXH1106" s="15"/>
      <c r="JXK1106" s="15"/>
      <c r="JXL1106" s="15"/>
      <c r="JXO1106" s="15"/>
      <c r="JXP1106" s="15"/>
      <c r="JXS1106" s="15"/>
      <c r="JXT1106" s="15"/>
      <c r="JXW1106" s="15"/>
      <c r="JXX1106" s="15"/>
      <c r="JYA1106" s="15"/>
      <c r="JYB1106" s="15"/>
      <c r="JYE1106" s="15"/>
      <c r="JYF1106" s="15"/>
      <c r="JYI1106" s="15"/>
      <c r="JYJ1106" s="15"/>
      <c r="JYM1106" s="15"/>
      <c r="JYN1106" s="15"/>
      <c r="JYQ1106" s="15"/>
      <c r="JYR1106" s="15"/>
      <c r="JYU1106" s="15"/>
      <c r="JYV1106" s="15"/>
      <c r="JYY1106" s="15"/>
      <c r="JYZ1106" s="15"/>
      <c r="JZC1106" s="15"/>
      <c r="JZD1106" s="15"/>
      <c r="JZG1106" s="15"/>
      <c r="JZH1106" s="15"/>
      <c r="JZK1106" s="15"/>
      <c r="JZL1106" s="15"/>
      <c r="JZO1106" s="15"/>
      <c r="JZP1106" s="15"/>
      <c r="JZS1106" s="15"/>
      <c r="JZT1106" s="15"/>
      <c r="JZW1106" s="15"/>
      <c r="JZX1106" s="15"/>
      <c r="KAA1106" s="15"/>
      <c r="KAB1106" s="15"/>
      <c r="KAE1106" s="15"/>
      <c r="KAF1106" s="15"/>
      <c r="KAI1106" s="15"/>
      <c r="KAJ1106" s="15"/>
      <c r="KAM1106" s="15"/>
      <c r="KAN1106" s="15"/>
      <c r="KAQ1106" s="15"/>
      <c r="KAR1106" s="15"/>
      <c r="KAU1106" s="15"/>
      <c r="KAV1106" s="15"/>
      <c r="KAY1106" s="15"/>
      <c r="KAZ1106" s="15"/>
      <c r="KBC1106" s="15"/>
      <c r="KBD1106" s="15"/>
      <c r="KBG1106" s="15"/>
      <c r="KBH1106" s="15"/>
      <c r="KBK1106" s="15"/>
      <c r="KBL1106" s="15"/>
      <c r="KBO1106" s="15"/>
      <c r="KBP1106" s="15"/>
      <c r="KBS1106" s="15"/>
      <c r="KBT1106" s="15"/>
      <c r="KBW1106" s="15"/>
      <c r="KBX1106" s="15"/>
      <c r="KCA1106" s="15"/>
      <c r="KCB1106" s="15"/>
      <c r="KCE1106" s="15"/>
      <c r="KCF1106" s="15"/>
      <c r="KCI1106" s="15"/>
      <c r="KCJ1106" s="15"/>
      <c r="KCM1106" s="15"/>
      <c r="KCN1106" s="15"/>
      <c r="KCQ1106" s="15"/>
      <c r="KCR1106" s="15"/>
      <c r="KCU1106" s="15"/>
      <c r="KCV1106" s="15"/>
      <c r="KCY1106" s="15"/>
      <c r="KCZ1106" s="15"/>
      <c r="KDC1106" s="15"/>
      <c r="KDD1106" s="15"/>
      <c r="KDG1106" s="15"/>
      <c r="KDH1106" s="15"/>
      <c r="KDK1106" s="15"/>
      <c r="KDL1106" s="15"/>
      <c r="KDO1106" s="15"/>
      <c r="KDP1106" s="15"/>
      <c r="KDS1106" s="15"/>
      <c r="KDT1106" s="15"/>
      <c r="KDW1106" s="15"/>
      <c r="KDX1106" s="15"/>
      <c r="KEA1106" s="15"/>
      <c r="KEB1106" s="15"/>
      <c r="KEE1106" s="15"/>
      <c r="KEF1106" s="15"/>
      <c r="KEI1106" s="15"/>
      <c r="KEJ1106" s="15"/>
      <c r="KEM1106" s="15"/>
      <c r="KEN1106" s="15"/>
      <c r="KEQ1106" s="15"/>
      <c r="KER1106" s="15"/>
      <c r="KEU1106" s="15"/>
      <c r="KEV1106" s="15"/>
      <c r="KEY1106" s="15"/>
      <c r="KEZ1106" s="15"/>
      <c r="KFC1106" s="15"/>
      <c r="KFD1106" s="15"/>
      <c r="KFG1106" s="15"/>
      <c r="KFH1106" s="15"/>
      <c r="KFK1106" s="15"/>
      <c r="KFL1106" s="15"/>
      <c r="KFO1106" s="15"/>
      <c r="KFP1106" s="15"/>
      <c r="KFS1106" s="15"/>
      <c r="KFT1106" s="15"/>
      <c r="KFW1106" s="15"/>
      <c r="KFX1106" s="15"/>
      <c r="KGA1106" s="15"/>
      <c r="KGB1106" s="15"/>
      <c r="KGE1106" s="15"/>
      <c r="KGF1106" s="15"/>
      <c r="KGI1106" s="15"/>
      <c r="KGJ1106" s="15"/>
      <c r="KGM1106" s="15"/>
      <c r="KGN1106" s="15"/>
      <c r="KGQ1106" s="15"/>
      <c r="KGR1106" s="15"/>
      <c r="KGU1106" s="15"/>
      <c r="KGV1106" s="15"/>
      <c r="KGY1106" s="15"/>
      <c r="KGZ1106" s="15"/>
      <c r="KHC1106" s="15"/>
      <c r="KHD1106" s="15"/>
      <c r="KHG1106" s="15"/>
      <c r="KHH1106" s="15"/>
      <c r="KHK1106" s="15"/>
      <c r="KHL1106" s="15"/>
      <c r="KHO1106" s="15"/>
      <c r="KHP1106" s="15"/>
      <c r="KHS1106" s="15"/>
      <c r="KHT1106" s="15"/>
      <c r="KHW1106" s="15"/>
      <c r="KHX1106" s="15"/>
      <c r="KIA1106" s="15"/>
      <c r="KIB1106" s="15"/>
      <c r="KIE1106" s="15"/>
      <c r="KIF1106" s="15"/>
      <c r="KII1106" s="15"/>
      <c r="KIJ1106" s="15"/>
      <c r="KIM1106" s="15"/>
      <c r="KIN1106" s="15"/>
      <c r="KIQ1106" s="15"/>
      <c r="KIR1106" s="15"/>
      <c r="KIU1106" s="15"/>
      <c r="KIV1106" s="15"/>
      <c r="KIY1106" s="15"/>
      <c r="KIZ1106" s="15"/>
      <c r="KJC1106" s="15"/>
      <c r="KJD1106" s="15"/>
      <c r="KJG1106" s="15"/>
      <c r="KJH1106" s="15"/>
      <c r="KJK1106" s="15"/>
      <c r="KJL1106" s="15"/>
      <c r="KJO1106" s="15"/>
      <c r="KJP1106" s="15"/>
      <c r="KJS1106" s="15"/>
      <c r="KJT1106" s="15"/>
      <c r="KJW1106" s="15"/>
      <c r="KJX1106" s="15"/>
      <c r="KKA1106" s="15"/>
      <c r="KKB1106" s="15"/>
      <c r="KKE1106" s="15"/>
      <c r="KKF1106" s="15"/>
      <c r="KKI1106" s="15"/>
      <c r="KKJ1106" s="15"/>
      <c r="KKM1106" s="15"/>
      <c r="KKN1106" s="15"/>
      <c r="KKQ1106" s="15"/>
      <c r="KKR1106" s="15"/>
      <c r="KKU1106" s="15"/>
      <c r="KKV1106" s="15"/>
      <c r="KKY1106" s="15"/>
      <c r="KKZ1106" s="15"/>
      <c r="KLC1106" s="15"/>
      <c r="KLD1106" s="15"/>
      <c r="KLG1106" s="15"/>
      <c r="KLH1106" s="15"/>
      <c r="KLK1106" s="15"/>
      <c r="KLL1106" s="15"/>
      <c r="KLO1106" s="15"/>
      <c r="KLP1106" s="15"/>
      <c r="KLS1106" s="15"/>
      <c r="KLT1106" s="15"/>
      <c r="KLW1106" s="15"/>
      <c r="KLX1106" s="15"/>
      <c r="KMA1106" s="15"/>
      <c r="KMB1106" s="15"/>
      <c r="KME1106" s="15"/>
      <c r="KMF1106" s="15"/>
      <c r="KMI1106" s="15"/>
      <c r="KMJ1106" s="15"/>
      <c r="KMM1106" s="15"/>
      <c r="KMN1106" s="15"/>
      <c r="KMQ1106" s="15"/>
      <c r="KMR1106" s="15"/>
      <c r="KMU1106" s="15"/>
      <c r="KMV1106" s="15"/>
      <c r="KMY1106" s="15"/>
      <c r="KMZ1106" s="15"/>
      <c r="KNC1106" s="15"/>
      <c r="KND1106" s="15"/>
      <c r="KNG1106" s="15"/>
      <c r="KNH1106" s="15"/>
      <c r="KNK1106" s="15"/>
      <c r="KNL1106" s="15"/>
      <c r="KNO1106" s="15"/>
      <c r="KNP1106" s="15"/>
      <c r="KNS1106" s="15"/>
      <c r="KNT1106" s="15"/>
      <c r="KNW1106" s="15"/>
      <c r="KNX1106" s="15"/>
      <c r="KOA1106" s="15"/>
      <c r="KOB1106" s="15"/>
      <c r="KOE1106" s="15"/>
      <c r="KOF1106" s="15"/>
      <c r="KOI1106" s="15"/>
      <c r="KOJ1106" s="15"/>
      <c r="KOM1106" s="15"/>
      <c r="KON1106" s="15"/>
      <c r="KOQ1106" s="15"/>
      <c r="KOR1106" s="15"/>
      <c r="KOU1106" s="15"/>
      <c r="KOV1106" s="15"/>
      <c r="KOY1106" s="15"/>
      <c r="KOZ1106" s="15"/>
      <c r="KPC1106" s="15"/>
      <c r="KPD1106" s="15"/>
      <c r="KPG1106" s="15"/>
      <c r="KPH1106" s="15"/>
      <c r="KPK1106" s="15"/>
      <c r="KPL1106" s="15"/>
      <c r="KPO1106" s="15"/>
      <c r="KPP1106" s="15"/>
      <c r="KPS1106" s="15"/>
      <c r="KPT1106" s="15"/>
      <c r="KPW1106" s="15"/>
      <c r="KPX1106" s="15"/>
      <c r="KQA1106" s="15"/>
      <c r="KQB1106" s="15"/>
      <c r="KQE1106" s="15"/>
      <c r="KQF1106" s="15"/>
      <c r="KQI1106" s="15"/>
      <c r="KQJ1106" s="15"/>
      <c r="KQM1106" s="15"/>
      <c r="KQN1106" s="15"/>
      <c r="KQQ1106" s="15"/>
      <c r="KQR1106" s="15"/>
      <c r="KQU1106" s="15"/>
      <c r="KQV1106" s="15"/>
      <c r="KQY1106" s="15"/>
      <c r="KQZ1106" s="15"/>
      <c r="KRC1106" s="15"/>
      <c r="KRD1106" s="15"/>
      <c r="KRG1106" s="15"/>
      <c r="KRH1106" s="15"/>
      <c r="KRK1106" s="15"/>
      <c r="KRL1106" s="15"/>
      <c r="KRO1106" s="15"/>
      <c r="KRP1106" s="15"/>
      <c r="KRS1106" s="15"/>
      <c r="KRT1106" s="15"/>
      <c r="KRW1106" s="15"/>
      <c r="KRX1106" s="15"/>
      <c r="KSA1106" s="15"/>
      <c r="KSB1106" s="15"/>
      <c r="KSE1106" s="15"/>
      <c r="KSF1106" s="15"/>
      <c r="KSI1106" s="15"/>
      <c r="KSJ1106" s="15"/>
      <c r="KSM1106" s="15"/>
      <c r="KSN1106" s="15"/>
      <c r="KSQ1106" s="15"/>
      <c r="KSR1106" s="15"/>
      <c r="KSU1106" s="15"/>
      <c r="KSV1106" s="15"/>
      <c r="KSY1106" s="15"/>
      <c r="KSZ1106" s="15"/>
      <c r="KTC1106" s="15"/>
      <c r="KTD1106" s="15"/>
      <c r="KTG1106" s="15"/>
      <c r="KTH1106" s="15"/>
      <c r="KTK1106" s="15"/>
      <c r="KTL1106" s="15"/>
      <c r="KTO1106" s="15"/>
      <c r="KTP1106" s="15"/>
      <c r="KTS1106" s="15"/>
      <c r="KTT1106" s="15"/>
      <c r="KTW1106" s="15"/>
      <c r="KTX1106" s="15"/>
      <c r="KUA1106" s="15"/>
      <c r="KUB1106" s="15"/>
      <c r="KUE1106" s="15"/>
      <c r="KUF1106" s="15"/>
      <c r="KUI1106" s="15"/>
      <c r="KUJ1106" s="15"/>
      <c r="KUM1106" s="15"/>
      <c r="KUN1106" s="15"/>
      <c r="KUQ1106" s="15"/>
      <c r="KUR1106" s="15"/>
      <c r="KUU1106" s="15"/>
      <c r="KUV1106" s="15"/>
      <c r="KUY1106" s="15"/>
      <c r="KUZ1106" s="15"/>
      <c r="KVC1106" s="15"/>
      <c r="KVD1106" s="15"/>
      <c r="KVG1106" s="15"/>
      <c r="KVH1106" s="15"/>
      <c r="KVK1106" s="15"/>
      <c r="KVL1106" s="15"/>
      <c r="KVO1106" s="15"/>
      <c r="KVP1106" s="15"/>
      <c r="KVS1106" s="15"/>
      <c r="KVT1106" s="15"/>
      <c r="KVW1106" s="15"/>
      <c r="KVX1106" s="15"/>
      <c r="KWA1106" s="15"/>
      <c r="KWB1106" s="15"/>
      <c r="KWE1106" s="15"/>
      <c r="KWF1106" s="15"/>
      <c r="KWI1106" s="15"/>
      <c r="KWJ1106" s="15"/>
      <c r="KWM1106" s="15"/>
      <c r="KWN1106" s="15"/>
      <c r="KWQ1106" s="15"/>
      <c r="KWR1106" s="15"/>
      <c r="KWU1106" s="15"/>
      <c r="KWV1106" s="15"/>
      <c r="KWY1106" s="15"/>
      <c r="KWZ1106" s="15"/>
      <c r="KXC1106" s="15"/>
      <c r="KXD1106" s="15"/>
      <c r="KXG1106" s="15"/>
      <c r="KXH1106" s="15"/>
      <c r="KXK1106" s="15"/>
      <c r="KXL1106" s="15"/>
      <c r="KXO1106" s="15"/>
      <c r="KXP1106" s="15"/>
      <c r="KXS1106" s="15"/>
      <c r="KXT1106" s="15"/>
      <c r="KXW1106" s="15"/>
      <c r="KXX1106" s="15"/>
      <c r="KYA1106" s="15"/>
      <c r="KYB1106" s="15"/>
      <c r="KYE1106" s="15"/>
      <c r="KYF1106" s="15"/>
      <c r="KYI1106" s="15"/>
      <c r="KYJ1106" s="15"/>
      <c r="KYM1106" s="15"/>
      <c r="KYN1106" s="15"/>
      <c r="KYQ1106" s="15"/>
      <c r="KYR1106" s="15"/>
      <c r="KYU1106" s="15"/>
      <c r="KYV1106" s="15"/>
      <c r="KYY1106" s="15"/>
      <c r="KYZ1106" s="15"/>
      <c r="KZC1106" s="15"/>
      <c r="KZD1106" s="15"/>
      <c r="KZG1106" s="15"/>
      <c r="KZH1106" s="15"/>
      <c r="KZK1106" s="15"/>
      <c r="KZL1106" s="15"/>
      <c r="KZO1106" s="15"/>
      <c r="KZP1106" s="15"/>
      <c r="KZS1106" s="15"/>
      <c r="KZT1106" s="15"/>
      <c r="KZW1106" s="15"/>
      <c r="KZX1106" s="15"/>
      <c r="LAA1106" s="15"/>
      <c r="LAB1106" s="15"/>
      <c r="LAE1106" s="15"/>
      <c r="LAF1106" s="15"/>
      <c r="LAI1106" s="15"/>
      <c r="LAJ1106" s="15"/>
      <c r="LAM1106" s="15"/>
      <c r="LAN1106" s="15"/>
      <c r="LAQ1106" s="15"/>
      <c r="LAR1106" s="15"/>
      <c r="LAU1106" s="15"/>
      <c r="LAV1106" s="15"/>
      <c r="LAY1106" s="15"/>
      <c r="LAZ1106" s="15"/>
      <c r="LBC1106" s="15"/>
      <c r="LBD1106" s="15"/>
      <c r="LBG1106" s="15"/>
      <c r="LBH1106" s="15"/>
      <c r="LBK1106" s="15"/>
      <c r="LBL1106" s="15"/>
      <c r="LBO1106" s="15"/>
      <c r="LBP1106" s="15"/>
      <c r="LBS1106" s="15"/>
      <c r="LBT1106" s="15"/>
      <c r="LBW1106" s="15"/>
      <c r="LBX1106" s="15"/>
      <c r="LCA1106" s="15"/>
      <c r="LCB1106" s="15"/>
      <c r="LCE1106" s="15"/>
      <c r="LCF1106" s="15"/>
      <c r="LCI1106" s="15"/>
      <c r="LCJ1106" s="15"/>
      <c r="LCM1106" s="15"/>
      <c r="LCN1106" s="15"/>
      <c r="LCQ1106" s="15"/>
      <c r="LCR1106" s="15"/>
      <c r="LCU1106" s="15"/>
      <c r="LCV1106" s="15"/>
      <c r="LCY1106" s="15"/>
      <c r="LCZ1106" s="15"/>
      <c r="LDC1106" s="15"/>
      <c r="LDD1106" s="15"/>
      <c r="LDG1106" s="15"/>
      <c r="LDH1106" s="15"/>
      <c r="LDK1106" s="15"/>
      <c r="LDL1106" s="15"/>
      <c r="LDO1106" s="15"/>
      <c r="LDP1106" s="15"/>
      <c r="LDS1106" s="15"/>
      <c r="LDT1106" s="15"/>
      <c r="LDW1106" s="15"/>
      <c r="LDX1106" s="15"/>
      <c r="LEA1106" s="15"/>
      <c r="LEB1106" s="15"/>
      <c r="LEE1106" s="15"/>
      <c r="LEF1106" s="15"/>
      <c r="LEI1106" s="15"/>
      <c r="LEJ1106" s="15"/>
      <c r="LEM1106" s="15"/>
      <c r="LEN1106" s="15"/>
      <c r="LEQ1106" s="15"/>
      <c r="LER1106" s="15"/>
      <c r="LEU1106" s="15"/>
      <c r="LEV1106" s="15"/>
      <c r="LEY1106" s="15"/>
      <c r="LEZ1106" s="15"/>
      <c r="LFC1106" s="15"/>
      <c r="LFD1106" s="15"/>
      <c r="LFG1106" s="15"/>
      <c r="LFH1106" s="15"/>
      <c r="LFK1106" s="15"/>
      <c r="LFL1106" s="15"/>
      <c r="LFO1106" s="15"/>
      <c r="LFP1106" s="15"/>
      <c r="LFS1106" s="15"/>
      <c r="LFT1106" s="15"/>
      <c r="LFW1106" s="15"/>
      <c r="LFX1106" s="15"/>
      <c r="LGA1106" s="15"/>
      <c r="LGB1106" s="15"/>
      <c r="LGE1106" s="15"/>
      <c r="LGF1106" s="15"/>
      <c r="LGI1106" s="15"/>
      <c r="LGJ1106" s="15"/>
      <c r="LGM1106" s="15"/>
      <c r="LGN1106" s="15"/>
      <c r="LGQ1106" s="15"/>
      <c r="LGR1106" s="15"/>
      <c r="LGU1106" s="15"/>
      <c r="LGV1106" s="15"/>
      <c r="LGY1106" s="15"/>
      <c r="LGZ1106" s="15"/>
      <c r="LHC1106" s="15"/>
      <c r="LHD1106" s="15"/>
      <c r="LHG1106" s="15"/>
      <c r="LHH1106" s="15"/>
      <c r="LHK1106" s="15"/>
      <c r="LHL1106" s="15"/>
      <c r="LHO1106" s="15"/>
      <c r="LHP1106" s="15"/>
      <c r="LHS1106" s="15"/>
      <c r="LHT1106" s="15"/>
      <c r="LHW1106" s="15"/>
      <c r="LHX1106" s="15"/>
      <c r="LIA1106" s="15"/>
      <c r="LIB1106" s="15"/>
      <c r="LIE1106" s="15"/>
      <c r="LIF1106" s="15"/>
      <c r="LII1106" s="15"/>
      <c r="LIJ1106" s="15"/>
      <c r="LIM1106" s="15"/>
      <c r="LIN1106" s="15"/>
      <c r="LIQ1106" s="15"/>
      <c r="LIR1106" s="15"/>
      <c r="LIU1106" s="15"/>
      <c r="LIV1106" s="15"/>
      <c r="LIY1106" s="15"/>
      <c r="LIZ1106" s="15"/>
      <c r="LJC1106" s="15"/>
      <c r="LJD1106" s="15"/>
      <c r="LJG1106" s="15"/>
      <c r="LJH1106" s="15"/>
      <c r="LJK1106" s="15"/>
      <c r="LJL1106" s="15"/>
      <c r="LJO1106" s="15"/>
      <c r="LJP1106" s="15"/>
      <c r="LJS1106" s="15"/>
      <c r="LJT1106" s="15"/>
      <c r="LJW1106" s="15"/>
      <c r="LJX1106" s="15"/>
      <c r="LKA1106" s="15"/>
      <c r="LKB1106" s="15"/>
      <c r="LKE1106" s="15"/>
      <c r="LKF1106" s="15"/>
      <c r="LKI1106" s="15"/>
      <c r="LKJ1106" s="15"/>
      <c r="LKM1106" s="15"/>
      <c r="LKN1106" s="15"/>
      <c r="LKQ1106" s="15"/>
      <c r="LKR1106" s="15"/>
      <c r="LKU1106" s="15"/>
      <c r="LKV1106" s="15"/>
      <c r="LKY1106" s="15"/>
      <c r="LKZ1106" s="15"/>
      <c r="LLC1106" s="15"/>
      <c r="LLD1106" s="15"/>
      <c r="LLG1106" s="15"/>
      <c r="LLH1106" s="15"/>
      <c r="LLK1106" s="15"/>
      <c r="LLL1106" s="15"/>
      <c r="LLO1106" s="15"/>
      <c r="LLP1106" s="15"/>
      <c r="LLS1106" s="15"/>
      <c r="LLT1106" s="15"/>
      <c r="LLW1106" s="15"/>
      <c r="LLX1106" s="15"/>
      <c r="LMA1106" s="15"/>
      <c r="LMB1106" s="15"/>
      <c r="LME1106" s="15"/>
      <c r="LMF1106" s="15"/>
      <c r="LMI1106" s="15"/>
      <c r="LMJ1106" s="15"/>
      <c r="LMM1106" s="15"/>
      <c r="LMN1106" s="15"/>
      <c r="LMQ1106" s="15"/>
      <c r="LMR1106" s="15"/>
      <c r="LMU1106" s="15"/>
      <c r="LMV1106" s="15"/>
      <c r="LMY1106" s="15"/>
      <c r="LMZ1106" s="15"/>
      <c r="LNC1106" s="15"/>
      <c r="LND1106" s="15"/>
      <c r="LNG1106" s="15"/>
      <c r="LNH1106" s="15"/>
      <c r="LNK1106" s="15"/>
      <c r="LNL1106" s="15"/>
      <c r="LNO1106" s="15"/>
      <c r="LNP1106" s="15"/>
      <c r="LNS1106" s="15"/>
      <c r="LNT1106" s="15"/>
      <c r="LNW1106" s="15"/>
      <c r="LNX1106" s="15"/>
      <c r="LOA1106" s="15"/>
      <c r="LOB1106" s="15"/>
      <c r="LOE1106" s="15"/>
      <c r="LOF1106" s="15"/>
      <c r="LOI1106" s="15"/>
      <c r="LOJ1106" s="15"/>
      <c r="LOM1106" s="15"/>
      <c r="LON1106" s="15"/>
      <c r="LOQ1106" s="15"/>
      <c r="LOR1106" s="15"/>
      <c r="LOU1106" s="15"/>
      <c r="LOV1106" s="15"/>
      <c r="LOY1106" s="15"/>
      <c r="LOZ1106" s="15"/>
      <c r="LPC1106" s="15"/>
      <c r="LPD1106" s="15"/>
      <c r="LPG1106" s="15"/>
      <c r="LPH1106" s="15"/>
      <c r="LPK1106" s="15"/>
      <c r="LPL1106" s="15"/>
      <c r="LPO1106" s="15"/>
      <c r="LPP1106" s="15"/>
      <c r="LPS1106" s="15"/>
      <c r="LPT1106" s="15"/>
      <c r="LPW1106" s="15"/>
      <c r="LPX1106" s="15"/>
      <c r="LQA1106" s="15"/>
      <c r="LQB1106" s="15"/>
      <c r="LQE1106" s="15"/>
      <c r="LQF1106" s="15"/>
      <c r="LQI1106" s="15"/>
      <c r="LQJ1106" s="15"/>
      <c r="LQM1106" s="15"/>
      <c r="LQN1106" s="15"/>
      <c r="LQQ1106" s="15"/>
      <c r="LQR1106" s="15"/>
      <c r="LQU1106" s="15"/>
      <c r="LQV1106" s="15"/>
      <c r="LQY1106" s="15"/>
      <c r="LQZ1106" s="15"/>
      <c r="LRC1106" s="15"/>
      <c r="LRD1106" s="15"/>
      <c r="LRG1106" s="15"/>
      <c r="LRH1106" s="15"/>
      <c r="LRK1106" s="15"/>
      <c r="LRL1106" s="15"/>
      <c r="LRO1106" s="15"/>
      <c r="LRP1106" s="15"/>
      <c r="LRS1106" s="15"/>
      <c r="LRT1106" s="15"/>
      <c r="LRW1106" s="15"/>
      <c r="LRX1106" s="15"/>
      <c r="LSA1106" s="15"/>
      <c r="LSB1106" s="15"/>
      <c r="LSE1106" s="15"/>
      <c r="LSF1106" s="15"/>
      <c r="LSI1106" s="15"/>
      <c r="LSJ1106" s="15"/>
      <c r="LSM1106" s="15"/>
      <c r="LSN1106" s="15"/>
      <c r="LSQ1106" s="15"/>
      <c r="LSR1106" s="15"/>
      <c r="LSU1106" s="15"/>
      <c r="LSV1106" s="15"/>
      <c r="LSY1106" s="15"/>
      <c r="LSZ1106" s="15"/>
      <c r="LTC1106" s="15"/>
      <c r="LTD1106" s="15"/>
      <c r="LTG1106" s="15"/>
      <c r="LTH1106" s="15"/>
      <c r="LTK1106" s="15"/>
      <c r="LTL1106" s="15"/>
      <c r="LTO1106" s="15"/>
      <c r="LTP1106" s="15"/>
      <c r="LTS1106" s="15"/>
      <c r="LTT1106" s="15"/>
      <c r="LTW1106" s="15"/>
      <c r="LTX1106" s="15"/>
      <c r="LUA1106" s="15"/>
      <c r="LUB1106" s="15"/>
      <c r="LUE1106" s="15"/>
      <c r="LUF1106" s="15"/>
      <c r="LUI1106" s="15"/>
      <c r="LUJ1106" s="15"/>
      <c r="LUM1106" s="15"/>
      <c r="LUN1106" s="15"/>
      <c r="LUQ1106" s="15"/>
      <c r="LUR1106" s="15"/>
      <c r="LUU1106" s="15"/>
      <c r="LUV1106" s="15"/>
      <c r="LUY1106" s="15"/>
      <c r="LUZ1106" s="15"/>
      <c r="LVC1106" s="15"/>
      <c r="LVD1106" s="15"/>
      <c r="LVG1106" s="15"/>
      <c r="LVH1106" s="15"/>
      <c r="LVK1106" s="15"/>
      <c r="LVL1106" s="15"/>
      <c r="LVO1106" s="15"/>
      <c r="LVP1106" s="15"/>
      <c r="LVS1106" s="15"/>
      <c r="LVT1106" s="15"/>
      <c r="LVW1106" s="15"/>
      <c r="LVX1106" s="15"/>
      <c r="LWA1106" s="15"/>
      <c r="LWB1106" s="15"/>
      <c r="LWE1106" s="15"/>
      <c r="LWF1106" s="15"/>
      <c r="LWI1106" s="15"/>
      <c r="LWJ1106" s="15"/>
      <c r="LWM1106" s="15"/>
      <c r="LWN1106" s="15"/>
      <c r="LWQ1106" s="15"/>
      <c r="LWR1106" s="15"/>
      <c r="LWU1106" s="15"/>
      <c r="LWV1106" s="15"/>
      <c r="LWY1106" s="15"/>
      <c r="LWZ1106" s="15"/>
      <c r="LXC1106" s="15"/>
      <c r="LXD1106" s="15"/>
      <c r="LXG1106" s="15"/>
      <c r="LXH1106" s="15"/>
      <c r="LXK1106" s="15"/>
      <c r="LXL1106" s="15"/>
      <c r="LXO1106" s="15"/>
      <c r="LXP1106" s="15"/>
      <c r="LXS1106" s="15"/>
      <c r="LXT1106" s="15"/>
      <c r="LXW1106" s="15"/>
      <c r="LXX1106" s="15"/>
      <c r="LYA1106" s="15"/>
      <c r="LYB1106" s="15"/>
      <c r="LYE1106" s="15"/>
      <c r="LYF1106" s="15"/>
      <c r="LYI1106" s="15"/>
      <c r="LYJ1106" s="15"/>
      <c r="LYM1106" s="15"/>
      <c r="LYN1106" s="15"/>
      <c r="LYQ1106" s="15"/>
      <c r="LYR1106" s="15"/>
      <c r="LYU1106" s="15"/>
      <c r="LYV1106" s="15"/>
      <c r="LYY1106" s="15"/>
      <c r="LYZ1106" s="15"/>
      <c r="LZC1106" s="15"/>
      <c r="LZD1106" s="15"/>
      <c r="LZG1106" s="15"/>
      <c r="LZH1106" s="15"/>
      <c r="LZK1106" s="15"/>
      <c r="LZL1106" s="15"/>
      <c r="LZO1106" s="15"/>
      <c r="LZP1106" s="15"/>
      <c r="LZS1106" s="15"/>
      <c r="LZT1106" s="15"/>
      <c r="LZW1106" s="15"/>
      <c r="LZX1106" s="15"/>
      <c r="MAA1106" s="15"/>
      <c r="MAB1106" s="15"/>
      <c r="MAE1106" s="15"/>
      <c r="MAF1106" s="15"/>
      <c r="MAI1106" s="15"/>
      <c r="MAJ1106" s="15"/>
      <c r="MAM1106" s="15"/>
      <c r="MAN1106" s="15"/>
      <c r="MAQ1106" s="15"/>
      <c r="MAR1106" s="15"/>
      <c r="MAU1106" s="15"/>
      <c r="MAV1106" s="15"/>
      <c r="MAY1106" s="15"/>
      <c r="MAZ1106" s="15"/>
      <c r="MBC1106" s="15"/>
      <c r="MBD1106" s="15"/>
      <c r="MBG1106" s="15"/>
      <c r="MBH1106" s="15"/>
      <c r="MBK1106" s="15"/>
      <c r="MBL1106" s="15"/>
      <c r="MBO1106" s="15"/>
      <c r="MBP1106" s="15"/>
      <c r="MBS1106" s="15"/>
      <c r="MBT1106" s="15"/>
      <c r="MBW1106" s="15"/>
      <c r="MBX1106" s="15"/>
      <c r="MCA1106" s="15"/>
      <c r="MCB1106" s="15"/>
      <c r="MCE1106" s="15"/>
      <c r="MCF1106" s="15"/>
      <c r="MCI1106" s="15"/>
      <c r="MCJ1106" s="15"/>
      <c r="MCM1106" s="15"/>
      <c r="MCN1106" s="15"/>
      <c r="MCQ1106" s="15"/>
      <c r="MCR1106" s="15"/>
      <c r="MCU1106" s="15"/>
      <c r="MCV1106" s="15"/>
      <c r="MCY1106" s="15"/>
      <c r="MCZ1106" s="15"/>
      <c r="MDC1106" s="15"/>
      <c r="MDD1106" s="15"/>
      <c r="MDG1106" s="15"/>
      <c r="MDH1106" s="15"/>
      <c r="MDK1106" s="15"/>
      <c r="MDL1106" s="15"/>
      <c r="MDO1106" s="15"/>
      <c r="MDP1106" s="15"/>
      <c r="MDS1106" s="15"/>
      <c r="MDT1106" s="15"/>
      <c r="MDW1106" s="15"/>
      <c r="MDX1106" s="15"/>
      <c r="MEA1106" s="15"/>
      <c r="MEB1106" s="15"/>
      <c r="MEE1106" s="15"/>
      <c r="MEF1106" s="15"/>
      <c r="MEI1106" s="15"/>
      <c r="MEJ1106" s="15"/>
      <c r="MEM1106" s="15"/>
      <c r="MEN1106" s="15"/>
      <c r="MEQ1106" s="15"/>
      <c r="MER1106" s="15"/>
      <c r="MEU1106" s="15"/>
      <c r="MEV1106" s="15"/>
      <c r="MEY1106" s="15"/>
      <c r="MEZ1106" s="15"/>
      <c r="MFC1106" s="15"/>
      <c r="MFD1106" s="15"/>
      <c r="MFG1106" s="15"/>
      <c r="MFH1106" s="15"/>
      <c r="MFK1106" s="15"/>
      <c r="MFL1106" s="15"/>
      <c r="MFO1106" s="15"/>
      <c r="MFP1106" s="15"/>
      <c r="MFS1106" s="15"/>
      <c r="MFT1106" s="15"/>
      <c r="MFW1106" s="15"/>
      <c r="MFX1106" s="15"/>
      <c r="MGA1106" s="15"/>
      <c r="MGB1106" s="15"/>
      <c r="MGE1106" s="15"/>
      <c r="MGF1106" s="15"/>
      <c r="MGI1106" s="15"/>
      <c r="MGJ1106" s="15"/>
      <c r="MGM1106" s="15"/>
      <c r="MGN1106" s="15"/>
      <c r="MGQ1106" s="15"/>
      <c r="MGR1106" s="15"/>
      <c r="MGU1106" s="15"/>
      <c r="MGV1106" s="15"/>
      <c r="MGY1106" s="15"/>
      <c r="MGZ1106" s="15"/>
      <c r="MHC1106" s="15"/>
      <c r="MHD1106" s="15"/>
      <c r="MHG1106" s="15"/>
      <c r="MHH1106" s="15"/>
      <c r="MHK1106" s="15"/>
      <c r="MHL1106" s="15"/>
      <c r="MHO1106" s="15"/>
      <c r="MHP1106" s="15"/>
      <c r="MHS1106" s="15"/>
      <c r="MHT1106" s="15"/>
      <c r="MHW1106" s="15"/>
      <c r="MHX1106" s="15"/>
      <c r="MIA1106" s="15"/>
      <c r="MIB1106" s="15"/>
      <c r="MIE1106" s="15"/>
      <c r="MIF1106" s="15"/>
      <c r="MII1106" s="15"/>
      <c r="MIJ1106" s="15"/>
      <c r="MIM1106" s="15"/>
      <c r="MIN1106" s="15"/>
      <c r="MIQ1106" s="15"/>
      <c r="MIR1106" s="15"/>
      <c r="MIU1106" s="15"/>
      <c r="MIV1106" s="15"/>
      <c r="MIY1106" s="15"/>
      <c r="MIZ1106" s="15"/>
      <c r="MJC1106" s="15"/>
      <c r="MJD1106" s="15"/>
      <c r="MJG1106" s="15"/>
      <c r="MJH1106" s="15"/>
      <c r="MJK1106" s="15"/>
      <c r="MJL1106" s="15"/>
      <c r="MJO1106" s="15"/>
      <c r="MJP1106" s="15"/>
      <c r="MJS1106" s="15"/>
      <c r="MJT1106" s="15"/>
      <c r="MJW1106" s="15"/>
      <c r="MJX1106" s="15"/>
      <c r="MKA1106" s="15"/>
      <c r="MKB1106" s="15"/>
      <c r="MKE1106" s="15"/>
      <c r="MKF1106" s="15"/>
      <c r="MKI1106" s="15"/>
      <c r="MKJ1106" s="15"/>
      <c r="MKM1106" s="15"/>
      <c r="MKN1106" s="15"/>
      <c r="MKQ1106" s="15"/>
      <c r="MKR1106" s="15"/>
      <c r="MKU1106" s="15"/>
      <c r="MKV1106" s="15"/>
      <c r="MKY1106" s="15"/>
      <c r="MKZ1106" s="15"/>
      <c r="MLC1106" s="15"/>
      <c r="MLD1106" s="15"/>
      <c r="MLG1106" s="15"/>
      <c r="MLH1106" s="15"/>
      <c r="MLK1106" s="15"/>
      <c r="MLL1106" s="15"/>
      <c r="MLO1106" s="15"/>
      <c r="MLP1106" s="15"/>
      <c r="MLS1106" s="15"/>
      <c r="MLT1106" s="15"/>
      <c r="MLW1106" s="15"/>
      <c r="MLX1106" s="15"/>
      <c r="MMA1106" s="15"/>
      <c r="MMB1106" s="15"/>
      <c r="MME1106" s="15"/>
      <c r="MMF1106" s="15"/>
      <c r="MMI1106" s="15"/>
      <c r="MMJ1106" s="15"/>
      <c r="MMM1106" s="15"/>
      <c r="MMN1106" s="15"/>
      <c r="MMQ1106" s="15"/>
      <c r="MMR1106" s="15"/>
      <c r="MMU1106" s="15"/>
      <c r="MMV1106" s="15"/>
      <c r="MMY1106" s="15"/>
      <c r="MMZ1106" s="15"/>
      <c r="MNC1106" s="15"/>
      <c r="MND1106" s="15"/>
      <c r="MNG1106" s="15"/>
      <c r="MNH1106" s="15"/>
      <c r="MNK1106" s="15"/>
      <c r="MNL1106" s="15"/>
      <c r="MNO1106" s="15"/>
      <c r="MNP1106" s="15"/>
      <c r="MNS1106" s="15"/>
      <c r="MNT1106" s="15"/>
      <c r="MNW1106" s="15"/>
      <c r="MNX1106" s="15"/>
      <c r="MOA1106" s="15"/>
      <c r="MOB1106" s="15"/>
      <c r="MOE1106" s="15"/>
      <c r="MOF1106" s="15"/>
      <c r="MOI1106" s="15"/>
      <c r="MOJ1106" s="15"/>
      <c r="MOM1106" s="15"/>
      <c r="MON1106" s="15"/>
      <c r="MOQ1106" s="15"/>
      <c r="MOR1106" s="15"/>
      <c r="MOU1106" s="15"/>
      <c r="MOV1106" s="15"/>
      <c r="MOY1106" s="15"/>
      <c r="MOZ1106" s="15"/>
      <c r="MPC1106" s="15"/>
      <c r="MPD1106" s="15"/>
      <c r="MPG1106" s="15"/>
      <c r="MPH1106" s="15"/>
      <c r="MPK1106" s="15"/>
      <c r="MPL1106" s="15"/>
      <c r="MPO1106" s="15"/>
      <c r="MPP1106" s="15"/>
      <c r="MPS1106" s="15"/>
      <c r="MPT1106" s="15"/>
      <c r="MPW1106" s="15"/>
      <c r="MPX1106" s="15"/>
      <c r="MQA1106" s="15"/>
      <c r="MQB1106" s="15"/>
      <c r="MQE1106" s="15"/>
      <c r="MQF1106" s="15"/>
      <c r="MQI1106" s="15"/>
      <c r="MQJ1106" s="15"/>
      <c r="MQM1106" s="15"/>
      <c r="MQN1106" s="15"/>
      <c r="MQQ1106" s="15"/>
      <c r="MQR1106" s="15"/>
      <c r="MQU1106" s="15"/>
      <c r="MQV1106" s="15"/>
      <c r="MQY1106" s="15"/>
      <c r="MQZ1106" s="15"/>
      <c r="MRC1106" s="15"/>
      <c r="MRD1106" s="15"/>
      <c r="MRG1106" s="15"/>
      <c r="MRH1106" s="15"/>
      <c r="MRK1106" s="15"/>
      <c r="MRL1106" s="15"/>
      <c r="MRO1106" s="15"/>
      <c r="MRP1106" s="15"/>
      <c r="MRS1106" s="15"/>
      <c r="MRT1106" s="15"/>
      <c r="MRW1106" s="15"/>
      <c r="MRX1106" s="15"/>
      <c r="MSA1106" s="15"/>
      <c r="MSB1106" s="15"/>
      <c r="MSE1106" s="15"/>
      <c r="MSF1106" s="15"/>
      <c r="MSI1106" s="15"/>
      <c r="MSJ1106" s="15"/>
      <c r="MSM1106" s="15"/>
      <c r="MSN1106" s="15"/>
      <c r="MSQ1106" s="15"/>
      <c r="MSR1106" s="15"/>
      <c r="MSU1106" s="15"/>
      <c r="MSV1106" s="15"/>
      <c r="MSY1106" s="15"/>
      <c r="MSZ1106" s="15"/>
      <c r="MTC1106" s="15"/>
      <c r="MTD1106" s="15"/>
      <c r="MTG1106" s="15"/>
      <c r="MTH1106" s="15"/>
      <c r="MTK1106" s="15"/>
      <c r="MTL1106" s="15"/>
      <c r="MTO1106" s="15"/>
      <c r="MTP1106" s="15"/>
      <c r="MTS1106" s="15"/>
      <c r="MTT1106" s="15"/>
      <c r="MTW1106" s="15"/>
      <c r="MTX1106" s="15"/>
      <c r="MUA1106" s="15"/>
      <c r="MUB1106" s="15"/>
      <c r="MUE1106" s="15"/>
      <c r="MUF1106" s="15"/>
      <c r="MUI1106" s="15"/>
      <c r="MUJ1106" s="15"/>
      <c r="MUM1106" s="15"/>
      <c r="MUN1106" s="15"/>
      <c r="MUQ1106" s="15"/>
      <c r="MUR1106" s="15"/>
      <c r="MUU1106" s="15"/>
      <c r="MUV1106" s="15"/>
      <c r="MUY1106" s="15"/>
      <c r="MUZ1106" s="15"/>
      <c r="MVC1106" s="15"/>
      <c r="MVD1106" s="15"/>
      <c r="MVG1106" s="15"/>
      <c r="MVH1106" s="15"/>
      <c r="MVK1106" s="15"/>
      <c r="MVL1106" s="15"/>
      <c r="MVO1106" s="15"/>
      <c r="MVP1106" s="15"/>
      <c r="MVS1106" s="15"/>
      <c r="MVT1106" s="15"/>
      <c r="MVW1106" s="15"/>
      <c r="MVX1106" s="15"/>
      <c r="MWA1106" s="15"/>
      <c r="MWB1106" s="15"/>
      <c r="MWE1106" s="15"/>
      <c r="MWF1106" s="15"/>
      <c r="MWI1106" s="15"/>
      <c r="MWJ1106" s="15"/>
      <c r="MWM1106" s="15"/>
      <c r="MWN1106" s="15"/>
      <c r="MWQ1106" s="15"/>
      <c r="MWR1106" s="15"/>
      <c r="MWU1106" s="15"/>
      <c r="MWV1106" s="15"/>
      <c r="MWY1106" s="15"/>
      <c r="MWZ1106" s="15"/>
      <c r="MXC1106" s="15"/>
      <c r="MXD1106" s="15"/>
      <c r="MXG1106" s="15"/>
      <c r="MXH1106" s="15"/>
      <c r="MXK1106" s="15"/>
      <c r="MXL1106" s="15"/>
      <c r="MXO1106" s="15"/>
      <c r="MXP1106" s="15"/>
      <c r="MXS1106" s="15"/>
      <c r="MXT1106" s="15"/>
      <c r="MXW1106" s="15"/>
      <c r="MXX1106" s="15"/>
      <c r="MYA1106" s="15"/>
      <c r="MYB1106" s="15"/>
      <c r="MYE1106" s="15"/>
      <c r="MYF1106" s="15"/>
      <c r="MYI1106" s="15"/>
      <c r="MYJ1106" s="15"/>
      <c r="MYM1106" s="15"/>
      <c r="MYN1106" s="15"/>
      <c r="MYQ1106" s="15"/>
      <c r="MYR1106" s="15"/>
      <c r="MYU1106" s="15"/>
      <c r="MYV1106" s="15"/>
      <c r="MYY1106" s="15"/>
      <c r="MYZ1106" s="15"/>
      <c r="MZC1106" s="15"/>
      <c r="MZD1106" s="15"/>
      <c r="MZG1106" s="15"/>
      <c r="MZH1106" s="15"/>
      <c r="MZK1106" s="15"/>
      <c r="MZL1106" s="15"/>
      <c r="MZO1106" s="15"/>
      <c r="MZP1106" s="15"/>
      <c r="MZS1106" s="15"/>
      <c r="MZT1106" s="15"/>
      <c r="MZW1106" s="15"/>
      <c r="MZX1106" s="15"/>
      <c r="NAA1106" s="15"/>
      <c r="NAB1106" s="15"/>
      <c r="NAE1106" s="15"/>
      <c r="NAF1106" s="15"/>
      <c r="NAI1106" s="15"/>
      <c r="NAJ1106" s="15"/>
      <c r="NAM1106" s="15"/>
      <c r="NAN1106" s="15"/>
      <c r="NAQ1106" s="15"/>
      <c r="NAR1106" s="15"/>
      <c r="NAU1106" s="15"/>
      <c r="NAV1106" s="15"/>
      <c r="NAY1106" s="15"/>
      <c r="NAZ1106" s="15"/>
      <c r="NBC1106" s="15"/>
      <c r="NBD1106" s="15"/>
      <c r="NBG1106" s="15"/>
      <c r="NBH1106" s="15"/>
      <c r="NBK1106" s="15"/>
      <c r="NBL1106" s="15"/>
      <c r="NBO1106" s="15"/>
      <c r="NBP1106" s="15"/>
      <c r="NBS1106" s="15"/>
      <c r="NBT1106" s="15"/>
      <c r="NBW1106" s="15"/>
      <c r="NBX1106" s="15"/>
      <c r="NCA1106" s="15"/>
      <c r="NCB1106" s="15"/>
      <c r="NCE1106" s="15"/>
      <c r="NCF1106" s="15"/>
      <c r="NCI1106" s="15"/>
      <c r="NCJ1106" s="15"/>
      <c r="NCM1106" s="15"/>
      <c r="NCN1106" s="15"/>
      <c r="NCQ1106" s="15"/>
      <c r="NCR1106" s="15"/>
      <c r="NCU1106" s="15"/>
      <c r="NCV1106" s="15"/>
      <c r="NCY1106" s="15"/>
      <c r="NCZ1106" s="15"/>
      <c r="NDC1106" s="15"/>
      <c r="NDD1106" s="15"/>
      <c r="NDG1106" s="15"/>
      <c r="NDH1106" s="15"/>
      <c r="NDK1106" s="15"/>
      <c r="NDL1106" s="15"/>
      <c r="NDO1106" s="15"/>
      <c r="NDP1106" s="15"/>
      <c r="NDS1106" s="15"/>
      <c r="NDT1106" s="15"/>
      <c r="NDW1106" s="15"/>
      <c r="NDX1106" s="15"/>
      <c r="NEA1106" s="15"/>
      <c r="NEB1106" s="15"/>
      <c r="NEE1106" s="15"/>
      <c r="NEF1106" s="15"/>
      <c r="NEI1106" s="15"/>
      <c r="NEJ1106" s="15"/>
      <c r="NEM1106" s="15"/>
      <c r="NEN1106" s="15"/>
      <c r="NEQ1106" s="15"/>
      <c r="NER1106" s="15"/>
      <c r="NEU1106" s="15"/>
      <c r="NEV1106" s="15"/>
      <c r="NEY1106" s="15"/>
      <c r="NEZ1106" s="15"/>
      <c r="NFC1106" s="15"/>
      <c r="NFD1106" s="15"/>
      <c r="NFG1106" s="15"/>
      <c r="NFH1106" s="15"/>
      <c r="NFK1106" s="15"/>
      <c r="NFL1106" s="15"/>
      <c r="NFO1106" s="15"/>
      <c r="NFP1106" s="15"/>
      <c r="NFS1106" s="15"/>
      <c r="NFT1106" s="15"/>
      <c r="NFW1106" s="15"/>
      <c r="NFX1106" s="15"/>
      <c r="NGA1106" s="15"/>
      <c r="NGB1106" s="15"/>
      <c r="NGE1106" s="15"/>
      <c r="NGF1106" s="15"/>
      <c r="NGI1106" s="15"/>
      <c r="NGJ1106" s="15"/>
      <c r="NGM1106" s="15"/>
      <c r="NGN1106" s="15"/>
      <c r="NGQ1106" s="15"/>
      <c r="NGR1106" s="15"/>
      <c r="NGU1106" s="15"/>
      <c r="NGV1106" s="15"/>
      <c r="NGY1106" s="15"/>
      <c r="NGZ1106" s="15"/>
      <c r="NHC1106" s="15"/>
      <c r="NHD1106" s="15"/>
      <c r="NHG1106" s="15"/>
      <c r="NHH1106" s="15"/>
      <c r="NHK1106" s="15"/>
      <c r="NHL1106" s="15"/>
      <c r="NHO1106" s="15"/>
      <c r="NHP1106" s="15"/>
      <c r="NHS1106" s="15"/>
      <c r="NHT1106" s="15"/>
      <c r="NHW1106" s="15"/>
      <c r="NHX1106" s="15"/>
      <c r="NIA1106" s="15"/>
      <c r="NIB1106" s="15"/>
      <c r="NIE1106" s="15"/>
      <c r="NIF1106" s="15"/>
      <c r="NII1106" s="15"/>
      <c r="NIJ1106" s="15"/>
      <c r="NIM1106" s="15"/>
      <c r="NIN1106" s="15"/>
      <c r="NIQ1106" s="15"/>
      <c r="NIR1106" s="15"/>
      <c r="NIU1106" s="15"/>
      <c r="NIV1106" s="15"/>
      <c r="NIY1106" s="15"/>
      <c r="NIZ1106" s="15"/>
      <c r="NJC1106" s="15"/>
      <c r="NJD1106" s="15"/>
      <c r="NJG1106" s="15"/>
      <c r="NJH1106" s="15"/>
      <c r="NJK1106" s="15"/>
      <c r="NJL1106" s="15"/>
      <c r="NJO1106" s="15"/>
      <c r="NJP1106" s="15"/>
      <c r="NJS1106" s="15"/>
      <c r="NJT1106" s="15"/>
      <c r="NJW1106" s="15"/>
      <c r="NJX1106" s="15"/>
      <c r="NKA1106" s="15"/>
      <c r="NKB1106" s="15"/>
      <c r="NKE1106" s="15"/>
      <c r="NKF1106" s="15"/>
      <c r="NKI1106" s="15"/>
      <c r="NKJ1106" s="15"/>
      <c r="NKM1106" s="15"/>
      <c r="NKN1106" s="15"/>
      <c r="NKQ1106" s="15"/>
      <c r="NKR1106" s="15"/>
      <c r="NKU1106" s="15"/>
      <c r="NKV1106" s="15"/>
      <c r="NKY1106" s="15"/>
      <c r="NKZ1106" s="15"/>
      <c r="NLC1106" s="15"/>
      <c r="NLD1106" s="15"/>
      <c r="NLG1106" s="15"/>
      <c r="NLH1106" s="15"/>
      <c r="NLK1106" s="15"/>
      <c r="NLL1106" s="15"/>
      <c r="NLO1106" s="15"/>
      <c r="NLP1106" s="15"/>
      <c r="NLS1106" s="15"/>
      <c r="NLT1106" s="15"/>
      <c r="NLW1106" s="15"/>
      <c r="NLX1106" s="15"/>
      <c r="NMA1106" s="15"/>
      <c r="NMB1106" s="15"/>
      <c r="NME1106" s="15"/>
      <c r="NMF1106" s="15"/>
      <c r="NMI1106" s="15"/>
      <c r="NMJ1106" s="15"/>
      <c r="NMM1106" s="15"/>
      <c r="NMN1106" s="15"/>
      <c r="NMQ1106" s="15"/>
      <c r="NMR1106" s="15"/>
      <c r="NMU1106" s="15"/>
      <c r="NMV1106" s="15"/>
      <c r="NMY1106" s="15"/>
      <c r="NMZ1106" s="15"/>
      <c r="NNC1106" s="15"/>
      <c r="NND1106" s="15"/>
      <c r="NNG1106" s="15"/>
      <c r="NNH1106" s="15"/>
      <c r="NNK1106" s="15"/>
      <c r="NNL1106" s="15"/>
      <c r="NNO1106" s="15"/>
      <c r="NNP1106" s="15"/>
      <c r="NNS1106" s="15"/>
      <c r="NNT1106" s="15"/>
      <c r="NNW1106" s="15"/>
      <c r="NNX1106" s="15"/>
      <c r="NOA1106" s="15"/>
      <c r="NOB1106" s="15"/>
      <c r="NOE1106" s="15"/>
      <c r="NOF1106" s="15"/>
      <c r="NOI1106" s="15"/>
      <c r="NOJ1106" s="15"/>
      <c r="NOM1106" s="15"/>
      <c r="NON1106" s="15"/>
      <c r="NOQ1106" s="15"/>
      <c r="NOR1106" s="15"/>
      <c r="NOU1106" s="15"/>
      <c r="NOV1106" s="15"/>
      <c r="NOY1106" s="15"/>
      <c r="NOZ1106" s="15"/>
      <c r="NPC1106" s="15"/>
      <c r="NPD1106" s="15"/>
      <c r="NPG1106" s="15"/>
      <c r="NPH1106" s="15"/>
      <c r="NPK1106" s="15"/>
      <c r="NPL1106" s="15"/>
      <c r="NPO1106" s="15"/>
      <c r="NPP1106" s="15"/>
      <c r="NPS1106" s="15"/>
      <c r="NPT1106" s="15"/>
      <c r="NPW1106" s="15"/>
      <c r="NPX1106" s="15"/>
      <c r="NQA1106" s="15"/>
      <c r="NQB1106" s="15"/>
      <c r="NQE1106" s="15"/>
      <c r="NQF1106" s="15"/>
      <c r="NQI1106" s="15"/>
      <c r="NQJ1106" s="15"/>
      <c r="NQM1106" s="15"/>
      <c r="NQN1106" s="15"/>
      <c r="NQQ1106" s="15"/>
      <c r="NQR1106" s="15"/>
      <c r="NQU1106" s="15"/>
      <c r="NQV1106" s="15"/>
      <c r="NQY1106" s="15"/>
      <c r="NQZ1106" s="15"/>
      <c r="NRC1106" s="15"/>
      <c r="NRD1106" s="15"/>
      <c r="NRG1106" s="15"/>
      <c r="NRH1106" s="15"/>
      <c r="NRK1106" s="15"/>
      <c r="NRL1106" s="15"/>
      <c r="NRO1106" s="15"/>
      <c r="NRP1106" s="15"/>
      <c r="NRS1106" s="15"/>
      <c r="NRT1106" s="15"/>
      <c r="NRW1106" s="15"/>
      <c r="NRX1106" s="15"/>
      <c r="NSA1106" s="15"/>
      <c r="NSB1106" s="15"/>
      <c r="NSE1106" s="15"/>
      <c r="NSF1106" s="15"/>
      <c r="NSI1106" s="15"/>
      <c r="NSJ1106" s="15"/>
      <c r="NSM1106" s="15"/>
      <c r="NSN1106" s="15"/>
      <c r="NSQ1106" s="15"/>
      <c r="NSR1106" s="15"/>
      <c r="NSU1106" s="15"/>
      <c r="NSV1106" s="15"/>
      <c r="NSY1106" s="15"/>
      <c r="NSZ1106" s="15"/>
      <c r="NTC1106" s="15"/>
      <c r="NTD1106" s="15"/>
      <c r="NTG1106" s="15"/>
      <c r="NTH1106" s="15"/>
      <c r="NTK1106" s="15"/>
      <c r="NTL1106" s="15"/>
      <c r="NTO1106" s="15"/>
      <c r="NTP1106" s="15"/>
      <c r="NTS1106" s="15"/>
      <c r="NTT1106" s="15"/>
      <c r="NTW1106" s="15"/>
      <c r="NTX1106" s="15"/>
      <c r="NUA1106" s="15"/>
      <c r="NUB1106" s="15"/>
      <c r="NUE1106" s="15"/>
      <c r="NUF1106" s="15"/>
      <c r="NUI1106" s="15"/>
      <c r="NUJ1106" s="15"/>
      <c r="NUM1106" s="15"/>
      <c r="NUN1106" s="15"/>
      <c r="NUQ1106" s="15"/>
      <c r="NUR1106" s="15"/>
      <c r="NUU1106" s="15"/>
      <c r="NUV1106" s="15"/>
      <c r="NUY1106" s="15"/>
      <c r="NUZ1106" s="15"/>
      <c r="NVC1106" s="15"/>
      <c r="NVD1106" s="15"/>
      <c r="NVG1106" s="15"/>
      <c r="NVH1106" s="15"/>
      <c r="NVK1106" s="15"/>
      <c r="NVL1106" s="15"/>
      <c r="NVO1106" s="15"/>
      <c r="NVP1106" s="15"/>
      <c r="NVS1106" s="15"/>
      <c r="NVT1106" s="15"/>
      <c r="NVW1106" s="15"/>
      <c r="NVX1106" s="15"/>
      <c r="NWA1106" s="15"/>
      <c r="NWB1106" s="15"/>
      <c r="NWE1106" s="15"/>
      <c r="NWF1106" s="15"/>
      <c r="NWI1106" s="15"/>
      <c r="NWJ1106" s="15"/>
      <c r="NWM1106" s="15"/>
      <c r="NWN1106" s="15"/>
      <c r="NWQ1106" s="15"/>
      <c r="NWR1106" s="15"/>
      <c r="NWU1106" s="15"/>
      <c r="NWV1106" s="15"/>
      <c r="NWY1106" s="15"/>
      <c r="NWZ1106" s="15"/>
      <c r="NXC1106" s="15"/>
      <c r="NXD1106" s="15"/>
      <c r="NXG1106" s="15"/>
      <c r="NXH1106" s="15"/>
      <c r="NXK1106" s="15"/>
      <c r="NXL1106" s="15"/>
      <c r="NXO1106" s="15"/>
      <c r="NXP1106" s="15"/>
      <c r="NXS1106" s="15"/>
      <c r="NXT1106" s="15"/>
      <c r="NXW1106" s="15"/>
      <c r="NXX1106" s="15"/>
      <c r="NYA1106" s="15"/>
      <c r="NYB1106" s="15"/>
      <c r="NYE1106" s="15"/>
      <c r="NYF1106" s="15"/>
      <c r="NYI1106" s="15"/>
      <c r="NYJ1106" s="15"/>
      <c r="NYM1106" s="15"/>
      <c r="NYN1106" s="15"/>
      <c r="NYQ1106" s="15"/>
      <c r="NYR1106" s="15"/>
      <c r="NYU1106" s="15"/>
      <c r="NYV1106" s="15"/>
      <c r="NYY1106" s="15"/>
      <c r="NYZ1106" s="15"/>
      <c r="NZC1106" s="15"/>
      <c r="NZD1106" s="15"/>
      <c r="NZG1106" s="15"/>
      <c r="NZH1106" s="15"/>
      <c r="NZK1106" s="15"/>
      <c r="NZL1106" s="15"/>
      <c r="NZO1106" s="15"/>
      <c r="NZP1106" s="15"/>
      <c r="NZS1106" s="15"/>
      <c r="NZT1106" s="15"/>
      <c r="NZW1106" s="15"/>
      <c r="NZX1106" s="15"/>
      <c r="OAA1106" s="15"/>
      <c r="OAB1106" s="15"/>
      <c r="OAE1106" s="15"/>
      <c r="OAF1106" s="15"/>
      <c r="OAI1106" s="15"/>
      <c r="OAJ1106" s="15"/>
      <c r="OAM1106" s="15"/>
      <c r="OAN1106" s="15"/>
      <c r="OAQ1106" s="15"/>
      <c r="OAR1106" s="15"/>
      <c r="OAU1106" s="15"/>
      <c r="OAV1106" s="15"/>
      <c r="OAY1106" s="15"/>
      <c r="OAZ1106" s="15"/>
      <c r="OBC1106" s="15"/>
      <c r="OBD1106" s="15"/>
      <c r="OBG1106" s="15"/>
      <c r="OBH1106" s="15"/>
      <c r="OBK1106" s="15"/>
      <c r="OBL1106" s="15"/>
      <c r="OBO1106" s="15"/>
      <c r="OBP1106" s="15"/>
      <c r="OBS1106" s="15"/>
      <c r="OBT1106" s="15"/>
      <c r="OBW1106" s="15"/>
      <c r="OBX1106" s="15"/>
      <c r="OCA1106" s="15"/>
      <c r="OCB1106" s="15"/>
      <c r="OCE1106" s="15"/>
      <c r="OCF1106" s="15"/>
      <c r="OCI1106" s="15"/>
      <c r="OCJ1106" s="15"/>
      <c r="OCM1106" s="15"/>
      <c r="OCN1106" s="15"/>
      <c r="OCQ1106" s="15"/>
      <c r="OCR1106" s="15"/>
      <c r="OCU1106" s="15"/>
      <c r="OCV1106" s="15"/>
      <c r="OCY1106" s="15"/>
      <c r="OCZ1106" s="15"/>
      <c r="ODC1106" s="15"/>
      <c r="ODD1106" s="15"/>
      <c r="ODG1106" s="15"/>
      <c r="ODH1106" s="15"/>
      <c r="ODK1106" s="15"/>
      <c r="ODL1106" s="15"/>
      <c r="ODO1106" s="15"/>
      <c r="ODP1106" s="15"/>
      <c r="ODS1106" s="15"/>
      <c r="ODT1106" s="15"/>
      <c r="ODW1106" s="15"/>
      <c r="ODX1106" s="15"/>
      <c r="OEA1106" s="15"/>
      <c r="OEB1106" s="15"/>
      <c r="OEE1106" s="15"/>
      <c r="OEF1106" s="15"/>
      <c r="OEI1106" s="15"/>
      <c r="OEJ1106" s="15"/>
      <c r="OEM1106" s="15"/>
      <c r="OEN1106" s="15"/>
      <c r="OEQ1106" s="15"/>
      <c r="OER1106" s="15"/>
      <c r="OEU1106" s="15"/>
      <c r="OEV1106" s="15"/>
      <c r="OEY1106" s="15"/>
      <c r="OEZ1106" s="15"/>
      <c r="OFC1106" s="15"/>
      <c r="OFD1106" s="15"/>
      <c r="OFG1106" s="15"/>
      <c r="OFH1106" s="15"/>
      <c r="OFK1106" s="15"/>
      <c r="OFL1106" s="15"/>
      <c r="OFO1106" s="15"/>
      <c r="OFP1106" s="15"/>
      <c r="OFS1106" s="15"/>
      <c r="OFT1106" s="15"/>
      <c r="OFW1106" s="15"/>
      <c r="OFX1106" s="15"/>
      <c r="OGA1106" s="15"/>
      <c r="OGB1106" s="15"/>
      <c r="OGE1106" s="15"/>
      <c r="OGF1106" s="15"/>
      <c r="OGI1106" s="15"/>
      <c r="OGJ1106" s="15"/>
      <c r="OGM1106" s="15"/>
      <c r="OGN1106" s="15"/>
      <c r="OGQ1106" s="15"/>
      <c r="OGR1106" s="15"/>
      <c r="OGU1106" s="15"/>
      <c r="OGV1106" s="15"/>
      <c r="OGY1106" s="15"/>
      <c r="OGZ1106" s="15"/>
      <c r="OHC1106" s="15"/>
      <c r="OHD1106" s="15"/>
      <c r="OHG1106" s="15"/>
      <c r="OHH1106" s="15"/>
      <c r="OHK1106" s="15"/>
      <c r="OHL1106" s="15"/>
      <c r="OHO1106" s="15"/>
      <c r="OHP1106" s="15"/>
      <c r="OHS1106" s="15"/>
      <c r="OHT1106" s="15"/>
      <c r="OHW1106" s="15"/>
      <c r="OHX1106" s="15"/>
      <c r="OIA1106" s="15"/>
      <c r="OIB1106" s="15"/>
      <c r="OIE1106" s="15"/>
      <c r="OIF1106" s="15"/>
      <c r="OII1106" s="15"/>
      <c r="OIJ1106" s="15"/>
      <c r="OIM1106" s="15"/>
      <c r="OIN1106" s="15"/>
      <c r="OIQ1106" s="15"/>
      <c r="OIR1106" s="15"/>
      <c r="OIU1106" s="15"/>
      <c r="OIV1106" s="15"/>
      <c r="OIY1106" s="15"/>
      <c r="OIZ1106" s="15"/>
      <c r="OJC1106" s="15"/>
      <c r="OJD1106" s="15"/>
      <c r="OJG1106" s="15"/>
      <c r="OJH1106" s="15"/>
      <c r="OJK1106" s="15"/>
      <c r="OJL1106" s="15"/>
      <c r="OJO1106" s="15"/>
      <c r="OJP1106" s="15"/>
      <c r="OJS1106" s="15"/>
      <c r="OJT1106" s="15"/>
      <c r="OJW1106" s="15"/>
      <c r="OJX1106" s="15"/>
      <c r="OKA1106" s="15"/>
      <c r="OKB1106" s="15"/>
      <c r="OKE1106" s="15"/>
      <c r="OKF1106" s="15"/>
      <c r="OKI1106" s="15"/>
      <c r="OKJ1106" s="15"/>
      <c r="OKM1106" s="15"/>
      <c r="OKN1106" s="15"/>
      <c r="OKQ1106" s="15"/>
      <c r="OKR1106" s="15"/>
      <c r="OKU1106" s="15"/>
      <c r="OKV1106" s="15"/>
      <c r="OKY1106" s="15"/>
      <c r="OKZ1106" s="15"/>
      <c r="OLC1106" s="15"/>
      <c r="OLD1106" s="15"/>
      <c r="OLG1106" s="15"/>
      <c r="OLH1106" s="15"/>
      <c r="OLK1106" s="15"/>
      <c r="OLL1106" s="15"/>
      <c r="OLO1106" s="15"/>
      <c r="OLP1106" s="15"/>
      <c r="OLS1106" s="15"/>
      <c r="OLT1106" s="15"/>
      <c r="OLW1106" s="15"/>
      <c r="OLX1106" s="15"/>
      <c r="OMA1106" s="15"/>
      <c r="OMB1106" s="15"/>
      <c r="OME1106" s="15"/>
      <c r="OMF1106" s="15"/>
      <c r="OMI1106" s="15"/>
      <c r="OMJ1106" s="15"/>
      <c r="OMM1106" s="15"/>
      <c r="OMN1106" s="15"/>
      <c r="OMQ1106" s="15"/>
      <c r="OMR1106" s="15"/>
      <c r="OMU1106" s="15"/>
      <c r="OMV1106" s="15"/>
      <c r="OMY1106" s="15"/>
      <c r="OMZ1106" s="15"/>
      <c r="ONC1106" s="15"/>
      <c r="OND1106" s="15"/>
      <c r="ONG1106" s="15"/>
      <c r="ONH1106" s="15"/>
      <c r="ONK1106" s="15"/>
      <c r="ONL1106" s="15"/>
      <c r="ONO1106" s="15"/>
      <c r="ONP1106" s="15"/>
      <c r="ONS1106" s="15"/>
      <c r="ONT1106" s="15"/>
      <c r="ONW1106" s="15"/>
      <c r="ONX1106" s="15"/>
      <c r="OOA1106" s="15"/>
      <c r="OOB1106" s="15"/>
      <c r="OOE1106" s="15"/>
      <c r="OOF1106" s="15"/>
      <c r="OOI1106" s="15"/>
      <c r="OOJ1106" s="15"/>
      <c r="OOM1106" s="15"/>
      <c r="OON1106" s="15"/>
      <c r="OOQ1106" s="15"/>
      <c r="OOR1106" s="15"/>
      <c r="OOU1106" s="15"/>
      <c r="OOV1106" s="15"/>
      <c r="OOY1106" s="15"/>
      <c r="OOZ1106" s="15"/>
      <c r="OPC1106" s="15"/>
      <c r="OPD1106" s="15"/>
      <c r="OPG1106" s="15"/>
      <c r="OPH1106" s="15"/>
      <c r="OPK1106" s="15"/>
      <c r="OPL1106" s="15"/>
      <c r="OPO1106" s="15"/>
      <c r="OPP1106" s="15"/>
      <c r="OPS1106" s="15"/>
      <c r="OPT1106" s="15"/>
      <c r="OPW1106" s="15"/>
      <c r="OPX1106" s="15"/>
      <c r="OQA1106" s="15"/>
      <c r="OQB1106" s="15"/>
      <c r="OQE1106" s="15"/>
      <c r="OQF1106" s="15"/>
      <c r="OQI1106" s="15"/>
      <c r="OQJ1106" s="15"/>
      <c r="OQM1106" s="15"/>
      <c r="OQN1106" s="15"/>
      <c r="OQQ1106" s="15"/>
      <c r="OQR1106" s="15"/>
      <c r="OQU1106" s="15"/>
      <c r="OQV1106" s="15"/>
      <c r="OQY1106" s="15"/>
      <c r="OQZ1106" s="15"/>
      <c r="ORC1106" s="15"/>
      <c r="ORD1106" s="15"/>
      <c r="ORG1106" s="15"/>
      <c r="ORH1106" s="15"/>
      <c r="ORK1106" s="15"/>
      <c r="ORL1106" s="15"/>
      <c r="ORO1106" s="15"/>
      <c r="ORP1106" s="15"/>
      <c r="ORS1106" s="15"/>
      <c r="ORT1106" s="15"/>
      <c r="ORW1106" s="15"/>
      <c r="ORX1106" s="15"/>
      <c r="OSA1106" s="15"/>
      <c r="OSB1106" s="15"/>
      <c r="OSE1106" s="15"/>
      <c r="OSF1106" s="15"/>
      <c r="OSI1106" s="15"/>
      <c r="OSJ1106" s="15"/>
      <c r="OSM1106" s="15"/>
      <c r="OSN1106" s="15"/>
      <c r="OSQ1106" s="15"/>
      <c r="OSR1106" s="15"/>
      <c r="OSU1106" s="15"/>
      <c r="OSV1106" s="15"/>
      <c r="OSY1106" s="15"/>
      <c r="OSZ1106" s="15"/>
      <c r="OTC1106" s="15"/>
      <c r="OTD1106" s="15"/>
      <c r="OTG1106" s="15"/>
      <c r="OTH1106" s="15"/>
      <c r="OTK1106" s="15"/>
      <c r="OTL1106" s="15"/>
      <c r="OTO1106" s="15"/>
      <c r="OTP1106" s="15"/>
      <c r="OTS1106" s="15"/>
      <c r="OTT1106" s="15"/>
      <c r="OTW1106" s="15"/>
      <c r="OTX1106" s="15"/>
      <c r="OUA1106" s="15"/>
      <c r="OUB1106" s="15"/>
      <c r="OUE1106" s="15"/>
      <c r="OUF1106" s="15"/>
      <c r="OUI1106" s="15"/>
      <c r="OUJ1106" s="15"/>
      <c r="OUM1106" s="15"/>
      <c r="OUN1106" s="15"/>
      <c r="OUQ1106" s="15"/>
      <c r="OUR1106" s="15"/>
      <c r="OUU1106" s="15"/>
      <c r="OUV1106" s="15"/>
      <c r="OUY1106" s="15"/>
      <c r="OUZ1106" s="15"/>
      <c r="OVC1106" s="15"/>
      <c r="OVD1106" s="15"/>
      <c r="OVG1106" s="15"/>
      <c r="OVH1106" s="15"/>
      <c r="OVK1106" s="15"/>
      <c r="OVL1106" s="15"/>
      <c r="OVO1106" s="15"/>
      <c r="OVP1106" s="15"/>
      <c r="OVS1106" s="15"/>
      <c r="OVT1106" s="15"/>
      <c r="OVW1106" s="15"/>
      <c r="OVX1106" s="15"/>
      <c r="OWA1106" s="15"/>
      <c r="OWB1106" s="15"/>
      <c r="OWE1106" s="15"/>
      <c r="OWF1106" s="15"/>
      <c r="OWI1106" s="15"/>
      <c r="OWJ1106" s="15"/>
      <c r="OWM1106" s="15"/>
      <c r="OWN1106" s="15"/>
      <c r="OWQ1106" s="15"/>
      <c r="OWR1106" s="15"/>
      <c r="OWU1106" s="15"/>
      <c r="OWV1106" s="15"/>
      <c r="OWY1106" s="15"/>
      <c r="OWZ1106" s="15"/>
      <c r="OXC1106" s="15"/>
      <c r="OXD1106" s="15"/>
      <c r="OXG1106" s="15"/>
      <c r="OXH1106" s="15"/>
      <c r="OXK1106" s="15"/>
      <c r="OXL1106" s="15"/>
      <c r="OXO1106" s="15"/>
      <c r="OXP1106" s="15"/>
      <c r="OXS1106" s="15"/>
      <c r="OXT1106" s="15"/>
      <c r="OXW1106" s="15"/>
      <c r="OXX1106" s="15"/>
      <c r="OYA1106" s="15"/>
      <c r="OYB1106" s="15"/>
      <c r="OYE1106" s="15"/>
      <c r="OYF1106" s="15"/>
      <c r="OYI1106" s="15"/>
      <c r="OYJ1106" s="15"/>
      <c r="OYM1106" s="15"/>
      <c r="OYN1106" s="15"/>
      <c r="OYQ1106" s="15"/>
      <c r="OYR1106" s="15"/>
      <c r="OYU1106" s="15"/>
      <c r="OYV1106" s="15"/>
      <c r="OYY1106" s="15"/>
      <c r="OYZ1106" s="15"/>
      <c r="OZC1106" s="15"/>
      <c r="OZD1106" s="15"/>
      <c r="OZG1106" s="15"/>
      <c r="OZH1106" s="15"/>
      <c r="OZK1106" s="15"/>
      <c r="OZL1106" s="15"/>
      <c r="OZO1106" s="15"/>
      <c r="OZP1106" s="15"/>
      <c r="OZS1106" s="15"/>
      <c r="OZT1106" s="15"/>
      <c r="OZW1106" s="15"/>
      <c r="OZX1106" s="15"/>
      <c r="PAA1106" s="15"/>
      <c r="PAB1106" s="15"/>
      <c r="PAE1106" s="15"/>
      <c r="PAF1106" s="15"/>
      <c r="PAI1106" s="15"/>
      <c r="PAJ1106" s="15"/>
      <c r="PAM1106" s="15"/>
      <c r="PAN1106" s="15"/>
      <c r="PAQ1106" s="15"/>
      <c r="PAR1106" s="15"/>
      <c r="PAU1106" s="15"/>
      <c r="PAV1106" s="15"/>
      <c r="PAY1106" s="15"/>
      <c r="PAZ1106" s="15"/>
      <c r="PBC1106" s="15"/>
      <c r="PBD1106" s="15"/>
      <c r="PBG1106" s="15"/>
      <c r="PBH1106" s="15"/>
      <c r="PBK1106" s="15"/>
      <c r="PBL1106" s="15"/>
      <c r="PBO1106" s="15"/>
      <c r="PBP1106" s="15"/>
      <c r="PBS1106" s="15"/>
      <c r="PBT1106" s="15"/>
      <c r="PBW1106" s="15"/>
      <c r="PBX1106" s="15"/>
      <c r="PCA1106" s="15"/>
      <c r="PCB1106" s="15"/>
      <c r="PCE1106" s="15"/>
      <c r="PCF1106" s="15"/>
      <c r="PCI1106" s="15"/>
      <c r="PCJ1106" s="15"/>
      <c r="PCM1106" s="15"/>
      <c r="PCN1106" s="15"/>
      <c r="PCQ1106" s="15"/>
      <c r="PCR1106" s="15"/>
      <c r="PCU1106" s="15"/>
      <c r="PCV1106" s="15"/>
      <c r="PCY1106" s="15"/>
      <c r="PCZ1106" s="15"/>
      <c r="PDC1106" s="15"/>
      <c r="PDD1106" s="15"/>
      <c r="PDG1106" s="15"/>
      <c r="PDH1106" s="15"/>
      <c r="PDK1106" s="15"/>
      <c r="PDL1106" s="15"/>
      <c r="PDO1106" s="15"/>
      <c r="PDP1106" s="15"/>
      <c r="PDS1106" s="15"/>
      <c r="PDT1106" s="15"/>
      <c r="PDW1106" s="15"/>
      <c r="PDX1106" s="15"/>
      <c r="PEA1106" s="15"/>
      <c r="PEB1106" s="15"/>
      <c r="PEE1106" s="15"/>
      <c r="PEF1106" s="15"/>
      <c r="PEI1106" s="15"/>
      <c r="PEJ1106" s="15"/>
      <c r="PEM1106" s="15"/>
      <c r="PEN1106" s="15"/>
      <c r="PEQ1106" s="15"/>
      <c r="PER1106" s="15"/>
      <c r="PEU1106" s="15"/>
      <c r="PEV1106" s="15"/>
      <c r="PEY1106" s="15"/>
      <c r="PEZ1106" s="15"/>
      <c r="PFC1106" s="15"/>
      <c r="PFD1106" s="15"/>
      <c r="PFG1106" s="15"/>
      <c r="PFH1106" s="15"/>
      <c r="PFK1106" s="15"/>
      <c r="PFL1106" s="15"/>
      <c r="PFO1106" s="15"/>
      <c r="PFP1106" s="15"/>
      <c r="PFS1106" s="15"/>
      <c r="PFT1106" s="15"/>
      <c r="PFW1106" s="15"/>
      <c r="PFX1106" s="15"/>
      <c r="PGA1106" s="15"/>
      <c r="PGB1106" s="15"/>
      <c r="PGE1106" s="15"/>
      <c r="PGF1106" s="15"/>
      <c r="PGI1106" s="15"/>
      <c r="PGJ1106" s="15"/>
      <c r="PGM1106" s="15"/>
      <c r="PGN1106" s="15"/>
      <c r="PGQ1106" s="15"/>
      <c r="PGR1106" s="15"/>
      <c r="PGU1106" s="15"/>
      <c r="PGV1106" s="15"/>
      <c r="PGY1106" s="15"/>
      <c r="PGZ1106" s="15"/>
      <c r="PHC1106" s="15"/>
      <c r="PHD1106" s="15"/>
      <c r="PHG1106" s="15"/>
      <c r="PHH1106" s="15"/>
      <c r="PHK1106" s="15"/>
      <c r="PHL1106" s="15"/>
      <c r="PHO1106" s="15"/>
      <c r="PHP1106" s="15"/>
      <c r="PHS1106" s="15"/>
      <c r="PHT1106" s="15"/>
      <c r="PHW1106" s="15"/>
      <c r="PHX1106" s="15"/>
      <c r="PIA1106" s="15"/>
      <c r="PIB1106" s="15"/>
      <c r="PIE1106" s="15"/>
      <c r="PIF1106" s="15"/>
      <c r="PII1106" s="15"/>
      <c r="PIJ1106" s="15"/>
      <c r="PIM1106" s="15"/>
      <c r="PIN1106" s="15"/>
      <c r="PIQ1106" s="15"/>
      <c r="PIR1106" s="15"/>
      <c r="PIU1106" s="15"/>
      <c r="PIV1106" s="15"/>
      <c r="PIY1106" s="15"/>
      <c r="PIZ1106" s="15"/>
      <c r="PJC1106" s="15"/>
      <c r="PJD1106" s="15"/>
      <c r="PJG1106" s="15"/>
      <c r="PJH1106" s="15"/>
      <c r="PJK1106" s="15"/>
      <c r="PJL1106" s="15"/>
      <c r="PJO1106" s="15"/>
      <c r="PJP1106" s="15"/>
      <c r="PJS1106" s="15"/>
      <c r="PJT1106" s="15"/>
      <c r="PJW1106" s="15"/>
      <c r="PJX1106" s="15"/>
      <c r="PKA1106" s="15"/>
      <c r="PKB1106" s="15"/>
      <c r="PKE1106" s="15"/>
      <c r="PKF1106" s="15"/>
      <c r="PKI1106" s="15"/>
      <c r="PKJ1106" s="15"/>
      <c r="PKM1106" s="15"/>
      <c r="PKN1106" s="15"/>
      <c r="PKQ1106" s="15"/>
      <c r="PKR1106" s="15"/>
      <c r="PKU1106" s="15"/>
      <c r="PKV1106" s="15"/>
      <c r="PKY1106" s="15"/>
      <c r="PKZ1106" s="15"/>
      <c r="PLC1106" s="15"/>
      <c r="PLD1106" s="15"/>
      <c r="PLG1106" s="15"/>
      <c r="PLH1106" s="15"/>
      <c r="PLK1106" s="15"/>
      <c r="PLL1106" s="15"/>
      <c r="PLO1106" s="15"/>
      <c r="PLP1106" s="15"/>
      <c r="PLS1106" s="15"/>
      <c r="PLT1106" s="15"/>
      <c r="PLW1106" s="15"/>
      <c r="PLX1106" s="15"/>
      <c r="PMA1106" s="15"/>
      <c r="PMB1106" s="15"/>
      <c r="PME1106" s="15"/>
      <c r="PMF1106" s="15"/>
      <c r="PMI1106" s="15"/>
      <c r="PMJ1106" s="15"/>
      <c r="PMM1106" s="15"/>
      <c r="PMN1106" s="15"/>
      <c r="PMQ1106" s="15"/>
      <c r="PMR1106" s="15"/>
      <c r="PMU1106" s="15"/>
      <c r="PMV1106" s="15"/>
      <c r="PMY1106" s="15"/>
      <c r="PMZ1106" s="15"/>
      <c r="PNC1106" s="15"/>
      <c r="PND1106" s="15"/>
      <c r="PNG1106" s="15"/>
      <c r="PNH1106" s="15"/>
      <c r="PNK1106" s="15"/>
      <c r="PNL1106" s="15"/>
      <c r="PNO1106" s="15"/>
      <c r="PNP1106" s="15"/>
      <c r="PNS1106" s="15"/>
      <c r="PNT1106" s="15"/>
      <c r="PNW1106" s="15"/>
      <c r="PNX1106" s="15"/>
      <c r="POA1106" s="15"/>
      <c r="POB1106" s="15"/>
      <c r="POE1106" s="15"/>
      <c r="POF1106" s="15"/>
      <c r="POI1106" s="15"/>
      <c r="POJ1106" s="15"/>
      <c r="POM1106" s="15"/>
      <c r="PON1106" s="15"/>
      <c r="POQ1106" s="15"/>
      <c r="POR1106" s="15"/>
      <c r="POU1106" s="15"/>
      <c r="POV1106" s="15"/>
      <c r="POY1106" s="15"/>
      <c r="POZ1106" s="15"/>
      <c r="PPC1106" s="15"/>
      <c r="PPD1106" s="15"/>
      <c r="PPG1106" s="15"/>
      <c r="PPH1106" s="15"/>
      <c r="PPK1106" s="15"/>
      <c r="PPL1106" s="15"/>
      <c r="PPO1106" s="15"/>
      <c r="PPP1106" s="15"/>
      <c r="PPS1106" s="15"/>
      <c r="PPT1106" s="15"/>
      <c r="PPW1106" s="15"/>
      <c r="PPX1106" s="15"/>
      <c r="PQA1106" s="15"/>
      <c r="PQB1106" s="15"/>
      <c r="PQE1106" s="15"/>
      <c r="PQF1106" s="15"/>
      <c r="PQI1106" s="15"/>
      <c r="PQJ1106" s="15"/>
      <c r="PQM1106" s="15"/>
      <c r="PQN1106" s="15"/>
      <c r="PQQ1106" s="15"/>
      <c r="PQR1106" s="15"/>
      <c r="PQU1106" s="15"/>
      <c r="PQV1106" s="15"/>
      <c r="PQY1106" s="15"/>
      <c r="PQZ1106" s="15"/>
      <c r="PRC1106" s="15"/>
      <c r="PRD1106" s="15"/>
      <c r="PRG1106" s="15"/>
      <c r="PRH1106" s="15"/>
      <c r="PRK1106" s="15"/>
      <c r="PRL1106" s="15"/>
      <c r="PRO1106" s="15"/>
      <c r="PRP1106" s="15"/>
      <c r="PRS1106" s="15"/>
      <c r="PRT1106" s="15"/>
      <c r="PRW1106" s="15"/>
      <c r="PRX1106" s="15"/>
      <c r="PSA1106" s="15"/>
      <c r="PSB1106" s="15"/>
      <c r="PSE1106" s="15"/>
      <c r="PSF1106" s="15"/>
      <c r="PSI1106" s="15"/>
      <c r="PSJ1106" s="15"/>
      <c r="PSM1106" s="15"/>
      <c r="PSN1106" s="15"/>
      <c r="PSQ1106" s="15"/>
      <c r="PSR1106" s="15"/>
      <c r="PSU1106" s="15"/>
      <c r="PSV1106" s="15"/>
      <c r="PSY1106" s="15"/>
      <c r="PSZ1106" s="15"/>
      <c r="PTC1106" s="15"/>
      <c r="PTD1106" s="15"/>
      <c r="PTG1106" s="15"/>
      <c r="PTH1106" s="15"/>
      <c r="PTK1106" s="15"/>
      <c r="PTL1106" s="15"/>
      <c r="PTO1106" s="15"/>
      <c r="PTP1106" s="15"/>
      <c r="PTS1106" s="15"/>
      <c r="PTT1106" s="15"/>
      <c r="PTW1106" s="15"/>
      <c r="PTX1106" s="15"/>
      <c r="PUA1106" s="15"/>
      <c r="PUB1106" s="15"/>
      <c r="PUE1106" s="15"/>
      <c r="PUF1106" s="15"/>
      <c r="PUI1106" s="15"/>
      <c r="PUJ1106" s="15"/>
      <c r="PUM1106" s="15"/>
      <c r="PUN1106" s="15"/>
      <c r="PUQ1106" s="15"/>
      <c r="PUR1106" s="15"/>
      <c r="PUU1106" s="15"/>
      <c r="PUV1106" s="15"/>
      <c r="PUY1106" s="15"/>
      <c r="PUZ1106" s="15"/>
      <c r="PVC1106" s="15"/>
      <c r="PVD1106" s="15"/>
      <c r="PVG1106" s="15"/>
      <c r="PVH1106" s="15"/>
      <c r="PVK1106" s="15"/>
      <c r="PVL1106" s="15"/>
      <c r="PVO1106" s="15"/>
      <c r="PVP1106" s="15"/>
      <c r="PVS1106" s="15"/>
      <c r="PVT1106" s="15"/>
      <c r="PVW1106" s="15"/>
      <c r="PVX1106" s="15"/>
      <c r="PWA1106" s="15"/>
      <c r="PWB1106" s="15"/>
      <c r="PWE1106" s="15"/>
      <c r="PWF1106" s="15"/>
      <c r="PWI1106" s="15"/>
      <c r="PWJ1106" s="15"/>
      <c r="PWM1106" s="15"/>
      <c r="PWN1106" s="15"/>
      <c r="PWQ1106" s="15"/>
      <c r="PWR1106" s="15"/>
      <c r="PWU1106" s="15"/>
      <c r="PWV1106" s="15"/>
      <c r="PWY1106" s="15"/>
      <c r="PWZ1106" s="15"/>
      <c r="PXC1106" s="15"/>
      <c r="PXD1106" s="15"/>
      <c r="PXG1106" s="15"/>
      <c r="PXH1106" s="15"/>
      <c r="PXK1106" s="15"/>
      <c r="PXL1106" s="15"/>
      <c r="PXO1106" s="15"/>
      <c r="PXP1106" s="15"/>
      <c r="PXS1106" s="15"/>
      <c r="PXT1106" s="15"/>
      <c r="PXW1106" s="15"/>
      <c r="PXX1106" s="15"/>
      <c r="PYA1106" s="15"/>
      <c r="PYB1106" s="15"/>
      <c r="PYE1106" s="15"/>
      <c r="PYF1106" s="15"/>
      <c r="PYI1106" s="15"/>
      <c r="PYJ1106" s="15"/>
      <c r="PYM1106" s="15"/>
      <c r="PYN1106" s="15"/>
      <c r="PYQ1106" s="15"/>
      <c r="PYR1106" s="15"/>
      <c r="PYU1106" s="15"/>
      <c r="PYV1106" s="15"/>
      <c r="PYY1106" s="15"/>
      <c r="PYZ1106" s="15"/>
      <c r="PZC1106" s="15"/>
      <c r="PZD1106" s="15"/>
      <c r="PZG1106" s="15"/>
      <c r="PZH1106" s="15"/>
      <c r="PZK1106" s="15"/>
      <c r="PZL1106" s="15"/>
      <c r="PZO1106" s="15"/>
      <c r="PZP1106" s="15"/>
      <c r="PZS1106" s="15"/>
      <c r="PZT1106" s="15"/>
      <c r="PZW1106" s="15"/>
      <c r="PZX1106" s="15"/>
      <c r="QAA1106" s="15"/>
      <c r="QAB1106" s="15"/>
      <c r="QAE1106" s="15"/>
      <c r="QAF1106" s="15"/>
      <c r="QAI1106" s="15"/>
      <c r="QAJ1106" s="15"/>
      <c r="QAM1106" s="15"/>
      <c r="QAN1106" s="15"/>
      <c r="QAQ1106" s="15"/>
      <c r="QAR1106" s="15"/>
      <c r="QAU1106" s="15"/>
      <c r="QAV1106" s="15"/>
      <c r="QAY1106" s="15"/>
      <c r="QAZ1106" s="15"/>
      <c r="QBC1106" s="15"/>
      <c r="QBD1106" s="15"/>
      <c r="QBG1106" s="15"/>
      <c r="QBH1106" s="15"/>
      <c r="QBK1106" s="15"/>
      <c r="QBL1106" s="15"/>
      <c r="QBO1106" s="15"/>
      <c r="QBP1106" s="15"/>
      <c r="QBS1106" s="15"/>
      <c r="QBT1106" s="15"/>
      <c r="QBW1106" s="15"/>
      <c r="QBX1106" s="15"/>
      <c r="QCA1106" s="15"/>
      <c r="QCB1106" s="15"/>
      <c r="QCE1106" s="15"/>
      <c r="QCF1106" s="15"/>
      <c r="QCI1106" s="15"/>
      <c r="QCJ1106" s="15"/>
      <c r="QCM1106" s="15"/>
      <c r="QCN1106" s="15"/>
      <c r="QCQ1106" s="15"/>
      <c r="QCR1106" s="15"/>
      <c r="QCU1106" s="15"/>
      <c r="QCV1106" s="15"/>
      <c r="QCY1106" s="15"/>
      <c r="QCZ1106" s="15"/>
      <c r="QDC1106" s="15"/>
      <c r="QDD1106" s="15"/>
      <c r="QDG1106" s="15"/>
      <c r="QDH1106" s="15"/>
      <c r="QDK1106" s="15"/>
      <c r="QDL1106" s="15"/>
      <c r="QDO1106" s="15"/>
      <c r="QDP1106" s="15"/>
      <c r="QDS1106" s="15"/>
      <c r="QDT1106" s="15"/>
      <c r="QDW1106" s="15"/>
      <c r="QDX1106" s="15"/>
      <c r="QEA1106" s="15"/>
      <c r="QEB1106" s="15"/>
      <c r="QEE1106" s="15"/>
      <c r="QEF1106" s="15"/>
      <c r="QEI1106" s="15"/>
      <c r="QEJ1106" s="15"/>
      <c r="QEM1106" s="15"/>
      <c r="QEN1106" s="15"/>
      <c r="QEQ1106" s="15"/>
      <c r="QER1106" s="15"/>
      <c r="QEU1106" s="15"/>
      <c r="QEV1106" s="15"/>
      <c r="QEY1106" s="15"/>
      <c r="QEZ1106" s="15"/>
      <c r="QFC1106" s="15"/>
      <c r="QFD1106" s="15"/>
      <c r="QFG1106" s="15"/>
      <c r="QFH1106" s="15"/>
      <c r="QFK1106" s="15"/>
      <c r="QFL1106" s="15"/>
      <c r="QFO1106" s="15"/>
      <c r="QFP1106" s="15"/>
      <c r="QFS1106" s="15"/>
      <c r="QFT1106" s="15"/>
      <c r="QFW1106" s="15"/>
      <c r="QFX1106" s="15"/>
      <c r="QGA1106" s="15"/>
      <c r="QGB1106" s="15"/>
      <c r="QGE1106" s="15"/>
      <c r="QGF1106" s="15"/>
      <c r="QGI1106" s="15"/>
      <c r="QGJ1106" s="15"/>
      <c r="QGM1106" s="15"/>
      <c r="QGN1106" s="15"/>
      <c r="QGQ1106" s="15"/>
      <c r="QGR1106" s="15"/>
      <c r="QGU1106" s="15"/>
      <c r="QGV1106" s="15"/>
      <c r="QGY1106" s="15"/>
      <c r="QGZ1106" s="15"/>
      <c r="QHC1106" s="15"/>
      <c r="QHD1106" s="15"/>
      <c r="QHG1106" s="15"/>
      <c r="QHH1106" s="15"/>
      <c r="QHK1106" s="15"/>
      <c r="QHL1106" s="15"/>
      <c r="QHO1106" s="15"/>
      <c r="QHP1106" s="15"/>
      <c r="QHS1106" s="15"/>
      <c r="QHT1106" s="15"/>
      <c r="QHW1106" s="15"/>
      <c r="QHX1106" s="15"/>
      <c r="QIA1106" s="15"/>
      <c r="QIB1106" s="15"/>
      <c r="QIE1106" s="15"/>
      <c r="QIF1106" s="15"/>
      <c r="QII1106" s="15"/>
      <c r="QIJ1106" s="15"/>
      <c r="QIM1106" s="15"/>
      <c r="QIN1106" s="15"/>
      <c r="QIQ1106" s="15"/>
      <c r="QIR1106" s="15"/>
      <c r="QIU1106" s="15"/>
      <c r="QIV1106" s="15"/>
      <c r="QIY1106" s="15"/>
      <c r="QIZ1106" s="15"/>
      <c r="QJC1106" s="15"/>
      <c r="QJD1106" s="15"/>
      <c r="QJG1106" s="15"/>
      <c r="QJH1106" s="15"/>
      <c r="QJK1106" s="15"/>
      <c r="QJL1106" s="15"/>
      <c r="QJO1106" s="15"/>
      <c r="QJP1106" s="15"/>
      <c r="QJS1106" s="15"/>
      <c r="QJT1106" s="15"/>
      <c r="QJW1106" s="15"/>
      <c r="QJX1106" s="15"/>
      <c r="QKA1106" s="15"/>
      <c r="QKB1106" s="15"/>
      <c r="QKE1106" s="15"/>
      <c r="QKF1106" s="15"/>
      <c r="QKI1106" s="15"/>
      <c r="QKJ1106" s="15"/>
      <c r="QKM1106" s="15"/>
      <c r="QKN1106" s="15"/>
      <c r="QKQ1106" s="15"/>
      <c r="QKR1106" s="15"/>
      <c r="QKU1106" s="15"/>
      <c r="QKV1106" s="15"/>
      <c r="QKY1106" s="15"/>
      <c r="QKZ1106" s="15"/>
      <c r="QLC1106" s="15"/>
      <c r="QLD1106" s="15"/>
      <c r="QLG1106" s="15"/>
      <c r="QLH1106" s="15"/>
      <c r="QLK1106" s="15"/>
      <c r="QLL1106" s="15"/>
      <c r="QLO1106" s="15"/>
      <c r="QLP1106" s="15"/>
      <c r="QLS1106" s="15"/>
      <c r="QLT1106" s="15"/>
      <c r="QLW1106" s="15"/>
      <c r="QLX1106" s="15"/>
      <c r="QMA1106" s="15"/>
      <c r="QMB1106" s="15"/>
      <c r="QME1106" s="15"/>
      <c r="QMF1106" s="15"/>
      <c r="QMI1106" s="15"/>
      <c r="QMJ1106" s="15"/>
      <c r="QMM1106" s="15"/>
      <c r="QMN1106" s="15"/>
      <c r="QMQ1106" s="15"/>
      <c r="QMR1106" s="15"/>
      <c r="QMU1106" s="15"/>
      <c r="QMV1106" s="15"/>
      <c r="QMY1106" s="15"/>
      <c r="QMZ1106" s="15"/>
      <c r="QNC1106" s="15"/>
      <c r="QND1106" s="15"/>
      <c r="QNG1106" s="15"/>
      <c r="QNH1106" s="15"/>
      <c r="QNK1106" s="15"/>
      <c r="QNL1106" s="15"/>
      <c r="QNO1106" s="15"/>
      <c r="QNP1106" s="15"/>
      <c r="QNS1106" s="15"/>
      <c r="QNT1106" s="15"/>
      <c r="QNW1106" s="15"/>
      <c r="QNX1106" s="15"/>
      <c r="QOA1106" s="15"/>
      <c r="QOB1106" s="15"/>
      <c r="QOE1106" s="15"/>
      <c r="QOF1106" s="15"/>
      <c r="QOI1106" s="15"/>
      <c r="QOJ1106" s="15"/>
      <c r="QOM1106" s="15"/>
      <c r="QON1106" s="15"/>
      <c r="QOQ1106" s="15"/>
      <c r="QOR1106" s="15"/>
      <c r="QOU1106" s="15"/>
      <c r="QOV1106" s="15"/>
      <c r="QOY1106" s="15"/>
      <c r="QOZ1106" s="15"/>
      <c r="QPC1106" s="15"/>
      <c r="QPD1106" s="15"/>
      <c r="QPG1106" s="15"/>
      <c r="QPH1106" s="15"/>
      <c r="QPK1106" s="15"/>
      <c r="QPL1106" s="15"/>
      <c r="QPO1106" s="15"/>
      <c r="QPP1106" s="15"/>
      <c r="QPS1106" s="15"/>
      <c r="QPT1106" s="15"/>
      <c r="QPW1106" s="15"/>
      <c r="QPX1106" s="15"/>
      <c r="QQA1106" s="15"/>
      <c r="QQB1106" s="15"/>
      <c r="QQE1106" s="15"/>
      <c r="QQF1106" s="15"/>
      <c r="QQI1106" s="15"/>
      <c r="QQJ1106" s="15"/>
      <c r="QQM1106" s="15"/>
      <c r="QQN1106" s="15"/>
      <c r="QQQ1106" s="15"/>
      <c r="QQR1106" s="15"/>
      <c r="QQU1106" s="15"/>
      <c r="QQV1106" s="15"/>
      <c r="QQY1106" s="15"/>
      <c r="QQZ1106" s="15"/>
      <c r="QRC1106" s="15"/>
      <c r="QRD1106" s="15"/>
      <c r="QRG1106" s="15"/>
      <c r="QRH1106" s="15"/>
      <c r="QRK1106" s="15"/>
      <c r="QRL1106" s="15"/>
      <c r="QRO1106" s="15"/>
      <c r="QRP1106" s="15"/>
      <c r="QRS1106" s="15"/>
      <c r="QRT1106" s="15"/>
      <c r="QRW1106" s="15"/>
      <c r="QRX1106" s="15"/>
      <c r="QSA1106" s="15"/>
      <c r="QSB1106" s="15"/>
      <c r="QSE1106" s="15"/>
      <c r="QSF1106" s="15"/>
      <c r="QSI1106" s="15"/>
      <c r="QSJ1106" s="15"/>
      <c r="QSM1106" s="15"/>
      <c r="QSN1106" s="15"/>
      <c r="QSQ1106" s="15"/>
      <c r="QSR1106" s="15"/>
      <c r="QSU1106" s="15"/>
      <c r="QSV1106" s="15"/>
      <c r="QSY1106" s="15"/>
      <c r="QSZ1106" s="15"/>
      <c r="QTC1106" s="15"/>
      <c r="QTD1106" s="15"/>
      <c r="QTG1106" s="15"/>
      <c r="QTH1106" s="15"/>
      <c r="QTK1106" s="15"/>
      <c r="QTL1106" s="15"/>
      <c r="QTO1106" s="15"/>
      <c r="QTP1106" s="15"/>
      <c r="QTS1106" s="15"/>
      <c r="QTT1106" s="15"/>
      <c r="QTW1106" s="15"/>
      <c r="QTX1106" s="15"/>
      <c r="QUA1106" s="15"/>
      <c r="QUB1106" s="15"/>
      <c r="QUE1106" s="15"/>
      <c r="QUF1106" s="15"/>
      <c r="QUI1106" s="15"/>
      <c r="QUJ1106" s="15"/>
      <c r="QUM1106" s="15"/>
      <c r="QUN1106" s="15"/>
      <c r="QUQ1106" s="15"/>
      <c r="QUR1106" s="15"/>
      <c r="QUU1106" s="15"/>
      <c r="QUV1106" s="15"/>
      <c r="QUY1106" s="15"/>
      <c r="QUZ1106" s="15"/>
      <c r="QVC1106" s="15"/>
      <c r="QVD1106" s="15"/>
      <c r="QVG1106" s="15"/>
      <c r="QVH1106" s="15"/>
      <c r="QVK1106" s="15"/>
      <c r="QVL1106" s="15"/>
      <c r="QVO1106" s="15"/>
      <c r="QVP1106" s="15"/>
      <c r="QVS1106" s="15"/>
      <c r="QVT1106" s="15"/>
      <c r="QVW1106" s="15"/>
      <c r="QVX1106" s="15"/>
      <c r="QWA1106" s="15"/>
      <c r="QWB1106" s="15"/>
      <c r="QWE1106" s="15"/>
      <c r="QWF1106" s="15"/>
      <c r="QWI1106" s="15"/>
      <c r="QWJ1106" s="15"/>
      <c r="QWM1106" s="15"/>
      <c r="QWN1106" s="15"/>
      <c r="QWQ1106" s="15"/>
      <c r="QWR1106" s="15"/>
      <c r="QWU1106" s="15"/>
      <c r="QWV1106" s="15"/>
      <c r="QWY1106" s="15"/>
      <c r="QWZ1106" s="15"/>
      <c r="QXC1106" s="15"/>
      <c r="QXD1106" s="15"/>
      <c r="QXG1106" s="15"/>
      <c r="QXH1106" s="15"/>
      <c r="QXK1106" s="15"/>
      <c r="QXL1106" s="15"/>
      <c r="QXO1106" s="15"/>
      <c r="QXP1106" s="15"/>
      <c r="QXS1106" s="15"/>
      <c r="QXT1106" s="15"/>
      <c r="QXW1106" s="15"/>
      <c r="QXX1106" s="15"/>
      <c r="QYA1106" s="15"/>
      <c r="QYB1106" s="15"/>
      <c r="QYE1106" s="15"/>
      <c r="QYF1106" s="15"/>
      <c r="QYI1106" s="15"/>
      <c r="QYJ1106" s="15"/>
      <c r="QYM1106" s="15"/>
      <c r="QYN1106" s="15"/>
      <c r="QYQ1106" s="15"/>
      <c r="QYR1106" s="15"/>
      <c r="QYU1106" s="15"/>
      <c r="QYV1106" s="15"/>
      <c r="QYY1106" s="15"/>
      <c r="QYZ1106" s="15"/>
      <c r="QZC1106" s="15"/>
      <c r="QZD1106" s="15"/>
      <c r="QZG1106" s="15"/>
      <c r="QZH1106" s="15"/>
      <c r="QZK1106" s="15"/>
      <c r="QZL1106" s="15"/>
      <c r="QZO1106" s="15"/>
      <c r="QZP1106" s="15"/>
      <c r="QZS1106" s="15"/>
      <c r="QZT1106" s="15"/>
      <c r="QZW1106" s="15"/>
      <c r="QZX1106" s="15"/>
      <c r="RAA1106" s="15"/>
      <c r="RAB1106" s="15"/>
      <c r="RAE1106" s="15"/>
      <c r="RAF1106" s="15"/>
      <c r="RAI1106" s="15"/>
      <c r="RAJ1106" s="15"/>
      <c r="RAM1106" s="15"/>
      <c r="RAN1106" s="15"/>
      <c r="RAQ1106" s="15"/>
      <c r="RAR1106" s="15"/>
      <c r="RAU1106" s="15"/>
      <c r="RAV1106" s="15"/>
      <c r="RAY1106" s="15"/>
      <c r="RAZ1106" s="15"/>
      <c r="RBC1106" s="15"/>
      <c r="RBD1106" s="15"/>
      <c r="RBG1106" s="15"/>
      <c r="RBH1106" s="15"/>
      <c r="RBK1106" s="15"/>
      <c r="RBL1106" s="15"/>
      <c r="RBO1106" s="15"/>
      <c r="RBP1106" s="15"/>
      <c r="RBS1106" s="15"/>
      <c r="RBT1106" s="15"/>
      <c r="RBW1106" s="15"/>
      <c r="RBX1106" s="15"/>
      <c r="RCA1106" s="15"/>
      <c r="RCB1106" s="15"/>
      <c r="RCE1106" s="15"/>
      <c r="RCF1106" s="15"/>
      <c r="RCI1106" s="15"/>
      <c r="RCJ1106" s="15"/>
      <c r="RCM1106" s="15"/>
      <c r="RCN1106" s="15"/>
      <c r="RCQ1106" s="15"/>
      <c r="RCR1106" s="15"/>
      <c r="RCU1106" s="15"/>
      <c r="RCV1106" s="15"/>
      <c r="RCY1106" s="15"/>
      <c r="RCZ1106" s="15"/>
      <c r="RDC1106" s="15"/>
      <c r="RDD1106" s="15"/>
      <c r="RDG1106" s="15"/>
      <c r="RDH1106" s="15"/>
      <c r="RDK1106" s="15"/>
      <c r="RDL1106" s="15"/>
      <c r="RDO1106" s="15"/>
      <c r="RDP1106" s="15"/>
      <c r="RDS1106" s="15"/>
      <c r="RDT1106" s="15"/>
      <c r="RDW1106" s="15"/>
      <c r="RDX1106" s="15"/>
      <c r="REA1106" s="15"/>
      <c r="REB1106" s="15"/>
      <c r="REE1106" s="15"/>
      <c r="REF1106" s="15"/>
      <c r="REI1106" s="15"/>
      <c r="REJ1106" s="15"/>
      <c r="REM1106" s="15"/>
      <c r="REN1106" s="15"/>
      <c r="REQ1106" s="15"/>
      <c r="RER1106" s="15"/>
      <c r="REU1106" s="15"/>
      <c r="REV1106" s="15"/>
      <c r="REY1106" s="15"/>
      <c r="REZ1106" s="15"/>
      <c r="RFC1106" s="15"/>
      <c r="RFD1106" s="15"/>
      <c r="RFG1106" s="15"/>
      <c r="RFH1106" s="15"/>
      <c r="RFK1106" s="15"/>
      <c r="RFL1106" s="15"/>
      <c r="RFO1106" s="15"/>
      <c r="RFP1106" s="15"/>
      <c r="RFS1106" s="15"/>
      <c r="RFT1106" s="15"/>
      <c r="RFW1106" s="15"/>
      <c r="RFX1106" s="15"/>
      <c r="RGA1106" s="15"/>
      <c r="RGB1106" s="15"/>
      <c r="RGE1106" s="15"/>
      <c r="RGF1106" s="15"/>
      <c r="RGI1106" s="15"/>
      <c r="RGJ1106" s="15"/>
      <c r="RGM1106" s="15"/>
      <c r="RGN1106" s="15"/>
      <c r="RGQ1106" s="15"/>
      <c r="RGR1106" s="15"/>
      <c r="RGU1106" s="15"/>
      <c r="RGV1106" s="15"/>
      <c r="RGY1106" s="15"/>
      <c r="RGZ1106" s="15"/>
      <c r="RHC1106" s="15"/>
      <c r="RHD1106" s="15"/>
      <c r="RHG1106" s="15"/>
      <c r="RHH1106" s="15"/>
      <c r="RHK1106" s="15"/>
      <c r="RHL1106" s="15"/>
      <c r="RHO1106" s="15"/>
      <c r="RHP1106" s="15"/>
      <c r="RHS1106" s="15"/>
      <c r="RHT1106" s="15"/>
      <c r="RHW1106" s="15"/>
      <c r="RHX1106" s="15"/>
      <c r="RIA1106" s="15"/>
      <c r="RIB1106" s="15"/>
      <c r="RIE1106" s="15"/>
      <c r="RIF1106" s="15"/>
      <c r="RII1106" s="15"/>
      <c r="RIJ1106" s="15"/>
      <c r="RIM1106" s="15"/>
      <c r="RIN1106" s="15"/>
      <c r="RIQ1106" s="15"/>
      <c r="RIR1106" s="15"/>
      <c r="RIU1106" s="15"/>
      <c r="RIV1106" s="15"/>
      <c r="RIY1106" s="15"/>
      <c r="RIZ1106" s="15"/>
      <c r="RJC1106" s="15"/>
      <c r="RJD1106" s="15"/>
      <c r="RJG1106" s="15"/>
      <c r="RJH1106" s="15"/>
      <c r="RJK1106" s="15"/>
      <c r="RJL1106" s="15"/>
      <c r="RJO1106" s="15"/>
      <c r="RJP1106" s="15"/>
      <c r="RJS1106" s="15"/>
      <c r="RJT1106" s="15"/>
      <c r="RJW1106" s="15"/>
      <c r="RJX1106" s="15"/>
      <c r="RKA1106" s="15"/>
      <c r="RKB1106" s="15"/>
      <c r="RKE1106" s="15"/>
      <c r="RKF1106" s="15"/>
      <c r="RKI1106" s="15"/>
      <c r="RKJ1106" s="15"/>
      <c r="RKM1106" s="15"/>
      <c r="RKN1106" s="15"/>
      <c r="RKQ1106" s="15"/>
      <c r="RKR1106" s="15"/>
      <c r="RKU1106" s="15"/>
      <c r="RKV1106" s="15"/>
      <c r="RKY1106" s="15"/>
      <c r="RKZ1106" s="15"/>
      <c r="RLC1106" s="15"/>
      <c r="RLD1106" s="15"/>
      <c r="RLG1106" s="15"/>
      <c r="RLH1106" s="15"/>
      <c r="RLK1106" s="15"/>
      <c r="RLL1106" s="15"/>
      <c r="RLO1106" s="15"/>
      <c r="RLP1106" s="15"/>
      <c r="RLS1106" s="15"/>
      <c r="RLT1106" s="15"/>
      <c r="RLW1106" s="15"/>
      <c r="RLX1106" s="15"/>
      <c r="RMA1106" s="15"/>
      <c r="RMB1106" s="15"/>
      <c r="RME1106" s="15"/>
      <c r="RMF1106" s="15"/>
      <c r="RMI1106" s="15"/>
      <c r="RMJ1106" s="15"/>
      <c r="RMM1106" s="15"/>
      <c r="RMN1106" s="15"/>
      <c r="RMQ1106" s="15"/>
      <c r="RMR1106" s="15"/>
      <c r="RMU1106" s="15"/>
      <c r="RMV1106" s="15"/>
      <c r="RMY1106" s="15"/>
      <c r="RMZ1106" s="15"/>
      <c r="RNC1106" s="15"/>
      <c r="RND1106" s="15"/>
      <c r="RNG1106" s="15"/>
      <c r="RNH1106" s="15"/>
      <c r="RNK1106" s="15"/>
      <c r="RNL1106" s="15"/>
      <c r="RNO1106" s="15"/>
      <c r="RNP1106" s="15"/>
      <c r="RNS1106" s="15"/>
      <c r="RNT1106" s="15"/>
      <c r="RNW1106" s="15"/>
      <c r="RNX1106" s="15"/>
      <c r="ROA1106" s="15"/>
      <c r="ROB1106" s="15"/>
      <c r="ROE1106" s="15"/>
      <c r="ROF1106" s="15"/>
      <c r="ROI1106" s="15"/>
      <c r="ROJ1106" s="15"/>
      <c r="ROM1106" s="15"/>
      <c r="RON1106" s="15"/>
      <c r="ROQ1106" s="15"/>
      <c r="ROR1106" s="15"/>
      <c r="ROU1106" s="15"/>
      <c r="ROV1106" s="15"/>
      <c r="ROY1106" s="15"/>
      <c r="ROZ1106" s="15"/>
      <c r="RPC1106" s="15"/>
      <c r="RPD1106" s="15"/>
      <c r="RPG1106" s="15"/>
      <c r="RPH1106" s="15"/>
      <c r="RPK1106" s="15"/>
      <c r="RPL1106" s="15"/>
      <c r="RPO1106" s="15"/>
      <c r="RPP1106" s="15"/>
      <c r="RPS1106" s="15"/>
      <c r="RPT1106" s="15"/>
      <c r="RPW1106" s="15"/>
      <c r="RPX1106" s="15"/>
      <c r="RQA1106" s="15"/>
      <c r="RQB1106" s="15"/>
      <c r="RQE1106" s="15"/>
      <c r="RQF1106" s="15"/>
      <c r="RQI1106" s="15"/>
      <c r="RQJ1106" s="15"/>
      <c r="RQM1106" s="15"/>
      <c r="RQN1106" s="15"/>
      <c r="RQQ1106" s="15"/>
      <c r="RQR1106" s="15"/>
      <c r="RQU1106" s="15"/>
      <c r="RQV1106" s="15"/>
      <c r="RQY1106" s="15"/>
      <c r="RQZ1106" s="15"/>
      <c r="RRC1106" s="15"/>
      <c r="RRD1106" s="15"/>
      <c r="RRG1106" s="15"/>
      <c r="RRH1106" s="15"/>
      <c r="RRK1106" s="15"/>
      <c r="RRL1106" s="15"/>
      <c r="RRO1106" s="15"/>
      <c r="RRP1106" s="15"/>
      <c r="RRS1106" s="15"/>
      <c r="RRT1106" s="15"/>
      <c r="RRW1106" s="15"/>
      <c r="RRX1106" s="15"/>
      <c r="RSA1106" s="15"/>
      <c r="RSB1106" s="15"/>
      <c r="RSE1106" s="15"/>
      <c r="RSF1106" s="15"/>
      <c r="RSI1106" s="15"/>
      <c r="RSJ1106" s="15"/>
      <c r="RSM1106" s="15"/>
      <c r="RSN1106" s="15"/>
      <c r="RSQ1106" s="15"/>
      <c r="RSR1106" s="15"/>
      <c r="RSU1106" s="15"/>
      <c r="RSV1106" s="15"/>
      <c r="RSY1106" s="15"/>
      <c r="RSZ1106" s="15"/>
      <c r="RTC1106" s="15"/>
      <c r="RTD1106" s="15"/>
      <c r="RTG1106" s="15"/>
      <c r="RTH1106" s="15"/>
      <c r="RTK1106" s="15"/>
      <c r="RTL1106" s="15"/>
      <c r="RTO1106" s="15"/>
      <c r="RTP1106" s="15"/>
      <c r="RTS1106" s="15"/>
      <c r="RTT1106" s="15"/>
      <c r="RTW1106" s="15"/>
      <c r="RTX1106" s="15"/>
      <c r="RUA1106" s="15"/>
      <c r="RUB1106" s="15"/>
      <c r="RUE1106" s="15"/>
      <c r="RUF1106" s="15"/>
      <c r="RUI1106" s="15"/>
      <c r="RUJ1106" s="15"/>
      <c r="RUM1106" s="15"/>
      <c r="RUN1106" s="15"/>
      <c r="RUQ1106" s="15"/>
      <c r="RUR1106" s="15"/>
      <c r="RUU1106" s="15"/>
      <c r="RUV1106" s="15"/>
      <c r="RUY1106" s="15"/>
      <c r="RUZ1106" s="15"/>
      <c r="RVC1106" s="15"/>
      <c r="RVD1106" s="15"/>
      <c r="RVG1106" s="15"/>
      <c r="RVH1106" s="15"/>
      <c r="RVK1106" s="15"/>
      <c r="RVL1106" s="15"/>
      <c r="RVO1106" s="15"/>
      <c r="RVP1106" s="15"/>
      <c r="RVS1106" s="15"/>
      <c r="RVT1106" s="15"/>
      <c r="RVW1106" s="15"/>
      <c r="RVX1106" s="15"/>
      <c r="RWA1106" s="15"/>
      <c r="RWB1106" s="15"/>
      <c r="RWE1106" s="15"/>
      <c r="RWF1106" s="15"/>
      <c r="RWI1106" s="15"/>
      <c r="RWJ1106" s="15"/>
      <c r="RWM1106" s="15"/>
      <c r="RWN1106" s="15"/>
      <c r="RWQ1106" s="15"/>
      <c r="RWR1106" s="15"/>
      <c r="RWU1106" s="15"/>
      <c r="RWV1106" s="15"/>
      <c r="RWY1106" s="15"/>
      <c r="RWZ1106" s="15"/>
      <c r="RXC1106" s="15"/>
      <c r="RXD1106" s="15"/>
      <c r="RXG1106" s="15"/>
      <c r="RXH1106" s="15"/>
      <c r="RXK1106" s="15"/>
      <c r="RXL1106" s="15"/>
      <c r="RXO1106" s="15"/>
      <c r="RXP1106" s="15"/>
      <c r="RXS1106" s="15"/>
      <c r="RXT1106" s="15"/>
      <c r="RXW1106" s="15"/>
      <c r="RXX1106" s="15"/>
      <c r="RYA1106" s="15"/>
      <c r="RYB1106" s="15"/>
      <c r="RYE1106" s="15"/>
      <c r="RYF1106" s="15"/>
      <c r="RYI1106" s="15"/>
      <c r="RYJ1106" s="15"/>
      <c r="RYM1106" s="15"/>
      <c r="RYN1106" s="15"/>
      <c r="RYQ1106" s="15"/>
      <c r="RYR1106" s="15"/>
      <c r="RYU1106" s="15"/>
      <c r="RYV1106" s="15"/>
      <c r="RYY1106" s="15"/>
      <c r="RYZ1106" s="15"/>
      <c r="RZC1106" s="15"/>
      <c r="RZD1106" s="15"/>
      <c r="RZG1106" s="15"/>
      <c r="RZH1106" s="15"/>
      <c r="RZK1106" s="15"/>
      <c r="RZL1106" s="15"/>
      <c r="RZO1106" s="15"/>
      <c r="RZP1106" s="15"/>
      <c r="RZS1106" s="15"/>
      <c r="RZT1106" s="15"/>
      <c r="RZW1106" s="15"/>
      <c r="RZX1106" s="15"/>
      <c r="SAA1106" s="15"/>
      <c r="SAB1106" s="15"/>
      <c r="SAE1106" s="15"/>
      <c r="SAF1106" s="15"/>
      <c r="SAI1106" s="15"/>
      <c r="SAJ1106" s="15"/>
      <c r="SAM1106" s="15"/>
      <c r="SAN1106" s="15"/>
      <c r="SAQ1106" s="15"/>
      <c r="SAR1106" s="15"/>
      <c r="SAU1106" s="15"/>
      <c r="SAV1106" s="15"/>
      <c r="SAY1106" s="15"/>
      <c r="SAZ1106" s="15"/>
      <c r="SBC1106" s="15"/>
      <c r="SBD1106" s="15"/>
      <c r="SBG1106" s="15"/>
      <c r="SBH1106" s="15"/>
      <c r="SBK1106" s="15"/>
      <c r="SBL1106" s="15"/>
      <c r="SBO1106" s="15"/>
      <c r="SBP1106" s="15"/>
      <c r="SBS1106" s="15"/>
      <c r="SBT1106" s="15"/>
      <c r="SBW1106" s="15"/>
      <c r="SBX1106" s="15"/>
      <c r="SCA1106" s="15"/>
      <c r="SCB1106" s="15"/>
      <c r="SCE1106" s="15"/>
      <c r="SCF1106" s="15"/>
      <c r="SCI1106" s="15"/>
      <c r="SCJ1106" s="15"/>
      <c r="SCM1106" s="15"/>
      <c r="SCN1106" s="15"/>
      <c r="SCQ1106" s="15"/>
      <c r="SCR1106" s="15"/>
      <c r="SCU1106" s="15"/>
      <c r="SCV1106" s="15"/>
      <c r="SCY1106" s="15"/>
      <c r="SCZ1106" s="15"/>
      <c r="SDC1106" s="15"/>
      <c r="SDD1106" s="15"/>
      <c r="SDG1106" s="15"/>
      <c r="SDH1106" s="15"/>
      <c r="SDK1106" s="15"/>
      <c r="SDL1106" s="15"/>
      <c r="SDO1106" s="15"/>
      <c r="SDP1106" s="15"/>
      <c r="SDS1106" s="15"/>
      <c r="SDT1106" s="15"/>
      <c r="SDW1106" s="15"/>
      <c r="SDX1106" s="15"/>
      <c r="SEA1106" s="15"/>
      <c r="SEB1106" s="15"/>
      <c r="SEE1106" s="15"/>
      <c r="SEF1106" s="15"/>
      <c r="SEI1106" s="15"/>
      <c r="SEJ1106" s="15"/>
      <c r="SEM1106" s="15"/>
      <c r="SEN1106" s="15"/>
      <c r="SEQ1106" s="15"/>
      <c r="SER1106" s="15"/>
      <c r="SEU1106" s="15"/>
      <c r="SEV1106" s="15"/>
      <c r="SEY1106" s="15"/>
      <c r="SEZ1106" s="15"/>
      <c r="SFC1106" s="15"/>
      <c r="SFD1106" s="15"/>
      <c r="SFG1106" s="15"/>
      <c r="SFH1106" s="15"/>
      <c r="SFK1106" s="15"/>
      <c r="SFL1106" s="15"/>
      <c r="SFO1106" s="15"/>
      <c r="SFP1106" s="15"/>
      <c r="SFS1106" s="15"/>
      <c r="SFT1106" s="15"/>
      <c r="SFW1106" s="15"/>
      <c r="SFX1106" s="15"/>
      <c r="SGA1106" s="15"/>
      <c r="SGB1106" s="15"/>
      <c r="SGE1106" s="15"/>
      <c r="SGF1106" s="15"/>
      <c r="SGI1106" s="15"/>
      <c r="SGJ1106" s="15"/>
      <c r="SGM1106" s="15"/>
      <c r="SGN1106" s="15"/>
      <c r="SGQ1106" s="15"/>
      <c r="SGR1106" s="15"/>
      <c r="SGU1106" s="15"/>
      <c r="SGV1106" s="15"/>
      <c r="SGY1106" s="15"/>
      <c r="SGZ1106" s="15"/>
      <c r="SHC1106" s="15"/>
      <c r="SHD1106" s="15"/>
      <c r="SHG1106" s="15"/>
      <c r="SHH1106" s="15"/>
      <c r="SHK1106" s="15"/>
      <c r="SHL1106" s="15"/>
      <c r="SHO1106" s="15"/>
      <c r="SHP1106" s="15"/>
      <c r="SHS1106" s="15"/>
      <c r="SHT1106" s="15"/>
      <c r="SHW1106" s="15"/>
      <c r="SHX1106" s="15"/>
      <c r="SIA1106" s="15"/>
      <c r="SIB1106" s="15"/>
      <c r="SIE1106" s="15"/>
      <c r="SIF1106" s="15"/>
      <c r="SII1106" s="15"/>
      <c r="SIJ1106" s="15"/>
      <c r="SIM1106" s="15"/>
      <c r="SIN1106" s="15"/>
      <c r="SIQ1106" s="15"/>
      <c r="SIR1106" s="15"/>
      <c r="SIU1106" s="15"/>
      <c r="SIV1106" s="15"/>
      <c r="SIY1106" s="15"/>
      <c r="SIZ1106" s="15"/>
      <c r="SJC1106" s="15"/>
      <c r="SJD1106" s="15"/>
      <c r="SJG1106" s="15"/>
      <c r="SJH1106" s="15"/>
      <c r="SJK1106" s="15"/>
      <c r="SJL1106" s="15"/>
      <c r="SJO1106" s="15"/>
      <c r="SJP1106" s="15"/>
      <c r="SJS1106" s="15"/>
      <c r="SJT1106" s="15"/>
      <c r="SJW1106" s="15"/>
      <c r="SJX1106" s="15"/>
      <c r="SKA1106" s="15"/>
      <c r="SKB1106" s="15"/>
      <c r="SKE1106" s="15"/>
      <c r="SKF1106" s="15"/>
      <c r="SKI1106" s="15"/>
      <c r="SKJ1106" s="15"/>
      <c r="SKM1106" s="15"/>
      <c r="SKN1106" s="15"/>
      <c r="SKQ1106" s="15"/>
      <c r="SKR1106" s="15"/>
      <c r="SKU1106" s="15"/>
      <c r="SKV1106" s="15"/>
      <c r="SKY1106" s="15"/>
      <c r="SKZ1106" s="15"/>
      <c r="SLC1106" s="15"/>
      <c r="SLD1106" s="15"/>
      <c r="SLG1106" s="15"/>
      <c r="SLH1106" s="15"/>
      <c r="SLK1106" s="15"/>
      <c r="SLL1106" s="15"/>
      <c r="SLO1106" s="15"/>
      <c r="SLP1106" s="15"/>
      <c r="SLS1106" s="15"/>
      <c r="SLT1106" s="15"/>
      <c r="SLW1106" s="15"/>
      <c r="SLX1106" s="15"/>
      <c r="SMA1106" s="15"/>
      <c r="SMB1106" s="15"/>
      <c r="SME1106" s="15"/>
      <c r="SMF1106" s="15"/>
      <c r="SMI1106" s="15"/>
      <c r="SMJ1106" s="15"/>
      <c r="SMM1106" s="15"/>
      <c r="SMN1106" s="15"/>
      <c r="SMQ1106" s="15"/>
      <c r="SMR1106" s="15"/>
      <c r="SMU1106" s="15"/>
      <c r="SMV1106" s="15"/>
      <c r="SMY1106" s="15"/>
      <c r="SMZ1106" s="15"/>
      <c r="SNC1106" s="15"/>
      <c r="SND1106" s="15"/>
      <c r="SNG1106" s="15"/>
      <c r="SNH1106" s="15"/>
      <c r="SNK1106" s="15"/>
      <c r="SNL1106" s="15"/>
      <c r="SNO1106" s="15"/>
      <c r="SNP1106" s="15"/>
      <c r="SNS1106" s="15"/>
      <c r="SNT1106" s="15"/>
      <c r="SNW1106" s="15"/>
      <c r="SNX1106" s="15"/>
      <c r="SOA1106" s="15"/>
      <c r="SOB1106" s="15"/>
      <c r="SOE1106" s="15"/>
      <c r="SOF1106" s="15"/>
      <c r="SOI1106" s="15"/>
      <c r="SOJ1106" s="15"/>
      <c r="SOM1106" s="15"/>
      <c r="SON1106" s="15"/>
      <c r="SOQ1106" s="15"/>
      <c r="SOR1106" s="15"/>
      <c r="SOU1106" s="15"/>
      <c r="SOV1106" s="15"/>
      <c r="SOY1106" s="15"/>
      <c r="SOZ1106" s="15"/>
      <c r="SPC1106" s="15"/>
      <c r="SPD1106" s="15"/>
      <c r="SPG1106" s="15"/>
      <c r="SPH1106" s="15"/>
      <c r="SPK1106" s="15"/>
      <c r="SPL1106" s="15"/>
      <c r="SPO1106" s="15"/>
      <c r="SPP1106" s="15"/>
      <c r="SPS1106" s="15"/>
      <c r="SPT1106" s="15"/>
      <c r="SPW1106" s="15"/>
      <c r="SPX1106" s="15"/>
      <c r="SQA1106" s="15"/>
      <c r="SQB1106" s="15"/>
      <c r="SQE1106" s="15"/>
      <c r="SQF1106" s="15"/>
      <c r="SQI1106" s="15"/>
      <c r="SQJ1106" s="15"/>
      <c r="SQM1106" s="15"/>
      <c r="SQN1106" s="15"/>
      <c r="SQQ1106" s="15"/>
      <c r="SQR1106" s="15"/>
      <c r="SQU1106" s="15"/>
      <c r="SQV1106" s="15"/>
      <c r="SQY1106" s="15"/>
      <c r="SQZ1106" s="15"/>
      <c r="SRC1106" s="15"/>
      <c r="SRD1106" s="15"/>
      <c r="SRG1106" s="15"/>
      <c r="SRH1106" s="15"/>
      <c r="SRK1106" s="15"/>
      <c r="SRL1106" s="15"/>
      <c r="SRO1106" s="15"/>
      <c r="SRP1106" s="15"/>
      <c r="SRS1106" s="15"/>
      <c r="SRT1106" s="15"/>
      <c r="SRW1106" s="15"/>
      <c r="SRX1106" s="15"/>
      <c r="SSA1106" s="15"/>
      <c r="SSB1106" s="15"/>
      <c r="SSE1106" s="15"/>
      <c r="SSF1106" s="15"/>
      <c r="SSI1106" s="15"/>
      <c r="SSJ1106" s="15"/>
      <c r="SSM1106" s="15"/>
      <c r="SSN1106" s="15"/>
      <c r="SSQ1106" s="15"/>
      <c r="SSR1106" s="15"/>
      <c r="SSU1106" s="15"/>
      <c r="SSV1106" s="15"/>
      <c r="SSY1106" s="15"/>
      <c r="SSZ1106" s="15"/>
      <c r="STC1106" s="15"/>
      <c r="STD1106" s="15"/>
      <c r="STG1106" s="15"/>
      <c r="STH1106" s="15"/>
      <c r="STK1106" s="15"/>
      <c r="STL1106" s="15"/>
      <c r="STO1106" s="15"/>
      <c r="STP1106" s="15"/>
      <c r="STS1106" s="15"/>
      <c r="STT1106" s="15"/>
      <c r="STW1106" s="15"/>
      <c r="STX1106" s="15"/>
      <c r="SUA1106" s="15"/>
      <c r="SUB1106" s="15"/>
      <c r="SUE1106" s="15"/>
      <c r="SUF1106" s="15"/>
      <c r="SUI1106" s="15"/>
      <c r="SUJ1106" s="15"/>
      <c r="SUM1106" s="15"/>
      <c r="SUN1106" s="15"/>
      <c r="SUQ1106" s="15"/>
      <c r="SUR1106" s="15"/>
      <c r="SUU1106" s="15"/>
      <c r="SUV1106" s="15"/>
      <c r="SUY1106" s="15"/>
      <c r="SUZ1106" s="15"/>
      <c r="SVC1106" s="15"/>
      <c r="SVD1106" s="15"/>
      <c r="SVG1106" s="15"/>
      <c r="SVH1106" s="15"/>
      <c r="SVK1106" s="15"/>
      <c r="SVL1106" s="15"/>
      <c r="SVO1106" s="15"/>
      <c r="SVP1106" s="15"/>
      <c r="SVS1106" s="15"/>
      <c r="SVT1106" s="15"/>
      <c r="SVW1106" s="15"/>
      <c r="SVX1106" s="15"/>
      <c r="SWA1106" s="15"/>
      <c r="SWB1106" s="15"/>
      <c r="SWE1106" s="15"/>
      <c r="SWF1106" s="15"/>
      <c r="SWI1106" s="15"/>
      <c r="SWJ1106" s="15"/>
      <c r="SWM1106" s="15"/>
      <c r="SWN1106" s="15"/>
      <c r="SWQ1106" s="15"/>
      <c r="SWR1106" s="15"/>
      <c r="SWU1106" s="15"/>
      <c r="SWV1106" s="15"/>
      <c r="SWY1106" s="15"/>
      <c r="SWZ1106" s="15"/>
      <c r="SXC1106" s="15"/>
      <c r="SXD1106" s="15"/>
      <c r="SXG1106" s="15"/>
      <c r="SXH1106" s="15"/>
      <c r="SXK1106" s="15"/>
      <c r="SXL1106" s="15"/>
      <c r="SXO1106" s="15"/>
      <c r="SXP1106" s="15"/>
      <c r="SXS1106" s="15"/>
      <c r="SXT1106" s="15"/>
      <c r="SXW1106" s="15"/>
      <c r="SXX1106" s="15"/>
      <c r="SYA1106" s="15"/>
      <c r="SYB1106" s="15"/>
      <c r="SYE1106" s="15"/>
      <c r="SYF1106" s="15"/>
      <c r="SYI1106" s="15"/>
      <c r="SYJ1106" s="15"/>
      <c r="SYM1106" s="15"/>
      <c r="SYN1106" s="15"/>
      <c r="SYQ1106" s="15"/>
      <c r="SYR1106" s="15"/>
      <c r="SYU1106" s="15"/>
      <c r="SYV1106" s="15"/>
      <c r="SYY1106" s="15"/>
      <c r="SYZ1106" s="15"/>
      <c r="SZC1106" s="15"/>
      <c r="SZD1106" s="15"/>
      <c r="SZG1106" s="15"/>
      <c r="SZH1106" s="15"/>
      <c r="SZK1106" s="15"/>
      <c r="SZL1106" s="15"/>
      <c r="SZO1106" s="15"/>
      <c r="SZP1106" s="15"/>
      <c r="SZS1106" s="15"/>
      <c r="SZT1106" s="15"/>
      <c r="SZW1106" s="15"/>
      <c r="SZX1106" s="15"/>
      <c r="TAA1106" s="15"/>
      <c r="TAB1106" s="15"/>
      <c r="TAE1106" s="15"/>
      <c r="TAF1106" s="15"/>
      <c r="TAI1106" s="15"/>
      <c r="TAJ1106" s="15"/>
      <c r="TAM1106" s="15"/>
      <c r="TAN1106" s="15"/>
      <c r="TAQ1106" s="15"/>
      <c r="TAR1106" s="15"/>
      <c r="TAU1106" s="15"/>
      <c r="TAV1106" s="15"/>
      <c r="TAY1106" s="15"/>
      <c r="TAZ1106" s="15"/>
      <c r="TBC1106" s="15"/>
      <c r="TBD1106" s="15"/>
      <c r="TBG1106" s="15"/>
      <c r="TBH1106" s="15"/>
      <c r="TBK1106" s="15"/>
      <c r="TBL1106" s="15"/>
      <c r="TBO1106" s="15"/>
      <c r="TBP1106" s="15"/>
      <c r="TBS1106" s="15"/>
      <c r="TBT1106" s="15"/>
      <c r="TBW1106" s="15"/>
      <c r="TBX1106" s="15"/>
      <c r="TCA1106" s="15"/>
      <c r="TCB1106" s="15"/>
      <c r="TCE1106" s="15"/>
      <c r="TCF1106" s="15"/>
      <c r="TCI1106" s="15"/>
      <c r="TCJ1106" s="15"/>
      <c r="TCM1106" s="15"/>
      <c r="TCN1106" s="15"/>
      <c r="TCQ1106" s="15"/>
      <c r="TCR1106" s="15"/>
      <c r="TCU1106" s="15"/>
      <c r="TCV1106" s="15"/>
      <c r="TCY1106" s="15"/>
      <c r="TCZ1106" s="15"/>
      <c r="TDC1106" s="15"/>
      <c r="TDD1106" s="15"/>
      <c r="TDG1106" s="15"/>
      <c r="TDH1106" s="15"/>
      <c r="TDK1106" s="15"/>
      <c r="TDL1106" s="15"/>
      <c r="TDO1106" s="15"/>
      <c r="TDP1106" s="15"/>
      <c r="TDS1106" s="15"/>
      <c r="TDT1106" s="15"/>
      <c r="TDW1106" s="15"/>
      <c r="TDX1106" s="15"/>
      <c r="TEA1106" s="15"/>
      <c r="TEB1106" s="15"/>
      <c r="TEE1106" s="15"/>
      <c r="TEF1106" s="15"/>
      <c r="TEI1106" s="15"/>
      <c r="TEJ1106" s="15"/>
      <c r="TEM1106" s="15"/>
      <c r="TEN1106" s="15"/>
      <c r="TEQ1106" s="15"/>
      <c r="TER1106" s="15"/>
      <c r="TEU1106" s="15"/>
      <c r="TEV1106" s="15"/>
      <c r="TEY1106" s="15"/>
      <c r="TEZ1106" s="15"/>
      <c r="TFC1106" s="15"/>
      <c r="TFD1106" s="15"/>
      <c r="TFG1106" s="15"/>
      <c r="TFH1106" s="15"/>
      <c r="TFK1106" s="15"/>
      <c r="TFL1106" s="15"/>
      <c r="TFO1106" s="15"/>
      <c r="TFP1106" s="15"/>
      <c r="TFS1106" s="15"/>
      <c r="TFT1106" s="15"/>
      <c r="TFW1106" s="15"/>
      <c r="TFX1106" s="15"/>
      <c r="TGA1106" s="15"/>
      <c r="TGB1106" s="15"/>
      <c r="TGE1106" s="15"/>
      <c r="TGF1106" s="15"/>
      <c r="TGI1106" s="15"/>
      <c r="TGJ1106" s="15"/>
      <c r="TGM1106" s="15"/>
      <c r="TGN1106" s="15"/>
      <c r="TGQ1106" s="15"/>
      <c r="TGR1106" s="15"/>
      <c r="TGU1106" s="15"/>
      <c r="TGV1106" s="15"/>
      <c r="TGY1106" s="15"/>
      <c r="TGZ1106" s="15"/>
      <c r="THC1106" s="15"/>
      <c r="THD1106" s="15"/>
      <c r="THG1106" s="15"/>
      <c r="THH1106" s="15"/>
      <c r="THK1106" s="15"/>
      <c r="THL1106" s="15"/>
      <c r="THO1106" s="15"/>
      <c r="THP1106" s="15"/>
      <c r="THS1106" s="15"/>
      <c r="THT1106" s="15"/>
      <c r="THW1106" s="15"/>
      <c r="THX1106" s="15"/>
      <c r="TIA1106" s="15"/>
      <c r="TIB1106" s="15"/>
      <c r="TIE1106" s="15"/>
      <c r="TIF1106" s="15"/>
      <c r="TII1106" s="15"/>
      <c r="TIJ1106" s="15"/>
      <c r="TIM1106" s="15"/>
      <c r="TIN1106" s="15"/>
      <c r="TIQ1106" s="15"/>
      <c r="TIR1106" s="15"/>
      <c r="TIU1106" s="15"/>
      <c r="TIV1106" s="15"/>
      <c r="TIY1106" s="15"/>
      <c r="TIZ1106" s="15"/>
      <c r="TJC1106" s="15"/>
      <c r="TJD1106" s="15"/>
      <c r="TJG1106" s="15"/>
      <c r="TJH1106" s="15"/>
      <c r="TJK1106" s="15"/>
      <c r="TJL1106" s="15"/>
      <c r="TJO1106" s="15"/>
      <c r="TJP1106" s="15"/>
      <c r="TJS1106" s="15"/>
      <c r="TJT1106" s="15"/>
      <c r="TJW1106" s="15"/>
      <c r="TJX1106" s="15"/>
      <c r="TKA1106" s="15"/>
      <c r="TKB1106" s="15"/>
      <c r="TKE1106" s="15"/>
      <c r="TKF1106" s="15"/>
      <c r="TKI1106" s="15"/>
      <c r="TKJ1106" s="15"/>
      <c r="TKM1106" s="15"/>
      <c r="TKN1106" s="15"/>
      <c r="TKQ1106" s="15"/>
      <c r="TKR1106" s="15"/>
      <c r="TKU1106" s="15"/>
      <c r="TKV1106" s="15"/>
      <c r="TKY1106" s="15"/>
      <c r="TKZ1106" s="15"/>
      <c r="TLC1106" s="15"/>
      <c r="TLD1106" s="15"/>
      <c r="TLG1106" s="15"/>
      <c r="TLH1106" s="15"/>
      <c r="TLK1106" s="15"/>
      <c r="TLL1106" s="15"/>
      <c r="TLO1106" s="15"/>
      <c r="TLP1106" s="15"/>
      <c r="TLS1106" s="15"/>
      <c r="TLT1106" s="15"/>
      <c r="TLW1106" s="15"/>
      <c r="TLX1106" s="15"/>
      <c r="TMA1106" s="15"/>
      <c r="TMB1106" s="15"/>
      <c r="TME1106" s="15"/>
      <c r="TMF1106" s="15"/>
      <c r="TMI1106" s="15"/>
      <c r="TMJ1106" s="15"/>
      <c r="TMM1106" s="15"/>
      <c r="TMN1106" s="15"/>
      <c r="TMQ1106" s="15"/>
      <c r="TMR1106" s="15"/>
      <c r="TMU1106" s="15"/>
      <c r="TMV1106" s="15"/>
      <c r="TMY1106" s="15"/>
      <c r="TMZ1106" s="15"/>
      <c r="TNC1106" s="15"/>
      <c r="TND1106" s="15"/>
      <c r="TNG1106" s="15"/>
      <c r="TNH1106" s="15"/>
      <c r="TNK1106" s="15"/>
      <c r="TNL1106" s="15"/>
      <c r="TNO1106" s="15"/>
      <c r="TNP1106" s="15"/>
      <c r="TNS1106" s="15"/>
      <c r="TNT1106" s="15"/>
      <c r="TNW1106" s="15"/>
      <c r="TNX1106" s="15"/>
      <c r="TOA1106" s="15"/>
      <c r="TOB1106" s="15"/>
      <c r="TOE1106" s="15"/>
      <c r="TOF1106" s="15"/>
      <c r="TOI1106" s="15"/>
      <c r="TOJ1106" s="15"/>
      <c r="TOM1106" s="15"/>
      <c r="TON1106" s="15"/>
      <c r="TOQ1106" s="15"/>
      <c r="TOR1106" s="15"/>
      <c r="TOU1106" s="15"/>
      <c r="TOV1106" s="15"/>
      <c r="TOY1106" s="15"/>
      <c r="TOZ1106" s="15"/>
      <c r="TPC1106" s="15"/>
      <c r="TPD1106" s="15"/>
      <c r="TPG1106" s="15"/>
      <c r="TPH1106" s="15"/>
      <c r="TPK1106" s="15"/>
      <c r="TPL1106" s="15"/>
      <c r="TPO1106" s="15"/>
      <c r="TPP1106" s="15"/>
      <c r="TPS1106" s="15"/>
      <c r="TPT1106" s="15"/>
      <c r="TPW1106" s="15"/>
      <c r="TPX1106" s="15"/>
      <c r="TQA1106" s="15"/>
      <c r="TQB1106" s="15"/>
      <c r="TQE1106" s="15"/>
      <c r="TQF1106" s="15"/>
      <c r="TQI1106" s="15"/>
      <c r="TQJ1106" s="15"/>
      <c r="TQM1106" s="15"/>
      <c r="TQN1106" s="15"/>
      <c r="TQQ1106" s="15"/>
      <c r="TQR1106" s="15"/>
      <c r="TQU1106" s="15"/>
      <c r="TQV1106" s="15"/>
      <c r="TQY1106" s="15"/>
      <c r="TQZ1106" s="15"/>
      <c r="TRC1106" s="15"/>
      <c r="TRD1106" s="15"/>
      <c r="TRG1106" s="15"/>
      <c r="TRH1106" s="15"/>
      <c r="TRK1106" s="15"/>
      <c r="TRL1106" s="15"/>
      <c r="TRO1106" s="15"/>
      <c r="TRP1106" s="15"/>
      <c r="TRS1106" s="15"/>
      <c r="TRT1106" s="15"/>
      <c r="TRW1106" s="15"/>
      <c r="TRX1106" s="15"/>
      <c r="TSA1106" s="15"/>
      <c r="TSB1106" s="15"/>
      <c r="TSE1106" s="15"/>
      <c r="TSF1106" s="15"/>
      <c r="TSI1106" s="15"/>
      <c r="TSJ1106" s="15"/>
      <c r="TSM1106" s="15"/>
      <c r="TSN1106" s="15"/>
      <c r="TSQ1106" s="15"/>
      <c r="TSR1106" s="15"/>
      <c r="TSU1106" s="15"/>
      <c r="TSV1106" s="15"/>
      <c r="TSY1106" s="15"/>
      <c r="TSZ1106" s="15"/>
      <c r="TTC1106" s="15"/>
      <c r="TTD1106" s="15"/>
      <c r="TTG1106" s="15"/>
      <c r="TTH1106" s="15"/>
      <c r="TTK1106" s="15"/>
      <c r="TTL1106" s="15"/>
      <c r="TTO1106" s="15"/>
      <c r="TTP1106" s="15"/>
      <c r="TTS1106" s="15"/>
      <c r="TTT1106" s="15"/>
      <c r="TTW1106" s="15"/>
      <c r="TTX1106" s="15"/>
      <c r="TUA1106" s="15"/>
      <c r="TUB1106" s="15"/>
      <c r="TUE1106" s="15"/>
      <c r="TUF1106" s="15"/>
      <c r="TUI1106" s="15"/>
      <c r="TUJ1106" s="15"/>
      <c r="TUM1106" s="15"/>
      <c r="TUN1106" s="15"/>
      <c r="TUQ1106" s="15"/>
      <c r="TUR1106" s="15"/>
      <c r="TUU1106" s="15"/>
      <c r="TUV1106" s="15"/>
      <c r="TUY1106" s="15"/>
      <c r="TUZ1106" s="15"/>
      <c r="TVC1106" s="15"/>
      <c r="TVD1106" s="15"/>
      <c r="TVG1106" s="15"/>
      <c r="TVH1106" s="15"/>
      <c r="TVK1106" s="15"/>
      <c r="TVL1106" s="15"/>
      <c r="TVO1106" s="15"/>
      <c r="TVP1106" s="15"/>
      <c r="TVS1106" s="15"/>
      <c r="TVT1106" s="15"/>
      <c r="TVW1106" s="15"/>
      <c r="TVX1106" s="15"/>
      <c r="TWA1106" s="15"/>
      <c r="TWB1106" s="15"/>
      <c r="TWE1106" s="15"/>
      <c r="TWF1106" s="15"/>
      <c r="TWI1106" s="15"/>
      <c r="TWJ1106" s="15"/>
      <c r="TWM1106" s="15"/>
      <c r="TWN1106" s="15"/>
      <c r="TWQ1106" s="15"/>
      <c r="TWR1106" s="15"/>
      <c r="TWU1106" s="15"/>
      <c r="TWV1106" s="15"/>
      <c r="TWY1106" s="15"/>
      <c r="TWZ1106" s="15"/>
      <c r="TXC1106" s="15"/>
      <c r="TXD1106" s="15"/>
      <c r="TXG1106" s="15"/>
      <c r="TXH1106" s="15"/>
      <c r="TXK1106" s="15"/>
      <c r="TXL1106" s="15"/>
      <c r="TXO1106" s="15"/>
      <c r="TXP1106" s="15"/>
      <c r="TXS1106" s="15"/>
      <c r="TXT1106" s="15"/>
      <c r="TXW1106" s="15"/>
      <c r="TXX1106" s="15"/>
      <c r="TYA1106" s="15"/>
      <c r="TYB1106" s="15"/>
      <c r="TYE1106" s="15"/>
      <c r="TYF1106" s="15"/>
      <c r="TYI1106" s="15"/>
      <c r="TYJ1106" s="15"/>
      <c r="TYM1106" s="15"/>
      <c r="TYN1106" s="15"/>
      <c r="TYQ1106" s="15"/>
      <c r="TYR1106" s="15"/>
      <c r="TYU1106" s="15"/>
      <c r="TYV1106" s="15"/>
      <c r="TYY1106" s="15"/>
      <c r="TYZ1106" s="15"/>
      <c r="TZC1106" s="15"/>
      <c r="TZD1106" s="15"/>
      <c r="TZG1106" s="15"/>
      <c r="TZH1106" s="15"/>
      <c r="TZK1106" s="15"/>
      <c r="TZL1106" s="15"/>
      <c r="TZO1106" s="15"/>
      <c r="TZP1106" s="15"/>
      <c r="TZS1106" s="15"/>
      <c r="TZT1106" s="15"/>
      <c r="TZW1106" s="15"/>
      <c r="TZX1106" s="15"/>
      <c r="UAA1106" s="15"/>
      <c r="UAB1106" s="15"/>
      <c r="UAE1106" s="15"/>
      <c r="UAF1106" s="15"/>
      <c r="UAI1106" s="15"/>
      <c r="UAJ1106" s="15"/>
      <c r="UAM1106" s="15"/>
      <c r="UAN1106" s="15"/>
      <c r="UAQ1106" s="15"/>
      <c r="UAR1106" s="15"/>
      <c r="UAU1106" s="15"/>
      <c r="UAV1106" s="15"/>
      <c r="UAY1106" s="15"/>
      <c r="UAZ1106" s="15"/>
      <c r="UBC1106" s="15"/>
      <c r="UBD1106" s="15"/>
      <c r="UBG1106" s="15"/>
      <c r="UBH1106" s="15"/>
      <c r="UBK1106" s="15"/>
      <c r="UBL1106" s="15"/>
      <c r="UBO1106" s="15"/>
      <c r="UBP1106" s="15"/>
      <c r="UBS1106" s="15"/>
      <c r="UBT1106" s="15"/>
      <c r="UBW1106" s="15"/>
      <c r="UBX1106" s="15"/>
      <c r="UCA1106" s="15"/>
      <c r="UCB1106" s="15"/>
      <c r="UCE1106" s="15"/>
      <c r="UCF1106" s="15"/>
      <c r="UCI1106" s="15"/>
      <c r="UCJ1106" s="15"/>
      <c r="UCM1106" s="15"/>
      <c r="UCN1106" s="15"/>
      <c r="UCQ1106" s="15"/>
      <c r="UCR1106" s="15"/>
      <c r="UCU1106" s="15"/>
      <c r="UCV1106" s="15"/>
      <c r="UCY1106" s="15"/>
      <c r="UCZ1106" s="15"/>
      <c r="UDC1106" s="15"/>
      <c r="UDD1106" s="15"/>
      <c r="UDG1106" s="15"/>
      <c r="UDH1106" s="15"/>
      <c r="UDK1106" s="15"/>
      <c r="UDL1106" s="15"/>
      <c r="UDO1106" s="15"/>
      <c r="UDP1106" s="15"/>
      <c r="UDS1106" s="15"/>
      <c r="UDT1106" s="15"/>
      <c r="UDW1106" s="15"/>
      <c r="UDX1106" s="15"/>
      <c r="UEA1106" s="15"/>
      <c r="UEB1106" s="15"/>
      <c r="UEE1106" s="15"/>
      <c r="UEF1106" s="15"/>
      <c r="UEI1106" s="15"/>
      <c r="UEJ1106" s="15"/>
      <c r="UEM1106" s="15"/>
      <c r="UEN1106" s="15"/>
      <c r="UEQ1106" s="15"/>
      <c r="UER1106" s="15"/>
      <c r="UEU1106" s="15"/>
      <c r="UEV1106" s="15"/>
      <c r="UEY1106" s="15"/>
      <c r="UEZ1106" s="15"/>
      <c r="UFC1106" s="15"/>
      <c r="UFD1106" s="15"/>
      <c r="UFG1106" s="15"/>
      <c r="UFH1106" s="15"/>
      <c r="UFK1106" s="15"/>
      <c r="UFL1106" s="15"/>
      <c r="UFO1106" s="15"/>
      <c r="UFP1106" s="15"/>
      <c r="UFS1106" s="15"/>
      <c r="UFT1106" s="15"/>
      <c r="UFW1106" s="15"/>
      <c r="UFX1106" s="15"/>
      <c r="UGA1106" s="15"/>
      <c r="UGB1106" s="15"/>
      <c r="UGE1106" s="15"/>
      <c r="UGF1106" s="15"/>
      <c r="UGI1106" s="15"/>
      <c r="UGJ1106" s="15"/>
      <c r="UGM1106" s="15"/>
      <c r="UGN1106" s="15"/>
      <c r="UGQ1106" s="15"/>
      <c r="UGR1106" s="15"/>
      <c r="UGU1106" s="15"/>
      <c r="UGV1106" s="15"/>
      <c r="UGY1106" s="15"/>
      <c r="UGZ1106" s="15"/>
      <c r="UHC1106" s="15"/>
      <c r="UHD1106" s="15"/>
      <c r="UHG1106" s="15"/>
      <c r="UHH1106" s="15"/>
      <c r="UHK1106" s="15"/>
      <c r="UHL1106" s="15"/>
      <c r="UHO1106" s="15"/>
      <c r="UHP1106" s="15"/>
      <c r="UHS1106" s="15"/>
      <c r="UHT1106" s="15"/>
      <c r="UHW1106" s="15"/>
      <c r="UHX1106" s="15"/>
      <c r="UIA1106" s="15"/>
      <c r="UIB1106" s="15"/>
      <c r="UIE1106" s="15"/>
      <c r="UIF1106" s="15"/>
      <c r="UII1106" s="15"/>
      <c r="UIJ1106" s="15"/>
      <c r="UIM1106" s="15"/>
      <c r="UIN1106" s="15"/>
      <c r="UIQ1106" s="15"/>
      <c r="UIR1106" s="15"/>
      <c r="UIU1106" s="15"/>
      <c r="UIV1106" s="15"/>
      <c r="UIY1106" s="15"/>
      <c r="UIZ1106" s="15"/>
      <c r="UJC1106" s="15"/>
      <c r="UJD1106" s="15"/>
      <c r="UJG1106" s="15"/>
      <c r="UJH1106" s="15"/>
      <c r="UJK1106" s="15"/>
      <c r="UJL1106" s="15"/>
      <c r="UJO1106" s="15"/>
      <c r="UJP1106" s="15"/>
      <c r="UJS1106" s="15"/>
      <c r="UJT1106" s="15"/>
      <c r="UJW1106" s="15"/>
      <c r="UJX1106" s="15"/>
      <c r="UKA1106" s="15"/>
      <c r="UKB1106" s="15"/>
      <c r="UKE1106" s="15"/>
      <c r="UKF1106" s="15"/>
      <c r="UKI1106" s="15"/>
      <c r="UKJ1106" s="15"/>
      <c r="UKM1106" s="15"/>
      <c r="UKN1106" s="15"/>
      <c r="UKQ1106" s="15"/>
      <c r="UKR1106" s="15"/>
      <c r="UKU1106" s="15"/>
      <c r="UKV1106" s="15"/>
      <c r="UKY1106" s="15"/>
      <c r="UKZ1106" s="15"/>
      <c r="ULC1106" s="15"/>
      <c r="ULD1106" s="15"/>
      <c r="ULG1106" s="15"/>
      <c r="ULH1106" s="15"/>
      <c r="ULK1106" s="15"/>
      <c r="ULL1106" s="15"/>
      <c r="ULO1106" s="15"/>
      <c r="ULP1106" s="15"/>
      <c r="ULS1106" s="15"/>
      <c r="ULT1106" s="15"/>
      <c r="ULW1106" s="15"/>
      <c r="ULX1106" s="15"/>
      <c r="UMA1106" s="15"/>
      <c r="UMB1106" s="15"/>
      <c r="UME1106" s="15"/>
      <c r="UMF1106" s="15"/>
      <c r="UMI1106" s="15"/>
      <c r="UMJ1106" s="15"/>
      <c r="UMM1106" s="15"/>
      <c r="UMN1106" s="15"/>
      <c r="UMQ1106" s="15"/>
      <c r="UMR1106" s="15"/>
      <c r="UMU1106" s="15"/>
      <c r="UMV1106" s="15"/>
      <c r="UMY1106" s="15"/>
      <c r="UMZ1106" s="15"/>
      <c r="UNC1106" s="15"/>
      <c r="UND1106" s="15"/>
      <c r="UNG1106" s="15"/>
      <c r="UNH1106" s="15"/>
      <c r="UNK1106" s="15"/>
      <c r="UNL1106" s="15"/>
      <c r="UNO1106" s="15"/>
      <c r="UNP1106" s="15"/>
      <c r="UNS1106" s="15"/>
      <c r="UNT1106" s="15"/>
      <c r="UNW1106" s="15"/>
      <c r="UNX1106" s="15"/>
      <c r="UOA1106" s="15"/>
      <c r="UOB1106" s="15"/>
      <c r="UOE1106" s="15"/>
      <c r="UOF1106" s="15"/>
      <c r="UOI1106" s="15"/>
      <c r="UOJ1106" s="15"/>
      <c r="UOM1106" s="15"/>
      <c r="UON1106" s="15"/>
      <c r="UOQ1106" s="15"/>
      <c r="UOR1106" s="15"/>
      <c r="UOU1106" s="15"/>
      <c r="UOV1106" s="15"/>
      <c r="UOY1106" s="15"/>
      <c r="UOZ1106" s="15"/>
      <c r="UPC1106" s="15"/>
      <c r="UPD1106" s="15"/>
      <c r="UPG1106" s="15"/>
      <c r="UPH1106" s="15"/>
      <c r="UPK1106" s="15"/>
      <c r="UPL1106" s="15"/>
      <c r="UPO1106" s="15"/>
      <c r="UPP1106" s="15"/>
      <c r="UPS1106" s="15"/>
      <c r="UPT1106" s="15"/>
      <c r="UPW1106" s="15"/>
      <c r="UPX1106" s="15"/>
      <c r="UQA1106" s="15"/>
      <c r="UQB1106" s="15"/>
      <c r="UQE1106" s="15"/>
      <c r="UQF1106" s="15"/>
      <c r="UQI1106" s="15"/>
      <c r="UQJ1106" s="15"/>
      <c r="UQM1106" s="15"/>
      <c r="UQN1106" s="15"/>
      <c r="UQQ1106" s="15"/>
      <c r="UQR1106" s="15"/>
      <c r="UQU1106" s="15"/>
      <c r="UQV1106" s="15"/>
      <c r="UQY1106" s="15"/>
      <c r="UQZ1106" s="15"/>
      <c r="URC1106" s="15"/>
      <c r="URD1106" s="15"/>
      <c r="URG1106" s="15"/>
      <c r="URH1106" s="15"/>
      <c r="URK1106" s="15"/>
      <c r="URL1106" s="15"/>
      <c r="URO1106" s="15"/>
      <c r="URP1106" s="15"/>
      <c r="URS1106" s="15"/>
      <c r="URT1106" s="15"/>
      <c r="URW1106" s="15"/>
      <c r="URX1106" s="15"/>
      <c r="USA1106" s="15"/>
      <c r="USB1106" s="15"/>
      <c r="USE1106" s="15"/>
      <c r="USF1106" s="15"/>
      <c r="USI1106" s="15"/>
      <c r="USJ1106" s="15"/>
      <c r="USM1106" s="15"/>
      <c r="USN1106" s="15"/>
      <c r="USQ1106" s="15"/>
      <c r="USR1106" s="15"/>
      <c r="USU1106" s="15"/>
      <c r="USV1106" s="15"/>
      <c r="USY1106" s="15"/>
      <c r="USZ1106" s="15"/>
      <c r="UTC1106" s="15"/>
      <c r="UTD1106" s="15"/>
      <c r="UTG1106" s="15"/>
      <c r="UTH1106" s="15"/>
      <c r="UTK1106" s="15"/>
      <c r="UTL1106" s="15"/>
      <c r="UTO1106" s="15"/>
      <c r="UTP1106" s="15"/>
      <c r="UTS1106" s="15"/>
      <c r="UTT1106" s="15"/>
      <c r="UTW1106" s="15"/>
      <c r="UTX1106" s="15"/>
      <c r="UUA1106" s="15"/>
      <c r="UUB1106" s="15"/>
      <c r="UUE1106" s="15"/>
      <c r="UUF1106" s="15"/>
      <c r="UUI1106" s="15"/>
      <c r="UUJ1106" s="15"/>
      <c r="UUM1106" s="15"/>
      <c r="UUN1106" s="15"/>
      <c r="UUQ1106" s="15"/>
      <c r="UUR1106" s="15"/>
      <c r="UUU1106" s="15"/>
      <c r="UUV1106" s="15"/>
      <c r="UUY1106" s="15"/>
      <c r="UUZ1106" s="15"/>
      <c r="UVC1106" s="15"/>
      <c r="UVD1106" s="15"/>
      <c r="UVG1106" s="15"/>
      <c r="UVH1106" s="15"/>
      <c r="UVK1106" s="15"/>
      <c r="UVL1106" s="15"/>
      <c r="UVO1106" s="15"/>
      <c r="UVP1106" s="15"/>
      <c r="UVS1106" s="15"/>
      <c r="UVT1106" s="15"/>
      <c r="UVW1106" s="15"/>
      <c r="UVX1106" s="15"/>
      <c r="UWA1106" s="15"/>
      <c r="UWB1106" s="15"/>
      <c r="UWE1106" s="15"/>
      <c r="UWF1106" s="15"/>
      <c r="UWI1106" s="15"/>
      <c r="UWJ1106" s="15"/>
      <c r="UWM1106" s="15"/>
      <c r="UWN1106" s="15"/>
      <c r="UWQ1106" s="15"/>
      <c r="UWR1106" s="15"/>
      <c r="UWU1106" s="15"/>
      <c r="UWV1106" s="15"/>
      <c r="UWY1106" s="15"/>
      <c r="UWZ1106" s="15"/>
      <c r="UXC1106" s="15"/>
      <c r="UXD1106" s="15"/>
      <c r="UXG1106" s="15"/>
      <c r="UXH1106" s="15"/>
      <c r="UXK1106" s="15"/>
      <c r="UXL1106" s="15"/>
      <c r="UXO1106" s="15"/>
      <c r="UXP1106" s="15"/>
      <c r="UXS1106" s="15"/>
      <c r="UXT1106" s="15"/>
      <c r="UXW1106" s="15"/>
      <c r="UXX1106" s="15"/>
      <c r="UYA1106" s="15"/>
      <c r="UYB1106" s="15"/>
      <c r="UYE1106" s="15"/>
      <c r="UYF1106" s="15"/>
      <c r="UYI1106" s="15"/>
      <c r="UYJ1106" s="15"/>
      <c r="UYM1106" s="15"/>
      <c r="UYN1106" s="15"/>
      <c r="UYQ1106" s="15"/>
      <c r="UYR1106" s="15"/>
      <c r="UYU1106" s="15"/>
      <c r="UYV1106" s="15"/>
      <c r="UYY1106" s="15"/>
      <c r="UYZ1106" s="15"/>
      <c r="UZC1106" s="15"/>
      <c r="UZD1106" s="15"/>
      <c r="UZG1106" s="15"/>
      <c r="UZH1106" s="15"/>
      <c r="UZK1106" s="15"/>
      <c r="UZL1106" s="15"/>
      <c r="UZO1106" s="15"/>
      <c r="UZP1106" s="15"/>
      <c r="UZS1106" s="15"/>
      <c r="UZT1106" s="15"/>
      <c r="UZW1106" s="15"/>
      <c r="UZX1106" s="15"/>
      <c r="VAA1106" s="15"/>
      <c r="VAB1106" s="15"/>
      <c r="VAE1106" s="15"/>
      <c r="VAF1106" s="15"/>
      <c r="VAI1106" s="15"/>
      <c r="VAJ1106" s="15"/>
      <c r="VAM1106" s="15"/>
      <c r="VAN1106" s="15"/>
      <c r="VAQ1106" s="15"/>
      <c r="VAR1106" s="15"/>
      <c r="VAU1106" s="15"/>
      <c r="VAV1106" s="15"/>
      <c r="VAY1106" s="15"/>
      <c r="VAZ1106" s="15"/>
      <c r="VBC1106" s="15"/>
      <c r="VBD1106" s="15"/>
      <c r="VBG1106" s="15"/>
      <c r="VBH1106" s="15"/>
      <c r="VBK1106" s="15"/>
      <c r="VBL1106" s="15"/>
      <c r="VBO1106" s="15"/>
      <c r="VBP1106" s="15"/>
      <c r="VBS1106" s="15"/>
      <c r="VBT1106" s="15"/>
      <c r="VBW1106" s="15"/>
      <c r="VBX1106" s="15"/>
      <c r="VCA1106" s="15"/>
      <c r="VCB1106" s="15"/>
      <c r="VCE1106" s="15"/>
      <c r="VCF1106" s="15"/>
      <c r="VCI1106" s="15"/>
      <c r="VCJ1106" s="15"/>
      <c r="VCM1106" s="15"/>
      <c r="VCN1106" s="15"/>
      <c r="VCQ1106" s="15"/>
      <c r="VCR1106" s="15"/>
      <c r="VCU1106" s="15"/>
      <c r="VCV1106" s="15"/>
      <c r="VCY1106" s="15"/>
      <c r="VCZ1106" s="15"/>
      <c r="VDC1106" s="15"/>
      <c r="VDD1106" s="15"/>
      <c r="VDG1106" s="15"/>
      <c r="VDH1106" s="15"/>
      <c r="VDK1106" s="15"/>
      <c r="VDL1106" s="15"/>
      <c r="VDO1106" s="15"/>
      <c r="VDP1106" s="15"/>
      <c r="VDS1106" s="15"/>
      <c r="VDT1106" s="15"/>
      <c r="VDW1106" s="15"/>
      <c r="VDX1106" s="15"/>
      <c r="VEA1106" s="15"/>
      <c r="VEB1106" s="15"/>
      <c r="VEE1106" s="15"/>
      <c r="VEF1106" s="15"/>
      <c r="VEI1106" s="15"/>
      <c r="VEJ1106" s="15"/>
      <c r="VEM1106" s="15"/>
      <c r="VEN1106" s="15"/>
      <c r="VEQ1106" s="15"/>
      <c r="VER1106" s="15"/>
      <c r="VEU1106" s="15"/>
      <c r="VEV1106" s="15"/>
      <c r="VEY1106" s="15"/>
      <c r="VEZ1106" s="15"/>
      <c r="VFC1106" s="15"/>
      <c r="VFD1106" s="15"/>
      <c r="VFG1106" s="15"/>
      <c r="VFH1106" s="15"/>
      <c r="VFK1106" s="15"/>
      <c r="VFL1106" s="15"/>
      <c r="VFO1106" s="15"/>
      <c r="VFP1106" s="15"/>
      <c r="VFS1106" s="15"/>
      <c r="VFT1106" s="15"/>
      <c r="VFW1106" s="15"/>
      <c r="VFX1106" s="15"/>
      <c r="VGA1106" s="15"/>
      <c r="VGB1106" s="15"/>
      <c r="VGE1106" s="15"/>
      <c r="VGF1106" s="15"/>
      <c r="VGI1106" s="15"/>
      <c r="VGJ1106" s="15"/>
      <c r="VGM1106" s="15"/>
      <c r="VGN1106" s="15"/>
      <c r="VGQ1106" s="15"/>
      <c r="VGR1106" s="15"/>
      <c r="VGU1106" s="15"/>
      <c r="VGV1106" s="15"/>
      <c r="VGY1106" s="15"/>
      <c r="VGZ1106" s="15"/>
      <c r="VHC1106" s="15"/>
      <c r="VHD1106" s="15"/>
      <c r="VHG1106" s="15"/>
      <c r="VHH1106" s="15"/>
      <c r="VHK1106" s="15"/>
      <c r="VHL1106" s="15"/>
      <c r="VHO1106" s="15"/>
      <c r="VHP1106" s="15"/>
      <c r="VHS1106" s="15"/>
      <c r="VHT1106" s="15"/>
      <c r="VHW1106" s="15"/>
      <c r="VHX1106" s="15"/>
      <c r="VIA1106" s="15"/>
      <c r="VIB1106" s="15"/>
      <c r="VIE1106" s="15"/>
      <c r="VIF1106" s="15"/>
      <c r="VII1106" s="15"/>
      <c r="VIJ1106" s="15"/>
      <c r="VIM1106" s="15"/>
      <c r="VIN1106" s="15"/>
      <c r="VIQ1106" s="15"/>
      <c r="VIR1106" s="15"/>
      <c r="VIU1106" s="15"/>
      <c r="VIV1106" s="15"/>
      <c r="VIY1106" s="15"/>
      <c r="VIZ1106" s="15"/>
      <c r="VJC1106" s="15"/>
      <c r="VJD1106" s="15"/>
      <c r="VJG1106" s="15"/>
      <c r="VJH1106" s="15"/>
      <c r="VJK1106" s="15"/>
      <c r="VJL1106" s="15"/>
      <c r="VJO1106" s="15"/>
      <c r="VJP1106" s="15"/>
      <c r="VJS1106" s="15"/>
      <c r="VJT1106" s="15"/>
      <c r="VJW1106" s="15"/>
      <c r="VJX1106" s="15"/>
      <c r="VKA1106" s="15"/>
      <c r="VKB1106" s="15"/>
      <c r="VKE1106" s="15"/>
      <c r="VKF1106" s="15"/>
      <c r="VKI1106" s="15"/>
      <c r="VKJ1106" s="15"/>
      <c r="VKM1106" s="15"/>
      <c r="VKN1106" s="15"/>
      <c r="VKQ1106" s="15"/>
      <c r="VKR1106" s="15"/>
      <c r="VKU1106" s="15"/>
      <c r="VKV1106" s="15"/>
      <c r="VKY1106" s="15"/>
      <c r="VKZ1106" s="15"/>
      <c r="VLC1106" s="15"/>
      <c r="VLD1106" s="15"/>
      <c r="VLG1106" s="15"/>
      <c r="VLH1106" s="15"/>
      <c r="VLK1106" s="15"/>
      <c r="VLL1106" s="15"/>
      <c r="VLO1106" s="15"/>
      <c r="VLP1106" s="15"/>
      <c r="VLS1106" s="15"/>
      <c r="VLT1106" s="15"/>
      <c r="VLW1106" s="15"/>
      <c r="VLX1106" s="15"/>
      <c r="VMA1106" s="15"/>
      <c r="VMB1106" s="15"/>
      <c r="VME1106" s="15"/>
      <c r="VMF1106" s="15"/>
      <c r="VMI1106" s="15"/>
      <c r="VMJ1106" s="15"/>
      <c r="VMM1106" s="15"/>
      <c r="VMN1106" s="15"/>
      <c r="VMQ1106" s="15"/>
      <c r="VMR1106" s="15"/>
      <c r="VMU1106" s="15"/>
      <c r="VMV1106" s="15"/>
      <c r="VMY1106" s="15"/>
      <c r="VMZ1106" s="15"/>
      <c r="VNC1106" s="15"/>
      <c r="VND1106" s="15"/>
      <c r="VNG1106" s="15"/>
      <c r="VNH1106" s="15"/>
      <c r="VNK1106" s="15"/>
      <c r="VNL1106" s="15"/>
      <c r="VNO1106" s="15"/>
      <c r="VNP1106" s="15"/>
      <c r="VNS1106" s="15"/>
      <c r="VNT1106" s="15"/>
      <c r="VNW1106" s="15"/>
      <c r="VNX1106" s="15"/>
      <c r="VOA1106" s="15"/>
      <c r="VOB1106" s="15"/>
      <c r="VOE1106" s="15"/>
      <c r="VOF1106" s="15"/>
      <c r="VOI1106" s="15"/>
      <c r="VOJ1106" s="15"/>
      <c r="VOM1106" s="15"/>
      <c r="VON1106" s="15"/>
      <c r="VOQ1106" s="15"/>
      <c r="VOR1106" s="15"/>
      <c r="VOU1106" s="15"/>
      <c r="VOV1106" s="15"/>
      <c r="VOY1106" s="15"/>
      <c r="VOZ1106" s="15"/>
      <c r="VPC1106" s="15"/>
      <c r="VPD1106" s="15"/>
      <c r="VPG1106" s="15"/>
      <c r="VPH1106" s="15"/>
      <c r="VPK1106" s="15"/>
      <c r="VPL1106" s="15"/>
      <c r="VPO1106" s="15"/>
      <c r="VPP1106" s="15"/>
      <c r="VPS1106" s="15"/>
      <c r="VPT1106" s="15"/>
      <c r="VPW1106" s="15"/>
      <c r="VPX1106" s="15"/>
      <c r="VQA1106" s="15"/>
      <c r="VQB1106" s="15"/>
      <c r="VQE1106" s="15"/>
      <c r="VQF1106" s="15"/>
      <c r="VQI1106" s="15"/>
      <c r="VQJ1106" s="15"/>
      <c r="VQM1106" s="15"/>
      <c r="VQN1106" s="15"/>
      <c r="VQQ1106" s="15"/>
      <c r="VQR1106" s="15"/>
      <c r="VQU1106" s="15"/>
      <c r="VQV1106" s="15"/>
      <c r="VQY1106" s="15"/>
      <c r="VQZ1106" s="15"/>
      <c r="VRC1106" s="15"/>
      <c r="VRD1106" s="15"/>
      <c r="VRG1106" s="15"/>
      <c r="VRH1106" s="15"/>
      <c r="VRK1106" s="15"/>
      <c r="VRL1106" s="15"/>
      <c r="VRO1106" s="15"/>
      <c r="VRP1106" s="15"/>
      <c r="VRS1106" s="15"/>
      <c r="VRT1106" s="15"/>
      <c r="VRW1106" s="15"/>
      <c r="VRX1106" s="15"/>
      <c r="VSA1106" s="15"/>
      <c r="VSB1106" s="15"/>
      <c r="VSE1106" s="15"/>
      <c r="VSF1106" s="15"/>
      <c r="VSI1106" s="15"/>
      <c r="VSJ1106" s="15"/>
      <c r="VSM1106" s="15"/>
      <c r="VSN1106" s="15"/>
      <c r="VSQ1106" s="15"/>
      <c r="VSR1106" s="15"/>
      <c r="VSU1106" s="15"/>
      <c r="VSV1106" s="15"/>
      <c r="VSY1106" s="15"/>
      <c r="VSZ1106" s="15"/>
      <c r="VTC1106" s="15"/>
      <c r="VTD1106" s="15"/>
      <c r="VTG1106" s="15"/>
      <c r="VTH1106" s="15"/>
      <c r="VTK1106" s="15"/>
      <c r="VTL1106" s="15"/>
      <c r="VTO1106" s="15"/>
      <c r="VTP1106" s="15"/>
      <c r="VTS1106" s="15"/>
      <c r="VTT1106" s="15"/>
      <c r="VTW1106" s="15"/>
      <c r="VTX1106" s="15"/>
      <c r="VUA1106" s="15"/>
      <c r="VUB1106" s="15"/>
      <c r="VUE1106" s="15"/>
      <c r="VUF1106" s="15"/>
      <c r="VUI1106" s="15"/>
      <c r="VUJ1106" s="15"/>
      <c r="VUM1106" s="15"/>
      <c r="VUN1106" s="15"/>
      <c r="VUQ1106" s="15"/>
      <c r="VUR1106" s="15"/>
      <c r="VUU1106" s="15"/>
      <c r="VUV1106" s="15"/>
      <c r="VUY1106" s="15"/>
      <c r="VUZ1106" s="15"/>
      <c r="VVC1106" s="15"/>
      <c r="VVD1106" s="15"/>
      <c r="VVG1106" s="15"/>
      <c r="VVH1106" s="15"/>
      <c r="VVK1106" s="15"/>
      <c r="VVL1106" s="15"/>
      <c r="VVO1106" s="15"/>
      <c r="VVP1106" s="15"/>
      <c r="VVS1106" s="15"/>
      <c r="VVT1106" s="15"/>
      <c r="VVW1106" s="15"/>
      <c r="VVX1106" s="15"/>
      <c r="VWA1106" s="15"/>
      <c r="VWB1106" s="15"/>
      <c r="VWE1106" s="15"/>
      <c r="VWF1106" s="15"/>
      <c r="VWI1106" s="15"/>
      <c r="VWJ1106" s="15"/>
      <c r="VWM1106" s="15"/>
      <c r="VWN1106" s="15"/>
      <c r="VWQ1106" s="15"/>
      <c r="VWR1106" s="15"/>
      <c r="VWU1106" s="15"/>
      <c r="VWV1106" s="15"/>
      <c r="VWY1106" s="15"/>
      <c r="VWZ1106" s="15"/>
      <c r="VXC1106" s="15"/>
      <c r="VXD1106" s="15"/>
      <c r="VXG1106" s="15"/>
      <c r="VXH1106" s="15"/>
      <c r="VXK1106" s="15"/>
      <c r="VXL1106" s="15"/>
      <c r="VXO1106" s="15"/>
      <c r="VXP1106" s="15"/>
      <c r="VXS1106" s="15"/>
      <c r="VXT1106" s="15"/>
      <c r="VXW1106" s="15"/>
      <c r="VXX1106" s="15"/>
      <c r="VYA1106" s="15"/>
      <c r="VYB1106" s="15"/>
      <c r="VYE1106" s="15"/>
      <c r="VYF1106" s="15"/>
      <c r="VYI1106" s="15"/>
      <c r="VYJ1106" s="15"/>
      <c r="VYM1106" s="15"/>
      <c r="VYN1106" s="15"/>
      <c r="VYQ1106" s="15"/>
      <c r="VYR1106" s="15"/>
      <c r="VYU1106" s="15"/>
      <c r="VYV1106" s="15"/>
      <c r="VYY1106" s="15"/>
      <c r="VYZ1106" s="15"/>
      <c r="VZC1106" s="15"/>
      <c r="VZD1106" s="15"/>
      <c r="VZG1106" s="15"/>
      <c r="VZH1106" s="15"/>
      <c r="VZK1106" s="15"/>
      <c r="VZL1106" s="15"/>
      <c r="VZO1106" s="15"/>
      <c r="VZP1106" s="15"/>
      <c r="VZS1106" s="15"/>
      <c r="VZT1106" s="15"/>
      <c r="VZW1106" s="15"/>
      <c r="VZX1106" s="15"/>
      <c r="WAA1106" s="15"/>
      <c r="WAB1106" s="15"/>
      <c r="WAE1106" s="15"/>
      <c r="WAF1106" s="15"/>
      <c r="WAI1106" s="15"/>
      <c r="WAJ1106" s="15"/>
      <c r="WAM1106" s="15"/>
      <c r="WAN1106" s="15"/>
      <c r="WAQ1106" s="15"/>
      <c r="WAR1106" s="15"/>
      <c r="WAU1106" s="15"/>
      <c r="WAV1106" s="15"/>
      <c r="WAY1106" s="15"/>
      <c r="WAZ1106" s="15"/>
      <c r="WBC1106" s="15"/>
      <c r="WBD1106" s="15"/>
      <c r="WBG1106" s="15"/>
      <c r="WBH1106" s="15"/>
      <c r="WBK1106" s="15"/>
      <c r="WBL1106" s="15"/>
      <c r="WBO1106" s="15"/>
      <c r="WBP1106" s="15"/>
      <c r="WBS1106" s="15"/>
      <c r="WBT1106" s="15"/>
      <c r="WBW1106" s="15"/>
      <c r="WBX1106" s="15"/>
      <c r="WCA1106" s="15"/>
      <c r="WCB1106" s="15"/>
      <c r="WCE1106" s="15"/>
      <c r="WCF1106" s="15"/>
      <c r="WCI1106" s="15"/>
      <c r="WCJ1106" s="15"/>
      <c r="WCM1106" s="15"/>
      <c r="WCN1106" s="15"/>
      <c r="WCQ1106" s="15"/>
      <c r="WCR1106" s="15"/>
      <c r="WCU1106" s="15"/>
      <c r="WCV1106" s="15"/>
      <c r="WCY1106" s="15"/>
      <c r="WCZ1106" s="15"/>
      <c r="WDC1106" s="15"/>
      <c r="WDD1106" s="15"/>
      <c r="WDG1106" s="15"/>
      <c r="WDH1106" s="15"/>
      <c r="WDK1106" s="15"/>
      <c r="WDL1106" s="15"/>
      <c r="WDO1106" s="15"/>
      <c r="WDP1106" s="15"/>
      <c r="WDS1106" s="15"/>
      <c r="WDT1106" s="15"/>
      <c r="WDW1106" s="15"/>
      <c r="WDX1106" s="15"/>
      <c r="WEA1106" s="15"/>
      <c r="WEB1106" s="15"/>
      <c r="WEE1106" s="15"/>
      <c r="WEF1106" s="15"/>
      <c r="WEI1106" s="15"/>
      <c r="WEJ1106" s="15"/>
      <c r="WEM1106" s="15"/>
      <c r="WEN1106" s="15"/>
      <c r="WEQ1106" s="15"/>
      <c r="WER1106" s="15"/>
      <c r="WEU1106" s="15"/>
      <c r="WEV1106" s="15"/>
      <c r="WEY1106" s="15"/>
      <c r="WEZ1106" s="15"/>
      <c r="WFC1106" s="15"/>
      <c r="WFD1106" s="15"/>
      <c r="WFG1106" s="15"/>
      <c r="WFH1106" s="15"/>
      <c r="WFK1106" s="15"/>
      <c r="WFL1106" s="15"/>
      <c r="WFO1106" s="15"/>
      <c r="WFP1106" s="15"/>
      <c r="WFS1106" s="15"/>
      <c r="WFT1106" s="15"/>
      <c r="WFW1106" s="15"/>
      <c r="WFX1106" s="15"/>
      <c r="WGA1106" s="15"/>
      <c r="WGB1106" s="15"/>
      <c r="WGE1106" s="15"/>
      <c r="WGF1106" s="15"/>
      <c r="WGI1106" s="15"/>
      <c r="WGJ1106" s="15"/>
      <c r="WGM1106" s="15"/>
      <c r="WGN1106" s="15"/>
      <c r="WGQ1106" s="15"/>
      <c r="WGR1106" s="15"/>
      <c r="WGU1106" s="15"/>
      <c r="WGV1106" s="15"/>
      <c r="WGY1106" s="15"/>
      <c r="WGZ1106" s="15"/>
      <c r="WHC1106" s="15"/>
      <c r="WHD1106" s="15"/>
      <c r="WHG1106" s="15"/>
      <c r="WHH1106" s="15"/>
      <c r="WHK1106" s="15"/>
      <c r="WHL1106" s="15"/>
      <c r="WHO1106" s="15"/>
      <c r="WHP1106" s="15"/>
      <c r="WHS1106" s="15"/>
      <c r="WHT1106" s="15"/>
      <c r="WHW1106" s="15"/>
      <c r="WHX1106" s="15"/>
      <c r="WIA1106" s="15"/>
      <c r="WIB1106" s="15"/>
      <c r="WIE1106" s="15"/>
      <c r="WIF1106" s="15"/>
      <c r="WII1106" s="15"/>
      <c r="WIJ1106" s="15"/>
      <c r="WIM1106" s="15"/>
      <c r="WIN1106" s="15"/>
      <c r="WIQ1106" s="15"/>
      <c r="WIR1106" s="15"/>
      <c r="WIU1106" s="15"/>
      <c r="WIV1106" s="15"/>
      <c r="WIY1106" s="15"/>
      <c r="WIZ1106" s="15"/>
      <c r="WJC1106" s="15"/>
      <c r="WJD1106" s="15"/>
      <c r="WJG1106" s="15"/>
      <c r="WJH1106" s="15"/>
      <c r="WJK1106" s="15"/>
      <c r="WJL1106" s="15"/>
      <c r="WJO1106" s="15"/>
      <c r="WJP1106" s="15"/>
      <c r="WJS1106" s="15"/>
      <c r="WJT1106" s="15"/>
      <c r="WJW1106" s="15"/>
      <c r="WJX1106" s="15"/>
      <c r="WKA1106" s="15"/>
      <c r="WKB1106" s="15"/>
      <c r="WKE1106" s="15"/>
      <c r="WKF1106" s="15"/>
      <c r="WKI1106" s="15"/>
      <c r="WKJ1106" s="15"/>
      <c r="WKM1106" s="15"/>
      <c r="WKN1106" s="15"/>
      <c r="WKQ1106" s="15"/>
      <c r="WKR1106" s="15"/>
      <c r="WKU1106" s="15"/>
      <c r="WKV1106" s="15"/>
      <c r="WKY1106" s="15"/>
      <c r="WKZ1106" s="15"/>
      <c r="WLC1106" s="15"/>
      <c r="WLD1106" s="15"/>
      <c r="WLG1106" s="15"/>
      <c r="WLH1106" s="15"/>
      <c r="WLK1106" s="15"/>
      <c r="WLL1106" s="15"/>
      <c r="WLO1106" s="15"/>
      <c r="WLP1106" s="15"/>
      <c r="WLS1106" s="15"/>
      <c r="WLT1106" s="15"/>
      <c r="WLW1106" s="15"/>
      <c r="WLX1106" s="15"/>
      <c r="WMA1106" s="15"/>
      <c r="WMB1106" s="15"/>
      <c r="WME1106" s="15"/>
      <c r="WMF1106" s="15"/>
      <c r="WMI1106" s="15"/>
      <c r="WMJ1106" s="15"/>
      <c r="WMM1106" s="15"/>
      <c r="WMN1106" s="15"/>
      <c r="WMQ1106" s="15"/>
      <c r="WMR1106" s="15"/>
      <c r="WMU1106" s="15"/>
      <c r="WMV1106" s="15"/>
      <c r="WMY1106" s="15"/>
      <c r="WMZ1106" s="15"/>
      <c r="WNC1106" s="15"/>
      <c r="WND1106" s="15"/>
      <c r="WNG1106" s="15"/>
      <c r="WNH1106" s="15"/>
      <c r="WNK1106" s="15"/>
      <c r="WNL1106" s="15"/>
      <c r="WNO1106" s="15"/>
      <c r="WNP1106" s="15"/>
      <c r="WNS1106" s="15"/>
      <c r="WNT1106" s="15"/>
      <c r="WNW1106" s="15"/>
      <c r="WNX1106" s="15"/>
      <c r="WOA1106" s="15"/>
      <c r="WOB1106" s="15"/>
      <c r="WOE1106" s="15"/>
      <c r="WOF1106" s="15"/>
      <c r="WOI1106" s="15"/>
      <c r="WOJ1106" s="15"/>
      <c r="WOM1106" s="15"/>
      <c r="WON1106" s="15"/>
      <c r="WOQ1106" s="15"/>
      <c r="WOR1106" s="15"/>
      <c r="WOU1106" s="15"/>
      <c r="WOV1106" s="15"/>
      <c r="WOY1106" s="15"/>
      <c r="WOZ1106" s="15"/>
      <c r="WPC1106" s="15"/>
      <c r="WPD1106" s="15"/>
      <c r="WPG1106" s="15"/>
      <c r="WPH1106" s="15"/>
      <c r="WPK1106" s="15"/>
      <c r="WPL1106" s="15"/>
      <c r="WPO1106" s="15"/>
      <c r="WPP1106" s="15"/>
      <c r="WPS1106" s="15"/>
      <c r="WPT1106" s="15"/>
      <c r="WPW1106" s="15"/>
      <c r="WPX1106" s="15"/>
      <c r="WQA1106" s="15"/>
      <c r="WQB1106" s="15"/>
      <c r="WQE1106" s="15"/>
      <c r="WQF1106" s="15"/>
      <c r="WQI1106" s="15"/>
      <c r="WQJ1106" s="15"/>
      <c r="WQM1106" s="15"/>
      <c r="WQN1106" s="15"/>
      <c r="WQQ1106" s="15"/>
      <c r="WQR1106" s="15"/>
      <c r="WQU1106" s="15"/>
      <c r="WQV1106" s="15"/>
      <c r="WQY1106" s="15"/>
      <c r="WQZ1106" s="15"/>
      <c r="WRC1106" s="15"/>
      <c r="WRD1106" s="15"/>
      <c r="WRG1106" s="15"/>
      <c r="WRH1106" s="15"/>
      <c r="WRK1106" s="15"/>
      <c r="WRL1106" s="15"/>
      <c r="WRO1106" s="15"/>
      <c r="WRP1106" s="15"/>
      <c r="WRS1106" s="15"/>
      <c r="WRT1106" s="15"/>
      <c r="WRW1106" s="15"/>
      <c r="WRX1106" s="15"/>
      <c r="WSA1106" s="15"/>
      <c r="WSB1106" s="15"/>
      <c r="WSE1106" s="15"/>
      <c r="WSF1106" s="15"/>
      <c r="WSI1106" s="15"/>
      <c r="WSJ1106" s="15"/>
      <c r="WSM1106" s="15"/>
      <c r="WSN1106" s="15"/>
      <c r="WSQ1106" s="15"/>
      <c r="WSR1106" s="15"/>
      <c r="WSU1106" s="15"/>
      <c r="WSV1106" s="15"/>
      <c r="WSY1106" s="15"/>
      <c r="WSZ1106" s="15"/>
      <c r="WTC1106" s="15"/>
      <c r="WTD1106" s="15"/>
      <c r="WTG1106" s="15"/>
      <c r="WTH1106" s="15"/>
      <c r="WTK1106" s="15"/>
      <c r="WTL1106" s="15"/>
      <c r="WTO1106" s="15"/>
      <c r="WTP1106" s="15"/>
      <c r="WTS1106" s="15"/>
      <c r="WTT1106" s="15"/>
      <c r="WTW1106" s="15"/>
      <c r="WTX1106" s="15"/>
      <c r="WUA1106" s="15"/>
      <c r="WUB1106" s="15"/>
      <c r="WUE1106" s="15"/>
      <c r="WUF1106" s="15"/>
      <c r="WUI1106" s="15"/>
      <c r="WUJ1106" s="15"/>
      <c r="WUM1106" s="15"/>
      <c r="WUN1106" s="15"/>
      <c r="WUQ1106" s="15"/>
      <c r="WUR1106" s="15"/>
      <c r="WUU1106" s="15"/>
      <c r="WUV1106" s="15"/>
      <c r="WUY1106" s="15"/>
      <c r="WUZ1106" s="15"/>
      <c r="WVC1106" s="15"/>
      <c r="WVD1106" s="15"/>
      <c r="WVG1106" s="15"/>
      <c r="WVH1106" s="15"/>
      <c r="WVK1106" s="15"/>
      <c r="WVL1106" s="15"/>
      <c r="WVO1106" s="15"/>
      <c r="WVP1106" s="15"/>
      <c r="WVS1106" s="15"/>
      <c r="WVT1106" s="15"/>
      <c r="WVW1106" s="15"/>
      <c r="WVX1106" s="15"/>
      <c r="WWA1106" s="15"/>
      <c r="WWB1106" s="15"/>
      <c r="WWE1106" s="15"/>
      <c r="WWF1106" s="15"/>
      <c r="WWI1106" s="15"/>
      <c r="WWJ1106" s="15"/>
      <c r="WWM1106" s="15"/>
      <c r="WWN1106" s="15"/>
      <c r="WWQ1106" s="15"/>
      <c r="WWR1106" s="15"/>
      <c r="WWU1106" s="15"/>
      <c r="WWV1106" s="15"/>
      <c r="WWY1106" s="15"/>
      <c r="WWZ1106" s="15"/>
      <c r="WXC1106" s="15"/>
      <c r="WXD1106" s="15"/>
      <c r="WXG1106" s="15"/>
      <c r="WXH1106" s="15"/>
      <c r="WXK1106" s="15"/>
      <c r="WXL1106" s="15"/>
      <c r="WXO1106" s="15"/>
      <c r="WXP1106" s="15"/>
      <c r="WXS1106" s="15"/>
      <c r="WXT1106" s="15"/>
      <c r="WXW1106" s="15"/>
      <c r="WXX1106" s="15"/>
      <c r="WYA1106" s="15"/>
      <c r="WYB1106" s="15"/>
      <c r="WYE1106" s="15"/>
      <c r="WYF1106" s="15"/>
      <c r="WYI1106" s="15"/>
      <c r="WYJ1106" s="15"/>
      <c r="WYM1106" s="15"/>
      <c r="WYN1106" s="15"/>
      <c r="WYQ1106" s="15"/>
      <c r="WYR1106" s="15"/>
      <c r="WYU1106" s="15"/>
      <c r="WYV1106" s="15"/>
      <c r="WYY1106" s="15"/>
      <c r="WYZ1106" s="15"/>
      <c r="WZC1106" s="15"/>
      <c r="WZD1106" s="15"/>
      <c r="WZG1106" s="15"/>
      <c r="WZH1106" s="15"/>
      <c r="WZK1106" s="15"/>
      <c r="WZL1106" s="15"/>
      <c r="WZO1106" s="15"/>
      <c r="WZP1106" s="15"/>
      <c r="WZS1106" s="15"/>
      <c r="WZT1106" s="15"/>
      <c r="WZW1106" s="15"/>
      <c r="WZX1106" s="15"/>
      <c r="XAA1106" s="15"/>
      <c r="XAB1106" s="15"/>
      <c r="XAE1106" s="15"/>
      <c r="XAF1106" s="15"/>
      <c r="XAI1106" s="15"/>
      <c r="XAJ1106" s="15"/>
      <c r="XAM1106" s="15"/>
      <c r="XAN1106" s="15"/>
      <c r="XAQ1106" s="15"/>
      <c r="XAR1106" s="15"/>
      <c r="XAU1106" s="15"/>
      <c r="XAV1106" s="15"/>
      <c r="XAY1106" s="15"/>
      <c r="XAZ1106" s="15"/>
      <c r="XBC1106" s="15"/>
      <c r="XBD1106" s="15"/>
      <c r="XBG1106" s="15"/>
      <c r="XBH1106" s="15"/>
      <c r="XBK1106" s="15"/>
      <c r="XBL1106" s="15"/>
      <c r="XBO1106" s="15"/>
      <c r="XBP1106" s="15"/>
      <c r="XBS1106" s="15"/>
      <c r="XBT1106" s="15"/>
      <c r="XBW1106" s="15"/>
      <c r="XBX1106" s="15"/>
      <c r="XCA1106" s="15"/>
      <c r="XCB1106" s="15"/>
      <c r="XCE1106" s="15"/>
      <c r="XCF1106" s="15"/>
      <c r="XCI1106" s="15"/>
      <c r="XCJ1106" s="15"/>
      <c r="XCM1106" s="15"/>
      <c r="XCN1106" s="15"/>
      <c r="XCQ1106" s="15"/>
      <c r="XCR1106" s="15"/>
      <c r="XCU1106" s="15"/>
      <c r="XCV1106" s="15"/>
      <c r="XCY1106" s="15"/>
      <c r="XCZ1106" s="15"/>
      <c r="XDC1106" s="15"/>
      <c r="XDD1106" s="15"/>
      <c r="XDG1106" s="15"/>
      <c r="XDH1106" s="15"/>
      <c r="XDK1106" s="15"/>
      <c r="XDL1106" s="15"/>
      <c r="XDO1106" s="15"/>
      <c r="XDP1106" s="15"/>
      <c r="XDS1106" s="15"/>
      <c r="XDT1106" s="15"/>
      <c r="XDW1106" s="15"/>
      <c r="XDX1106" s="15"/>
      <c r="XEA1106" s="15"/>
      <c r="XEB1106" s="15"/>
      <c r="XEE1106" s="15"/>
      <c r="XEF1106" s="15"/>
      <c r="XEI1106" s="15"/>
      <c r="XEJ1106" s="15"/>
      <c r="XEM1106" s="15"/>
      <c r="XEN1106" s="15"/>
      <c r="XEQ1106" s="15"/>
      <c r="XER1106" s="15"/>
      <c r="XEU1106" s="15"/>
      <c r="XEV1106" s="15"/>
      <c r="XEY1106" s="15"/>
      <c r="XEZ1106" s="15"/>
      <c r="XFC1106" s="15"/>
      <c r="XFD1106" s="15"/>
    </row>
    <row r="1107" spans="1:1024 1027:2048 2051:3072 3075:4096 4099:5120 5123:6144 6147:7168 7171:8192 8195:9216 9219:10240 10243:11264 11267:12288 12291:13312 13315:14336 14339:15360 15363:16384" outlineLevel="1" x14ac:dyDescent="0.3">
      <c r="A1107" t="s">
        <v>1835</v>
      </c>
      <c r="B1107" t="s">
        <v>269</v>
      </c>
      <c r="C1107" s="15" t="s">
        <v>10</v>
      </c>
      <c r="D1107" s="15" t="s">
        <v>1836</v>
      </c>
      <c r="E1107" t="s">
        <v>8492</v>
      </c>
      <c r="G1107" s="15"/>
      <c r="H1107" s="15"/>
      <c r="K1107" s="15"/>
      <c r="L1107" s="15"/>
      <c r="O1107" s="15"/>
      <c r="P1107" s="15"/>
      <c r="S1107" s="15"/>
      <c r="T1107" s="15"/>
      <c r="W1107" s="15"/>
      <c r="X1107" s="15"/>
      <c r="AA1107" s="15"/>
      <c r="AB1107" s="15"/>
      <c r="AE1107" s="15"/>
      <c r="AF1107" s="15"/>
      <c r="AI1107" s="15"/>
      <c r="AJ1107" s="15"/>
      <c r="AM1107" s="15"/>
      <c r="AN1107" s="15"/>
      <c r="AQ1107" s="15"/>
      <c r="AR1107" s="15"/>
      <c r="AU1107" s="15"/>
      <c r="AV1107" s="15"/>
      <c r="AY1107" s="15"/>
      <c r="AZ1107" s="15"/>
      <c r="BC1107" s="15"/>
      <c r="BD1107" s="15"/>
      <c r="BG1107" s="15"/>
      <c r="BH1107" s="15"/>
      <c r="BK1107" s="15"/>
      <c r="BL1107" s="15"/>
      <c r="BO1107" s="15"/>
      <c r="BP1107" s="15"/>
      <c r="BS1107" s="15"/>
      <c r="BT1107" s="15"/>
      <c r="BW1107" s="15"/>
      <c r="BX1107" s="15"/>
      <c r="CA1107" s="15"/>
      <c r="CB1107" s="15"/>
      <c r="CE1107" s="15"/>
      <c r="CF1107" s="15"/>
      <c r="CI1107" s="15"/>
      <c r="CJ1107" s="15"/>
      <c r="CM1107" s="15"/>
      <c r="CN1107" s="15"/>
      <c r="CQ1107" s="15"/>
      <c r="CR1107" s="15"/>
      <c r="CU1107" s="15"/>
      <c r="CV1107" s="15"/>
      <c r="CY1107" s="15"/>
      <c r="CZ1107" s="15"/>
      <c r="DC1107" s="15"/>
      <c r="DD1107" s="15"/>
      <c r="DG1107" s="15"/>
      <c r="DH1107" s="15"/>
      <c r="DK1107" s="15"/>
      <c r="DL1107" s="15"/>
      <c r="DO1107" s="15"/>
      <c r="DP1107" s="15"/>
      <c r="DS1107" s="15"/>
      <c r="DT1107" s="15"/>
      <c r="DW1107" s="15"/>
      <c r="DX1107" s="15"/>
      <c r="EA1107" s="15"/>
      <c r="EB1107" s="15"/>
      <c r="EE1107" s="15"/>
      <c r="EF1107" s="15"/>
      <c r="EI1107" s="15"/>
      <c r="EJ1107" s="15"/>
      <c r="EM1107" s="15"/>
      <c r="EN1107" s="15"/>
      <c r="EQ1107" s="15"/>
      <c r="ER1107" s="15"/>
      <c r="EU1107" s="15"/>
      <c r="EV1107" s="15"/>
      <c r="EY1107" s="15"/>
      <c r="EZ1107" s="15"/>
      <c r="FC1107" s="15"/>
      <c r="FD1107" s="15"/>
      <c r="FG1107" s="15"/>
      <c r="FH1107" s="15"/>
      <c r="FK1107" s="15"/>
      <c r="FL1107" s="15"/>
      <c r="FO1107" s="15"/>
      <c r="FP1107" s="15"/>
      <c r="FS1107" s="15"/>
      <c r="FT1107" s="15"/>
      <c r="FW1107" s="15"/>
      <c r="FX1107" s="15"/>
      <c r="GA1107" s="15"/>
      <c r="GB1107" s="15"/>
      <c r="GE1107" s="15"/>
      <c r="GF1107" s="15"/>
      <c r="GI1107" s="15"/>
      <c r="GJ1107" s="15"/>
      <c r="GM1107" s="15"/>
      <c r="GN1107" s="15"/>
      <c r="GQ1107" s="15"/>
      <c r="GR1107" s="15"/>
      <c r="GU1107" s="15"/>
      <c r="GV1107" s="15"/>
      <c r="GY1107" s="15"/>
      <c r="GZ1107" s="15"/>
      <c r="HC1107" s="15"/>
      <c r="HD1107" s="15"/>
      <c r="HG1107" s="15"/>
      <c r="HH1107" s="15"/>
      <c r="HK1107" s="15"/>
      <c r="HL1107" s="15"/>
      <c r="HO1107" s="15"/>
      <c r="HP1107" s="15"/>
      <c r="HS1107" s="15"/>
      <c r="HT1107" s="15"/>
      <c r="HW1107" s="15"/>
      <c r="HX1107" s="15"/>
      <c r="IA1107" s="15"/>
      <c r="IB1107" s="15"/>
      <c r="IE1107" s="15"/>
      <c r="IF1107" s="15"/>
      <c r="II1107" s="15"/>
      <c r="IJ1107" s="15"/>
      <c r="IM1107" s="15"/>
      <c r="IN1107" s="15"/>
      <c r="IQ1107" s="15"/>
      <c r="IR1107" s="15"/>
      <c r="IU1107" s="15"/>
      <c r="IV1107" s="15"/>
      <c r="IY1107" s="15"/>
      <c r="IZ1107" s="15"/>
      <c r="JC1107" s="15"/>
      <c r="JD1107" s="15"/>
      <c r="JG1107" s="15"/>
      <c r="JH1107" s="15"/>
      <c r="JK1107" s="15"/>
      <c r="JL1107" s="15"/>
      <c r="JO1107" s="15"/>
      <c r="JP1107" s="15"/>
      <c r="JS1107" s="15"/>
      <c r="JT1107" s="15"/>
      <c r="JW1107" s="15"/>
      <c r="JX1107" s="15"/>
      <c r="KA1107" s="15"/>
      <c r="KB1107" s="15"/>
      <c r="KE1107" s="15"/>
      <c r="KF1107" s="15"/>
      <c r="KI1107" s="15"/>
      <c r="KJ1107" s="15"/>
      <c r="KM1107" s="15"/>
      <c r="KN1107" s="15"/>
      <c r="KQ1107" s="15"/>
      <c r="KR1107" s="15"/>
      <c r="KU1107" s="15"/>
      <c r="KV1107" s="15"/>
      <c r="KY1107" s="15"/>
      <c r="KZ1107" s="15"/>
      <c r="LC1107" s="15"/>
      <c r="LD1107" s="15"/>
      <c r="LG1107" s="15"/>
      <c r="LH1107" s="15"/>
      <c r="LK1107" s="15"/>
      <c r="LL1107" s="15"/>
      <c r="LO1107" s="15"/>
      <c r="LP1107" s="15"/>
      <c r="LS1107" s="15"/>
      <c r="LT1107" s="15"/>
      <c r="LW1107" s="15"/>
      <c r="LX1107" s="15"/>
      <c r="MA1107" s="15"/>
      <c r="MB1107" s="15"/>
      <c r="ME1107" s="15"/>
      <c r="MF1107" s="15"/>
      <c r="MI1107" s="15"/>
      <c r="MJ1107" s="15"/>
      <c r="MM1107" s="15"/>
      <c r="MN1107" s="15"/>
      <c r="MQ1107" s="15"/>
      <c r="MR1107" s="15"/>
      <c r="MU1107" s="15"/>
      <c r="MV1107" s="15"/>
      <c r="MY1107" s="15"/>
      <c r="MZ1107" s="15"/>
      <c r="NC1107" s="15"/>
      <c r="ND1107" s="15"/>
      <c r="NG1107" s="15"/>
      <c r="NH1107" s="15"/>
      <c r="NK1107" s="15"/>
      <c r="NL1107" s="15"/>
      <c r="NO1107" s="15"/>
      <c r="NP1107" s="15"/>
      <c r="NS1107" s="15"/>
      <c r="NT1107" s="15"/>
      <c r="NW1107" s="15"/>
      <c r="NX1107" s="15"/>
      <c r="OA1107" s="15"/>
      <c r="OB1107" s="15"/>
      <c r="OE1107" s="15"/>
      <c r="OF1107" s="15"/>
      <c r="OI1107" s="15"/>
      <c r="OJ1107" s="15"/>
      <c r="OM1107" s="15"/>
      <c r="ON1107" s="15"/>
      <c r="OQ1107" s="15"/>
      <c r="OR1107" s="15"/>
      <c r="OU1107" s="15"/>
      <c r="OV1107" s="15"/>
      <c r="OY1107" s="15"/>
      <c r="OZ1107" s="15"/>
      <c r="PC1107" s="15"/>
      <c r="PD1107" s="15"/>
      <c r="PG1107" s="15"/>
      <c r="PH1107" s="15"/>
      <c r="PK1107" s="15"/>
      <c r="PL1107" s="15"/>
      <c r="PO1107" s="15"/>
      <c r="PP1107" s="15"/>
      <c r="PS1107" s="15"/>
      <c r="PT1107" s="15"/>
      <c r="PW1107" s="15"/>
      <c r="PX1107" s="15"/>
      <c r="QA1107" s="15"/>
      <c r="QB1107" s="15"/>
      <c r="QE1107" s="15"/>
      <c r="QF1107" s="15"/>
      <c r="QI1107" s="15"/>
      <c r="QJ1107" s="15"/>
      <c r="QM1107" s="15"/>
      <c r="QN1107" s="15"/>
      <c r="QQ1107" s="15"/>
      <c r="QR1107" s="15"/>
      <c r="QU1107" s="15"/>
      <c r="QV1107" s="15"/>
      <c r="QY1107" s="15"/>
      <c r="QZ1107" s="15"/>
      <c r="RC1107" s="15"/>
      <c r="RD1107" s="15"/>
      <c r="RG1107" s="15"/>
      <c r="RH1107" s="15"/>
      <c r="RK1107" s="15"/>
      <c r="RL1107" s="15"/>
      <c r="RO1107" s="15"/>
      <c r="RP1107" s="15"/>
      <c r="RS1107" s="15"/>
      <c r="RT1107" s="15"/>
      <c r="RW1107" s="15"/>
      <c r="RX1107" s="15"/>
      <c r="SA1107" s="15"/>
      <c r="SB1107" s="15"/>
      <c r="SE1107" s="15"/>
      <c r="SF1107" s="15"/>
      <c r="SI1107" s="15"/>
      <c r="SJ1107" s="15"/>
      <c r="SM1107" s="15"/>
      <c r="SN1107" s="15"/>
      <c r="SQ1107" s="15"/>
      <c r="SR1107" s="15"/>
      <c r="SU1107" s="15"/>
      <c r="SV1107" s="15"/>
      <c r="SY1107" s="15"/>
      <c r="SZ1107" s="15"/>
      <c r="TC1107" s="15"/>
      <c r="TD1107" s="15"/>
      <c r="TG1107" s="15"/>
      <c r="TH1107" s="15"/>
      <c r="TK1107" s="15"/>
      <c r="TL1107" s="15"/>
      <c r="TO1107" s="15"/>
      <c r="TP1107" s="15"/>
      <c r="TS1107" s="15"/>
      <c r="TT1107" s="15"/>
      <c r="TW1107" s="15"/>
      <c r="TX1107" s="15"/>
      <c r="UA1107" s="15"/>
      <c r="UB1107" s="15"/>
      <c r="UE1107" s="15"/>
      <c r="UF1107" s="15"/>
      <c r="UI1107" s="15"/>
      <c r="UJ1107" s="15"/>
      <c r="UM1107" s="15"/>
      <c r="UN1107" s="15"/>
      <c r="UQ1107" s="15"/>
      <c r="UR1107" s="15"/>
      <c r="UU1107" s="15"/>
      <c r="UV1107" s="15"/>
      <c r="UY1107" s="15"/>
      <c r="UZ1107" s="15"/>
      <c r="VC1107" s="15"/>
      <c r="VD1107" s="15"/>
      <c r="VG1107" s="15"/>
      <c r="VH1107" s="15"/>
      <c r="VK1107" s="15"/>
      <c r="VL1107" s="15"/>
      <c r="VO1107" s="15"/>
      <c r="VP1107" s="15"/>
      <c r="VS1107" s="15"/>
      <c r="VT1107" s="15"/>
      <c r="VW1107" s="15"/>
      <c r="VX1107" s="15"/>
      <c r="WA1107" s="15"/>
      <c r="WB1107" s="15"/>
      <c r="WE1107" s="15"/>
      <c r="WF1107" s="15"/>
      <c r="WI1107" s="15"/>
      <c r="WJ1107" s="15"/>
      <c r="WM1107" s="15"/>
      <c r="WN1107" s="15"/>
      <c r="WQ1107" s="15"/>
      <c r="WR1107" s="15"/>
      <c r="WU1107" s="15"/>
      <c r="WV1107" s="15"/>
      <c r="WY1107" s="15"/>
      <c r="WZ1107" s="15"/>
      <c r="XC1107" s="15"/>
      <c r="XD1107" s="15"/>
      <c r="XG1107" s="15"/>
      <c r="XH1107" s="15"/>
      <c r="XK1107" s="15"/>
      <c r="XL1107" s="15"/>
      <c r="XO1107" s="15"/>
      <c r="XP1107" s="15"/>
      <c r="XS1107" s="15"/>
      <c r="XT1107" s="15"/>
      <c r="XW1107" s="15"/>
      <c r="XX1107" s="15"/>
      <c r="YA1107" s="15"/>
      <c r="YB1107" s="15"/>
      <c r="YE1107" s="15"/>
      <c r="YF1107" s="15"/>
      <c r="YI1107" s="15"/>
      <c r="YJ1107" s="15"/>
      <c r="YM1107" s="15"/>
      <c r="YN1107" s="15"/>
      <c r="YQ1107" s="15"/>
      <c r="YR1107" s="15"/>
      <c r="YU1107" s="15"/>
      <c r="YV1107" s="15"/>
      <c r="YY1107" s="15"/>
      <c r="YZ1107" s="15"/>
      <c r="ZC1107" s="15"/>
      <c r="ZD1107" s="15"/>
      <c r="ZG1107" s="15"/>
      <c r="ZH1107" s="15"/>
      <c r="ZK1107" s="15"/>
      <c r="ZL1107" s="15"/>
      <c r="ZO1107" s="15"/>
      <c r="ZP1107" s="15"/>
      <c r="ZS1107" s="15"/>
      <c r="ZT1107" s="15"/>
      <c r="ZW1107" s="15"/>
      <c r="ZX1107" s="15"/>
      <c r="AAA1107" s="15"/>
      <c r="AAB1107" s="15"/>
      <c r="AAE1107" s="15"/>
      <c r="AAF1107" s="15"/>
      <c r="AAI1107" s="15"/>
      <c r="AAJ1107" s="15"/>
      <c r="AAM1107" s="15"/>
      <c r="AAN1107" s="15"/>
      <c r="AAQ1107" s="15"/>
      <c r="AAR1107" s="15"/>
      <c r="AAU1107" s="15"/>
      <c r="AAV1107" s="15"/>
      <c r="AAY1107" s="15"/>
      <c r="AAZ1107" s="15"/>
      <c r="ABC1107" s="15"/>
      <c r="ABD1107" s="15"/>
      <c r="ABG1107" s="15"/>
      <c r="ABH1107" s="15"/>
      <c r="ABK1107" s="15"/>
      <c r="ABL1107" s="15"/>
      <c r="ABO1107" s="15"/>
      <c r="ABP1107" s="15"/>
      <c r="ABS1107" s="15"/>
      <c r="ABT1107" s="15"/>
      <c r="ABW1107" s="15"/>
      <c r="ABX1107" s="15"/>
      <c r="ACA1107" s="15"/>
      <c r="ACB1107" s="15"/>
      <c r="ACE1107" s="15"/>
      <c r="ACF1107" s="15"/>
      <c r="ACI1107" s="15"/>
      <c r="ACJ1107" s="15"/>
      <c r="ACM1107" s="15"/>
      <c r="ACN1107" s="15"/>
      <c r="ACQ1107" s="15"/>
      <c r="ACR1107" s="15"/>
      <c r="ACU1107" s="15"/>
      <c r="ACV1107" s="15"/>
      <c r="ACY1107" s="15"/>
      <c r="ACZ1107" s="15"/>
      <c r="ADC1107" s="15"/>
      <c r="ADD1107" s="15"/>
      <c r="ADG1107" s="15"/>
      <c r="ADH1107" s="15"/>
      <c r="ADK1107" s="15"/>
      <c r="ADL1107" s="15"/>
      <c r="ADO1107" s="15"/>
      <c r="ADP1107" s="15"/>
      <c r="ADS1107" s="15"/>
      <c r="ADT1107" s="15"/>
      <c r="ADW1107" s="15"/>
      <c r="ADX1107" s="15"/>
      <c r="AEA1107" s="15"/>
      <c r="AEB1107" s="15"/>
      <c r="AEE1107" s="15"/>
      <c r="AEF1107" s="15"/>
      <c r="AEI1107" s="15"/>
      <c r="AEJ1107" s="15"/>
      <c r="AEM1107" s="15"/>
      <c r="AEN1107" s="15"/>
      <c r="AEQ1107" s="15"/>
      <c r="AER1107" s="15"/>
      <c r="AEU1107" s="15"/>
      <c r="AEV1107" s="15"/>
      <c r="AEY1107" s="15"/>
      <c r="AEZ1107" s="15"/>
      <c r="AFC1107" s="15"/>
      <c r="AFD1107" s="15"/>
      <c r="AFG1107" s="15"/>
      <c r="AFH1107" s="15"/>
      <c r="AFK1107" s="15"/>
      <c r="AFL1107" s="15"/>
      <c r="AFO1107" s="15"/>
      <c r="AFP1107" s="15"/>
      <c r="AFS1107" s="15"/>
      <c r="AFT1107" s="15"/>
      <c r="AFW1107" s="15"/>
      <c r="AFX1107" s="15"/>
      <c r="AGA1107" s="15"/>
      <c r="AGB1107" s="15"/>
      <c r="AGE1107" s="15"/>
      <c r="AGF1107" s="15"/>
      <c r="AGI1107" s="15"/>
      <c r="AGJ1107" s="15"/>
      <c r="AGM1107" s="15"/>
      <c r="AGN1107" s="15"/>
      <c r="AGQ1107" s="15"/>
      <c r="AGR1107" s="15"/>
      <c r="AGU1107" s="15"/>
      <c r="AGV1107" s="15"/>
      <c r="AGY1107" s="15"/>
      <c r="AGZ1107" s="15"/>
      <c r="AHC1107" s="15"/>
      <c r="AHD1107" s="15"/>
      <c r="AHG1107" s="15"/>
      <c r="AHH1107" s="15"/>
      <c r="AHK1107" s="15"/>
      <c r="AHL1107" s="15"/>
      <c r="AHO1107" s="15"/>
      <c r="AHP1107" s="15"/>
      <c r="AHS1107" s="15"/>
      <c r="AHT1107" s="15"/>
      <c r="AHW1107" s="15"/>
      <c r="AHX1107" s="15"/>
      <c r="AIA1107" s="15"/>
      <c r="AIB1107" s="15"/>
      <c r="AIE1107" s="15"/>
      <c r="AIF1107" s="15"/>
      <c r="AII1107" s="15"/>
      <c r="AIJ1107" s="15"/>
      <c r="AIM1107" s="15"/>
      <c r="AIN1107" s="15"/>
      <c r="AIQ1107" s="15"/>
      <c r="AIR1107" s="15"/>
      <c r="AIU1107" s="15"/>
      <c r="AIV1107" s="15"/>
      <c r="AIY1107" s="15"/>
      <c r="AIZ1107" s="15"/>
      <c r="AJC1107" s="15"/>
      <c r="AJD1107" s="15"/>
      <c r="AJG1107" s="15"/>
      <c r="AJH1107" s="15"/>
      <c r="AJK1107" s="15"/>
      <c r="AJL1107" s="15"/>
      <c r="AJO1107" s="15"/>
      <c r="AJP1107" s="15"/>
      <c r="AJS1107" s="15"/>
      <c r="AJT1107" s="15"/>
      <c r="AJW1107" s="15"/>
      <c r="AJX1107" s="15"/>
      <c r="AKA1107" s="15"/>
      <c r="AKB1107" s="15"/>
      <c r="AKE1107" s="15"/>
      <c r="AKF1107" s="15"/>
      <c r="AKI1107" s="15"/>
      <c r="AKJ1107" s="15"/>
      <c r="AKM1107" s="15"/>
      <c r="AKN1107" s="15"/>
      <c r="AKQ1107" s="15"/>
      <c r="AKR1107" s="15"/>
      <c r="AKU1107" s="15"/>
      <c r="AKV1107" s="15"/>
      <c r="AKY1107" s="15"/>
      <c r="AKZ1107" s="15"/>
      <c r="ALC1107" s="15"/>
      <c r="ALD1107" s="15"/>
      <c r="ALG1107" s="15"/>
      <c r="ALH1107" s="15"/>
      <c r="ALK1107" s="15"/>
      <c r="ALL1107" s="15"/>
      <c r="ALO1107" s="15"/>
      <c r="ALP1107" s="15"/>
      <c r="ALS1107" s="15"/>
      <c r="ALT1107" s="15"/>
      <c r="ALW1107" s="15"/>
      <c r="ALX1107" s="15"/>
      <c r="AMA1107" s="15"/>
      <c r="AMB1107" s="15"/>
      <c r="AME1107" s="15"/>
      <c r="AMF1107" s="15"/>
      <c r="AMI1107" s="15"/>
      <c r="AMJ1107" s="15"/>
      <c r="AMM1107" s="15"/>
      <c r="AMN1107" s="15"/>
      <c r="AMQ1107" s="15"/>
      <c r="AMR1107" s="15"/>
      <c r="AMU1107" s="15"/>
      <c r="AMV1107" s="15"/>
      <c r="AMY1107" s="15"/>
      <c r="AMZ1107" s="15"/>
      <c r="ANC1107" s="15"/>
      <c r="AND1107" s="15"/>
      <c r="ANG1107" s="15"/>
      <c r="ANH1107" s="15"/>
      <c r="ANK1107" s="15"/>
      <c r="ANL1107" s="15"/>
      <c r="ANO1107" s="15"/>
      <c r="ANP1107" s="15"/>
      <c r="ANS1107" s="15"/>
      <c r="ANT1107" s="15"/>
      <c r="ANW1107" s="15"/>
      <c r="ANX1107" s="15"/>
      <c r="AOA1107" s="15"/>
      <c r="AOB1107" s="15"/>
      <c r="AOE1107" s="15"/>
      <c r="AOF1107" s="15"/>
      <c r="AOI1107" s="15"/>
      <c r="AOJ1107" s="15"/>
      <c r="AOM1107" s="15"/>
      <c r="AON1107" s="15"/>
      <c r="AOQ1107" s="15"/>
      <c r="AOR1107" s="15"/>
      <c r="AOU1107" s="15"/>
      <c r="AOV1107" s="15"/>
      <c r="AOY1107" s="15"/>
      <c r="AOZ1107" s="15"/>
      <c r="APC1107" s="15"/>
      <c r="APD1107" s="15"/>
      <c r="APG1107" s="15"/>
      <c r="APH1107" s="15"/>
      <c r="APK1107" s="15"/>
      <c r="APL1107" s="15"/>
      <c r="APO1107" s="15"/>
      <c r="APP1107" s="15"/>
      <c r="APS1107" s="15"/>
      <c r="APT1107" s="15"/>
      <c r="APW1107" s="15"/>
      <c r="APX1107" s="15"/>
      <c r="AQA1107" s="15"/>
      <c r="AQB1107" s="15"/>
      <c r="AQE1107" s="15"/>
      <c r="AQF1107" s="15"/>
      <c r="AQI1107" s="15"/>
      <c r="AQJ1107" s="15"/>
      <c r="AQM1107" s="15"/>
      <c r="AQN1107" s="15"/>
      <c r="AQQ1107" s="15"/>
      <c r="AQR1107" s="15"/>
      <c r="AQU1107" s="15"/>
      <c r="AQV1107" s="15"/>
      <c r="AQY1107" s="15"/>
      <c r="AQZ1107" s="15"/>
      <c r="ARC1107" s="15"/>
      <c r="ARD1107" s="15"/>
      <c r="ARG1107" s="15"/>
      <c r="ARH1107" s="15"/>
      <c r="ARK1107" s="15"/>
      <c r="ARL1107" s="15"/>
      <c r="ARO1107" s="15"/>
      <c r="ARP1107" s="15"/>
      <c r="ARS1107" s="15"/>
      <c r="ART1107" s="15"/>
      <c r="ARW1107" s="15"/>
      <c r="ARX1107" s="15"/>
      <c r="ASA1107" s="15"/>
      <c r="ASB1107" s="15"/>
      <c r="ASE1107" s="15"/>
      <c r="ASF1107" s="15"/>
      <c r="ASI1107" s="15"/>
      <c r="ASJ1107" s="15"/>
      <c r="ASM1107" s="15"/>
      <c r="ASN1107" s="15"/>
      <c r="ASQ1107" s="15"/>
      <c r="ASR1107" s="15"/>
      <c r="ASU1107" s="15"/>
      <c r="ASV1107" s="15"/>
      <c r="ASY1107" s="15"/>
      <c r="ASZ1107" s="15"/>
      <c r="ATC1107" s="15"/>
      <c r="ATD1107" s="15"/>
      <c r="ATG1107" s="15"/>
      <c r="ATH1107" s="15"/>
      <c r="ATK1107" s="15"/>
      <c r="ATL1107" s="15"/>
      <c r="ATO1107" s="15"/>
      <c r="ATP1107" s="15"/>
      <c r="ATS1107" s="15"/>
      <c r="ATT1107" s="15"/>
      <c r="ATW1107" s="15"/>
      <c r="ATX1107" s="15"/>
      <c r="AUA1107" s="15"/>
      <c r="AUB1107" s="15"/>
      <c r="AUE1107" s="15"/>
      <c r="AUF1107" s="15"/>
      <c r="AUI1107" s="15"/>
      <c r="AUJ1107" s="15"/>
      <c r="AUM1107" s="15"/>
      <c r="AUN1107" s="15"/>
      <c r="AUQ1107" s="15"/>
      <c r="AUR1107" s="15"/>
      <c r="AUU1107" s="15"/>
      <c r="AUV1107" s="15"/>
      <c r="AUY1107" s="15"/>
      <c r="AUZ1107" s="15"/>
      <c r="AVC1107" s="15"/>
      <c r="AVD1107" s="15"/>
      <c r="AVG1107" s="15"/>
      <c r="AVH1107" s="15"/>
      <c r="AVK1107" s="15"/>
      <c r="AVL1107" s="15"/>
      <c r="AVO1107" s="15"/>
      <c r="AVP1107" s="15"/>
      <c r="AVS1107" s="15"/>
      <c r="AVT1107" s="15"/>
      <c r="AVW1107" s="15"/>
      <c r="AVX1107" s="15"/>
      <c r="AWA1107" s="15"/>
      <c r="AWB1107" s="15"/>
      <c r="AWE1107" s="15"/>
      <c r="AWF1107" s="15"/>
      <c r="AWI1107" s="15"/>
      <c r="AWJ1107" s="15"/>
      <c r="AWM1107" s="15"/>
      <c r="AWN1107" s="15"/>
      <c r="AWQ1107" s="15"/>
      <c r="AWR1107" s="15"/>
      <c r="AWU1107" s="15"/>
      <c r="AWV1107" s="15"/>
      <c r="AWY1107" s="15"/>
      <c r="AWZ1107" s="15"/>
      <c r="AXC1107" s="15"/>
      <c r="AXD1107" s="15"/>
      <c r="AXG1107" s="15"/>
      <c r="AXH1107" s="15"/>
      <c r="AXK1107" s="15"/>
      <c r="AXL1107" s="15"/>
      <c r="AXO1107" s="15"/>
      <c r="AXP1107" s="15"/>
      <c r="AXS1107" s="15"/>
      <c r="AXT1107" s="15"/>
      <c r="AXW1107" s="15"/>
      <c r="AXX1107" s="15"/>
      <c r="AYA1107" s="15"/>
      <c r="AYB1107" s="15"/>
      <c r="AYE1107" s="15"/>
      <c r="AYF1107" s="15"/>
      <c r="AYI1107" s="15"/>
      <c r="AYJ1107" s="15"/>
      <c r="AYM1107" s="15"/>
      <c r="AYN1107" s="15"/>
      <c r="AYQ1107" s="15"/>
      <c r="AYR1107" s="15"/>
      <c r="AYU1107" s="15"/>
      <c r="AYV1107" s="15"/>
      <c r="AYY1107" s="15"/>
      <c r="AYZ1107" s="15"/>
      <c r="AZC1107" s="15"/>
      <c r="AZD1107" s="15"/>
      <c r="AZG1107" s="15"/>
      <c r="AZH1107" s="15"/>
      <c r="AZK1107" s="15"/>
      <c r="AZL1107" s="15"/>
      <c r="AZO1107" s="15"/>
      <c r="AZP1107" s="15"/>
      <c r="AZS1107" s="15"/>
      <c r="AZT1107" s="15"/>
      <c r="AZW1107" s="15"/>
      <c r="AZX1107" s="15"/>
      <c r="BAA1107" s="15"/>
      <c r="BAB1107" s="15"/>
      <c r="BAE1107" s="15"/>
      <c r="BAF1107" s="15"/>
      <c r="BAI1107" s="15"/>
      <c r="BAJ1107" s="15"/>
      <c r="BAM1107" s="15"/>
      <c r="BAN1107" s="15"/>
      <c r="BAQ1107" s="15"/>
      <c r="BAR1107" s="15"/>
      <c r="BAU1107" s="15"/>
      <c r="BAV1107" s="15"/>
      <c r="BAY1107" s="15"/>
      <c r="BAZ1107" s="15"/>
      <c r="BBC1107" s="15"/>
      <c r="BBD1107" s="15"/>
      <c r="BBG1107" s="15"/>
      <c r="BBH1107" s="15"/>
      <c r="BBK1107" s="15"/>
      <c r="BBL1107" s="15"/>
      <c r="BBO1107" s="15"/>
      <c r="BBP1107" s="15"/>
      <c r="BBS1107" s="15"/>
      <c r="BBT1107" s="15"/>
      <c r="BBW1107" s="15"/>
      <c r="BBX1107" s="15"/>
      <c r="BCA1107" s="15"/>
      <c r="BCB1107" s="15"/>
      <c r="BCE1107" s="15"/>
      <c r="BCF1107" s="15"/>
      <c r="BCI1107" s="15"/>
      <c r="BCJ1107" s="15"/>
      <c r="BCM1107" s="15"/>
      <c r="BCN1107" s="15"/>
      <c r="BCQ1107" s="15"/>
      <c r="BCR1107" s="15"/>
      <c r="BCU1107" s="15"/>
      <c r="BCV1107" s="15"/>
      <c r="BCY1107" s="15"/>
      <c r="BCZ1107" s="15"/>
      <c r="BDC1107" s="15"/>
      <c r="BDD1107" s="15"/>
      <c r="BDG1107" s="15"/>
      <c r="BDH1107" s="15"/>
      <c r="BDK1107" s="15"/>
      <c r="BDL1107" s="15"/>
      <c r="BDO1107" s="15"/>
      <c r="BDP1107" s="15"/>
      <c r="BDS1107" s="15"/>
      <c r="BDT1107" s="15"/>
      <c r="BDW1107" s="15"/>
      <c r="BDX1107" s="15"/>
      <c r="BEA1107" s="15"/>
      <c r="BEB1107" s="15"/>
      <c r="BEE1107" s="15"/>
      <c r="BEF1107" s="15"/>
      <c r="BEI1107" s="15"/>
      <c r="BEJ1107" s="15"/>
      <c r="BEM1107" s="15"/>
      <c r="BEN1107" s="15"/>
      <c r="BEQ1107" s="15"/>
      <c r="BER1107" s="15"/>
      <c r="BEU1107" s="15"/>
      <c r="BEV1107" s="15"/>
      <c r="BEY1107" s="15"/>
      <c r="BEZ1107" s="15"/>
      <c r="BFC1107" s="15"/>
      <c r="BFD1107" s="15"/>
      <c r="BFG1107" s="15"/>
      <c r="BFH1107" s="15"/>
      <c r="BFK1107" s="15"/>
      <c r="BFL1107" s="15"/>
      <c r="BFO1107" s="15"/>
      <c r="BFP1107" s="15"/>
      <c r="BFS1107" s="15"/>
      <c r="BFT1107" s="15"/>
      <c r="BFW1107" s="15"/>
      <c r="BFX1107" s="15"/>
      <c r="BGA1107" s="15"/>
      <c r="BGB1107" s="15"/>
      <c r="BGE1107" s="15"/>
      <c r="BGF1107" s="15"/>
      <c r="BGI1107" s="15"/>
      <c r="BGJ1107" s="15"/>
      <c r="BGM1107" s="15"/>
      <c r="BGN1107" s="15"/>
      <c r="BGQ1107" s="15"/>
      <c r="BGR1107" s="15"/>
      <c r="BGU1107" s="15"/>
      <c r="BGV1107" s="15"/>
      <c r="BGY1107" s="15"/>
      <c r="BGZ1107" s="15"/>
      <c r="BHC1107" s="15"/>
      <c r="BHD1107" s="15"/>
      <c r="BHG1107" s="15"/>
      <c r="BHH1107" s="15"/>
      <c r="BHK1107" s="15"/>
      <c r="BHL1107" s="15"/>
      <c r="BHO1107" s="15"/>
      <c r="BHP1107" s="15"/>
      <c r="BHS1107" s="15"/>
      <c r="BHT1107" s="15"/>
      <c r="BHW1107" s="15"/>
      <c r="BHX1107" s="15"/>
      <c r="BIA1107" s="15"/>
      <c r="BIB1107" s="15"/>
      <c r="BIE1107" s="15"/>
      <c r="BIF1107" s="15"/>
      <c r="BII1107" s="15"/>
      <c r="BIJ1107" s="15"/>
      <c r="BIM1107" s="15"/>
      <c r="BIN1107" s="15"/>
      <c r="BIQ1107" s="15"/>
      <c r="BIR1107" s="15"/>
      <c r="BIU1107" s="15"/>
      <c r="BIV1107" s="15"/>
      <c r="BIY1107" s="15"/>
      <c r="BIZ1107" s="15"/>
      <c r="BJC1107" s="15"/>
      <c r="BJD1107" s="15"/>
      <c r="BJG1107" s="15"/>
      <c r="BJH1107" s="15"/>
      <c r="BJK1107" s="15"/>
      <c r="BJL1107" s="15"/>
      <c r="BJO1107" s="15"/>
      <c r="BJP1107" s="15"/>
      <c r="BJS1107" s="15"/>
      <c r="BJT1107" s="15"/>
      <c r="BJW1107" s="15"/>
      <c r="BJX1107" s="15"/>
      <c r="BKA1107" s="15"/>
      <c r="BKB1107" s="15"/>
      <c r="BKE1107" s="15"/>
      <c r="BKF1107" s="15"/>
      <c r="BKI1107" s="15"/>
      <c r="BKJ1107" s="15"/>
      <c r="BKM1107" s="15"/>
      <c r="BKN1107" s="15"/>
      <c r="BKQ1107" s="15"/>
      <c r="BKR1107" s="15"/>
      <c r="BKU1107" s="15"/>
      <c r="BKV1107" s="15"/>
      <c r="BKY1107" s="15"/>
      <c r="BKZ1107" s="15"/>
      <c r="BLC1107" s="15"/>
      <c r="BLD1107" s="15"/>
      <c r="BLG1107" s="15"/>
      <c r="BLH1107" s="15"/>
      <c r="BLK1107" s="15"/>
      <c r="BLL1107" s="15"/>
      <c r="BLO1107" s="15"/>
      <c r="BLP1107" s="15"/>
      <c r="BLS1107" s="15"/>
      <c r="BLT1107" s="15"/>
      <c r="BLW1107" s="15"/>
      <c r="BLX1107" s="15"/>
      <c r="BMA1107" s="15"/>
      <c r="BMB1107" s="15"/>
      <c r="BME1107" s="15"/>
      <c r="BMF1107" s="15"/>
      <c r="BMI1107" s="15"/>
      <c r="BMJ1107" s="15"/>
      <c r="BMM1107" s="15"/>
      <c r="BMN1107" s="15"/>
      <c r="BMQ1107" s="15"/>
      <c r="BMR1107" s="15"/>
      <c r="BMU1107" s="15"/>
      <c r="BMV1107" s="15"/>
      <c r="BMY1107" s="15"/>
      <c r="BMZ1107" s="15"/>
      <c r="BNC1107" s="15"/>
      <c r="BND1107" s="15"/>
      <c r="BNG1107" s="15"/>
      <c r="BNH1107" s="15"/>
      <c r="BNK1107" s="15"/>
      <c r="BNL1107" s="15"/>
      <c r="BNO1107" s="15"/>
      <c r="BNP1107" s="15"/>
      <c r="BNS1107" s="15"/>
      <c r="BNT1107" s="15"/>
      <c r="BNW1107" s="15"/>
      <c r="BNX1107" s="15"/>
      <c r="BOA1107" s="15"/>
      <c r="BOB1107" s="15"/>
      <c r="BOE1107" s="15"/>
      <c r="BOF1107" s="15"/>
      <c r="BOI1107" s="15"/>
      <c r="BOJ1107" s="15"/>
      <c r="BOM1107" s="15"/>
      <c r="BON1107" s="15"/>
      <c r="BOQ1107" s="15"/>
      <c r="BOR1107" s="15"/>
      <c r="BOU1107" s="15"/>
      <c r="BOV1107" s="15"/>
      <c r="BOY1107" s="15"/>
      <c r="BOZ1107" s="15"/>
      <c r="BPC1107" s="15"/>
      <c r="BPD1107" s="15"/>
      <c r="BPG1107" s="15"/>
      <c r="BPH1107" s="15"/>
      <c r="BPK1107" s="15"/>
      <c r="BPL1107" s="15"/>
      <c r="BPO1107" s="15"/>
      <c r="BPP1107" s="15"/>
      <c r="BPS1107" s="15"/>
      <c r="BPT1107" s="15"/>
      <c r="BPW1107" s="15"/>
      <c r="BPX1107" s="15"/>
      <c r="BQA1107" s="15"/>
      <c r="BQB1107" s="15"/>
      <c r="BQE1107" s="15"/>
      <c r="BQF1107" s="15"/>
      <c r="BQI1107" s="15"/>
      <c r="BQJ1107" s="15"/>
      <c r="BQM1107" s="15"/>
      <c r="BQN1107" s="15"/>
      <c r="BQQ1107" s="15"/>
      <c r="BQR1107" s="15"/>
      <c r="BQU1107" s="15"/>
      <c r="BQV1107" s="15"/>
      <c r="BQY1107" s="15"/>
      <c r="BQZ1107" s="15"/>
      <c r="BRC1107" s="15"/>
      <c r="BRD1107" s="15"/>
      <c r="BRG1107" s="15"/>
      <c r="BRH1107" s="15"/>
      <c r="BRK1107" s="15"/>
      <c r="BRL1107" s="15"/>
      <c r="BRO1107" s="15"/>
      <c r="BRP1107" s="15"/>
      <c r="BRS1107" s="15"/>
      <c r="BRT1107" s="15"/>
      <c r="BRW1107" s="15"/>
      <c r="BRX1107" s="15"/>
      <c r="BSA1107" s="15"/>
      <c r="BSB1107" s="15"/>
      <c r="BSE1107" s="15"/>
      <c r="BSF1107" s="15"/>
      <c r="BSI1107" s="15"/>
      <c r="BSJ1107" s="15"/>
      <c r="BSM1107" s="15"/>
      <c r="BSN1107" s="15"/>
      <c r="BSQ1107" s="15"/>
      <c r="BSR1107" s="15"/>
      <c r="BSU1107" s="15"/>
      <c r="BSV1107" s="15"/>
      <c r="BSY1107" s="15"/>
      <c r="BSZ1107" s="15"/>
      <c r="BTC1107" s="15"/>
      <c r="BTD1107" s="15"/>
      <c r="BTG1107" s="15"/>
      <c r="BTH1107" s="15"/>
      <c r="BTK1107" s="15"/>
      <c r="BTL1107" s="15"/>
      <c r="BTO1107" s="15"/>
      <c r="BTP1107" s="15"/>
      <c r="BTS1107" s="15"/>
      <c r="BTT1107" s="15"/>
      <c r="BTW1107" s="15"/>
      <c r="BTX1107" s="15"/>
      <c r="BUA1107" s="15"/>
      <c r="BUB1107" s="15"/>
      <c r="BUE1107" s="15"/>
      <c r="BUF1107" s="15"/>
      <c r="BUI1107" s="15"/>
      <c r="BUJ1107" s="15"/>
      <c r="BUM1107" s="15"/>
      <c r="BUN1107" s="15"/>
      <c r="BUQ1107" s="15"/>
      <c r="BUR1107" s="15"/>
      <c r="BUU1107" s="15"/>
      <c r="BUV1107" s="15"/>
      <c r="BUY1107" s="15"/>
      <c r="BUZ1107" s="15"/>
      <c r="BVC1107" s="15"/>
      <c r="BVD1107" s="15"/>
      <c r="BVG1107" s="15"/>
      <c r="BVH1107" s="15"/>
      <c r="BVK1107" s="15"/>
      <c r="BVL1107" s="15"/>
      <c r="BVO1107" s="15"/>
      <c r="BVP1107" s="15"/>
      <c r="BVS1107" s="15"/>
      <c r="BVT1107" s="15"/>
      <c r="BVW1107" s="15"/>
      <c r="BVX1107" s="15"/>
      <c r="BWA1107" s="15"/>
      <c r="BWB1107" s="15"/>
      <c r="BWE1107" s="15"/>
      <c r="BWF1107" s="15"/>
      <c r="BWI1107" s="15"/>
      <c r="BWJ1107" s="15"/>
      <c r="BWM1107" s="15"/>
      <c r="BWN1107" s="15"/>
      <c r="BWQ1107" s="15"/>
      <c r="BWR1107" s="15"/>
      <c r="BWU1107" s="15"/>
      <c r="BWV1107" s="15"/>
      <c r="BWY1107" s="15"/>
      <c r="BWZ1107" s="15"/>
      <c r="BXC1107" s="15"/>
      <c r="BXD1107" s="15"/>
      <c r="BXG1107" s="15"/>
      <c r="BXH1107" s="15"/>
      <c r="BXK1107" s="15"/>
      <c r="BXL1107" s="15"/>
      <c r="BXO1107" s="15"/>
      <c r="BXP1107" s="15"/>
      <c r="BXS1107" s="15"/>
      <c r="BXT1107" s="15"/>
      <c r="BXW1107" s="15"/>
      <c r="BXX1107" s="15"/>
      <c r="BYA1107" s="15"/>
      <c r="BYB1107" s="15"/>
      <c r="BYE1107" s="15"/>
      <c r="BYF1107" s="15"/>
      <c r="BYI1107" s="15"/>
      <c r="BYJ1107" s="15"/>
      <c r="BYM1107" s="15"/>
      <c r="BYN1107" s="15"/>
      <c r="BYQ1107" s="15"/>
      <c r="BYR1107" s="15"/>
      <c r="BYU1107" s="15"/>
      <c r="BYV1107" s="15"/>
      <c r="BYY1107" s="15"/>
      <c r="BYZ1107" s="15"/>
      <c r="BZC1107" s="15"/>
      <c r="BZD1107" s="15"/>
      <c r="BZG1107" s="15"/>
      <c r="BZH1107" s="15"/>
      <c r="BZK1107" s="15"/>
      <c r="BZL1107" s="15"/>
      <c r="BZO1107" s="15"/>
      <c r="BZP1107" s="15"/>
      <c r="BZS1107" s="15"/>
      <c r="BZT1107" s="15"/>
      <c r="BZW1107" s="15"/>
      <c r="BZX1107" s="15"/>
      <c r="CAA1107" s="15"/>
      <c r="CAB1107" s="15"/>
      <c r="CAE1107" s="15"/>
      <c r="CAF1107" s="15"/>
      <c r="CAI1107" s="15"/>
      <c r="CAJ1107" s="15"/>
      <c r="CAM1107" s="15"/>
      <c r="CAN1107" s="15"/>
      <c r="CAQ1107" s="15"/>
      <c r="CAR1107" s="15"/>
      <c r="CAU1107" s="15"/>
      <c r="CAV1107" s="15"/>
      <c r="CAY1107" s="15"/>
      <c r="CAZ1107" s="15"/>
      <c r="CBC1107" s="15"/>
      <c r="CBD1107" s="15"/>
      <c r="CBG1107" s="15"/>
      <c r="CBH1107" s="15"/>
      <c r="CBK1107" s="15"/>
      <c r="CBL1107" s="15"/>
      <c r="CBO1107" s="15"/>
      <c r="CBP1107" s="15"/>
      <c r="CBS1107" s="15"/>
      <c r="CBT1107" s="15"/>
      <c r="CBW1107" s="15"/>
      <c r="CBX1107" s="15"/>
      <c r="CCA1107" s="15"/>
      <c r="CCB1107" s="15"/>
      <c r="CCE1107" s="15"/>
      <c r="CCF1107" s="15"/>
      <c r="CCI1107" s="15"/>
      <c r="CCJ1107" s="15"/>
      <c r="CCM1107" s="15"/>
      <c r="CCN1107" s="15"/>
      <c r="CCQ1107" s="15"/>
      <c r="CCR1107" s="15"/>
      <c r="CCU1107" s="15"/>
      <c r="CCV1107" s="15"/>
      <c r="CCY1107" s="15"/>
      <c r="CCZ1107" s="15"/>
      <c r="CDC1107" s="15"/>
      <c r="CDD1107" s="15"/>
      <c r="CDG1107" s="15"/>
      <c r="CDH1107" s="15"/>
      <c r="CDK1107" s="15"/>
      <c r="CDL1107" s="15"/>
      <c r="CDO1107" s="15"/>
      <c r="CDP1107" s="15"/>
      <c r="CDS1107" s="15"/>
      <c r="CDT1107" s="15"/>
      <c r="CDW1107" s="15"/>
      <c r="CDX1107" s="15"/>
      <c r="CEA1107" s="15"/>
      <c r="CEB1107" s="15"/>
      <c r="CEE1107" s="15"/>
      <c r="CEF1107" s="15"/>
      <c r="CEI1107" s="15"/>
      <c r="CEJ1107" s="15"/>
      <c r="CEM1107" s="15"/>
      <c r="CEN1107" s="15"/>
      <c r="CEQ1107" s="15"/>
      <c r="CER1107" s="15"/>
      <c r="CEU1107" s="15"/>
      <c r="CEV1107" s="15"/>
      <c r="CEY1107" s="15"/>
      <c r="CEZ1107" s="15"/>
      <c r="CFC1107" s="15"/>
      <c r="CFD1107" s="15"/>
      <c r="CFG1107" s="15"/>
      <c r="CFH1107" s="15"/>
      <c r="CFK1107" s="15"/>
      <c r="CFL1107" s="15"/>
      <c r="CFO1107" s="15"/>
      <c r="CFP1107" s="15"/>
      <c r="CFS1107" s="15"/>
      <c r="CFT1107" s="15"/>
      <c r="CFW1107" s="15"/>
      <c r="CFX1107" s="15"/>
      <c r="CGA1107" s="15"/>
      <c r="CGB1107" s="15"/>
      <c r="CGE1107" s="15"/>
      <c r="CGF1107" s="15"/>
      <c r="CGI1107" s="15"/>
      <c r="CGJ1107" s="15"/>
      <c r="CGM1107" s="15"/>
      <c r="CGN1107" s="15"/>
      <c r="CGQ1107" s="15"/>
      <c r="CGR1107" s="15"/>
      <c r="CGU1107" s="15"/>
      <c r="CGV1107" s="15"/>
      <c r="CGY1107" s="15"/>
      <c r="CGZ1107" s="15"/>
      <c r="CHC1107" s="15"/>
      <c r="CHD1107" s="15"/>
      <c r="CHG1107" s="15"/>
      <c r="CHH1107" s="15"/>
      <c r="CHK1107" s="15"/>
      <c r="CHL1107" s="15"/>
      <c r="CHO1107" s="15"/>
      <c r="CHP1107" s="15"/>
      <c r="CHS1107" s="15"/>
      <c r="CHT1107" s="15"/>
      <c r="CHW1107" s="15"/>
      <c r="CHX1107" s="15"/>
      <c r="CIA1107" s="15"/>
      <c r="CIB1107" s="15"/>
      <c r="CIE1107" s="15"/>
      <c r="CIF1107" s="15"/>
      <c r="CII1107" s="15"/>
      <c r="CIJ1107" s="15"/>
      <c r="CIM1107" s="15"/>
      <c r="CIN1107" s="15"/>
      <c r="CIQ1107" s="15"/>
      <c r="CIR1107" s="15"/>
      <c r="CIU1107" s="15"/>
      <c r="CIV1107" s="15"/>
      <c r="CIY1107" s="15"/>
      <c r="CIZ1107" s="15"/>
      <c r="CJC1107" s="15"/>
      <c r="CJD1107" s="15"/>
      <c r="CJG1107" s="15"/>
      <c r="CJH1107" s="15"/>
      <c r="CJK1107" s="15"/>
      <c r="CJL1107" s="15"/>
      <c r="CJO1107" s="15"/>
      <c r="CJP1107" s="15"/>
      <c r="CJS1107" s="15"/>
      <c r="CJT1107" s="15"/>
      <c r="CJW1107" s="15"/>
      <c r="CJX1107" s="15"/>
      <c r="CKA1107" s="15"/>
      <c r="CKB1107" s="15"/>
      <c r="CKE1107" s="15"/>
      <c r="CKF1107" s="15"/>
      <c r="CKI1107" s="15"/>
      <c r="CKJ1107" s="15"/>
      <c r="CKM1107" s="15"/>
      <c r="CKN1107" s="15"/>
      <c r="CKQ1107" s="15"/>
      <c r="CKR1107" s="15"/>
      <c r="CKU1107" s="15"/>
      <c r="CKV1107" s="15"/>
      <c r="CKY1107" s="15"/>
      <c r="CKZ1107" s="15"/>
      <c r="CLC1107" s="15"/>
      <c r="CLD1107" s="15"/>
      <c r="CLG1107" s="15"/>
      <c r="CLH1107" s="15"/>
      <c r="CLK1107" s="15"/>
      <c r="CLL1107" s="15"/>
      <c r="CLO1107" s="15"/>
      <c r="CLP1107" s="15"/>
      <c r="CLS1107" s="15"/>
      <c r="CLT1107" s="15"/>
      <c r="CLW1107" s="15"/>
      <c r="CLX1107" s="15"/>
      <c r="CMA1107" s="15"/>
      <c r="CMB1107" s="15"/>
      <c r="CME1107" s="15"/>
      <c r="CMF1107" s="15"/>
      <c r="CMI1107" s="15"/>
      <c r="CMJ1107" s="15"/>
      <c r="CMM1107" s="15"/>
      <c r="CMN1107" s="15"/>
      <c r="CMQ1107" s="15"/>
      <c r="CMR1107" s="15"/>
      <c r="CMU1107" s="15"/>
      <c r="CMV1107" s="15"/>
      <c r="CMY1107" s="15"/>
      <c r="CMZ1107" s="15"/>
      <c r="CNC1107" s="15"/>
      <c r="CND1107" s="15"/>
      <c r="CNG1107" s="15"/>
      <c r="CNH1107" s="15"/>
      <c r="CNK1107" s="15"/>
      <c r="CNL1107" s="15"/>
      <c r="CNO1107" s="15"/>
      <c r="CNP1107" s="15"/>
      <c r="CNS1107" s="15"/>
      <c r="CNT1107" s="15"/>
      <c r="CNW1107" s="15"/>
      <c r="CNX1107" s="15"/>
      <c r="COA1107" s="15"/>
      <c r="COB1107" s="15"/>
      <c r="COE1107" s="15"/>
      <c r="COF1107" s="15"/>
      <c r="COI1107" s="15"/>
      <c r="COJ1107" s="15"/>
      <c r="COM1107" s="15"/>
      <c r="CON1107" s="15"/>
      <c r="COQ1107" s="15"/>
      <c r="COR1107" s="15"/>
      <c r="COU1107" s="15"/>
      <c r="COV1107" s="15"/>
      <c r="COY1107" s="15"/>
      <c r="COZ1107" s="15"/>
      <c r="CPC1107" s="15"/>
      <c r="CPD1107" s="15"/>
      <c r="CPG1107" s="15"/>
      <c r="CPH1107" s="15"/>
      <c r="CPK1107" s="15"/>
      <c r="CPL1107" s="15"/>
      <c r="CPO1107" s="15"/>
      <c r="CPP1107" s="15"/>
      <c r="CPS1107" s="15"/>
      <c r="CPT1107" s="15"/>
      <c r="CPW1107" s="15"/>
      <c r="CPX1107" s="15"/>
      <c r="CQA1107" s="15"/>
      <c r="CQB1107" s="15"/>
      <c r="CQE1107" s="15"/>
      <c r="CQF1107" s="15"/>
      <c r="CQI1107" s="15"/>
      <c r="CQJ1107" s="15"/>
      <c r="CQM1107" s="15"/>
      <c r="CQN1107" s="15"/>
      <c r="CQQ1107" s="15"/>
      <c r="CQR1107" s="15"/>
      <c r="CQU1107" s="15"/>
      <c r="CQV1107" s="15"/>
      <c r="CQY1107" s="15"/>
      <c r="CQZ1107" s="15"/>
      <c r="CRC1107" s="15"/>
      <c r="CRD1107" s="15"/>
      <c r="CRG1107" s="15"/>
      <c r="CRH1107" s="15"/>
      <c r="CRK1107" s="15"/>
      <c r="CRL1107" s="15"/>
      <c r="CRO1107" s="15"/>
      <c r="CRP1107" s="15"/>
      <c r="CRS1107" s="15"/>
      <c r="CRT1107" s="15"/>
      <c r="CRW1107" s="15"/>
      <c r="CRX1107" s="15"/>
      <c r="CSA1107" s="15"/>
      <c r="CSB1107" s="15"/>
      <c r="CSE1107" s="15"/>
      <c r="CSF1107" s="15"/>
      <c r="CSI1107" s="15"/>
      <c r="CSJ1107" s="15"/>
      <c r="CSM1107" s="15"/>
      <c r="CSN1107" s="15"/>
      <c r="CSQ1107" s="15"/>
      <c r="CSR1107" s="15"/>
      <c r="CSU1107" s="15"/>
      <c r="CSV1107" s="15"/>
      <c r="CSY1107" s="15"/>
      <c r="CSZ1107" s="15"/>
      <c r="CTC1107" s="15"/>
      <c r="CTD1107" s="15"/>
      <c r="CTG1107" s="15"/>
      <c r="CTH1107" s="15"/>
      <c r="CTK1107" s="15"/>
      <c r="CTL1107" s="15"/>
      <c r="CTO1107" s="15"/>
      <c r="CTP1107" s="15"/>
      <c r="CTS1107" s="15"/>
      <c r="CTT1107" s="15"/>
      <c r="CTW1107" s="15"/>
      <c r="CTX1107" s="15"/>
      <c r="CUA1107" s="15"/>
      <c r="CUB1107" s="15"/>
      <c r="CUE1107" s="15"/>
      <c r="CUF1107" s="15"/>
      <c r="CUI1107" s="15"/>
      <c r="CUJ1107" s="15"/>
      <c r="CUM1107" s="15"/>
      <c r="CUN1107" s="15"/>
      <c r="CUQ1107" s="15"/>
      <c r="CUR1107" s="15"/>
      <c r="CUU1107" s="15"/>
      <c r="CUV1107" s="15"/>
      <c r="CUY1107" s="15"/>
      <c r="CUZ1107" s="15"/>
      <c r="CVC1107" s="15"/>
      <c r="CVD1107" s="15"/>
      <c r="CVG1107" s="15"/>
      <c r="CVH1107" s="15"/>
      <c r="CVK1107" s="15"/>
      <c r="CVL1107" s="15"/>
      <c r="CVO1107" s="15"/>
      <c r="CVP1107" s="15"/>
      <c r="CVS1107" s="15"/>
      <c r="CVT1107" s="15"/>
      <c r="CVW1107" s="15"/>
      <c r="CVX1107" s="15"/>
      <c r="CWA1107" s="15"/>
      <c r="CWB1107" s="15"/>
      <c r="CWE1107" s="15"/>
      <c r="CWF1107" s="15"/>
      <c r="CWI1107" s="15"/>
      <c r="CWJ1107" s="15"/>
      <c r="CWM1107" s="15"/>
      <c r="CWN1107" s="15"/>
      <c r="CWQ1107" s="15"/>
      <c r="CWR1107" s="15"/>
      <c r="CWU1107" s="15"/>
      <c r="CWV1107" s="15"/>
      <c r="CWY1107" s="15"/>
      <c r="CWZ1107" s="15"/>
      <c r="CXC1107" s="15"/>
      <c r="CXD1107" s="15"/>
      <c r="CXG1107" s="15"/>
      <c r="CXH1107" s="15"/>
      <c r="CXK1107" s="15"/>
      <c r="CXL1107" s="15"/>
      <c r="CXO1107" s="15"/>
      <c r="CXP1107" s="15"/>
      <c r="CXS1107" s="15"/>
      <c r="CXT1107" s="15"/>
      <c r="CXW1107" s="15"/>
      <c r="CXX1107" s="15"/>
      <c r="CYA1107" s="15"/>
      <c r="CYB1107" s="15"/>
      <c r="CYE1107" s="15"/>
      <c r="CYF1107" s="15"/>
      <c r="CYI1107" s="15"/>
      <c r="CYJ1107" s="15"/>
      <c r="CYM1107" s="15"/>
      <c r="CYN1107" s="15"/>
      <c r="CYQ1107" s="15"/>
      <c r="CYR1107" s="15"/>
      <c r="CYU1107" s="15"/>
      <c r="CYV1107" s="15"/>
      <c r="CYY1107" s="15"/>
      <c r="CYZ1107" s="15"/>
      <c r="CZC1107" s="15"/>
      <c r="CZD1107" s="15"/>
      <c r="CZG1107" s="15"/>
      <c r="CZH1107" s="15"/>
      <c r="CZK1107" s="15"/>
      <c r="CZL1107" s="15"/>
      <c r="CZO1107" s="15"/>
      <c r="CZP1107" s="15"/>
      <c r="CZS1107" s="15"/>
      <c r="CZT1107" s="15"/>
      <c r="CZW1107" s="15"/>
      <c r="CZX1107" s="15"/>
      <c r="DAA1107" s="15"/>
      <c r="DAB1107" s="15"/>
      <c r="DAE1107" s="15"/>
      <c r="DAF1107" s="15"/>
      <c r="DAI1107" s="15"/>
      <c r="DAJ1107" s="15"/>
      <c r="DAM1107" s="15"/>
      <c r="DAN1107" s="15"/>
      <c r="DAQ1107" s="15"/>
      <c r="DAR1107" s="15"/>
      <c r="DAU1107" s="15"/>
      <c r="DAV1107" s="15"/>
      <c r="DAY1107" s="15"/>
      <c r="DAZ1107" s="15"/>
      <c r="DBC1107" s="15"/>
      <c r="DBD1107" s="15"/>
      <c r="DBG1107" s="15"/>
      <c r="DBH1107" s="15"/>
      <c r="DBK1107" s="15"/>
      <c r="DBL1107" s="15"/>
      <c r="DBO1107" s="15"/>
      <c r="DBP1107" s="15"/>
      <c r="DBS1107" s="15"/>
      <c r="DBT1107" s="15"/>
      <c r="DBW1107" s="15"/>
      <c r="DBX1107" s="15"/>
      <c r="DCA1107" s="15"/>
      <c r="DCB1107" s="15"/>
      <c r="DCE1107" s="15"/>
      <c r="DCF1107" s="15"/>
      <c r="DCI1107" s="15"/>
      <c r="DCJ1107" s="15"/>
      <c r="DCM1107" s="15"/>
      <c r="DCN1107" s="15"/>
      <c r="DCQ1107" s="15"/>
      <c r="DCR1107" s="15"/>
      <c r="DCU1107" s="15"/>
      <c r="DCV1107" s="15"/>
      <c r="DCY1107" s="15"/>
      <c r="DCZ1107" s="15"/>
      <c r="DDC1107" s="15"/>
      <c r="DDD1107" s="15"/>
      <c r="DDG1107" s="15"/>
      <c r="DDH1107" s="15"/>
      <c r="DDK1107" s="15"/>
      <c r="DDL1107" s="15"/>
      <c r="DDO1107" s="15"/>
      <c r="DDP1107" s="15"/>
      <c r="DDS1107" s="15"/>
      <c r="DDT1107" s="15"/>
      <c r="DDW1107" s="15"/>
      <c r="DDX1107" s="15"/>
      <c r="DEA1107" s="15"/>
      <c r="DEB1107" s="15"/>
      <c r="DEE1107" s="15"/>
      <c r="DEF1107" s="15"/>
      <c r="DEI1107" s="15"/>
      <c r="DEJ1107" s="15"/>
      <c r="DEM1107" s="15"/>
      <c r="DEN1107" s="15"/>
      <c r="DEQ1107" s="15"/>
      <c r="DER1107" s="15"/>
      <c r="DEU1107" s="15"/>
      <c r="DEV1107" s="15"/>
      <c r="DEY1107" s="15"/>
      <c r="DEZ1107" s="15"/>
      <c r="DFC1107" s="15"/>
      <c r="DFD1107" s="15"/>
      <c r="DFG1107" s="15"/>
      <c r="DFH1107" s="15"/>
      <c r="DFK1107" s="15"/>
      <c r="DFL1107" s="15"/>
      <c r="DFO1107" s="15"/>
      <c r="DFP1107" s="15"/>
      <c r="DFS1107" s="15"/>
      <c r="DFT1107" s="15"/>
      <c r="DFW1107" s="15"/>
      <c r="DFX1107" s="15"/>
      <c r="DGA1107" s="15"/>
      <c r="DGB1107" s="15"/>
      <c r="DGE1107" s="15"/>
      <c r="DGF1107" s="15"/>
      <c r="DGI1107" s="15"/>
      <c r="DGJ1107" s="15"/>
      <c r="DGM1107" s="15"/>
      <c r="DGN1107" s="15"/>
      <c r="DGQ1107" s="15"/>
      <c r="DGR1107" s="15"/>
      <c r="DGU1107" s="15"/>
      <c r="DGV1107" s="15"/>
      <c r="DGY1107" s="15"/>
      <c r="DGZ1107" s="15"/>
      <c r="DHC1107" s="15"/>
      <c r="DHD1107" s="15"/>
      <c r="DHG1107" s="15"/>
      <c r="DHH1107" s="15"/>
      <c r="DHK1107" s="15"/>
      <c r="DHL1107" s="15"/>
      <c r="DHO1107" s="15"/>
      <c r="DHP1107" s="15"/>
      <c r="DHS1107" s="15"/>
      <c r="DHT1107" s="15"/>
      <c r="DHW1107" s="15"/>
      <c r="DHX1107" s="15"/>
      <c r="DIA1107" s="15"/>
      <c r="DIB1107" s="15"/>
      <c r="DIE1107" s="15"/>
      <c r="DIF1107" s="15"/>
      <c r="DII1107" s="15"/>
      <c r="DIJ1107" s="15"/>
      <c r="DIM1107" s="15"/>
      <c r="DIN1107" s="15"/>
      <c r="DIQ1107" s="15"/>
      <c r="DIR1107" s="15"/>
      <c r="DIU1107" s="15"/>
      <c r="DIV1107" s="15"/>
      <c r="DIY1107" s="15"/>
      <c r="DIZ1107" s="15"/>
      <c r="DJC1107" s="15"/>
      <c r="DJD1107" s="15"/>
      <c r="DJG1107" s="15"/>
      <c r="DJH1107" s="15"/>
      <c r="DJK1107" s="15"/>
      <c r="DJL1107" s="15"/>
      <c r="DJO1107" s="15"/>
      <c r="DJP1107" s="15"/>
      <c r="DJS1107" s="15"/>
      <c r="DJT1107" s="15"/>
      <c r="DJW1107" s="15"/>
      <c r="DJX1107" s="15"/>
      <c r="DKA1107" s="15"/>
      <c r="DKB1107" s="15"/>
      <c r="DKE1107" s="15"/>
      <c r="DKF1107" s="15"/>
      <c r="DKI1107" s="15"/>
      <c r="DKJ1107" s="15"/>
      <c r="DKM1107" s="15"/>
      <c r="DKN1107" s="15"/>
      <c r="DKQ1107" s="15"/>
      <c r="DKR1107" s="15"/>
      <c r="DKU1107" s="15"/>
      <c r="DKV1107" s="15"/>
      <c r="DKY1107" s="15"/>
      <c r="DKZ1107" s="15"/>
      <c r="DLC1107" s="15"/>
      <c r="DLD1107" s="15"/>
      <c r="DLG1107" s="15"/>
      <c r="DLH1107" s="15"/>
      <c r="DLK1107" s="15"/>
      <c r="DLL1107" s="15"/>
      <c r="DLO1107" s="15"/>
      <c r="DLP1107" s="15"/>
      <c r="DLS1107" s="15"/>
      <c r="DLT1107" s="15"/>
      <c r="DLW1107" s="15"/>
      <c r="DLX1107" s="15"/>
      <c r="DMA1107" s="15"/>
      <c r="DMB1107" s="15"/>
      <c r="DME1107" s="15"/>
      <c r="DMF1107" s="15"/>
      <c r="DMI1107" s="15"/>
      <c r="DMJ1107" s="15"/>
      <c r="DMM1107" s="15"/>
      <c r="DMN1107" s="15"/>
      <c r="DMQ1107" s="15"/>
      <c r="DMR1107" s="15"/>
      <c r="DMU1107" s="15"/>
      <c r="DMV1107" s="15"/>
      <c r="DMY1107" s="15"/>
      <c r="DMZ1107" s="15"/>
      <c r="DNC1107" s="15"/>
      <c r="DND1107" s="15"/>
      <c r="DNG1107" s="15"/>
      <c r="DNH1107" s="15"/>
      <c r="DNK1107" s="15"/>
      <c r="DNL1107" s="15"/>
      <c r="DNO1107" s="15"/>
      <c r="DNP1107" s="15"/>
      <c r="DNS1107" s="15"/>
      <c r="DNT1107" s="15"/>
      <c r="DNW1107" s="15"/>
      <c r="DNX1107" s="15"/>
      <c r="DOA1107" s="15"/>
      <c r="DOB1107" s="15"/>
      <c r="DOE1107" s="15"/>
      <c r="DOF1107" s="15"/>
      <c r="DOI1107" s="15"/>
      <c r="DOJ1107" s="15"/>
      <c r="DOM1107" s="15"/>
      <c r="DON1107" s="15"/>
      <c r="DOQ1107" s="15"/>
      <c r="DOR1107" s="15"/>
      <c r="DOU1107" s="15"/>
      <c r="DOV1107" s="15"/>
      <c r="DOY1107" s="15"/>
      <c r="DOZ1107" s="15"/>
      <c r="DPC1107" s="15"/>
      <c r="DPD1107" s="15"/>
      <c r="DPG1107" s="15"/>
      <c r="DPH1107" s="15"/>
      <c r="DPK1107" s="15"/>
      <c r="DPL1107" s="15"/>
      <c r="DPO1107" s="15"/>
      <c r="DPP1107" s="15"/>
      <c r="DPS1107" s="15"/>
      <c r="DPT1107" s="15"/>
      <c r="DPW1107" s="15"/>
      <c r="DPX1107" s="15"/>
      <c r="DQA1107" s="15"/>
      <c r="DQB1107" s="15"/>
      <c r="DQE1107" s="15"/>
      <c r="DQF1107" s="15"/>
      <c r="DQI1107" s="15"/>
      <c r="DQJ1107" s="15"/>
      <c r="DQM1107" s="15"/>
      <c r="DQN1107" s="15"/>
      <c r="DQQ1107" s="15"/>
      <c r="DQR1107" s="15"/>
      <c r="DQU1107" s="15"/>
      <c r="DQV1107" s="15"/>
      <c r="DQY1107" s="15"/>
      <c r="DQZ1107" s="15"/>
      <c r="DRC1107" s="15"/>
      <c r="DRD1107" s="15"/>
      <c r="DRG1107" s="15"/>
      <c r="DRH1107" s="15"/>
      <c r="DRK1107" s="15"/>
      <c r="DRL1107" s="15"/>
      <c r="DRO1107" s="15"/>
      <c r="DRP1107" s="15"/>
      <c r="DRS1107" s="15"/>
      <c r="DRT1107" s="15"/>
      <c r="DRW1107" s="15"/>
      <c r="DRX1107" s="15"/>
      <c r="DSA1107" s="15"/>
      <c r="DSB1107" s="15"/>
      <c r="DSE1107" s="15"/>
      <c r="DSF1107" s="15"/>
      <c r="DSI1107" s="15"/>
      <c r="DSJ1107" s="15"/>
      <c r="DSM1107" s="15"/>
      <c r="DSN1107" s="15"/>
      <c r="DSQ1107" s="15"/>
      <c r="DSR1107" s="15"/>
      <c r="DSU1107" s="15"/>
      <c r="DSV1107" s="15"/>
      <c r="DSY1107" s="15"/>
      <c r="DSZ1107" s="15"/>
      <c r="DTC1107" s="15"/>
      <c r="DTD1107" s="15"/>
      <c r="DTG1107" s="15"/>
      <c r="DTH1107" s="15"/>
      <c r="DTK1107" s="15"/>
      <c r="DTL1107" s="15"/>
      <c r="DTO1107" s="15"/>
      <c r="DTP1107" s="15"/>
      <c r="DTS1107" s="15"/>
      <c r="DTT1107" s="15"/>
      <c r="DTW1107" s="15"/>
      <c r="DTX1107" s="15"/>
      <c r="DUA1107" s="15"/>
      <c r="DUB1107" s="15"/>
      <c r="DUE1107" s="15"/>
      <c r="DUF1107" s="15"/>
      <c r="DUI1107" s="15"/>
      <c r="DUJ1107" s="15"/>
      <c r="DUM1107" s="15"/>
      <c r="DUN1107" s="15"/>
      <c r="DUQ1107" s="15"/>
      <c r="DUR1107" s="15"/>
      <c r="DUU1107" s="15"/>
      <c r="DUV1107" s="15"/>
      <c r="DUY1107" s="15"/>
      <c r="DUZ1107" s="15"/>
      <c r="DVC1107" s="15"/>
      <c r="DVD1107" s="15"/>
      <c r="DVG1107" s="15"/>
      <c r="DVH1107" s="15"/>
      <c r="DVK1107" s="15"/>
      <c r="DVL1107" s="15"/>
      <c r="DVO1107" s="15"/>
      <c r="DVP1107" s="15"/>
      <c r="DVS1107" s="15"/>
      <c r="DVT1107" s="15"/>
      <c r="DVW1107" s="15"/>
      <c r="DVX1107" s="15"/>
      <c r="DWA1107" s="15"/>
      <c r="DWB1107" s="15"/>
      <c r="DWE1107" s="15"/>
      <c r="DWF1107" s="15"/>
      <c r="DWI1107" s="15"/>
      <c r="DWJ1107" s="15"/>
      <c r="DWM1107" s="15"/>
      <c r="DWN1107" s="15"/>
      <c r="DWQ1107" s="15"/>
      <c r="DWR1107" s="15"/>
      <c r="DWU1107" s="15"/>
      <c r="DWV1107" s="15"/>
      <c r="DWY1107" s="15"/>
      <c r="DWZ1107" s="15"/>
      <c r="DXC1107" s="15"/>
      <c r="DXD1107" s="15"/>
      <c r="DXG1107" s="15"/>
      <c r="DXH1107" s="15"/>
      <c r="DXK1107" s="15"/>
      <c r="DXL1107" s="15"/>
      <c r="DXO1107" s="15"/>
      <c r="DXP1107" s="15"/>
      <c r="DXS1107" s="15"/>
      <c r="DXT1107" s="15"/>
      <c r="DXW1107" s="15"/>
      <c r="DXX1107" s="15"/>
      <c r="DYA1107" s="15"/>
      <c r="DYB1107" s="15"/>
      <c r="DYE1107" s="15"/>
      <c r="DYF1107" s="15"/>
      <c r="DYI1107" s="15"/>
      <c r="DYJ1107" s="15"/>
      <c r="DYM1107" s="15"/>
      <c r="DYN1107" s="15"/>
      <c r="DYQ1107" s="15"/>
      <c r="DYR1107" s="15"/>
      <c r="DYU1107" s="15"/>
      <c r="DYV1107" s="15"/>
      <c r="DYY1107" s="15"/>
      <c r="DYZ1107" s="15"/>
      <c r="DZC1107" s="15"/>
      <c r="DZD1107" s="15"/>
      <c r="DZG1107" s="15"/>
      <c r="DZH1107" s="15"/>
      <c r="DZK1107" s="15"/>
      <c r="DZL1107" s="15"/>
      <c r="DZO1107" s="15"/>
      <c r="DZP1107" s="15"/>
      <c r="DZS1107" s="15"/>
      <c r="DZT1107" s="15"/>
      <c r="DZW1107" s="15"/>
      <c r="DZX1107" s="15"/>
      <c r="EAA1107" s="15"/>
      <c r="EAB1107" s="15"/>
      <c r="EAE1107" s="15"/>
      <c r="EAF1107" s="15"/>
      <c r="EAI1107" s="15"/>
      <c r="EAJ1107" s="15"/>
      <c r="EAM1107" s="15"/>
      <c r="EAN1107" s="15"/>
      <c r="EAQ1107" s="15"/>
      <c r="EAR1107" s="15"/>
      <c r="EAU1107" s="15"/>
      <c r="EAV1107" s="15"/>
      <c r="EAY1107" s="15"/>
      <c r="EAZ1107" s="15"/>
      <c r="EBC1107" s="15"/>
      <c r="EBD1107" s="15"/>
      <c r="EBG1107" s="15"/>
      <c r="EBH1107" s="15"/>
      <c r="EBK1107" s="15"/>
      <c r="EBL1107" s="15"/>
      <c r="EBO1107" s="15"/>
      <c r="EBP1107" s="15"/>
      <c r="EBS1107" s="15"/>
      <c r="EBT1107" s="15"/>
      <c r="EBW1107" s="15"/>
      <c r="EBX1107" s="15"/>
      <c r="ECA1107" s="15"/>
      <c r="ECB1107" s="15"/>
      <c r="ECE1107" s="15"/>
      <c r="ECF1107" s="15"/>
      <c r="ECI1107" s="15"/>
      <c r="ECJ1107" s="15"/>
      <c r="ECM1107" s="15"/>
      <c r="ECN1107" s="15"/>
      <c r="ECQ1107" s="15"/>
      <c r="ECR1107" s="15"/>
      <c r="ECU1107" s="15"/>
      <c r="ECV1107" s="15"/>
      <c r="ECY1107" s="15"/>
      <c r="ECZ1107" s="15"/>
      <c r="EDC1107" s="15"/>
      <c r="EDD1107" s="15"/>
      <c r="EDG1107" s="15"/>
      <c r="EDH1107" s="15"/>
      <c r="EDK1107" s="15"/>
      <c r="EDL1107" s="15"/>
      <c r="EDO1107" s="15"/>
      <c r="EDP1107" s="15"/>
      <c r="EDS1107" s="15"/>
      <c r="EDT1107" s="15"/>
      <c r="EDW1107" s="15"/>
      <c r="EDX1107" s="15"/>
      <c r="EEA1107" s="15"/>
      <c r="EEB1107" s="15"/>
      <c r="EEE1107" s="15"/>
      <c r="EEF1107" s="15"/>
      <c r="EEI1107" s="15"/>
      <c r="EEJ1107" s="15"/>
      <c r="EEM1107" s="15"/>
      <c r="EEN1107" s="15"/>
      <c r="EEQ1107" s="15"/>
      <c r="EER1107" s="15"/>
      <c r="EEU1107" s="15"/>
      <c r="EEV1107" s="15"/>
      <c r="EEY1107" s="15"/>
      <c r="EEZ1107" s="15"/>
      <c r="EFC1107" s="15"/>
      <c r="EFD1107" s="15"/>
      <c r="EFG1107" s="15"/>
      <c r="EFH1107" s="15"/>
      <c r="EFK1107" s="15"/>
      <c r="EFL1107" s="15"/>
      <c r="EFO1107" s="15"/>
      <c r="EFP1107" s="15"/>
      <c r="EFS1107" s="15"/>
      <c r="EFT1107" s="15"/>
      <c r="EFW1107" s="15"/>
      <c r="EFX1107" s="15"/>
      <c r="EGA1107" s="15"/>
      <c r="EGB1107" s="15"/>
      <c r="EGE1107" s="15"/>
      <c r="EGF1107" s="15"/>
      <c r="EGI1107" s="15"/>
      <c r="EGJ1107" s="15"/>
      <c r="EGM1107" s="15"/>
      <c r="EGN1107" s="15"/>
      <c r="EGQ1107" s="15"/>
      <c r="EGR1107" s="15"/>
      <c r="EGU1107" s="15"/>
      <c r="EGV1107" s="15"/>
      <c r="EGY1107" s="15"/>
      <c r="EGZ1107" s="15"/>
      <c r="EHC1107" s="15"/>
      <c r="EHD1107" s="15"/>
      <c r="EHG1107" s="15"/>
      <c r="EHH1107" s="15"/>
      <c r="EHK1107" s="15"/>
      <c r="EHL1107" s="15"/>
      <c r="EHO1107" s="15"/>
      <c r="EHP1107" s="15"/>
      <c r="EHS1107" s="15"/>
      <c r="EHT1107" s="15"/>
      <c r="EHW1107" s="15"/>
      <c r="EHX1107" s="15"/>
      <c r="EIA1107" s="15"/>
      <c r="EIB1107" s="15"/>
      <c r="EIE1107" s="15"/>
      <c r="EIF1107" s="15"/>
      <c r="EII1107" s="15"/>
      <c r="EIJ1107" s="15"/>
      <c r="EIM1107" s="15"/>
      <c r="EIN1107" s="15"/>
      <c r="EIQ1107" s="15"/>
      <c r="EIR1107" s="15"/>
      <c r="EIU1107" s="15"/>
      <c r="EIV1107" s="15"/>
      <c r="EIY1107" s="15"/>
      <c r="EIZ1107" s="15"/>
      <c r="EJC1107" s="15"/>
      <c r="EJD1107" s="15"/>
      <c r="EJG1107" s="15"/>
      <c r="EJH1107" s="15"/>
      <c r="EJK1107" s="15"/>
      <c r="EJL1107" s="15"/>
      <c r="EJO1107" s="15"/>
      <c r="EJP1107" s="15"/>
      <c r="EJS1107" s="15"/>
      <c r="EJT1107" s="15"/>
      <c r="EJW1107" s="15"/>
      <c r="EJX1107" s="15"/>
      <c r="EKA1107" s="15"/>
      <c r="EKB1107" s="15"/>
      <c r="EKE1107" s="15"/>
      <c r="EKF1107" s="15"/>
      <c r="EKI1107" s="15"/>
      <c r="EKJ1107" s="15"/>
      <c r="EKM1107" s="15"/>
      <c r="EKN1107" s="15"/>
      <c r="EKQ1107" s="15"/>
      <c r="EKR1107" s="15"/>
      <c r="EKU1107" s="15"/>
      <c r="EKV1107" s="15"/>
      <c r="EKY1107" s="15"/>
      <c r="EKZ1107" s="15"/>
      <c r="ELC1107" s="15"/>
      <c r="ELD1107" s="15"/>
      <c r="ELG1107" s="15"/>
      <c r="ELH1107" s="15"/>
      <c r="ELK1107" s="15"/>
      <c r="ELL1107" s="15"/>
      <c r="ELO1107" s="15"/>
      <c r="ELP1107" s="15"/>
      <c r="ELS1107" s="15"/>
      <c r="ELT1107" s="15"/>
      <c r="ELW1107" s="15"/>
      <c r="ELX1107" s="15"/>
      <c r="EMA1107" s="15"/>
      <c r="EMB1107" s="15"/>
      <c r="EME1107" s="15"/>
      <c r="EMF1107" s="15"/>
      <c r="EMI1107" s="15"/>
      <c r="EMJ1107" s="15"/>
      <c r="EMM1107" s="15"/>
      <c r="EMN1107" s="15"/>
      <c r="EMQ1107" s="15"/>
      <c r="EMR1107" s="15"/>
      <c r="EMU1107" s="15"/>
      <c r="EMV1107" s="15"/>
      <c r="EMY1107" s="15"/>
      <c r="EMZ1107" s="15"/>
      <c r="ENC1107" s="15"/>
      <c r="END1107" s="15"/>
      <c r="ENG1107" s="15"/>
      <c r="ENH1107" s="15"/>
      <c r="ENK1107" s="15"/>
      <c r="ENL1107" s="15"/>
      <c r="ENO1107" s="15"/>
      <c r="ENP1107" s="15"/>
      <c r="ENS1107" s="15"/>
      <c r="ENT1107" s="15"/>
      <c r="ENW1107" s="15"/>
      <c r="ENX1107" s="15"/>
      <c r="EOA1107" s="15"/>
      <c r="EOB1107" s="15"/>
      <c r="EOE1107" s="15"/>
      <c r="EOF1107" s="15"/>
      <c r="EOI1107" s="15"/>
      <c r="EOJ1107" s="15"/>
      <c r="EOM1107" s="15"/>
      <c r="EON1107" s="15"/>
      <c r="EOQ1107" s="15"/>
      <c r="EOR1107" s="15"/>
      <c r="EOU1107" s="15"/>
      <c r="EOV1107" s="15"/>
      <c r="EOY1107" s="15"/>
      <c r="EOZ1107" s="15"/>
      <c r="EPC1107" s="15"/>
      <c r="EPD1107" s="15"/>
      <c r="EPG1107" s="15"/>
      <c r="EPH1107" s="15"/>
      <c r="EPK1107" s="15"/>
      <c r="EPL1107" s="15"/>
      <c r="EPO1107" s="15"/>
      <c r="EPP1107" s="15"/>
      <c r="EPS1107" s="15"/>
      <c r="EPT1107" s="15"/>
      <c r="EPW1107" s="15"/>
      <c r="EPX1107" s="15"/>
      <c r="EQA1107" s="15"/>
      <c r="EQB1107" s="15"/>
      <c r="EQE1107" s="15"/>
      <c r="EQF1107" s="15"/>
      <c r="EQI1107" s="15"/>
      <c r="EQJ1107" s="15"/>
      <c r="EQM1107" s="15"/>
      <c r="EQN1107" s="15"/>
      <c r="EQQ1107" s="15"/>
      <c r="EQR1107" s="15"/>
      <c r="EQU1107" s="15"/>
      <c r="EQV1107" s="15"/>
      <c r="EQY1107" s="15"/>
      <c r="EQZ1107" s="15"/>
      <c r="ERC1107" s="15"/>
      <c r="ERD1107" s="15"/>
      <c r="ERG1107" s="15"/>
      <c r="ERH1107" s="15"/>
      <c r="ERK1107" s="15"/>
      <c r="ERL1107" s="15"/>
      <c r="ERO1107" s="15"/>
      <c r="ERP1107" s="15"/>
      <c r="ERS1107" s="15"/>
      <c r="ERT1107" s="15"/>
      <c r="ERW1107" s="15"/>
      <c r="ERX1107" s="15"/>
      <c r="ESA1107" s="15"/>
      <c r="ESB1107" s="15"/>
      <c r="ESE1107" s="15"/>
      <c r="ESF1107" s="15"/>
      <c r="ESI1107" s="15"/>
      <c r="ESJ1107" s="15"/>
      <c r="ESM1107" s="15"/>
      <c r="ESN1107" s="15"/>
      <c r="ESQ1107" s="15"/>
      <c r="ESR1107" s="15"/>
      <c r="ESU1107" s="15"/>
      <c r="ESV1107" s="15"/>
      <c r="ESY1107" s="15"/>
      <c r="ESZ1107" s="15"/>
      <c r="ETC1107" s="15"/>
      <c r="ETD1107" s="15"/>
      <c r="ETG1107" s="15"/>
      <c r="ETH1107" s="15"/>
      <c r="ETK1107" s="15"/>
      <c r="ETL1107" s="15"/>
      <c r="ETO1107" s="15"/>
      <c r="ETP1107" s="15"/>
      <c r="ETS1107" s="15"/>
      <c r="ETT1107" s="15"/>
      <c r="ETW1107" s="15"/>
      <c r="ETX1107" s="15"/>
      <c r="EUA1107" s="15"/>
      <c r="EUB1107" s="15"/>
      <c r="EUE1107" s="15"/>
      <c r="EUF1107" s="15"/>
      <c r="EUI1107" s="15"/>
      <c r="EUJ1107" s="15"/>
      <c r="EUM1107" s="15"/>
      <c r="EUN1107" s="15"/>
      <c r="EUQ1107" s="15"/>
      <c r="EUR1107" s="15"/>
      <c r="EUU1107" s="15"/>
      <c r="EUV1107" s="15"/>
      <c r="EUY1107" s="15"/>
      <c r="EUZ1107" s="15"/>
      <c r="EVC1107" s="15"/>
      <c r="EVD1107" s="15"/>
      <c r="EVG1107" s="15"/>
      <c r="EVH1107" s="15"/>
      <c r="EVK1107" s="15"/>
      <c r="EVL1107" s="15"/>
      <c r="EVO1107" s="15"/>
      <c r="EVP1107" s="15"/>
      <c r="EVS1107" s="15"/>
      <c r="EVT1107" s="15"/>
      <c r="EVW1107" s="15"/>
      <c r="EVX1107" s="15"/>
      <c r="EWA1107" s="15"/>
      <c r="EWB1107" s="15"/>
      <c r="EWE1107" s="15"/>
      <c r="EWF1107" s="15"/>
      <c r="EWI1107" s="15"/>
      <c r="EWJ1107" s="15"/>
      <c r="EWM1107" s="15"/>
      <c r="EWN1107" s="15"/>
      <c r="EWQ1107" s="15"/>
      <c r="EWR1107" s="15"/>
      <c r="EWU1107" s="15"/>
      <c r="EWV1107" s="15"/>
      <c r="EWY1107" s="15"/>
      <c r="EWZ1107" s="15"/>
      <c r="EXC1107" s="15"/>
      <c r="EXD1107" s="15"/>
      <c r="EXG1107" s="15"/>
      <c r="EXH1107" s="15"/>
      <c r="EXK1107" s="15"/>
      <c r="EXL1107" s="15"/>
      <c r="EXO1107" s="15"/>
      <c r="EXP1107" s="15"/>
      <c r="EXS1107" s="15"/>
      <c r="EXT1107" s="15"/>
      <c r="EXW1107" s="15"/>
      <c r="EXX1107" s="15"/>
      <c r="EYA1107" s="15"/>
      <c r="EYB1107" s="15"/>
      <c r="EYE1107" s="15"/>
      <c r="EYF1107" s="15"/>
      <c r="EYI1107" s="15"/>
      <c r="EYJ1107" s="15"/>
      <c r="EYM1107" s="15"/>
      <c r="EYN1107" s="15"/>
      <c r="EYQ1107" s="15"/>
      <c r="EYR1107" s="15"/>
      <c r="EYU1107" s="15"/>
      <c r="EYV1107" s="15"/>
      <c r="EYY1107" s="15"/>
      <c r="EYZ1107" s="15"/>
      <c r="EZC1107" s="15"/>
      <c r="EZD1107" s="15"/>
      <c r="EZG1107" s="15"/>
      <c r="EZH1107" s="15"/>
      <c r="EZK1107" s="15"/>
      <c r="EZL1107" s="15"/>
      <c r="EZO1107" s="15"/>
      <c r="EZP1107" s="15"/>
      <c r="EZS1107" s="15"/>
      <c r="EZT1107" s="15"/>
      <c r="EZW1107" s="15"/>
      <c r="EZX1107" s="15"/>
      <c r="FAA1107" s="15"/>
      <c r="FAB1107" s="15"/>
      <c r="FAE1107" s="15"/>
      <c r="FAF1107" s="15"/>
      <c r="FAI1107" s="15"/>
      <c r="FAJ1107" s="15"/>
      <c r="FAM1107" s="15"/>
      <c r="FAN1107" s="15"/>
      <c r="FAQ1107" s="15"/>
      <c r="FAR1107" s="15"/>
      <c r="FAU1107" s="15"/>
      <c r="FAV1107" s="15"/>
      <c r="FAY1107" s="15"/>
      <c r="FAZ1107" s="15"/>
      <c r="FBC1107" s="15"/>
      <c r="FBD1107" s="15"/>
      <c r="FBG1107" s="15"/>
      <c r="FBH1107" s="15"/>
      <c r="FBK1107" s="15"/>
      <c r="FBL1107" s="15"/>
      <c r="FBO1107" s="15"/>
      <c r="FBP1107" s="15"/>
      <c r="FBS1107" s="15"/>
      <c r="FBT1107" s="15"/>
      <c r="FBW1107" s="15"/>
      <c r="FBX1107" s="15"/>
      <c r="FCA1107" s="15"/>
      <c r="FCB1107" s="15"/>
      <c r="FCE1107" s="15"/>
      <c r="FCF1107" s="15"/>
      <c r="FCI1107" s="15"/>
      <c r="FCJ1107" s="15"/>
      <c r="FCM1107" s="15"/>
      <c r="FCN1107" s="15"/>
      <c r="FCQ1107" s="15"/>
      <c r="FCR1107" s="15"/>
      <c r="FCU1107" s="15"/>
      <c r="FCV1107" s="15"/>
      <c r="FCY1107" s="15"/>
      <c r="FCZ1107" s="15"/>
      <c r="FDC1107" s="15"/>
      <c r="FDD1107" s="15"/>
      <c r="FDG1107" s="15"/>
      <c r="FDH1107" s="15"/>
      <c r="FDK1107" s="15"/>
      <c r="FDL1107" s="15"/>
      <c r="FDO1107" s="15"/>
      <c r="FDP1107" s="15"/>
      <c r="FDS1107" s="15"/>
      <c r="FDT1107" s="15"/>
      <c r="FDW1107" s="15"/>
      <c r="FDX1107" s="15"/>
      <c r="FEA1107" s="15"/>
      <c r="FEB1107" s="15"/>
      <c r="FEE1107" s="15"/>
      <c r="FEF1107" s="15"/>
      <c r="FEI1107" s="15"/>
      <c r="FEJ1107" s="15"/>
      <c r="FEM1107" s="15"/>
      <c r="FEN1107" s="15"/>
      <c r="FEQ1107" s="15"/>
      <c r="FER1107" s="15"/>
      <c r="FEU1107" s="15"/>
      <c r="FEV1107" s="15"/>
      <c r="FEY1107" s="15"/>
      <c r="FEZ1107" s="15"/>
      <c r="FFC1107" s="15"/>
      <c r="FFD1107" s="15"/>
      <c r="FFG1107" s="15"/>
      <c r="FFH1107" s="15"/>
      <c r="FFK1107" s="15"/>
      <c r="FFL1107" s="15"/>
      <c r="FFO1107" s="15"/>
      <c r="FFP1107" s="15"/>
      <c r="FFS1107" s="15"/>
      <c r="FFT1107" s="15"/>
      <c r="FFW1107" s="15"/>
      <c r="FFX1107" s="15"/>
      <c r="FGA1107" s="15"/>
      <c r="FGB1107" s="15"/>
      <c r="FGE1107" s="15"/>
      <c r="FGF1107" s="15"/>
      <c r="FGI1107" s="15"/>
      <c r="FGJ1107" s="15"/>
      <c r="FGM1107" s="15"/>
      <c r="FGN1107" s="15"/>
      <c r="FGQ1107" s="15"/>
      <c r="FGR1107" s="15"/>
      <c r="FGU1107" s="15"/>
      <c r="FGV1107" s="15"/>
      <c r="FGY1107" s="15"/>
      <c r="FGZ1107" s="15"/>
      <c r="FHC1107" s="15"/>
      <c r="FHD1107" s="15"/>
      <c r="FHG1107" s="15"/>
      <c r="FHH1107" s="15"/>
      <c r="FHK1107" s="15"/>
      <c r="FHL1107" s="15"/>
      <c r="FHO1107" s="15"/>
      <c r="FHP1107" s="15"/>
      <c r="FHS1107" s="15"/>
      <c r="FHT1107" s="15"/>
      <c r="FHW1107" s="15"/>
      <c r="FHX1107" s="15"/>
      <c r="FIA1107" s="15"/>
      <c r="FIB1107" s="15"/>
      <c r="FIE1107" s="15"/>
      <c r="FIF1107" s="15"/>
      <c r="FII1107" s="15"/>
      <c r="FIJ1107" s="15"/>
      <c r="FIM1107" s="15"/>
      <c r="FIN1107" s="15"/>
      <c r="FIQ1107" s="15"/>
      <c r="FIR1107" s="15"/>
      <c r="FIU1107" s="15"/>
      <c r="FIV1107" s="15"/>
      <c r="FIY1107" s="15"/>
      <c r="FIZ1107" s="15"/>
      <c r="FJC1107" s="15"/>
      <c r="FJD1107" s="15"/>
      <c r="FJG1107" s="15"/>
      <c r="FJH1107" s="15"/>
      <c r="FJK1107" s="15"/>
      <c r="FJL1107" s="15"/>
      <c r="FJO1107" s="15"/>
      <c r="FJP1107" s="15"/>
      <c r="FJS1107" s="15"/>
      <c r="FJT1107" s="15"/>
      <c r="FJW1107" s="15"/>
      <c r="FJX1107" s="15"/>
      <c r="FKA1107" s="15"/>
      <c r="FKB1107" s="15"/>
      <c r="FKE1107" s="15"/>
      <c r="FKF1107" s="15"/>
      <c r="FKI1107" s="15"/>
      <c r="FKJ1107" s="15"/>
      <c r="FKM1107" s="15"/>
      <c r="FKN1107" s="15"/>
      <c r="FKQ1107" s="15"/>
      <c r="FKR1107" s="15"/>
      <c r="FKU1107" s="15"/>
      <c r="FKV1107" s="15"/>
      <c r="FKY1107" s="15"/>
      <c r="FKZ1107" s="15"/>
      <c r="FLC1107" s="15"/>
      <c r="FLD1107" s="15"/>
      <c r="FLG1107" s="15"/>
      <c r="FLH1107" s="15"/>
      <c r="FLK1107" s="15"/>
      <c r="FLL1107" s="15"/>
      <c r="FLO1107" s="15"/>
      <c r="FLP1107" s="15"/>
      <c r="FLS1107" s="15"/>
      <c r="FLT1107" s="15"/>
      <c r="FLW1107" s="15"/>
      <c r="FLX1107" s="15"/>
      <c r="FMA1107" s="15"/>
      <c r="FMB1107" s="15"/>
      <c r="FME1107" s="15"/>
      <c r="FMF1107" s="15"/>
      <c r="FMI1107" s="15"/>
      <c r="FMJ1107" s="15"/>
      <c r="FMM1107" s="15"/>
      <c r="FMN1107" s="15"/>
      <c r="FMQ1107" s="15"/>
      <c r="FMR1107" s="15"/>
      <c r="FMU1107" s="15"/>
      <c r="FMV1107" s="15"/>
      <c r="FMY1107" s="15"/>
      <c r="FMZ1107" s="15"/>
      <c r="FNC1107" s="15"/>
      <c r="FND1107" s="15"/>
      <c r="FNG1107" s="15"/>
      <c r="FNH1107" s="15"/>
      <c r="FNK1107" s="15"/>
      <c r="FNL1107" s="15"/>
      <c r="FNO1107" s="15"/>
      <c r="FNP1107" s="15"/>
      <c r="FNS1107" s="15"/>
      <c r="FNT1107" s="15"/>
      <c r="FNW1107" s="15"/>
      <c r="FNX1107" s="15"/>
      <c r="FOA1107" s="15"/>
      <c r="FOB1107" s="15"/>
      <c r="FOE1107" s="15"/>
      <c r="FOF1107" s="15"/>
      <c r="FOI1107" s="15"/>
      <c r="FOJ1107" s="15"/>
      <c r="FOM1107" s="15"/>
      <c r="FON1107" s="15"/>
      <c r="FOQ1107" s="15"/>
      <c r="FOR1107" s="15"/>
      <c r="FOU1107" s="15"/>
      <c r="FOV1107" s="15"/>
      <c r="FOY1107" s="15"/>
      <c r="FOZ1107" s="15"/>
      <c r="FPC1107" s="15"/>
      <c r="FPD1107" s="15"/>
      <c r="FPG1107" s="15"/>
      <c r="FPH1107" s="15"/>
      <c r="FPK1107" s="15"/>
      <c r="FPL1107" s="15"/>
      <c r="FPO1107" s="15"/>
      <c r="FPP1107" s="15"/>
      <c r="FPS1107" s="15"/>
      <c r="FPT1107" s="15"/>
      <c r="FPW1107" s="15"/>
      <c r="FPX1107" s="15"/>
      <c r="FQA1107" s="15"/>
      <c r="FQB1107" s="15"/>
      <c r="FQE1107" s="15"/>
      <c r="FQF1107" s="15"/>
      <c r="FQI1107" s="15"/>
      <c r="FQJ1107" s="15"/>
      <c r="FQM1107" s="15"/>
      <c r="FQN1107" s="15"/>
      <c r="FQQ1107" s="15"/>
      <c r="FQR1107" s="15"/>
      <c r="FQU1107" s="15"/>
      <c r="FQV1107" s="15"/>
      <c r="FQY1107" s="15"/>
      <c r="FQZ1107" s="15"/>
      <c r="FRC1107" s="15"/>
      <c r="FRD1107" s="15"/>
      <c r="FRG1107" s="15"/>
      <c r="FRH1107" s="15"/>
      <c r="FRK1107" s="15"/>
      <c r="FRL1107" s="15"/>
      <c r="FRO1107" s="15"/>
      <c r="FRP1107" s="15"/>
      <c r="FRS1107" s="15"/>
      <c r="FRT1107" s="15"/>
      <c r="FRW1107" s="15"/>
      <c r="FRX1107" s="15"/>
      <c r="FSA1107" s="15"/>
      <c r="FSB1107" s="15"/>
      <c r="FSE1107" s="15"/>
      <c r="FSF1107" s="15"/>
      <c r="FSI1107" s="15"/>
      <c r="FSJ1107" s="15"/>
      <c r="FSM1107" s="15"/>
      <c r="FSN1107" s="15"/>
      <c r="FSQ1107" s="15"/>
      <c r="FSR1107" s="15"/>
      <c r="FSU1107" s="15"/>
      <c r="FSV1107" s="15"/>
      <c r="FSY1107" s="15"/>
      <c r="FSZ1107" s="15"/>
      <c r="FTC1107" s="15"/>
      <c r="FTD1107" s="15"/>
      <c r="FTG1107" s="15"/>
      <c r="FTH1107" s="15"/>
      <c r="FTK1107" s="15"/>
      <c r="FTL1107" s="15"/>
      <c r="FTO1107" s="15"/>
      <c r="FTP1107" s="15"/>
      <c r="FTS1107" s="15"/>
      <c r="FTT1107" s="15"/>
      <c r="FTW1107" s="15"/>
      <c r="FTX1107" s="15"/>
      <c r="FUA1107" s="15"/>
      <c r="FUB1107" s="15"/>
      <c r="FUE1107" s="15"/>
      <c r="FUF1107" s="15"/>
      <c r="FUI1107" s="15"/>
      <c r="FUJ1107" s="15"/>
      <c r="FUM1107" s="15"/>
      <c r="FUN1107" s="15"/>
      <c r="FUQ1107" s="15"/>
      <c r="FUR1107" s="15"/>
      <c r="FUU1107" s="15"/>
      <c r="FUV1107" s="15"/>
      <c r="FUY1107" s="15"/>
      <c r="FUZ1107" s="15"/>
      <c r="FVC1107" s="15"/>
      <c r="FVD1107" s="15"/>
      <c r="FVG1107" s="15"/>
      <c r="FVH1107" s="15"/>
      <c r="FVK1107" s="15"/>
      <c r="FVL1107" s="15"/>
      <c r="FVO1107" s="15"/>
      <c r="FVP1107" s="15"/>
      <c r="FVS1107" s="15"/>
      <c r="FVT1107" s="15"/>
      <c r="FVW1107" s="15"/>
      <c r="FVX1107" s="15"/>
      <c r="FWA1107" s="15"/>
      <c r="FWB1107" s="15"/>
      <c r="FWE1107" s="15"/>
      <c r="FWF1107" s="15"/>
      <c r="FWI1107" s="15"/>
      <c r="FWJ1107" s="15"/>
      <c r="FWM1107" s="15"/>
      <c r="FWN1107" s="15"/>
      <c r="FWQ1107" s="15"/>
      <c r="FWR1107" s="15"/>
      <c r="FWU1107" s="15"/>
      <c r="FWV1107" s="15"/>
      <c r="FWY1107" s="15"/>
      <c r="FWZ1107" s="15"/>
      <c r="FXC1107" s="15"/>
      <c r="FXD1107" s="15"/>
      <c r="FXG1107" s="15"/>
      <c r="FXH1107" s="15"/>
      <c r="FXK1107" s="15"/>
      <c r="FXL1107" s="15"/>
      <c r="FXO1107" s="15"/>
      <c r="FXP1107" s="15"/>
      <c r="FXS1107" s="15"/>
      <c r="FXT1107" s="15"/>
      <c r="FXW1107" s="15"/>
      <c r="FXX1107" s="15"/>
      <c r="FYA1107" s="15"/>
      <c r="FYB1107" s="15"/>
      <c r="FYE1107" s="15"/>
      <c r="FYF1107" s="15"/>
      <c r="FYI1107" s="15"/>
      <c r="FYJ1107" s="15"/>
      <c r="FYM1107" s="15"/>
      <c r="FYN1107" s="15"/>
      <c r="FYQ1107" s="15"/>
      <c r="FYR1107" s="15"/>
      <c r="FYU1107" s="15"/>
      <c r="FYV1107" s="15"/>
      <c r="FYY1107" s="15"/>
      <c r="FYZ1107" s="15"/>
      <c r="FZC1107" s="15"/>
      <c r="FZD1107" s="15"/>
      <c r="FZG1107" s="15"/>
      <c r="FZH1107" s="15"/>
      <c r="FZK1107" s="15"/>
      <c r="FZL1107" s="15"/>
      <c r="FZO1107" s="15"/>
      <c r="FZP1107" s="15"/>
      <c r="FZS1107" s="15"/>
      <c r="FZT1107" s="15"/>
      <c r="FZW1107" s="15"/>
      <c r="FZX1107" s="15"/>
      <c r="GAA1107" s="15"/>
      <c r="GAB1107" s="15"/>
      <c r="GAE1107" s="15"/>
      <c r="GAF1107" s="15"/>
      <c r="GAI1107" s="15"/>
      <c r="GAJ1107" s="15"/>
      <c r="GAM1107" s="15"/>
      <c r="GAN1107" s="15"/>
      <c r="GAQ1107" s="15"/>
      <c r="GAR1107" s="15"/>
      <c r="GAU1107" s="15"/>
      <c r="GAV1107" s="15"/>
      <c r="GAY1107" s="15"/>
      <c r="GAZ1107" s="15"/>
      <c r="GBC1107" s="15"/>
      <c r="GBD1107" s="15"/>
      <c r="GBG1107" s="15"/>
      <c r="GBH1107" s="15"/>
      <c r="GBK1107" s="15"/>
      <c r="GBL1107" s="15"/>
      <c r="GBO1107" s="15"/>
      <c r="GBP1107" s="15"/>
      <c r="GBS1107" s="15"/>
      <c r="GBT1107" s="15"/>
      <c r="GBW1107" s="15"/>
      <c r="GBX1107" s="15"/>
      <c r="GCA1107" s="15"/>
      <c r="GCB1107" s="15"/>
      <c r="GCE1107" s="15"/>
      <c r="GCF1107" s="15"/>
      <c r="GCI1107" s="15"/>
      <c r="GCJ1107" s="15"/>
      <c r="GCM1107" s="15"/>
      <c r="GCN1107" s="15"/>
      <c r="GCQ1107" s="15"/>
      <c r="GCR1107" s="15"/>
      <c r="GCU1107" s="15"/>
      <c r="GCV1107" s="15"/>
      <c r="GCY1107" s="15"/>
      <c r="GCZ1107" s="15"/>
      <c r="GDC1107" s="15"/>
      <c r="GDD1107" s="15"/>
      <c r="GDG1107" s="15"/>
      <c r="GDH1107" s="15"/>
      <c r="GDK1107" s="15"/>
      <c r="GDL1107" s="15"/>
      <c r="GDO1107" s="15"/>
      <c r="GDP1107" s="15"/>
      <c r="GDS1107" s="15"/>
      <c r="GDT1107" s="15"/>
      <c r="GDW1107" s="15"/>
      <c r="GDX1107" s="15"/>
      <c r="GEA1107" s="15"/>
      <c r="GEB1107" s="15"/>
      <c r="GEE1107" s="15"/>
      <c r="GEF1107" s="15"/>
      <c r="GEI1107" s="15"/>
      <c r="GEJ1107" s="15"/>
      <c r="GEM1107" s="15"/>
      <c r="GEN1107" s="15"/>
      <c r="GEQ1107" s="15"/>
      <c r="GER1107" s="15"/>
      <c r="GEU1107" s="15"/>
      <c r="GEV1107" s="15"/>
      <c r="GEY1107" s="15"/>
      <c r="GEZ1107" s="15"/>
      <c r="GFC1107" s="15"/>
      <c r="GFD1107" s="15"/>
      <c r="GFG1107" s="15"/>
      <c r="GFH1107" s="15"/>
      <c r="GFK1107" s="15"/>
      <c r="GFL1107" s="15"/>
      <c r="GFO1107" s="15"/>
      <c r="GFP1107" s="15"/>
      <c r="GFS1107" s="15"/>
      <c r="GFT1107" s="15"/>
      <c r="GFW1107" s="15"/>
      <c r="GFX1107" s="15"/>
      <c r="GGA1107" s="15"/>
      <c r="GGB1107" s="15"/>
      <c r="GGE1107" s="15"/>
      <c r="GGF1107" s="15"/>
      <c r="GGI1107" s="15"/>
      <c r="GGJ1107" s="15"/>
      <c r="GGM1107" s="15"/>
      <c r="GGN1107" s="15"/>
      <c r="GGQ1107" s="15"/>
      <c r="GGR1107" s="15"/>
      <c r="GGU1107" s="15"/>
      <c r="GGV1107" s="15"/>
      <c r="GGY1107" s="15"/>
      <c r="GGZ1107" s="15"/>
      <c r="GHC1107" s="15"/>
      <c r="GHD1107" s="15"/>
      <c r="GHG1107" s="15"/>
      <c r="GHH1107" s="15"/>
      <c r="GHK1107" s="15"/>
      <c r="GHL1107" s="15"/>
      <c r="GHO1107" s="15"/>
      <c r="GHP1107" s="15"/>
      <c r="GHS1107" s="15"/>
      <c r="GHT1107" s="15"/>
      <c r="GHW1107" s="15"/>
      <c r="GHX1107" s="15"/>
      <c r="GIA1107" s="15"/>
      <c r="GIB1107" s="15"/>
      <c r="GIE1107" s="15"/>
      <c r="GIF1107" s="15"/>
      <c r="GII1107" s="15"/>
      <c r="GIJ1107" s="15"/>
      <c r="GIM1107" s="15"/>
      <c r="GIN1107" s="15"/>
      <c r="GIQ1107" s="15"/>
      <c r="GIR1107" s="15"/>
      <c r="GIU1107" s="15"/>
      <c r="GIV1107" s="15"/>
      <c r="GIY1107" s="15"/>
      <c r="GIZ1107" s="15"/>
      <c r="GJC1107" s="15"/>
      <c r="GJD1107" s="15"/>
      <c r="GJG1107" s="15"/>
      <c r="GJH1107" s="15"/>
      <c r="GJK1107" s="15"/>
      <c r="GJL1107" s="15"/>
      <c r="GJO1107" s="15"/>
      <c r="GJP1107" s="15"/>
      <c r="GJS1107" s="15"/>
      <c r="GJT1107" s="15"/>
      <c r="GJW1107" s="15"/>
      <c r="GJX1107" s="15"/>
      <c r="GKA1107" s="15"/>
      <c r="GKB1107" s="15"/>
      <c r="GKE1107" s="15"/>
      <c r="GKF1107" s="15"/>
      <c r="GKI1107" s="15"/>
      <c r="GKJ1107" s="15"/>
      <c r="GKM1107" s="15"/>
      <c r="GKN1107" s="15"/>
      <c r="GKQ1107" s="15"/>
      <c r="GKR1107" s="15"/>
      <c r="GKU1107" s="15"/>
      <c r="GKV1107" s="15"/>
      <c r="GKY1107" s="15"/>
      <c r="GKZ1107" s="15"/>
      <c r="GLC1107" s="15"/>
      <c r="GLD1107" s="15"/>
      <c r="GLG1107" s="15"/>
      <c r="GLH1107" s="15"/>
      <c r="GLK1107" s="15"/>
      <c r="GLL1107" s="15"/>
      <c r="GLO1107" s="15"/>
      <c r="GLP1107" s="15"/>
      <c r="GLS1107" s="15"/>
      <c r="GLT1107" s="15"/>
      <c r="GLW1107" s="15"/>
      <c r="GLX1107" s="15"/>
      <c r="GMA1107" s="15"/>
      <c r="GMB1107" s="15"/>
      <c r="GME1107" s="15"/>
      <c r="GMF1107" s="15"/>
      <c r="GMI1107" s="15"/>
      <c r="GMJ1107" s="15"/>
      <c r="GMM1107" s="15"/>
      <c r="GMN1107" s="15"/>
      <c r="GMQ1107" s="15"/>
      <c r="GMR1107" s="15"/>
      <c r="GMU1107" s="15"/>
      <c r="GMV1107" s="15"/>
      <c r="GMY1107" s="15"/>
      <c r="GMZ1107" s="15"/>
      <c r="GNC1107" s="15"/>
      <c r="GND1107" s="15"/>
      <c r="GNG1107" s="15"/>
      <c r="GNH1107" s="15"/>
      <c r="GNK1107" s="15"/>
      <c r="GNL1107" s="15"/>
      <c r="GNO1107" s="15"/>
      <c r="GNP1107" s="15"/>
      <c r="GNS1107" s="15"/>
      <c r="GNT1107" s="15"/>
      <c r="GNW1107" s="15"/>
      <c r="GNX1107" s="15"/>
      <c r="GOA1107" s="15"/>
      <c r="GOB1107" s="15"/>
      <c r="GOE1107" s="15"/>
      <c r="GOF1107" s="15"/>
      <c r="GOI1107" s="15"/>
      <c r="GOJ1107" s="15"/>
      <c r="GOM1107" s="15"/>
      <c r="GON1107" s="15"/>
      <c r="GOQ1107" s="15"/>
      <c r="GOR1107" s="15"/>
      <c r="GOU1107" s="15"/>
      <c r="GOV1107" s="15"/>
      <c r="GOY1107" s="15"/>
      <c r="GOZ1107" s="15"/>
      <c r="GPC1107" s="15"/>
      <c r="GPD1107" s="15"/>
      <c r="GPG1107" s="15"/>
      <c r="GPH1107" s="15"/>
      <c r="GPK1107" s="15"/>
      <c r="GPL1107" s="15"/>
      <c r="GPO1107" s="15"/>
      <c r="GPP1107" s="15"/>
      <c r="GPS1107" s="15"/>
      <c r="GPT1107" s="15"/>
      <c r="GPW1107" s="15"/>
      <c r="GPX1107" s="15"/>
      <c r="GQA1107" s="15"/>
      <c r="GQB1107" s="15"/>
      <c r="GQE1107" s="15"/>
      <c r="GQF1107" s="15"/>
      <c r="GQI1107" s="15"/>
      <c r="GQJ1107" s="15"/>
      <c r="GQM1107" s="15"/>
      <c r="GQN1107" s="15"/>
      <c r="GQQ1107" s="15"/>
      <c r="GQR1107" s="15"/>
      <c r="GQU1107" s="15"/>
      <c r="GQV1107" s="15"/>
      <c r="GQY1107" s="15"/>
      <c r="GQZ1107" s="15"/>
      <c r="GRC1107" s="15"/>
      <c r="GRD1107" s="15"/>
      <c r="GRG1107" s="15"/>
      <c r="GRH1107" s="15"/>
      <c r="GRK1107" s="15"/>
      <c r="GRL1107" s="15"/>
      <c r="GRO1107" s="15"/>
      <c r="GRP1107" s="15"/>
      <c r="GRS1107" s="15"/>
      <c r="GRT1107" s="15"/>
      <c r="GRW1107" s="15"/>
      <c r="GRX1107" s="15"/>
      <c r="GSA1107" s="15"/>
      <c r="GSB1107" s="15"/>
      <c r="GSE1107" s="15"/>
      <c r="GSF1107" s="15"/>
      <c r="GSI1107" s="15"/>
      <c r="GSJ1107" s="15"/>
      <c r="GSM1107" s="15"/>
      <c r="GSN1107" s="15"/>
      <c r="GSQ1107" s="15"/>
      <c r="GSR1107" s="15"/>
      <c r="GSU1107" s="15"/>
      <c r="GSV1107" s="15"/>
      <c r="GSY1107" s="15"/>
      <c r="GSZ1107" s="15"/>
      <c r="GTC1107" s="15"/>
      <c r="GTD1107" s="15"/>
      <c r="GTG1107" s="15"/>
      <c r="GTH1107" s="15"/>
      <c r="GTK1107" s="15"/>
      <c r="GTL1107" s="15"/>
      <c r="GTO1107" s="15"/>
      <c r="GTP1107" s="15"/>
      <c r="GTS1107" s="15"/>
      <c r="GTT1107" s="15"/>
      <c r="GTW1107" s="15"/>
      <c r="GTX1107" s="15"/>
      <c r="GUA1107" s="15"/>
      <c r="GUB1107" s="15"/>
      <c r="GUE1107" s="15"/>
      <c r="GUF1107" s="15"/>
      <c r="GUI1107" s="15"/>
      <c r="GUJ1107" s="15"/>
      <c r="GUM1107" s="15"/>
      <c r="GUN1107" s="15"/>
      <c r="GUQ1107" s="15"/>
      <c r="GUR1107" s="15"/>
      <c r="GUU1107" s="15"/>
      <c r="GUV1107" s="15"/>
      <c r="GUY1107" s="15"/>
      <c r="GUZ1107" s="15"/>
      <c r="GVC1107" s="15"/>
      <c r="GVD1107" s="15"/>
      <c r="GVG1107" s="15"/>
      <c r="GVH1107" s="15"/>
      <c r="GVK1107" s="15"/>
      <c r="GVL1107" s="15"/>
      <c r="GVO1107" s="15"/>
      <c r="GVP1107" s="15"/>
      <c r="GVS1107" s="15"/>
      <c r="GVT1107" s="15"/>
      <c r="GVW1107" s="15"/>
      <c r="GVX1107" s="15"/>
      <c r="GWA1107" s="15"/>
      <c r="GWB1107" s="15"/>
      <c r="GWE1107" s="15"/>
      <c r="GWF1107" s="15"/>
      <c r="GWI1107" s="15"/>
      <c r="GWJ1107" s="15"/>
      <c r="GWM1107" s="15"/>
      <c r="GWN1107" s="15"/>
      <c r="GWQ1107" s="15"/>
      <c r="GWR1107" s="15"/>
      <c r="GWU1107" s="15"/>
      <c r="GWV1107" s="15"/>
      <c r="GWY1107" s="15"/>
      <c r="GWZ1107" s="15"/>
      <c r="GXC1107" s="15"/>
      <c r="GXD1107" s="15"/>
      <c r="GXG1107" s="15"/>
      <c r="GXH1107" s="15"/>
      <c r="GXK1107" s="15"/>
      <c r="GXL1107" s="15"/>
      <c r="GXO1107" s="15"/>
      <c r="GXP1107" s="15"/>
      <c r="GXS1107" s="15"/>
      <c r="GXT1107" s="15"/>
      <c r="GXW1107" s="15"/>
      <c r="GXX1107" s="15"/>
      <c r="GYA1107" s="15"/>
      <c r="GYB1107" s="15"/>
      <c r="GYE1107" s="15"/>
      <c r="GYF1107" s="15"/>
      <c r="GYI1107" s="15"/>
      <c r="GYJ1107" s="15"/>
      <c r="GYM1107" s="15"/>
      <c r="GYN1107" s="15"/>
      <c r="GYQ1107" s="15"/>
      <c r="GYR1107" s="15"/>
      <c r="GYU1107" s="15"/>
      <c r="GYV1107" s="15"/>
      <c r="GYY1107" s="15"/>
      <c r="GYZ1107" s="15"/>
      <c r="GZC1107" s="15"/>
      <c r="GZD1107" s="15"/>
      <c r="GZG1107" s="15"/>
      <c r="GZH1107" s="15"/>
      <c r="GZK1107" s="15"/>
      <c r="GZL1107" s="15"/>
      <c r="GZO1107" s="15"/>
      <c r="GZP1107" s="15"/>
      <c r="GZS1107" s="15"/>
      <c r="GZT1107" s="15"/>
      <c r="GZW1107" s="15"/>
      <c r="GZX1107" s="15"/>
      <c r="HAA1107" s="15"/>
      <c r="HAB1107" s="15"/>
      <c r="HAE1107" s="15"/>
      <c r="HAF1107" s="15"/>
      <c r="HAI1107" s="15"/>
      <c r="HAJ1107" s="15"/>
      <c r="HAM1107" s="15"/>
      <c r="HAN1107" s="15"/>
      <c r="HAQ1107" s="15"/>
      <c r="HAR1107" s="15"/>
      <c r="HAU1107" s="15"/>
      <c r="HAV1107" s="15"/>
      <c r="HAY1107" s="15"/>
      <c r="HAZ1107" s="15"/>
      <c r="HBC1107" s="15"/>
      <c r="HBD1107" s="15"/>
      <c r="HBG1107" s="15"/>
      <c r="HBH1107" s="15"/>
      <c r="HBK1107" s="15"/>
      <c r="HBL1107" s="15"/>
      <c r="HBO1107" s="15"/>
      <c r="HBP1107" s="15"/>
      <c r="HBS1107" s="15"/>
      <c r="HBT1107" s="15"/>
      <c r="HBW1107" s="15"/>
      <c r="HBX1107" s="15"/>
      <c r="HCA1107" s="15"/>
      <c r="HCB1107" s="15"/>
      <c r="HCE1107" s="15"/>
      <c r="HCF1107" s="15"/>
      <c r="HCI1107" s="15"/>
      <c r="HCJ1107" s="15"/>
      <c r="HCM1107" s="15"/>
      <c r="HCN1107" s="15"/>
      <c r="HCQ1107" s="15"/>
      <c r="HCR1107" s="15"/>
      <c r="HCU1107" s="15"/>
      <c r="HCV1107" s="15"/>
      <c r="HCY1107" s="15"/>
      <c r="HCZ1107" s="15"/>
      <c r="HDC1107" s="15"/>
      <c r="HDD1107" s="15"/>
      <c r="HDG1107" s="15"/>
      <c r="HDH1107" s="15"/>
      <c r="HDK1107" s="15"/>
      <c r="HDL1107" s="15"/>
      <c r="HDO1107" s="15"/>
      <c r="HDP1107" s="15"/>
      <c r="HDS1107" s="15"/>
      <c r="HDT1107" s="15"/>
      <c r="HDW1107" s="15"/>
      <c r="HDX1107" s="15"/>
      <c r="HEA1107" s="15"/>
      <c r="HEB1107" s="15"/>
      <c r="HEE1107" s="15"/>
      <c r="HEF1107" s="15"/>
      <c r="HEI1107" s="15"/>
      <c r="HEJ1107" s="15"/>
      <c r="HEM1107" s="15"/>
      <c r="HEN1107" s="15"/>
      <c r="HEQ1107" s="15"/>
      <c r="HER1107" s="15"/>
      <c r="HEU1107" s="15"/>
      <c r="HEV1107" s="15"/>
      <c r="HEY1107" s="15"/>
      <c r="HEZ1107" s="15"/>
      <c r="HFC1107" s="15"/>
      <c r="HFD1107" s="15"/>
      <c r="HFG1107" s="15"/>
      <c r="HFH1107" s="15"/>
      <c r="HFK1107" s="15"/>
      <c r="HFL1107" s="15"/>
      <c r="HFO1107" s="15"/>
      <c r="HFP1107" s="15"/>
      <c r="HFS1107" s="15"/>
      <c r="HFT1107" s="15"/>
      <c r="HFW1107" s="15"/>
      <c r="HFX1107" s="15"/>
      <c r="HGA1107" s="15"/>
      <c r="HGB1107" s="15"/>
      <c r="HGE1107" s="15"/>
      <c r="HGF1107" s="15"/>
      <c r="HGI1107" s="15"/>
      <c r="HGJ1107" s="15"/>
      <c r="HGM1107" s="15"/>
      <c r="HGN1107" s="15"/>
      <c r="HGQ1107" s="15"/>
      <c r="HGR1107" s="15"/>
      <c r="HGU1107" s="15"/>
      <c r="HGV1107" s="15"/>
      <c r="HGY1107" s="15"/>
      <c r="HGZ1107" s="15"/>
      <c r="HHC1107" s="15"/>
      <c r="HHD1107" s="15"/>
      <c r="HHG1107" s="15"/>
      <c r="HHH1107" s="15"/>
      <c r="HHK1107" s="15"/>
      <c r="HHL1107" s="15"/>
      <c r="HHO1107" s="15"/>
      <c r="HHP1107" s="15"/>
      <c r="HHS1107" s="15"/>
      <c r="HHT1107" s="15"/>
      <c r="HHW1107" s="15"/>
      <c r="HHX1107" s="15"/>
      <c r="HIA1107" s="15"/>
      <c r="HIB1107" s="15"/>
      <c r="HIE1107" s="15"/>
      <c r="HIF1107" s="15"/>
      <c r="HII1107" s="15"/>
      <c r="HIJ1107" s="15"/>
      <c r="HIM1107" s="15"/>
      <c r="HIN1107" s="15"/>
      <c r="HIQ1107" s="15"/>
      <c r="HIR1107" s="15"/>
      <c r="HIU1107" s="15"/>
      <c r="HIV1107" s="15"/>
      <c r="HIY1107" s="15"/>
      <c r="HIZ1107" s="15"/>
      <c r="HJC1107" s="15"/>
      <c r="HJD1107" s="15"/>
      <c r="HJG1107" s="15"/>
      <c r="HJH1107" s="15"/>
      <c r="HJK1107" s="15"/>
      <c r="HJL1107" s="15"/>
      <c r="HJO1107" s="15"/>
      <c r="HJP1107" s="15"/>
      <c r="HJS1107" s="15"/>
      <c r="HJT1107" s="15"/>
      <c r="HJW1107" s="15"/>
      <c r="HJX1107" s="15"/>
      <c r="HKA1107" s="15"/>
      <c r="HKB1107" s="15"/>
      <c r="HKE1107" s="15"/>
      <c r="HKF1107" s="15"/>
      <c r="HKI1107" s="15"/>
      <c r="HKJ1107" s="15"/>
      <c r="HKM1107" s="15"/>
      <c r="HKN1107" s="15"/>
      <c r="HKQ1107" s="15"/>
      <c r="HKR1107" s="15"/>
      <c r="HKU1107" s="15"/>
      <c r="HKV1107" s="15"/>
      <c r="HKY1107" s="15"/>
      <c r="HKZ1107" s="15"/>
      <c r="HLC1107" s="15"/>
      <c r="HLD1107" s="15"/>
      <c r="HLG1107" s="15"/>
      <c r="HLH1107" s="15"/>
      <c r="HLK1107" s="15"/>
      <c r="HLL1107" s="15"/>
      <c r="HLO1107" s="15"/>
      <c r="HLP1107" s="15"/>
      <c r="HLS1107" s="15"/>
      <c r="HLT1107" s="15"/>
      <c r="HLW1107" s="15"/>
      <c r="HLX1107" s="15"/>
      <c r="HMA1107" s="15"/>
      <c r="HMB1107" s="15"/>
      <c r="HME1107" s="15"/>
      <c r="HMF1107" s="15"/>
      <c r="HMI1107" s="15"/>
      <c r="HMJ1107" s="15"/>
      <c r="HMM1107" s="15"/>
      <c r="HMN1107" s="15"/>
      <c r="HMQ1107" s="15"/>
      <c r="HMR1107" s="15"/>
      <c r="HMU1107" s="15"/>
      <c r="HMV1107" s="15"/>
      <c r="HMY1107" s="15"/>
      <c r="HMZ1107" s="15"/>
      <c r="HNC1107" s="15"/>
      <c r="HND1107" s="15"/>
      <c r="HNG1107" s="15"/>
      <c r="HNH1107" s="15"/>
      <c r="HNK1107" s="15"/>
      <c r="HNL1107" s="15"/>
      <c r="HNO1107" s="15"/>
      <c r="HNP1107" s="15"/>
      <c r="HNS1107" s="15"/>
      <c r="HNT1107" s="15"/>
      <c r="HNW1107" s="15"/>
      <c r="HNX1107" s="15"/>
      <c r="HOA1107" s="15"/>
      <c r="HOB1107" s="15"/>
      <c r="HOE1107" s="15"/>
      <c r="HOF1107" s="15"/>
      <c r="HOI1107" s="15"/>
      <c r="HOJ1107" s="15"/>
      <c r="HOM1107" s="15"/>
      <c r="HON1107" s="15"/>
      <c r="HOQ1107" s="15"/>
      <c r="HOR1107" s="15"/>
      <c r="HOU1107" s="15"/>
      <c r="HOV1107" s="15"/>
      <c r="HOY1107" s="15"/>
      <c r="HOZ1107" s="15"/>
      <c r="HPC1107" s="15"/>
      <c r="HPD1107" s="15"/>
      <c r="HPG1107" s="15"/>
      <c r="HPH1107" s="15"/>
      <c r="HPK1107" s="15"/>
      <c r="HPL1107" s="15"/>
      <c r="HPO1107" s="15"/>
      <c r="HPP1107" s="15"/>
      <c r="HPS1107" s="15"/>
      <c r="HPT1107" s="15"/>
      <c r="HPW1107" s="15"/>
      <c r="HPX1107" s="15"/>
      <c r="HQA1107" s="15"/>
      <c r="HQB1107" s="15"/>
      <c r="HQE1107" s="15"/>
      <c r="HQF1107" s="15"/>
      <c r="HQI1107" s="15"/>
      <c r="HQJ1107" s="15"/>
      <c r="HQM1107" s="15"/>
      <c r="HQN1107" s="15"/>
      <c r="HQQ1107" s="15"/>
      <c r="HQR1107" s="15"/>
      <c r="HQU1107" s="15"/>
      <c r="HQV1107" s="15"/>
      <c r="HQY1107" s="15"/>
      <c r="HQZ1107" s="15"/>
      <c r="HRC1107" s="15"/>
      <c r="HRD1107" s="15"/>
      <c r="HRG1107" s="15"/>
      <c r="HRH1107" s="15"/>
      <c r="HRK1107" s="15"/>
      <c r="HRL1107" s="15"/>
      <c r="HRO1107" s="15"/>
      <c r="HRP1107" s="15"/>
      <c r="HRS1107" s="15"/>
      <c r="HRT1107" s="15"/>
      <c r="HRW1107" s="15"/>
      <c r="HRX1107" s="15"/>
      <c r="HSA1107" s="15"/>
      <c r="HSB1107" s="15"/>
      <c r="HSE1107" s="15"/>
      <c r="HSF1107" s="15"/>
      <c r="HSI1107" s="15"/>
      <c r="HSJ1107" s="15"/>
      <c r="HSM1107" s="15"/>
      <c r="HSN1107" s="15"/>
      <c r="HSQ1107" s="15"/>
      <c r="HSR1107" s="15"/>
      <c r="HSU1107" s="15"/>
      <c r="HSV1107" s="15"/>
      <c r="HSY1107" s="15"/>
      <c r="HSZ1107" s="15"/>
      <c r="HTC1107" s="15"/>
      <c r="HTD1107" s="15"/>
      <c r="HTG1107" s="15"/>
      <c r="HTH1107" s="15"/>
      <c r="HTK1107" s="15"/>
      <c r="HTL1107" s="15"/>
      <c r="HTO1107" s="15"/>
      <c r="HTP1107" s="15"/>
      <c r="HTS1107" s="15"/>
      <c r="HTT1107" s="15"/>
      <c r="HTW1107" s="15"/>
      <c r="HTX1107" s="15"/>
      <c r="HUA1107" s="15"/>
      <c r="HUB1107" s="15"/>
      <c r="HUE1107" s="15"/>
      <c r="HUF1107" s="15"/>
      <c r="HUI1107" s="15"/>
      <c r="HUJ1107" s="15"/>
      <c r="HUM1107" s="15"/>
      <c r="HUN1107" s="15"/>
      <c r="HUQ1107" s="15"/>
      <c r="HUR1107" s="15"/>
      <c r="HUU1107" s="15"/>
      <c r="HUV1107" s="15"/>
      <c r="HUY1107" s="15"/>
      <c r="HUZ1107" s="15"/>
      <c r="HVC1107" s="15"/>
      <c r="HVD1107" s="15"/>
      <c r="HVG1107" s="15"/>
      <c r="HVH1107" s="15"/>
      <c r="HVK1107" s="15"/>
      <c r="HVL1107" s="15"/>
      <c r="HVO1107" s="15"/>
      <c r="HVP1107" s="15"/>
      <c r="HVS1107" s="15"/>
      <c r="HVT1107" s="15"/>
      <c r="HVW1107" s="15"/>
      <c r="HVX1107" s="15"/>
      <c r="HWA1107" s="15"/>
      <c r="HWB1107" s="15"/>
      <c r="HWE1107" s="15"/>
      <c r="HWF1107" s="15"/>
      <c r="HWI1107" s="15"/>
      <c r="HWJ1107" s="15"/>
      <c r="HWM1107" s="15"/>
      <c r="HWN1107" s="15"/>
      <c r="HWQ1107" s="15"/>
      <c r="HWR1107" s="15"/>
      <c r="HWU1107" s="15"/>
      <c r="HWV1107" s="15"/>
      <c r="HWY1107" s="15"/>
      <c r="HWZ1107" s="15"/>
      <c r="HXC1107" s="15"/>
      <c r="HXD1107" s="15"/>
      <c r="HXG1107" s="15"/>
      <c r="HXH1107" s="15"/>
      <c r="HXK1107" s="15"/>
      <c r="HXL1107" s="15"/>
      <c r="HXO1107" s="15"/>
      <c r="HXP1107" s="15"/>
      <c r="HXS1107" s="15"/>
      <c r="HXT1107" s="15"/>
      <c r="HXW1107" s="15"/>
      <c r="HXX1107" s="15"/>
      <c r="HYA1107" s="15"/>
      <c r="HYB1107" s="15"/>
      <c r="HYE1107" s="15"/>
      <c r="HYF1107" s="15"/>
      <c r="HYI1107" s="15"/>
      <c r="HYJ1107" s="15"/>
      <c r="HYM1107" s="15"/>
      <c r="HYN1107" s="15"/>
      <c r="HYQ1107" s="15"/>
      <c r="HYR1107" s="15"/>
      <c r="HYU1107" s="15"/>
      <c r="HYV1107" s="15"/>
      <c r="HYY1107" s="15"/>
      <c r="HYZ1107" s="15"/>
      <c r="HZC1107" s="15"/>
      <c r="HZD1107" s="15"/>
      <c r="HZG1107" s="15"/>
      <c r="HZH1107" s="15"/>
      <c r="HZK1107" s="15"/>
      <c r="HZL1107" s="15"/>
      <c r="HZO1107" s="15"/>
      <c r="HZP1107" s="15"/>
      <c r="HZS1107" s="15"/>
      <c r="HZT1107" s="15"/>
      <c r="HZW1107" s="15"/>
      <c r="HZX1107" s="15"/>
      <c r="IAA1107" s="15"/>
      <c r="IAB1107" s="15"/>
      <c r="IAE1107" s="15"/>
      <c r="IAF1107" s="15"/>
      <c r="IAI1107" s="15"/>
      <c r="IAJ1107" s="15"/>
      <c r="IAM1107" s="15"/>
      <c r="IAN1107" s="15"/>
      <c r="IAQ1107" s="15"/>
      <c r="IAR1107" s="15"/>
      <c r="IAU1107" s="15"/>
      <c r="IAV1107" s="15"/>
      <c r="IAY1107" s="15"/>
      <c r="IAZ1107" s="15"/>
      <c r="IBC1107" s="15"/>
      <c r="IBD1107" s="15"/>
      <c r="IBG1107" s="15"/>
      <c r="IBH1107" s="15"/>
      <c r="IBK1107" s="15"/>
      <c r="IBL1107" s="15"/>
      <c r="IBO1107" s="15"/>
      <c r="IBP1107" s="15"/>
      <c r="IBS1107" s="15"/>
      <c r="IBT1107" s="15"/>
      <c r="IBW1107" s="15"/>
      <c r="IBX1107" s="15"/>
      <c r="ICA1107" s="15"/>
      <c r="ICB1107" s="15"/>
      <c r="ICE1107" s="15"/>
      <c r="ICF1107" s="15"/>
      <c r="ICI1107" s="15"/>
      <c r="ICJ1107" s="15"/>
      <c r="ICM1107" s="15"/>
      <c r="ICN1107" s="15"/>
      <c r="ICQ1107" s="15"/>
      <c r="ICR1107" s="15"/>
      <c r="ICU1107" s="15"/>
      <c r="ICV1107" s="15"/>
      <c r="ICY1107" s="15"/>
      <c r="ICZ1107" s="15"/>
      <c r="IDC1107" s="15"/>
      <c r="IDD1107" s="15"/>
      <c r="IDG1107" s="15"/>
      <c r="IDH1107" s="15"/>
      <c r="IDK1107" s="15"/>
      <c r="IDL1107" s="15"/>
      <c r="IDO1107" s="15"/>
      <c r="IDP1107" s="15"/>
      <c r="IDS1107" s="15"/>
      <c r="IDT1107" s="15"/>
      <c r="IDW1107" s="15"/>
      <c r="IDX1107" s="15"/>
      <c r="IEA1107" s="15"/>
      <c r="IEB1107" s="15"/>
      <c r="IEE1107" s="15"/>
      <c r="IEF1107" s="15"/>
      <c r="IEI1107" s="15"/>
      <c r="IEJ1107" s="15"/>
      <c r="IEM1107" s="15"/>
      <c r="IEN1107" s="15"/>
      <c r="IEQ1107" s="15"/>
      <c r="IER1107" s="15"/>
      <c r="IEU1107" s="15"/>
      <c r="IEV1107" s="15"/>
      <c r="IEY1107" s="15"/>
      <c r="IEZ1107" s="15"/>
      <c r="IFC1107" s="15"/>
      <c r="IFD1107" s="15"/>
      <c r="IFG1107" s="15"/>
      <c r="IFH1107" s="15"/>
      <c r="IFK1107" s="15"/>
      <c r="IFL1107" s="15"/>
      <c r="IFO1107" s="15"/>
      <c r="IFP1107" s="15"/>
      <c r="IFS1107" s="15"/>
      <c r="IFT1107" s="15"/>
      <c r="IFW1107" s="15"/>
      <c r="IFX1107" s="15"/>
      <c r="IGA1107" s="15"/>
      <c r="IGB1107" s="15"/>
      <c r="IGE1107" s="15"/>
      <c r="IGF1107" s="15"/>
      <c r="IGI1107" s="15"/>
      <c r="IGJ1107" s="15"/>
      <c r="IGM1107" s="15"/>
      <c r="IGN1107" s="15"/>
      <c r="IGQ1107" s="15"/>
      <c r="IGR1107" s="15"/>
      <c r="IGU1107" s="15"/>
      <c r="IGV1107" s="15"/>
      <c r="IGY1107" s="15"/>
      <c r="IGZ1107" s="15"/>
      <c r="IHC1107" s="15"/>
      <c r="IHD1107" s="15"/>
      <c r="IHG1107" s="15"/>
      <c r="IHH1107" s="15"/>
      <c r="IHK1107" s="15"/>
      <c r="IHL1107" s="15"/>
      <c r="IHO1107" s="15"/>
      <c r="IHP1107" s="15"/>
      <c r="IHS1107" s="15"/>
      <c r="IHT1107" s="15"/>
      <c r="IHW1107" s="15"/>
      <c r="IHX1107" s="15"/>
      <c r="IIA1107" s="15"/>
      <c r="IIB1107" s="15"/>
      <c r="IIE1107" s="15"/>
      <c r="IIF1107" s="15"/>
      <c r="III1107" s="15"/>
      <c r="IIJ1107" s="15"/>
      <c r="IIM1107" s="15"/>
      <c r="IIN1107" s="15"/>
      <c r="IIQ1107" s="15"/>
      <c r="IIR1107" s="15"/>
      <c r="IIU1107" s="15"/>
      <c r="IIV1107" s="15"/>
      <c r="IIY1107" s="15"/>
      <c r="IIZ1107" s="15"/>
      <c r="IJC1107" s="15"/>
      <c r="IJD1107" s="15"/>
      <c r="IJG1107" s="15"/>
      <c r="IJH1107" s="15"/>
      <c r="IJK1107" s="15"/>
      <c r="IJL1107" s="15"/>
      <c r="IJO1107" s="15"/>
      <c r="IJP1107" s="15"/>
      <c r="IJS1107" s="15"/>
      <c r="IJT1107" s="15"/>
      <c r="IJW1107" s="15"/>
      <c r="IJX1107" s="15"/>
      <c r="IKA1107" s="15"/>
      <c r="IKB1107" s="15"/>
      <c r="IKE1107" s="15"/>
      <c r="IKF1107" s="15"/>
      <c r="IKI1107" s="15"/>
      <c r="IKJ1107" s="15"/>
      <c r="IKM1107" s="15"/>
      <c r="IKN1107" s="15"/>
      <c r="IKQ1107" s="15"/>
      <c r="IKR1107" s="15"/>
      <c r="IKU1107" s="15"/>
      <c r="IKV1107" s="15"/>
      <c r="IKY1107" s="15"/>
      <c r="IKZ1107" s="15"/>
      <c r="ILC1107" s="15"/>
      <c r="ILD1107" s="15"/>
      <c r="ILG1107" s="15"/>
      <c r="ILH1107" s="15"/>
      <c r="ILK1107" s="15"/>
      <c r="ILL1107" s="15"/>
      <c r="ILO1107" s="15"/>
      <c r="ILP1107" s="15"/>
      <c r="ILS1107" s="15"/>
      <c r="ILT1107" s="15"/>
      <c r="ILW1107" s="15"/>
      <c r="ILX1107" s="15"/>
      <c r="IMA1107" s="15"/>
      <c r="IMB1107" s="15"/>
      <c r="IME1107" s="15"/>
      <c r="IMF1107" s="15"/>
      <c r="IMI1107" s="15"/>
      <c r="IMJ1107" s="15"/>
      <c r="IMM1107" s="15"/>
      <c r="IMN1107" s="15"/>
      <c r="IMQ1107" s="15"/>
      <c r="IMR1107" s="15"/>
      <c r="IMU1107" s="15"/>
      <c r="IMV1107" s="15"/>
      <c r="IMY1107" s="15"/>
      <c r="IMZ1107" s="15"/>
      <c r="INC1107" s="15"/>
      <c r="IND1107" s="15"/>
      <c r="ING1107" s="15"/>
      <c r="INH1107" s="15"/>
      <c r="INK1107" s="15"/>
      <c r="INL1107" s="15"/>
      <c r="INO1107" s="15"/>
      <c r="INP1107" s="15"/>
      <c r="INS1107" s="15"/>
      <c r="INT1107" s="15"/>
      <c r="INW1107" s="15"/>
      <c r="INX1107" s="15"/>
      <c r="IOA1107" s="15"/>
      <c r="IOB1107" s="15"/>
      <c r="IOE1107" s="15"/>
      <c r="IOF1107" s="15"/>
      <c r="IOI1107" s="15"/>
      <c r="IOJ1107" s="15"/>
      <c r="IOM1107" s="15"/>
      <c r="ION1107" s="15"/>
      <c r="IOQ1107" s="15"/>
      <c r="IOR1107" s="15"/>
      <c r="IOU1107" s="15"/>
      <c r="IOV1107" s="15"/>
      <c r="IOY1107" s="15"/>
      <c r="IOZ1107" s="15"/>
      <c r="IPC1107" s="15"/>
      <c r="IPD1107" s="15"/>
      <c r="IPG1107" s="15"/>
      <c r="IPH1107" s="15"/>
      <c r="IPK1107" s="15"/>
      <c r="IPL1107" s="15"/>
      <c r="IPO1107" s="15"/>
      <c r="IPP1107" s="15"/>
      <c r="IPS1107" s="15"/>
      <c r="IPT1107" s="15"/>
      <c r="IPW1107" s="15"/>
      <c r="IPX1107" s="15"/>
      <c r="IQA1107" s="15"/>
      <c r="IQB1107" s="15"/>
      <c r="IQE1107" s="15"/>
      <c r="IQF1107" s="15"/>
      <c r="IQI1107" s="15"/>
      <c r="IQJ1107" s="15"/>
      <c r="IQM1107" s="15"/>
      <c r="IQN1107" s="15"/>
      <c r="IQQ1107" s="15"/>
      <c r="IQR1107" s="15"/>
      <c r="IQU1107" s="15"/>
      <c r="IQV1107" s="15"/>
      <c r="IQY1107" s="15"/>
      <c r="IQZ1107" s="15"/>
      <c r="IRC1107" s="15"/>
      <c r="IRD1107" s="15"/>
      <c r="IRG1107" s="15"/>
      <c r="IRH1107" s="15"/>
      <c r="IRK1107" s="15"/>
      <c r="IRL1107" s="15"/>
      <c r="IRO1107" s="15"/>
      <c r="IRP1107" s="15"/>
      <c r="IRS1107" s="15"/>
      <c r="IRT1107" s="15"/>
      <c r="IRW1107" s="15"/>
      <c r="IRX1107" s="15"/>
      <c r="ISA1107" s="15"/>
      <c r="ISB1107" s="15"/>
      <c r="ISE1107" s="15"/>
      <c r="ISF1107" s="15"/>
      <c r="ISI1107" s="15"/>
      <c r="ISJ1107" s="15"/>
      <c r="ISM1107" s="15"/>
      <c r="ISN1107" s="15"/>
      <c r="ISQ1107" s="15"/>
      <c r="ISR1107" s="15"/>
      <c r="ISU1107" s="15"/>
      <c r="ISV1107" s="15"/>
      <c r="ISY1107" s="15"/>
      <c r="ISZ1107" s="15"/>
      <c r="ITC1107" s="15"/>
      <c r="ITD1107" s="15"/>
      <c r="ITG1107" s="15"/>
      <c r="ITH1107" s="15"/>
      <c r="ITK1107" s="15"/>
      <c r="ITL1107" s="15"/>
      <c r="ITO1107" s="15"/>
      <c r="ITP1107" s="15"/>
      <c r="ITS1107" s="15"/>
      <c r="ITT1107" s="15"/>
      <c r="ITW1107" s="15"/>
      <c r="ITX1107" s="15"/>
      <c r="IUA1107" s="15"/>
      <c r="IUB1107" s="15"/>
      <c r="IUE1107" s="15"/>
      <c r="IUF1107" s="15"/>
      <c r="IUI1107" s="15"/>
      <c r="IUJ1107" s="15"/>
      <c r="IUM1107" s="15"/>
      <c r="IUN1107" s="15"/>
      <c r="IUQ1107" s="15"/>
      <c r="IUR1107" s="15"/>
      <c r="IUU1107" s="15"/>
      <c r="IUV1107" s="15"/>
      <c r="IUY1107" s="15"/>
      <c r="IUZ1107" s="15"/>
      <c r="IVC1107" s="15"/>
      <c r="IVD1107" s="15"/>
      <c r="IVG1107" s="15"/>
      <c r="IVH1107" s="15"/>
      <c r="IVK1107" s="15"/>
      <c r="IVL1107" s="15"/>
      <c r="IVO1107" s="15"/>
      <c r="IVP1107" s="15"/>
      <c r="IVS1107" s="15"/>
      <c r="IVT1107" s="15"/>
      <c r="IVW1107" s="15"/>
      <c r="IVX1107" s="15"/>
      <c r="IWA1107" s="15"/>
      <c r="IWB1107" s="15"/>
      <c r="IWE1107" s="15"/>
      <c r="IWF1107" s="15"/>
      <c r="IWI1107" s="15"/>
      <c r="IWJ1107" s="15"/>
      <c r="IWM1107" s="15"/>
      <c r="IWN1107" s="15"/>
      <c r="IWQ1107" s="15"/>
      <c r="IWR1107" s="15"/>
      <c r="IWU1107" s="15"/>
      <c r="IWV1107" s="15"/>
      <c r="IWY1107" s="15"/>
      <c r="IWZ1107" s="15"/>
      <c r="IXC1107" s="15"/>
      <c r="IXD1107" s="15"/>
      <c r="IXG1107" s="15"/>
      <c r="IXH1107" s="15"/>
      <c r="IXK1107" s="15"/>
      <c r="IXL1107" s="15"/>
      <c r="IXO1107" s="15"/>
      <c r="IXP1107" s="15"/>
      <c r="IXS1107" s="15"/>
      <c r="IXT1107" s="15"/>
      <c r="IXW1107" s="15"/>
      <c r="IXX1107" s="15"/>
      <c r="IYA1107" s="15"/>
      <c r="IYB1107" s="15"/>
      <c r="IYE1107" s="15"/>
      <c r="IYF1107" s="15"/>
      <c r="IYI1107" s="15"/>
      <c r="IYJ1107" s="15"/>
      <c r="IYM1107" s="15"/>
      <c r="IYN1107" s="15"/>
      <c r="IYQ1107" s="15"/>
      <c r="IYR1107" s="15"/>
      <c r="IYU1107" s="15"/>
      <c r="IYV1107" s="15"/>
      <c r="IYY1107" s="15"/>
      <c r="IYZ1107" s="15"/>
      <c r="IZC1107" s="15"/>
      <c r="IZD1107" s="15"/>
      <c r="IZG1107" s="15"/>
      <c r="IZH1107" s="15"/>
      <c r="IZK1107" s="15"/>
      <c r="IZL1107" s="15"/>
      <c r="IZO1107" s="15"/>
      <c r="IZP1107" s="15"/>
      <c r="IZS1107" s="15"/>
      <c r="IZT1107" s="15"/>
      <c r="IZW1107" s="15"/>
      <c r="IZX1107" s="15"/>
      <c r="JAA1107" s="15"/>
      <c r="JAB1107" s="15"/>
      <c r="JAE1107" s="15"/>
      <c r="JAF1107" s="15"/>
      <c r="JAI1107" s="15"/>
      <c r="JAJ1107" s="15"/>
      <c r="JAM1107" s="15"/>
      <c r="JAN1107" s="15"/>
      <c r="JAQ1107" s="15"/>
      <c r="JAR1107" s="15"/>
      <c r="JAU1107" s="15"/>
      <c r="JAV1107" s="15"/>
      <c r="JAY1107" s="15"/>
      <c r="JAZ1107" s="15"/>
      <c r="JBC1107" s="15"/>
      <c r="JBD1107" s="15"/>
      <c r="JBG1107" s="15"/>
      <c r="JBH1107" s="15"/>
      <c r="JBK1107" s="15"/>
      <c r="JBL1107" s="15"/>
      <c r="JBO1107" s="15"/>
      <c r="JBP1107" s="15"/>
      <c r="JBS1107" s="15"/>
      <c r="JBT1107" s="15"/>
      <c r="JBW1107" s="15"/>
      <c r="JBX1107" s="15"/>
      <c r="JCA1107" s="15"/>
      <c r="JCB1107" s="15"/>
      <c r="JCE1107" s="15"/>
      <c r="JCF1107" s="15"/>
      <c r="JCI1107" s="15"/>
      <c r="JCJ1107" s="15"/>
      <c r="JCM1107" s="15"/>
      <c r="JCN1107" s="15"/>
      <c r="JCQ1107" s="15"/>
      <c r="JCR1107" s="15"/>
      <c r="JCU1107" s="15"/>
      <c r="JCV1107" s="15"/>
      <c r="JCY1107" s="15"/>
      <c r="JCZ1107" s="15"/>
      <c r="JDC1107" s="15"/>
      <c r="JDD1107" s="15"/>
      <c r="JDG1107" s="15"/>
      <c r="JDH1107" s="15"/>
      <c r="JDK1107" s="15"/>
      <c r="JDL1107" s="15"/>
      <c r="JDO1107" s="15"/>
      <c r="JDP1107" s="15"/>
      <c r="JDS1107" s="15"/>
      <c r="JDT1107" s="15"/>
      <c r="JDW1107" s="15"/>
      <c r="JDX1107" s="15"/>
      <c r="JEA1107" s="15"/>
      <c r="JEB1107" s="15"/>
      <c r="JEE1107" s="15"/>
      <c r="JEF1107" s="15"/>
      <c r="JEI1107" s="15"/>
      <c r="JEJ1107" s="15"/>
      <c r="JEM1107" s="15"/>
      <c r="JEN1107" s="15"/>
      <c r="JEQ1107" s="15"/>
      <c r="JER1107" s="15"/>
      <c r="JEU1107" s="15"/>
      <c r="JEV1107" s="15"/>
      <c r="JEY1107" s="15"/>
      <c r="JEZ1107" s="15"/>
      <c r="JFC1107" s="15"/>
      <c r="JFD1107" s="15"/>
      <c r="JFG1107" s="15"/>
      <c r="JFH1107" s="15"/>
      <c r="JFK1107" s="15"/>
      <c r="JFL1107" s="15"/>
      <c r="JFO1107" s="15"/>
      <c r="JFP1107" s="15"/>
      <c r="JFS1107" s="15"/>
      <c r="JFT1107" s="15"/>
      <c r="JFW1107" s="15"/>
      <c r="JFX1107" s="15"/>
      <c r="JGA1107" s="15"/>
      <c r="JGB1107" s="15"/>
      <c r="JGE1107" s="15"/>
      <c r="JGF1107" s="15"/>
      <c r="JGI1107" s="15"/>
      <c r="JGJ1107" s="15"/>
      <c r="JGM1107" s="15"/>
      <c r="JGN1107" s="15"/>
      <c r="JGQ1107" s="15"/>
      <c r="JGR1107" s="15"/>
      <c r="JGU1107" s="15"/>
      <c r="JGV1107" s="15"/>
      <c r="JGY1107" s="15"/>
      <c r="JGZ1107" s="15"/>
      <c r="JHC1107" s="15"/>
      <c r="JHD1107" s="15"/>
      <c r="JHG1107" s="15"/>
      <c r="JHH1107" s="15"/>
      <c r="JHK1107" s="15"/>
      <c r="JHL1107" s="15"/>
      <c r="JHO1107" s="15"/>
      <c r="JHP1107" s="15"/>
      <c r="JHS1107" s="15"/>
      <c r="JHT1107" s="15"/>
      <c r="JHW1107" s="15"/>
      <c r="JHX1107" s="15"/>
      <c r="JIA1107" s="15"/>
      <c r="JIB1107" s="15"/>
      <c r="JIE1107" s="15"/>
      <c r="JIF1107" s="15"/>
      <c r="JII1107" s="15"/>
      <c r="JIJ1107" s="15"/>
      <c r="JIM1107" s="15"/>
      <c r="JIN1107" s="15"/>
      <c r="JIQ1107" s="15"/>
      <c r="JIR1107" s="15"/>
      <c r="JIU1107" s="15"/>
      <c r="JIV1107" s="15"/>
      <c r="JIY1107" s="15"/>
      <c r="JIZ1107" s="15"/>
      <c r="JJC1107" s="15"/>
      <c r="JJD1107" s="15"/>
      <c r="JJG1107" s="15"/>
      <c r="JJH1107" s="15"/>
      <c r="JJK1107" s="15"/>
      <c r="JJL1107" s="15"/>
      <c r="JJO1107" s="15"/>
      <c r="JJP1107" s="15"/>
      <c r="JJS1107" s="15"/>
      <c r="JJT1107" s="15"/>
      <c r="JJW1107" s="15"/>
      <c r="JJX1107" s="15"/>
      <c r="JKA1107" s="15"/>
      <c r="JKB1107" s="15"/>
      <c r="JKE1107" s="15"/>
      <c r="JKF1107" s="15"/>
      <c r="JKI1107" s="15"/>
      <c r="JKJ1107" s="15"/>
      <c r="JKM1107" s="15"/>
      <c r="JKN1107" s="15"/>
      <c r="JKQ1107" s="15"/>
      <c r="JKR1107" s="15"/>
      <c r="JKU1107" s="15"/>
      <c r="JKV1107" s="15"/>
      <c r="JKY1107" s="15"/>
      <c r="JKZ1107" s="15"/>
      <c r="JLC1107" s="15"/>
      <c r="JLD1107" s="15"/>
      <c r="JLG1107" s="15"/>
      <c r="JLH1107" s="15"/>
      <c r="JLK1107" s="15"/>
      <c r="JLL1107" s="15"/>
      <c r="JLO1107" s="15"/>
      <c r="JLP1107" s="15"/>
      <c r="JLS1107" s="15"/>
      <c r="JLT1107" s="15"/>
      <c r="JLW1107" s="15"/>
      <c r="JLX1107" s="15"/>
      <c r="JMA1107" s="15"/>
      <c r="JMB1107" s="15"/>
      <c r="JME1107" s="15"/>
      <c r="JMF1107" s="15"/>
      <c r="JMI1107" s="15"/>
      <c r="JMJ1107" s="15"/>
      <c r="JMM1107" s="15"/>
      <c r="JMN1107" s="15"/>
      <c r="JMQ1107" s="15"/>
      <c r="JMR1107" s="15"/>
      <c r="JMU1107" s="15"/>
      <c r="JMV1107" s="15"/>
      <c r="JMY1107" s="15"/>
      <c r="JMZ1107" s="15"/>
      <c r="JNC1107" s="15"/>
      <c r="JND1107" s="15"/>
      <c r="JNG1107" s="15"/>
      <c r="JNH1107" s="15"/>
      <c r="JNK1107" s="15"/>
      <c r="JNL1107" s="15"/>
      <c r="JNO1107" s="15"/>
      <c r="JNP1107" s="15"/>
      <c r="JNS1107" s="15"/>
      <c r="JNT1107" s="15"/>
      <c r="JNW1107" s="15"/>
      <c r="JNX1107" s="15"/>
      <c r="JOA1107" s="15"/>
      <c r="JOB1107" s="15"/>
      <c r="JOE1107" s="15"/>
      <c r="JOF1107" s="15"/>
      <c r="JOI1107" s="15"/>
      <c r="JOJ1107" s="15"/>
      <c r="JOM1107" s="15"/>
      <c r="JON1107" s="15"/>
      <c r="JOQ1107" s="15"/>
      <c r="JOR1107" s="15"/>
      <c r="JOU1107" s="15"/>
      <c r="JOV1107" s="15"/>
      <c r="JOY1107" s="15"/>
      <c r="JOZ1107" s="15"/>
      <c r="JPC1107" s="15"/>
      <c r="JPD1107" s="15"/>
      <c r="JPG1107" s="15"/>
      <c r="JPH1107" s="15"/>
      <c r="JPK1107" s="15"/>
      <c r="JPL1107" s="15"/>
      <c r="JPO1107" s="15"/>
      <c r="JPP1107" s="15"/>
      <c r="JPS1107" s="15"/>
      <c r="JPT1107" s="15"/>
      <c r="JPW1107" s="15"/>
      <c r="JPX1107" s="15"/>
      <c r="JQA1107" s="15"/>
      <c r="JQB1107" s="15"/>
      <c r="JQE1107" s="15"/>
      <c r="JQF1107" s="15"/>
      <c r="JQI1107" s="15"/>
      <c r="JQJ1107" s="15"/>
      <c r="JQM1107" s="15"/>
      <c r="JQN1107" s="15"/>
      <c r="JQQ1107" s="15"/>
      <c r="JQR1107" s="15"/>
      <c r="JQU1107" s="15"/>
      <c r="JQV1107" s="15"/>
      <c r="JQY1107" s="15"/>
      <c r="JQZ1107" s="15"/>
      <c r="JRC1107" s="15"/>
      <c r="JRD1107" s="15"/>
      <c r="JRG1107" s="15"/>
      <c r="JRH1107" s="15"/>
      <c r="JRK1107" s="15"/>
      <c r="JRL1107" s="15"/>
      <c r="JRO1107" s="15"/>
      <c r="JRP1107" s="15"/>
      <c r="JRS1107" s="15"/>
      <c r="JRT1107" s="15"/>
      <c r="JRW1107" s="15"/>
      <c r="JRX1107" s="15"/>
      <c r="JSA1107" s="15"/>
      <c r="JSB1107" s="15"/>
      <c r="JSE1107" s="15"/>
      <c r="JSF1107" s="15"/>
      <c r="JSI1107" s="15"/>
      <c r="JSJ1107" s="15"/>
      <c r="JSM1107" s="15"/>
      <c r="JSN1107" s="15"/>
      <c r="JSQ1107" s="15"/>
      <c r="JSR1107" s="15"/>
      <c r="JSU1107" s="15"/>
      <c r="JSV1107" s="15"/>
      <c r="JSY1107" s="15"/>
      <c r="JSZ1107" s="15"/>
      <c r="JTC1107" s="15"/>
      <c r="JTD1107" s="15"/>
      <c r="JTG1107" s="15"/>
      <c r="JTH1107" s="15"/>
      <c r="JTK1107" s="15"/>
      <c r="JTL1107" s="15"/>
      <c r="JTO1107" s="15"/>
      <c r="JTP1107" s="15"/>
      <c r="JTS1107" s="15"/>
      <c r="JTT1107" s="15"/>
      <c r="JTW1107" s="15"/>
      <c r="JTX1107" s="15"/>
      <c r="JUA1107" s="15"/>
      <c r="JUB1107" s="15"/>
      <c r="JUE1107" s="15"/>
      <c r="JUF1107" s="15"/>
      <c r="JUI1107" s="15"/>
      <c r="JUJ1107" s="15"/>
      <c r="JUM1107" s="15"/>
      <c r="JUN1107" s="15"/>
      <c r="JUQ1107" s="15"/>
      <c r="JUR1107" s="15"/>
      <c r="JUU1107" s="15"/>
      <c r="JUV1107" s="15"/>
      <c r="JUY1107" s="15"/>
      <c r="JUZ1107" s="15"/>
      <c r="JVC1107" s="15"/>
      <c r="JVD1107" s="15"/>
      <c r="JVG1107" s="15"/>
      <c r="JVH1107" s="15"/>
      <c r="JVK1107" s="15"/>
      <c r="JVL1107" s="15"/>
      <c r="JVO1107" s="15"/>
      <c r="JVP1107" s="15"/>
      <c r="JVS1107" s="15"/>
      <c r="JVT1107" s="15"/>
      <c r="JVW1107" s="15"/>
      <c r="JVX1107" s="15"/>
      <c r="JWA1107" s="15"/>
      <c r="JWB1107" s="15"/>
      <c r="JWE1107" s="15"/>
      <c r="JWF1107" s="15"/>
      <c r="JWI1107" s="15"/>
      <c r="JWJ1107" s="15"/>
      <c r="JWM1107" s="15"/>
      <c r="JWN1107" s="15"/>
      <c r="JWQ1107" s="15"/>
      <c r="JWR1107" s="15"/>
      <c r="JWU1107" s="15"/>
      <c r="JWV1107" s="15"/>
      <c r="JWY1107" s="15"/>
      <c r="JWZ1107" s="15"/>
      <c r="JXC1107" s="15"/>
      <c r="JXD1107" s="15"/>
      <c r="JXG1107" s="15"/>
      <c r="JXH1107" s="15"/>
      <c r="JXK1107" s="15"/>
      <c r="JXL1107" s="15"/>
      <c r="JXO1107" s="15"/>
      <c r="JXP1107" s="15"/>
      <c r="JXS1107" s="15"/>
      <c r="JXT1107" s="15"/>
      <c r="JXW1107" s="15"/>
      <c r="JXX1107" s="15"/>
      <c r="JYA1107" s="15"/>
      <c r="JYB1107" s="15"/>
      <c r="JYE1107" s="15"/>
      <c r="JYF1107" s="15"/>
      <c r="JYI1107" s="15"/>
      <c r="JYJ1107" s="15"/>
      <c r="JYM1107" s="15"/>
      <c r="JYN1107" s="15"/>
      <c r="JYQ1107" s="15"/>
      <c r="JYR1107" s="15"/>
      <c r="JYU1107" s="15"/>
      <c r="JYV1107" s="15"/>
      <c r="JYY1107" s="15"/>
      <c r="JYZ1107" s="15"/>
      <c r="JZC1107" s="15"/>
      <c r="JZD1107" s="15"/>
      <c r="JZG1107" s="15"/>
      <c r="JZH1107" s="15"/>
      <c r="JZK1107" s="15"/>
      <c r="JZL1107" s="15"/>
      <c r="JZO1107" s="15"/>
      <c r="JZP1107" s="15"/>
      <c r="JZS1107" s="15"/>
      <c r="JZT1107" s="15"/>
      <c r="JZW1107" s="15"/>
      <c r="JZX1107" s="15"/>
      <c r="KAA1107" s="15"/>
      <c r="KAB1107" s="15"/>
      <c r="KAE1107" s="15"/>
      <c r="KAF1107" s="15"/>
      <c r="KAI1107" s="15"/>
      <c r="KAJ1107" s="15"/>
      <c r="KAM1107" s="15"/>
      <c r="KAN1107" s="15"/>
      <c r="KAQ1107" s="15"/>
      <c r="KAR1107" s="15"/>
      <c r="KAU1107" s="15"/>
      <c r="KAV1107" s="15"/>
      <c r="KAY1107" s="15"/>
      <c r="KAZ1107" s="15"/>
      <c r="KBC1107" s="15"/>
      <c r="KBD1107" s="15"/>
      <c r="KBG1107" s="15"/>
      <c r="KBH1107" s="15"/>
      <c r="KBK1107" s="15"/>
      <c r="KBL1107" s="15"/>
      <c r="KBO1107" s="15"/>
      <c r="KBP1107" s="15"/>
      <c r="KBS1107" s="15"/>
      <c r="KBT1107" s="15"/>
      <c r="KBW1107" s="15"/>
      <c r="KBX1107" s="15"/>
      <c r="KCA1107" s="15"/>
      <c r="KCB1107" s="15"/>
      <c r="KCE1107" s="15"/>
      <c r="KCF1107" s="15"/>
      <c r="KCI1107" s="15"/>
      <c r="KCJ1107" s="15"/>
      <c r="KCM1107" s="15"/>
      <c r="KCN1107" s="15"/>
      <c r="KCQ1107" s="15"/>
      <c r="KCR1107" s="15"/>
      <c r="KCU1107" s="15"/>
      <c r="KCV1107" s="15"/>
      <c r="KCY1107" s="15"/>
      <c r="KCZ1107" s="15"/>
      <c r="KDC1107" s="15"/>
      <c r="KDD1107" s="15"/>
      <c r="KDG1107" s="15"/>
      <c r="KDH1107" s="15"/>
      <c r="KDK1107" s="15"/>
      <c r="KDL1107" s="15"/>
      <c r="KDO1107" s="15"/>
      <c r="KDP1107" s="15"/>
      <c r="KDS1107" s="15"/>
      <c r="KDT1107" s="15"/>
      <c r="KDW1107" s="15"/>
      <c r="KDX1107" s="15"/>
      <c r="KEA1107" s="15"/>
      <c r="KEB1107" s="15"/>
      <c r="KEE1107" s="15"/>
      <c r="KEF1107" s="15"/>
      <c r="KEI1107" s="15"/>
      <c r="KEJ1107" s="15"/>
      <c r="KEM1107" s="15"/>
      <c r="KEN1107" s="15"/>
      <c r="KEQ1107" s="15"/>
      <c r="KER1107" s="15"/>
      <c r="KEU1107" s="15"/>
      <c r="KEV1107" s="15"/>
      <c r="KEY1107" s="15"/>
      <c r="KEZ1107" s="15"/>
      <c r="KFC1107" s="15"/>
      <c r="KFD1107" s="15"/>
      <c r="KFG1107" s="15"/>
      <c r="KFH1107" s="15"/>
      <c r="KFK1107" s="15"/>
      <c r="KFL1107" s="15"/>
      <c r="KFO1107" s="15"/>
      <c r="KFP1107" s="15"/>
      <c r="KFS1107" s="15"/>
      <c r="KFT1107" s="15"/>
      <c r="KFW1107" s="15"/>
      <c r="KFX1107" s="15"/>
      <c r="KGA1107" s="15"/>
      <c r="KGB1107" s="15"/>
      <c r="KGE1107" s="15"/>
      <c r="KGF1107" s="15"/>
      <c r="KGI1107" s="15"/>
      <c r="KGJ1107" s="15"/>
      <c r="KGM1107" s="15"/>
      <c r="KGN1107" s="15"/>
      <c r="KGQ1107" s="15"/>
      <c r="KGR1107" s="15"/>
      <c r="KGU1107" s="15"/>
      <c r="KGV1107" s="15"/>
      <c r="KGY1107" s="15"/>
      <c r="KGZ1107" s="15"/>
      <c r="KHC1107" s="15"/>
      <c r="KHD1107" s="15"/>
      <c r="KHG1107" s="15"/>
      <c r="KHH1107" s="15"/>
      <c r="KHK1107" s="15"/>
      <c r="KHL1107" s="15"/>
      <c r="KHO1107" s="15"/>
      <c r="KHP1107" s="15"/>
      <c r="KHS1107" s="15"/>
      <c r="KHT1107" s="15"/>
      <c r="KHW1107" s="15"/>
      <c r="KHX1107" s="15"/>
      <c r="KIA1107" s="15"/>
      <c r="KIB1107" s="15"/>
      <c r="KIE1107" s="15"/>
      <c r="KIF1107" s="15"/>
      <c r="KII1107" s="15"/>
      <c r="KIJ1107" s="15"/>
      <c r="KIM1107" s="15"/>
      <c r="KIN1107" s="15"/>
      <c r="KIQ1107" s="15"/>
      <c r="KIR1107" s="15"/>
      <c r="KIU1107" s="15"/>
      <c r="KIV1107" s="15"/>
      <c r="KIY1107" s="15"/>
      <c r="KIZ1107" s="15"/>
      <c r="KJC1107" s="15"/>
      <c r="KJD1107" s="15"/>
      <c r="KJG1107" s="15"/>
      <c r="KJH1107" s="15"/>
      <c r="KJK1107" s="15"/>
      <c r="KJL1107" s="15"/>
      <c r="KJO1107" s="15"/>
      <c r="KJP1107" s="15"/>
      <c r="KJS1107" s="15"/>
      <c r="KJT1107" s="15"/>
      <c r="KJW1107" s="15"/>
      <c r="KJX1107" s="15"/>
      <c r="KKA1107" s="15"/>
      <c r="KKB1107" s="15"/>
      <c r="KKE1107" s="15"/>
      <c r="KKF1107" s="15"/>
      <c r="KKI1107" s="15"/>
      <c r="KKJ1107" s="15"/>
      <c r="KKM1107" s="15"/>
      <c r="KKN1107" s="15"/>
      <c r="KKQ1107" s="15"/>
      <c r="KKR1107" s="15"/>
      <c r="KKU1107" s="15"/>
      <c r="KKV1107" s="15"/>
      <c r="KKY1107" s="15"/>
      <c r="KKZ1107" s="15"/>
      <c r="KLC1107" s="15"/>
      <c r="KLD1107" s="15"/>
      <c r="KLG1107" s="15"/>
      <c r="KLH1107" s="15"/>
      <c r="KLK1107" s="15"/>
      <c r="KLL1107" s="15"/>
      <c r="KLO1107" s="15"/>
      <c r="KLP1107" s="15"/>
      <c r="KLS1107" s="15"/>
      <c r="KLT1107" s="15"/>
      <c r="KLW1107" s="15"/>
      <c r="KLX1107" s="15"/>
      <c r="KMA1107" s="15"/>
      <c r="KMB1107" s="15"/>
      <c r="KME1107" s="15"/>
      <c r="KMF1107" s="15"/>
      <c r="KMI1107" s="15"/>
      <c r="KMJ1107" s="15"/>
      <c r="KMM1107" s="15"/>
      <c r="KMN1107" s="15"/>
      <c r="KMQ1107" s="15"/>
      <c r="KMR1107" s="15"/>
      <c r="KMU1107" s="15"/>
      <c r="KMV1107" s="15"/>
      <c r="KMY1107" s="15"/>
      <c r="KMZ1107" s="15"/>
      <c r="KNC1107" s="15"/>
      <c r="KND1107" s="15"/>
      <c r="KNG1107" s="15"/>
      <c r="KNH1107" s="15"/>
      <c r="KNK1107" s="15"/>
      <c r="KNL1107" s="15"/>
      <c r="KNO1107" s="15"/>
      <c r="KNP1107" s="15"/>
      <c r="KNS1107" s="15"/>
      <c r="KNT1107" s="15"/>
      <c r="KNW1107" s="15"/>
      <c r="KNX1107" s="15"/>
      <c r="KOA1107" s="15"/>
      <c r="KOB1107" s="15"/>
      <c r="KOE1107" s="15"/>
      <c r="KOF1107" s="15"/>
      <c r="KOI1107" s="15"/>
      <c r="KOJ1107" s="15"/>
      <c r="KOM1107" s="15"/>
      <c r="KON1107" s="15"/>
      <c r="KOQ1107" s="15"/>
      <c r="KOR1107" s="15"/>
      <c r="KOU1107" s="15"/>
      <c r="KOV1107" s="15"/>
      <c r="KOY1107" s="15"/>
      <c r="KOZ1107" s="15"/>
      <c r="KPC1107" s="15"/>
      <c r="KPD1107" s="15"/>
      <c r="KPG1107" s="15"/>
      <c r="KPH1107" s="15"/>
      <c r="KPK1107" s="15"/>
      <c r="KPL1107" s="15"/>
      <c r="KPO1107" s="15"/>
      <c r="KPP1107" s="15"/>
      <c r="KPS1107" s="15"/>
      <c r="KPT1107" s="15"/>
      <c r="KPW1107" s="15"/>
      <c r="KPX1107" s="15"/>
      <c r="KQA1107" s="15"/>
      <c r="KQB1107" s="15"/>
      <c r="KQE1107" s="15"/>
      <c r="KQF1107" s="15"/>
      <c r="KQI1107" s="15"/>
      <c r="KQJ1107" s="15"/>
      <c r="KQM1107" s="15"/>
      <c r="KQN1107" s="15"/>
      <c r="KQQ1107" s="15"/>
      <c r="KQR1107" s="15"/>
      <c r="KQU1107" s="15"/>
      <c r="KQV1107" s="15"/>
      <c r="KQY1107" s="15"/>
      <c r="KQZ1107" s="15"/>
      <c r="KRC1107" s="15"/>
      <c r="KRD1107" s="15"/>
      <c r="KRG1107" s="15"/>
      <c r="KRH1107" s="15"/>
      <c r="KRK1107" s="15"/>
      <c r="KRL1107" s="15"/>
      <c r="KRO1107" s="15"/>
      <c r="KRP1107" s="15"/>
      <c r="KRS1107" s="15"/>
      <c r="KRT1107" s="15"/>
      <c r="KRW1107" s="15"/>
      <c r="KRX1107" s="15"/>
      <c r="KSA1107" s="15"/>
      <c r="KSB1107" s="15"/>
      <c r="KSE1107" s="15"/>
      <c r="KSF1107" s="15"/>
      <c r="KSI1107" s="15"/>
      <c r="KSJ1107" s="15"/>
      <c r="KSM1107" s="15"/>
      <c r="KSN1107" s="15"/>
      <c r="KSQ1107" s="15"/>
      <c r="KSR1107" s="15"/>
      <c r="KSU1107" s="15"/>
      <c r="KSV1107" s="15"/>
      <c r="KSY1107" s="15"/>
      <c r="KSZ1107" s="15"/>
      <c r="KTC1107" s="15"/>
      <c r="KTD1107" s="15"/>
      <c r="KTG1107" s="15"/>
      <c r="KTH1107" s="15"/>
      <c r="KTK1107" s="15"/>
      <c r="KTL1107" s="15"/>
      <c r="KTO1107" s="15"/>
      <c r="KTP1107" s="15"/>
      <c r="KTS1107" s="15"/>
      <c r="KTT1107" s="15"/>
      <c r="KTW1107" s="15"/>
      <c r="KTX1107" s="15"/>
      <c r="KUA1107" s="15"/>
      <c r="KUB1107" s="15"/>
      <c r="KUE1107" s="15"/>
      <c r="KUF1107" s="15"/>
      <c r="KUI1107" s="15"/>
      <c r="KUJ1107" s="15"/>
      <c r="KUM1107" s="15"/>
      <c r="KUN1107" s="15"/>
      <c r="KUQ1107" s="15"/>
      <c r="KUR1107" s="15"/>
      <c r="KUU1107" s="15"/>
      <c r="KUV1107" s="15"/>
      <c r="KUY1107" s="15"/>
      <c r="KUZ1107" s="15"/>
      <c r="KVC1107" s="15"/>
      <c r="KVD1107" s="15"/>
      <c r="KVG1107" s="15"/>
      <c r="KVH1107" s="15"/>
      <c r="KVK1107" s="15"/>
      <c r="KVL1107" s="15"/>
      <c r="KVO1107" s="15"/>
      <c r="KVP1107" s="15"/>
      <c r="KVS1107" s="15"/>
      <c r="KVT1107" s="15"/>
      <c r="KVW1107" s="15"/>
      <c r="KVX1107" s="15"/>
      <c r="KWA1107" s="15"/>
      <c r="KWB1107" s="15"/>
      <c r="KWE1107" s="15"/>
      <c r="KWF1107" s="15"/>
      <c r="KWI1107" s="15"/>
      <c r="KWJ1107" s="15"/>
      <c r="KWM1107" s="15"/>
      <c r="KWN1107" s="15"/>
      <c r="KWQ1107" s="15"/>
      <c r="KWR1107" s="15"/>
      <c r="KWU1107" s="15"/>
      <c r="KWV1107" s="15"/>
      <c r="KWY1107" s="15"/>
      <c r="KWZ1107" s="15"/>
      <c r="KXC1107" s="15"/>
      <c r="KXD1107" s="15"/>
      <c r="KXG1107" s="15"/>
      <c r="KXH1107" s="15"/>
      <c r="KXK1107" s="15"/>
      <c r="KXL1107" s="15"/>
      <c r="KXO1107" s="15"/>
      <c r="KXP1107" s="15"/>
      <c r="KXS1107" s="15"/>
      <c r="KXT1107" s="15"/>
      <c r="KXW1107" s="15"/>
      <c r="KXX1107" s="15"/>
      <c r="KYA1107" s="15"/>
      <c r="KYB1107" s="15"/>
      <c r="KYE1107" s="15"/>
      <c r="KYF1107" s="15"/>
      <c r="KYI1107" s="15"/>
      <c r="KYJ1107" s="15"/>
      <c r="KYM1107" s="15"/>
      <c r="KYN1107" s="15"/>
      <c r="KYQ1107" s="15"/>
      <c r="KYR1107" s="15"/>
      <c r="KYU1107" s="15"/>
      <c r="KYV1107" s="15"/>
      <c r="KYY1107" s="15"/>
      <c r="KYZ1107" s="15"/>
      <c r="KZC1107" s="15"/>
      <c r="KZD1107" s="15"/>
      <c r="KZG1107" s="15"/>
      <c r="KZH1107" s="15"/>
      <c r="KZK1107" s="15"/>
      <c r="KZL1107" s="15"/>
      <c r="KZO1107" s="15"/>
      <c r="KZP1107" s="15"/>
      <c r="KZS1107" s="15"/>
      <c r="KZT1107" s="15"/>
      <c r="KZW1107" s="15"/>
      <c r="KZX1107" s="15"/>
      <c r="LAA1107" s="15"/>
      <c r="LAB1107" s="15"/>
      <c r="LAE1107" s="15"/>
      <c r="LAF1107" s="15"/>
      <c r="LAI1107" s="15"/>
      <c r="LAJ1107" s="15"/>
      <c r="LAM1107" s="15"/>
      <c r="LAN1107" s="15"/>
      <c r="LAQ1107" s="15"/>
      <c r="LAR1107" s="15"/>
      <c r="LAU1107" s="15"/>
      <c r="LAV1107" s="15"/>
      <c r="LAY1107" s="15"/>
      <c r="LAZ1107" s="15"/>
      <c r="LBC1107" s="15"/>
      <c r="LBD1107" s="15"/>
      <c r="LBG1107" s="15"/>
      <c r="LBH1107" s="15"/>
      <c r="LBK1107" s="15"/>
      <c r="LBL1107" s="15"/>
      <c r="LBO1107" s="15"/>
      <c r="LBP1107" s="15"/>
      <c r="LBS1107" s="15"/>
      <c r="LBT1107" s="15"/>
      <c r="LBW1107" s="15"/>
      <c r="LBX1107" s="15"/>
      <c r="LCA1107" s="15"/>
      <c r="LCB1107" s="15"/>
      <c r="LCE1107" s="15"/>
      <c r="LCF1107" s="15"/>
      <c r="LCI1107" s="15"/>
      <c r="LCJ1107" s="15"/>
      <c r="LCM1107" s="15"/>
      <c r="LCN1107" s="15"/>
      <c r="LCQ1107" s="15"/>
      <c r="LCR1107" s="15"/>
      <c r="LCU1107" s="15"/>
      <c r="LCV1107" s="15"/>
      <c r="LCY1107" s="15"/>
      <c r="LCZ1107" s="15"/>
      <c r="LDC1107" s="15"/>
      <c r="LDD1107" s="15"/>
      <c r="LDG1107" s="15"/>
      <c r="LDH1107" s="15"/>
      <c r="LDK1107" s="15"/>
      <c r="LDL1107" s="15"/>
      <c r="LDO1107" s="15"/>
      <c r="LDP1107" s="15"/>
      <c r="LDS1107" s="15"/>
      <c r="LDT1107" s="15"/>
      <c r="LDW1107" s="15"/>
      <c r="LDX1107" s="15"/>
      <c r="LEA1107" s="15"/>
      <c r="LEB1107" s="15"/>
      <c r="LEE1107" s="15"/>
      <c r="LEF1107" s="15"/>
      <c r="LEI1107" s="15"/>
      <c r="LEJ1107" s="15"/>
      <c r="LEM1107" s="15"/>
      <c r="LEN1107" s="15"/>
      <c r="LEQ1107" s="15"/>
      <c r="LER1107" s="15"/>
      <c r="LEU1107" s="15"/>
      <c r="LEV1107" s="15"/>
      <c r="LEY1107" s="15"/>
      <c r="LEZ1107" s="15"/>
      <c r="LFC1107" s="15"/>
      <c r="LFD1107" s="15"/>
      <c r="LFG1107" s="15"/>
      <c r="LFH1107" s="15"/>
      <c r="LFK1107" s="15"/>
      <c r="LFL1107" s="15"/>
      <c r="LFO1107" s="15"/>
      <c r="LFP1107" s="15"/>
      <c r="LFS1107" s="15"/>
      <c r="LFT1107" s="15"/>
      <c r="LFW1107" s="15"/>
      <c r="LFX1107" s="15"/>
      <c r="LGA1107" s="15"/>
      <c r="LGB1107" s="15"/>
      <c r="LGE1107" s="15"/>
      <c r="LGF1107" s="15"/>
      <c r="LGI1107" s="15"/>
      <c r="LGJ1107" s="15"/>
      <c r="LGM1107" s="15"/>
      <c r="LGN1107" s="15"/>
      <c r="LGQ1107" s="15"/>
      <c r="LGR1107" s="15"/>
      <c r="LGU1107" s="15"/>
      <c r="LGV1107" s="15"/>
      <c r="LGY1107" s="15"/>
      <c r="LGZ1107" s="15"/>
      <c r="LHC1107" s="15"/>
      <c r="LHD1107" s="15"/>
      <c r="LHG1107" s="15"/>
      <c r="LHH1107" s="15"/>
      <c r="LHK1107" s="15"/>
      <c r="LHL1107" s="15"/>
      <c r="LHO1107" s="15"/>
      <c r="LHP1107" s="15"/>
      <c r="LHS1107" s="15"/>
      <c r="LHT1107" s="15"/>
      <c r="LHW1107" s="15"/>
      <c r="LHX1107" s="15"/>
      <c r="LIA1107" s="15"/>
      <c r="LIB1107" s="15"/>
      <c r="LIE1107" s="15"/>
      <c r="LIF1107" s="15"/>
      <c r="LII1107" s="15"/>
      <c r="LIJ1107" s="15"/>
      <c r="LIM1107" s="15"/>
      <c r="LIN1107" s="15"/>
      <c r="LIQ1107" s="15"/>
      <c r="LIR1107" s="15"/>
      <c r="LIU1107" s="15"/>
      <c r="LIV1107" s="15"/>
      <c r="LIY1107" s="15"/>
      <c r="LIZ1107" s="15"/>
      <c r="LJC1107" s="15"/>
      <c r="LJD1107" s="15"/>
      <c r="LJG1107" s="15"/>
      <c r="LJH1107" s="15"/>
      <c r="LJK1107" s="15"/>
      <c r="LJL1107" s="15"/>
      <c r="LJO1107" s="15"/>
      <c r="LJP1107" s="15"/>
      <c r="LJS1107" s="15"/>
      <c r="LJT1107" s="15"/>
      <c r="LJW1107" s="15"/>
      <c r="LJX1107" s="15"/>
      <c r="LKA1107" s="15"/>
      <c r="LKB1107" s="15"/>
      <c r="LKE1107" s="15"/>
      <c r="LKF1107" s="15"/>
      <c r="LKI1107" s="15"/>
      <c r="LKJ1107" s="15"/>
      <c r="LKM1107" s="15"/>
      <c r="LKN1107" s="15"/>
      <c r="LKQ1107" s="15"/>
      <c r="LKR1107" s="15"/>
      <c r="LKU1107" s="15"/>
      <c r="LKV1107" s="15"/>
      <c r="LKY1107" s="15"/>
      <c r="LKZ1107" s="15"/>
      <c r="LLC1107" s="15"/>
      <c r="LLD1107" s="15"/>
      <c r="LLG1107" s="15"/>
      <c r="LLH1107" s="15"/>
      <c r="LLK1107" s="15"/>
      <c r="LLL1107" s="15"/>
      <c r="LLO1107" s="15"/>
      <c r="LLP1107" s="15"/>
      <c r="LLS1107" s="15"/>
      <c r="LLT1107" s="15"/>
      <c r="LLW1107" s="15"/>
      <c r="LLX1107" s="15"/>
      <c r="LMA1107" s="15"/>
      <c r="LMB1107" s="15"/>
      <c r="LME1107" s="15"/>
      <c r="LMF1107" s="15"/>
      <c r="LMI1107" s="15"/>
      <c r="LMJ1107" s="15"/>
      <c r="LMM1107" s="15"/>
      <c r="LMN1107" s="15"/>
      <c r="LMQ1107" s="15"/>
      <c r="LMR1107" s="15"/>
      <c r="LMU1107" s="15"/>
      <c r="LMV1107" s="15"/>
      <c r="LMY1107" s="15"/>
      <c r="LMZ1107" s="15"/>
      <c r="LNC1107" s="15"/>
      <c r="LND1107" s="15"/>
      <c r="LNG1107" s="15"/>
      <c r="LNH1107" s="15"/>
      <c r="LNK1107" s="15"/>
      <c r="LNL1107" s="15"/>
      <c r="LNO1107" s="15"/>
      <c r="LNP1107" s="15"/>
      <c r="LNS1107" s="15"/>
      <c r="LNT1107" s="15"/>
      <c r="LNW1107" s="15"/>
      <c r="LNX1107" s="15"/>
      <c r="LOA1107" s="15"/>
      <c r="LOB1107" s="15"/>
      <c r="LOE1107" s="15"/>
      <c r="LOF1107" s="15"/>
      <c r="LOI1107" s="15"/>
      <c r="LOJ1107" s="15"/>
      <c r="LOM1107" s="15"/>
      <c r="LON1107" s="15"/>
      <c r="LOQ1107" s="15"/>
      <c r="LOR1107" s="15"/>
      <c r="LOU1107" s="15"/>
      <c r="LOV1107" s="15"/>
      <c r="LOY1107" s="15"/>
      <c r="LOZ1107" s="15"/>
      <c r="LPC1107" s="15"/>
      <c r="LPD1107" s="15"/>
      <c r="LPG1107" s="15"/>
      <c r="LPH1107" s="15"/>
      <c r="LPK1107" s="15"/>
      <c r="LPL1107" s="15"/>
      <c r="LPO1107" s="15"/>
      <c r="LPP1107" s="15"/>
      <c r="LPS1107" s="15"/>
      <c r="LPT1107" s="15"/>
      <c r="LPW1107" s="15"/>
      <c r="LPX1107" s="15"/>
      <c r="LQA1107" s="15"/>
      <c r="LQB1107" s="15"/>
      <c r="LQE1107" s="15"/>
      <c r="LQF1107" s="15"/>
      <c r="LQI1107" s="15"/>
      <c r="LQJ1107" s="15"/>
      <c r="LQM1107" s="15"/>
      <c r="LQN1107" s="15"/>
      <c r="LQQ1107" s="15"/>
      <c r="LQR1107" s="15"/>
      <c r="LQU1107" s="15"/>
      <c r="LQV1107" s="15"/>
      <c r="LQY1107" s="15"/>
      <c r="LQZ1107" s="15"/>
      <c r="LRC1107" s="15"/>
      <c r="LRD1107" s="15"/>
      <c r="LRG1107" s="15"/>
      <c r="LRH1107" s="15"/>
      <c r="LRK1107" s="15"/>
      <c r="LRL1107" s="15"/>
      <c r="LRO1107" s="15"/>
      <c r="LRP1107" s="15"/>
      <c r="LRS1107" s="15"/>
      <c r="LRT1107" s="15"/>
      <c r="LRW1107" s="15"/>
      <c r="LRX1107" s="15"/>
      <c r="LSA1107" s="15"/>
      <c r="LSB1107" s="15"/>
      <c r="LSE1107" s="15"/>
      <c r="LSF1107" s="15"/>
      <c r="LSI1107" s="15"/>
      <c r="LSJ1107" s="15"/>
      <c r="LSM1107" s="15"/>
      <c r="LSN1107" s="15"/>
      <c r="LSQ1107" s="15"/>
      <c r="LSR1107" s="15"/>
      <c r="LSU1107" s="15"/>
      <c r="LSV1107" s="15"/>
      <c r="LSY1107" s="15"/>
      <c r="LSZ1107" s="15"/>
      <c r="LTC1107" s="15"/>
      <c r="LTD1107" s="15"/>
      <c r="LTG1107" s="15"/>
      <c r="LTH1107" s="15"/>
      <c r="LTK1107" s="15"/>
      <c r="LTL1107" s="15"/>
      <c r="LTO1107" s="15"/>
      <c r="LTP1107" s="15"/>
      <c r="LTS1107" s="15"/>
      <c r="LTT1107" s="15"/>
      <c r="LTW1107" s="15"/>
      <c r="LTX1107" s="15"/>
      <c r="LUA1107" s="15"/>
      <c r="LUB1107" s="15"/>
      <c r="LUE1107" s="15"/>
      <c r="LUF1107" s="15"/>
      <c r="LUI1107" s="15"/>
      <c r="LUJ1107" s="15"/>
      <c r="LUM1107" s="15"/>
      <c r="LUN1107" s="15"/>
      <c r="LUQ1107" s="15"/>
      <c r="LUR1107" s="15"/>
      <c r="LUU1107" s="15"/>
      <c r="LUV1107" s="15"/>
      <c r="LUY1107" s="15"/>
      <c r="LUZ1107" s="15"/>
      <c r="LVC1107" s="15"/>
      <c r="LVD1107" s="15"/>
      <c r="LVG1107" s="15"/>
      <c r="LVH1107" s="15"/>
      <c r="LVK1107" s="15"/>
      <c r="LVL1107" s="15"/>
      <c r="LVO1107" s="15"/>
      <c r="LVP1107" s="15"/>
      <c r="LVS1107" s="15"/>
      <c r="LVT1107" s="15"/>
      <c r="LVW1107" s="15"/>
      <c r="LVX1107" s="15"/>
      <c r="LWA1107" s="15"/>
      <c r="LWB1107" s="15"/>
      <c r="LWE1107" s="15"/>
      <c r="LWF1107" s="15"/>
      <c r="LWI1107" s="15"/>
      <c r="LWJ1107" s="15"/>
      <c r="LWM1107" s="15"/>
      <c r="LWN1107" s="15"/>
      <c r="LWQ1107" s="15"/>
      <c r="LWR1107" s="15"/>
      <c r="LWU1107" s="15"/>
      <c r="LWV1107" s="15"/>
      <c r="LWY1107" s="15"/>
      <c r="LWZ1107" s="15"/>
      <c r="LXC1107" s="15"/>
      <c r="LXD1107" s="15"/>
      <c r="LXG1107" s="15"/>
      <c r="LXH1107" s="15"/>
      <c r="LXK1107" s="15"/>
      <c r="LXL1107" s="15"/>
      <c r="LXO1107" s="15"/>
      <c r="LXP1107" s="15"/>
      <c r="LXS1107" s="15"/>
      <c r="LXT1107" s="15"/>
      <c r="LXW1107" s="15"/>
      <c r="LXX1107" s="15"/>
      <c r="LYA1107" s="15"/>
      <c r="LYB1107" s="15"/>
      <c r="LYE1107" s="15"/>
      <c r="LYF1107" s="15"/>
      <c r="LYI1107" s="15"/>
      <c r="LYJ1107" s="15"/>
      <c r="LYM1107" s="15"/>
      <c r="LYN1107" s="15"/>
      <c r="LYQ1107" s="15"/>
      <c r="LYR1107" s="15"/>
      <c r="LYU1107" s="15"/>
      <c r="LYV1107" s="15"/>
      <c r="LYY1107" s="15"/>
      <c r="LYZ1107" s="15"/>
      <c r="LZC1107" s="15"/>
      <c r="LZD1107" s="15"/>
      <c r="LZG1107" s="15"/>
      <c r="LZH1107" s="15"/>
      <c r="LZK1107" s="15"/>
      <c r="LZL1107" s="15"/>
      <c r="LZO1107" s="15"/>
      <c r="LZP1107" s="15"/>
      <c r="LZS1107" s="15"/>
      <c r="LZT1107" s="15"/>
      <c r="LZW1107" s="15"/>
      <c r="LZX1107" s="15"/>
      <c r="MAA1107" s="15"/>
      <c r="MAB1107" s="15"/>
      <c r="MAE1107" s="15"/>
      <c r="MAF1107" s="15"/>
      <c r="MAI1107" s="15"/>
      <c r="MAJ1107" s="15"/>
      <c r="MAM1107" s="15"/>
      <c r="MAN1107" s="15"/>
      <c r="MAQ1107" s="15"/>
      <c r="MAR1107" s="15"/>
      <c r="MAU1107" s="15"/>
      <c r="MAV1107" s="15"/>
      <c r="MAY1107" s="15"/>
      <c r="MAZ1107" s="15"/>
      <c r="MBC1107" s="15"/>
      <c r="MBD1107" s="15"/>
      <c r="MBG1107" s="15"/>
      <c r="MBH1107" s="15"/>
      <c r="MBK1107" s="15"/>
      <c r="MBL1107" s="15"/>
      <c r="MBO1107" s="15"/>
      <c r="MBP1107" s="15"/>
      <c r="MBS1107" s="15"/>
      <c r="MBT1107" s="15"/>
      <c r="MBW1107" s="15"/>
      <c r="MBX1107" s="15"/>
      <c r="MCA1107" s="15"/>
      <c r="MCB1107" s="15"/>
      <c r="MCE1107" s="15"/>
      <c r="MCF1107" s="15"/>
      <c r="MCI1107" s="15"/>
      <c r="MCJ1107" s="15"/>
      <c r="MCM1107" s="15"/>
      <c r="MCN1107" s="15"/>
      <c r="MCQ1107" s="15"/>
      <c r="MCR1107" s="15"/>
      <c r="MCU1107" s="15"/>
      <c r="MCV1107" s="15"/>
      <c r="MCY1107" s="15"/>
      <c r="MCZ1107" s="15"/>
      <c r="MDC1107" s="15"/>
      <c r="MDD1107" s="15"/>
      <c r="MDG1107" s="15"/>
      <c r="MDH1107" s="15"/>
      <c r="MDK1107" s="15"/>
      <c r="MDL1107" s="15"/>
      <c r="MDO1107" s="15"/>
      <c r="MDP1107" s="15"/>
      <c r="MDS1107" s="15"/>
      <c r="MDT1107" s="15"/>
      <c r="MDW1107" s="15"/>
      <c r="MDX1107" s="15"/>
      <c r="MEA1107" s="15"/>
      <c r="MEB1107" s="15"/>
      <c r="MEE1107" s="15"/>
      <c r="MEF1107" s="15"/>
      <c r="MEI1107" s="15"/>
      <c r="MEJ1107" s="15"/>
      <c r="MEM1107" s="15"/>
      <c r="MEN1107" s="15"/>
      <c r="MEQ1107" s="15"/>
      <c r="MER1107" s="15"/>
      <c r="MEU1107" s="15"/>
      <c r="MEV1107" s="15"/>
      <c r="MEY1107" s="15"/>
      <c r="MEZ1107" s="15"/>
      <c r="MFC1107" s="15"/>
      <c r="MFD1107" s="15"/>
      <c r="MFG1107" s="15"/>
      <c r="MFH1107" s="15"/>
      <c r="MFK1107" s="15"/>
      <c r="MFL1107" s="15"/>
      <c r="MFO1107" s="15"/>
      <c r="MFP1107" s="15"/>
      <c r="MFS1107" s="15"/>
      <c r="MFT1107" s="15"/>
      <c r="MFW1107" s="15"/>
      <c r="MFX1107" s="15"/>
      <c r="MGA1107" s="15"/>
      <c r="MGB1107" s="15"/>
      <c r="MGE1107" s="15"/>
      <c r="MGF1107" s="15"/>
      <c r="MGI1107" s="15"/>
      <c r="MGJ1107" s="15"/>
      <c r="MGM1107" s="15"/>
      <c r="MGN1107" s="15"/>
      <c r="MGQ1107" s="15"/>
      <c r="MGR1107" s="15"/>
      <c r="MGU1107" s="15"/>
      <c r="MGV1107" s="15"/>
      <c r="MGY1107" s="15"/>
      <c r="MGZ1107" s="15"/>
      <c r="MHC1107" s="15"/>
      <c r="MHD1107" s="15"/>
      <c r="MHG1107" s="15"/>
      <c r="MHH1107" s="15"/>
      <c r="MHK1107" s="15"/>
      <c r="MHL1107" s="15"/>
      <c r="MHO1107" s="15"/>
      <c r="MHP1107" s="15"/>
      <c r="MHS1107" s="15"/>
      <c r="MHT1107" s="15"/>
      <c r="MHW1107" s="15"/>
      <c r="MHX1107" s="15"/>
      <c r="MIA1107" s="15"/>
      <c r="MIB1107" s="15"/>
      <c r="MIE1107" s="15"/>
      <c r="MIF1107" s="15"/>
      <c r="MII1107" s="15"/>
      <c r="MIJ1107" s="15"/>
      <c r="MIM1107" s="15"/>
      <c r="MIN1107" s="15"/>
      <c r="MIQ1107" s="15"/>
      <c r="MIR1107" s="15"/>
      <c r="MIU1107" s="15"/>
      <c r="MIV1107" s="15"/>
      <c r="MIY1107" s="15"/>
      <c r="MIZ1107" s="15"/>
      <c r="MJC1107" s="15"/>
      <c r="MJD1107" s="15"/>
      <c r="MJG1107" s="15"/>
      <c r="MJH1107" s="15"/>
      <c r="MJK1107" s="15"/>
      <c r="MJL1107" s="15"/>
      <c r="MJO1107" s="15"/>
      <c r="MJP1107" s="15"/>
      <c r="MJS1107" s="15"/>
      <c r="MJT1107" s="15"/>
      <c r="MJW1107" s="15"/>
      <c r="MJX1107" s="15"/>
      <c r="MKA1107" s="15"/>
      <c r="MKB1107" s="15"/>
      <c r="MKE1107" s="15"/>
      <c r="MKF1107" s="15"/>
      <c r="MKI1107" s="15"/>
      <c r="MKJ1107" s="15"/>
      <c r="MKM1107" s="15"/>
      <c r="MKN1107" s="15"/>
      <c r="MKQ1107" s="15"/>
      <c r="MKR1107" s="15"/>
      <c r="MKU1107" s="15"/>
      <c r="MKV1107" s="15"/>
      <c r="MKY1107" s="15"/>
      <c r="MKZ1107" s="15"/>
      <c r="MLC1107" s="15"/>
      <c r="MLD1107" s="15"/>
      <c r="MLG1107" s="15"/>
      <c r="MLH1107" s="15"/>
      <c r="MLK1107" s="15"/>
      <c r="MLL1107" s="15"/>
      <c r="MLO1107" s="15"/>
      <c r="MLP1107" s="15"/>
      <c r="MLS1107" s="15"/>
      <c r="MLT1107" s="15"/>
      <c r="MLW1107" s="15"/>
      <c r="MLX1107" s="15"/>
      <c r="MMA1107" s="15"/>
      <c r="MMB1107" s="15"/>
      <c r="MME1107" s="15"/>
      <c r="MMF1107" s="15"/>
      <c r="MMI1107" s="15"/>
      <c r="MMJ1107" s="15"/>
      <c r="MMM1107" s="15"/>
      <c r="MMN1107" s="15"/>
      <c r="MMQ1107" s="15"/>
      <c r="MMR1107" s="15"/>
      <c r="MMU1107" s="15"/>
      <c r="MMV1107" s="15"/>
      <c r="MMY1107" s="15"/>
      <c r="MMZ1107" s="15"/>
      <c r="MNC1107" s="15"/>
      <c r="MND1107" s="15"/>
      <c r="MNG1107" s="15"/>
      <c r="MNH1107" s="15"/>
      <c r="MNK1107" s="15"/>
      <c r="MNL1107" s="15"/>
      <c r="MNO1107" s="15"/>
      <c r="MNP1107" s="15"/>
      <c r="MNS1107" s="15"/>
      <c r="MNT1107" s="15"/>
      <c r="MNW1107" s="15"/>
      <c r="MNX1107" s="15"/>
      <c r="MOA1107" s="15"/>
      <c r="MOB1107" s="15"/>
      <c r="MOE1107" s="15"/>
      <c r="MOF1107" s="15"/>
      <c r="MOI1107" s="15"/>
      <c r="MOJ1107" s="15"/>
      <c r="MOM1107" s="15"/>
      <c r="MON1107" s="15"/>
      <c r="MOQ1107" s="15"/>
      <c r="MOR1107" s="15"/>
      <c r="MOU1107" s="15"/>
      <c r="MOV1107" s="15"/>
      <c r="MOY1107" s="15"/>
      <c r="MOZ1107" s="15"/>
      <c r="MPC1107" s="15"/>
      <c r="MPD1107" s="15"/>
      <c r="MPG1107" s="15"/>
      <c r="MPH1107" s="15"/>
      <c r="MPK1107" s="15"/>
      <c r="MPL1107" s="15"/>
      <c r="MPO1107" s="15"/>
      <c r="MPP1107" s="15"/>
      <c r="MPS1107" s="15"/>
      <c r="MPT1107" s="15"/>
      <c r="MPW1107" s="15"/>
      <c r="MPX1107" s="15"/>
      <c r="MQA1107" s="15"/>
      <c r="MQB1107" s="15"/>
      <c r="MQE1107" s="15"/>
      <c r="MQF1107" s="15"/>
      <c r="MQI1107" s="15"/>
      <c r="MQJ1107" s="15"/>
      <c r="MQM1107" s="15"/>
      <c r="MQN1107" s="15"/>
      <c r="MQQ1107" s="15"/>
      <c r="MQR1107" s="15"/>
      <c r="MQU1107" s="15"/>
      <c r="MQV1107" s="15"/>
      <c r="MQY1107" s="15"/>
      <c r="MQZ1107" s="15"/>
      <c r="MRC1107" s="15"/>
      <c r="MRD1107" s="15"/>
      <c r="MRG1107" s="15"/>
      <c r="MRH1107" s="15"/>
      <c r="MRK1107" s="15"/>
      <c r="MRL1107" s="15"/>
      <c r="MRO1107" s="15"/>
      <c r="MRP1107" s="15"/>
      <c r="MRS1107" s="15"/>
      <c r="MRT1107" s="15"/>
      <c r="MRW1107" s="15"/>
      <c r="MRX1107" s="15"/>
      <c r="MSA1107" s="15"/>
      <c r="MSB1107" s="15"/>
      <c r="MSE1107" s="15"/>
      <c r="MSF1107" s="15"/>
      <c r="MSI1107" s="15"/>
      <c r="MSJ1107" s="15"/>
      <c r="MSM1107" s="15"/>
      <c r="MSN1107" s="15"/>
      <c r="MSQ1107" s="15"/>
      <c r="MSR1107" s="15"/>
      <c r="MSU1107" s="15"/>
      <c r="MSV1107" s="15"/>
      <c r="MSY1107" s="15"/>
      <c r="MSZ1107" s="15"/>
      <c r="MTC1107" s="15"/>
      <c r="MTD1107" s="15"/>
      <c r="MTG1107" s="15"/>
      <c r="MTH1107" s="15"/>
      <c r="MTK1107" s="15"/>
      <c r="MTL1107" s="15"/>
      <c r="MTO1107" s="15"/>
      <c r="MTP1107" s="15"/>
      <c r="MTS1107" s="15"/>
      <c r="MTT1107" s="15"/>
      <c r="MTW1107" s="15"/>
      <c r="MTX1107" s="15"/>
      <c r="MUA1107" s="15"/>
      <c r="MUB1107" s="15"/>
      <c r="MUE1107" s="15"/>
      <c r="MUF1107" s="15"/>
      <c r="MUI1107" s="15"/>
      <c r="MUJ1107" s="15"/>
      <c r="MUM1107" s="15"/>
      <c r="MUN1107" s="15"/>
      <c r="MUQ1107" s="15"/>
      <c r="MUR1107" s="15"/>
      <c r="MUU1107" s="15"/>
      <c r="MUV1107" s="15"/>
      <c r="MUY1107" s="15"/>
      <c r="MUZ1107" s="15"/>
      <c r="MVC1107" s="15"/>
      <c r="MVD1107" s="15"/>
      <c r="MVG1107" s="15"/>
      <c r="MVH1107" s="15"/>
      <c r="MVK1107" s="15"/>
      <c r="MVL1107" s="15"/>
      <c r="MVO1107" s="15"/>
      <c r="MVP1107" s="15"/>
      <c r="MVS1107" s="15"/>
      <c r="MVT1107" s="15"/>
      <c r="MVW1107" s="15"/>
      <c r="MVX1107" s="15"/>
      <c r="MWA1107" s="15"/>
      <c r="MWB1107" s="15"/>
      <c r="MWE1107" s="15"/>
      <c r="MWF1107" s="15"/>
      <c r="MWI1107" s="15"/>
      <c r="MWJ1107" s="15"/>
      <c r="MWM1107" s="15"/>
      <c r="MWN1107" s="15"/>
      <c r="MWQ1107" s="15"/>
      <c r="MWR1107" s="15"/>
      <c r="MWU1107" s="15"/>
      <c r="MWV1107" s="15"/>
      <c r="MWY1107" s="15"/>
      <c r="MWZ1107" s="15"/>
      <c r="MXC1107" s="15"/>
      <c r="MXD1107" s="15"/>
      <c r="MXG1107" s="15"/>
      <c r="MXH1107" s="15"/>
      <c r="MXK1107" s="15"/>
      <c r="MXL1107" s="15"/>
      <c r="MXO1107" s="15"/>
      <c r="MXP1107" s="15"/>
      <c r="MXS1107" s="15"/>
      <c r="MXT1107" s="15"/>
      <c r="MXW1107" s="15"/>
      <c r="MXX1107" s="15"/>
      <c r="MYA1107" s="15"/>
      <c r="MYB1107" s="15"/>
      <c r="MYE1107" s="15"/>
      <c r="MYF1107" s="15"/>
      <c r="MYI1107" s="15"/>
      <c r="MYJ1107" s="15"/>
      <c r="MYM1107" s="15"/>
      <c r="MYN1107" s="15"/>
      <c r="MYQ1107" s="15"/>
      <c r="MYR1107" s="15"/>
      <c r="MYU1107" s="15"/>
      <c r="MYV1107" s="15"/>
      <c r="MYY1107" s="15"/>
      <c r="MYZ1107" s="15"/>
      <c r="MZC1107" s="15"/>
      <c r="MZD1107" s="15"/>
      <c r="MZG1107" s="15"/>
      <c r="MZH1107" s="15"/>
      <c r="MZK1107" s="15"/>
      <c r="MZL1107" s="15"/>
      <c r="MZO1107" s="15"/>
      <c r="MZP1107" s="15"/>
      <c r="MZS1107" s="15"/>
      <c r="MZT1107" s="15"/>
      <c r="MZW1107" s="15"/>
      <c r="MZX1107" s="15"/>
      <c r="NAA1107" s="15"/>
      <c r="NAB1107" s="15"/>
      <c r="NAE1107" s="15"/>
      <c r="NAF1107" s="15"/>
      <c r="NAI1107" s="15"/>
      <c r="NAJ1107" s="15"/>
      <c r="NAM1107" s="15"/>
      <c r="NAN1107" s="15"/>
      <c r="NAQ1107" s="15"/>
      <c r="NAR1107" s="15"/>
      <c r="NAU1107" s="15"/>
      <c r="NAV1107" s="15"/>
      <c r="NAY1107" s="15"/>
      <c r="NAZ1107" s="15"/>
      <c r="NBC1107" s="15"/>
      <c r="NBD1107" s="15"/>
      <c r="NBG1107" s="15"/>
      <c r="NBH1107" s="15"/>
      <c r="NBK1107" s="15"/>
      <c r="NBL1107" s="15"/>
      <c r="NBO1107" s="15"/>
      <c r="NBP1107" s="15"/>
      <c r="NBS1107" s="15"/>
      <c r="NBT1107" s="15"/>
      <c r="NBW1107" s="15"/>
      <c r="NBX1107" s="15"/>
      <c r="NCA1107" s="15"/>
      <c r="NCB1107" s="15"/>
      <c r="NCE1107" s="15"/>
      <c r="NCF1107" s="15"/>
      <c r="NCI1107" s="15"/>
      <c r="NCJ1107" s="15"/>
      <c r="NCM1107" s="15"/>
      <c r="NCN1107" s="15"/>
      <c r="NCQ1107" s="15"/>
      <c r="NCR1107" s="15"/>
      <c r="NCU1107" s="15"/>
      <c r="NCV1107" s="15"/>
      <c r="NCY1107" s="15"/>
      <c r="NCZ1107" s="15"/>
      <c r="NDC1107" s="15"/>
      <c r="NDD1107" s="15"/>
      <c r="NDG1107" s="15"/>
      <c r="NDH1107" s="15"/>
      <c r="NDK1107" s="15"/>
      <c r="NDL1107" s="15"/>
      <c r="NDO1107" s="15"/>
      <c r="NDP1107" s="15"/>
      <c r="NDS1107" s="15"/>
      <c r="NDT1107" s="15"/>
      <c r="NDW1107" s="15"/>
      <c r="NDX1107" s="15"/>
      <c r="NEA1107" s="15"/>
      <c r="NEB1107" s="15"/>
      <c r="NEE1107" s="15"/>
      <c r="NEF1107" s="15"/>
      <c r="NEI1107" s="15"/>
      <c r="NEJ1107" s="15"/>
      <c r="NEM1107" s="15"/>
      <c r="NEN1107" s="15"/>
      <c r="NEQ1107" s="15"/>
      <c r="NER1107" s="15"/>
      <c r="NEU1107" s="15"/>
      <c r="NEV1107" s="15"/>
      <c r="NEY1107" s="15"/>
      <c r="NEZ1107" s="15"/>
      <c r="NFC1107" s="15"/>
      <c r="NFD1107" s="15"/>
      <c r="NFG1107" s="15"/>
      <c r="NFH1107" s="15"/>
      <c r="NFK1107" s="15"/>
      <c r="NFL1107" s="15"/>
      <c r="NFO1107" s="15"/>
      <c r="NFP1107" s="15"/>
      <c r="NFS1107" s="15"/>
      <c r="NFT1107" s="15"/>
      <c r="NFW1107" s="15"/>
      <c r="NFX1107" s="15"/>
      <c r="NGA1107" s="15"/>
      <c r="NGB1107" s="15"/>
      <c r="NGE1107" s="15"/>
      <c r="NGF1107" s="15"/>
      <c r="NGI1107" s="15"/>
      <c r="NGJ1107" s="15"/>
      <c r="NGM1107" s="15"/>
      <c r="NGN1107" s="15"/>
      <c r="NGQ1107" s="15"/>
      <c r="NGR1107" s="15"/>
      <c r="NGU1107" s="15"/>
      <c r="NGV1107" s="15"/>
      <c r="NGY1107" s="15"/>
      <c r="NGZ1107" s="15"/>
      <c r="NHC1107" s="15"/>
      <c r="NHD1107" s="15"/>
      <c r="NHG1107" s="15"/>
      <c r="NHH1107" s="15"/>
      <c r="NHK1107" s="15"/>
      <c r="NHL1107" s="15"/>
      <c r="NHO1107" s="15"/>
      <c r="NHP1107" s="15"/>
      <c r="NHS1107" s="15"/>
      <c r="NHT1107" s="15"/>
      <c r="NHW1107" s="15"/>
      <c r="NHX1107" s="15"/>
      <c r="NIA1107" s="15"/>
      <c r="NIB1107" s="15"/>
      <c r="NIE1107" s="15"/>
      <c r="NIF1107" s="15"/>
      <c r="NII1107" s="15"/>
      <c r="NIJ1107" s="15"/>
      <c r="NIM1107" s="15"/>
      <c r="NIN1107" s="15"/>
      <c r="NIQ1107" s="15"/>
      <c r="NIR1107" s="15"/>
      <c r="NIU1107" s="15"/>
      <c r="NIV1107" s="15"/>
      <c r="NIY1107" s="15"/>
      <c r="NIZ1107" s="15"/>
      <c r="NJC1107" s="15"/>
      <c r="NJD1107" s="15"/>
      <c r="NJG1107" s="15"/>
      <c r="NJH1107" s="15"/>
      <c r="NJK1107" s="15"/>
      <c r="NJL1107" s="15"/>
      <c r="NJO1107" s="15"/>
      <c r="NJP1107" s="15"/>
      <c r="NJS1107" s="15"/>
      <c r="NJT1107" s="15"/>
      <c r="NJW1107" s="15"/>
      <c r="NJX1107" s="15"/>
      <c r="NKA1107" s="15"/>
      <c r="NKB1107" s="15"/>
      <c r="NKE1107" s="15"/>
      <c r="NKF1107" s="15"/>
      <c r="NKI1107" s="15"/>
      <c r="NKJ1107" s="15"/>
      <c r="NKM1107" s="15"/>
      <c r="NKN1107" s="15"/>
      <c r="NKQ1107" s="15"/>
      <c r="NKR1107" s="15"/>
      <c r="NKU1107" s="15"/>
      <c r="NKV1107" s="15"/>
      <c r="NKY1107" s="15"/>
      <c r="NKZ1107" s="15"/>
      <c r="NLC1107" s="15"/>
      <c r="NLD1107" s="15"/>
      <c r="NLG1107" s="15"/>
      <c r="NLH1107" s="15"/>
      <c r="NLK1107" s="15"/>
      <c r="NLL1107" s="15"/>
      <c r="NLO1107" s="15"/>
      <c r="NLP1107" s="15"/>
      <c r="NLS1107" s="15"/>
      <c r="NLT1107" s="15"/>
      <c r="NLW1107" s="15"/>
      <c r="NLX1107" s="15"/>
      <c r="NMA1107" s="15"/>
      <c r="NMB1107" s="15"/>
      <c r="NME1107" s="15"/>
      <c r="NMF1107" s="15"/>
      <c r="NMI1107" s="15"/>
      <c r="NMJ1107" s="15"/>
      <c r="NMM1107" s="15"/>
      <c r="NMN1107" s="15"/>
      <c r="NMQ1107" s="15"/>
      <c r="NMR1107" s="15"/>
      <c r="NMU1107" s="15"/>
      <c r="NMV1107" s="15"/>
      <c r="NMY1107" s="15"/>
      <c r="NMZ1107" s="15"/>
      <c r="NNC1107" s="15"/>
      <c r="NND1107" s="15"/>
      <c r="NNG1107" s="15"/>
      <c r="NNH1107" s="15"/>
      <c r="NNK1107" s="15"/>
      <c r="NNL1107" s="15"/>
      <c r="NNO1107" s="15"/>
      <c r="NNP1107" s="15"/>
      <c r="NNS1107" s="15"/>
      <c r="NNT1107" s="15"/>
      <c r="NNW1107" s="15"/>
      <c r="NNX1107" s="15"/>
      <c r="NOA1107" s="15"/>
      <c r="NOB1107" s="15"/>
      <c r="NOE1107" s="15"/>
      <c r="NOF1107" s="15"/>
      <c r="NOI1107" s="15"/>
      <c r="NOJ1107" s="15"/>
      <c r="NOM1107" s="15"/>
      <c r="NON1107" s="15"/>
      <c r="NOQ1107" s="15"/>
      <c r="NOR1107" s="15"/>
      <c r="NOU1107" s="15"/>
      <c r="NOV1107" s="15"/>
      <c r="NOY1107" s="15"/>
      <c r="NOZ1107" s="15"/>
      <c r="NPC1107" s="15"/>
      <c r="NPD1107" s="15"/>
      <c r="NPG1107" s="15"/>
      <c r="NPH1107" s="15"/>
      <c r="NPK1107" s="15"/>
      <c r="NPL1107" s="15"/>
      <c r="NPO1107" s="15"/>
      <c r="NPP1107" s="15"/>
      <c r="NPS1107" s="15"/>
      <c r="NPT1107" s="15"/>
      <c r="NPW1107" s="15"/>
      <c r="NPX1107" s="15"/>
      <c r="NQA1107" s="15"/>
      <c r="NQB1107" s="15"/>
      <c r="NQE1107" s="15"/>
      <c r="NQF1107" s="15"/>
      <c r="NQI1107" s="15"/>
      <c r="NQJ1107" s="15"/>
      <c r="NQM1107" s="15"/>
      <c r="NQN1107" s="15"/>
      <c r="NQQ1107" s="15"/>
      <c r="NQR1107" s="15"/>
      <c r="NQU1107" s="15"/>
      <c r="NQV1107" s="15"/>
      <c r="NQY1107" s="15"/>
      <c r="NQZ1107" s="15"/>
      <c r="NRC1107" s="15"/>
      <c r="NRD1107" s="15"/>
      <c r="NRG1107" s="15"/>
      <c r="NRH1107" s="15"/>
      <c r="NRK1107" s="15"/>
      <c r="NRL1107" s="15"/>
      <c r="NRO1107" s="15"/>
      <c r="NRP1107" s="15"/>
      <c r="NRS1107" s="15"/>
      <c r="NRT1107" s="15"/>
      <c r="NRW1107" s="15"/>
      <c r="NRX1107" s="15"/>
      <c r="NSA1107" s="15"/>
      <c r="NSB1107" s="15"/>
      <c r="NSE1107" s="15"/>
      <c r="NSF1107" s="15"/>
      <c r="NSI1107" s="15"/>
      <c r="NSJ1107" s="15"/>
      <c r="NSM1107" s="15"/>
      <c r="NSN1107" s="15"/>
      <c r="NSQ1107" s="15"/>
      <c r="NSR1107" s="15"/>
      <c r="NSU1107" s="15"/>
      <c r="NSV1107" s="15"/>
      <c r="NSY1107" s="15"/>
      <c r="NSZ1107" s="15"/>
      <c r="NTC1107" s="15"/>
      <c r="NTD1107" s="15"/>
      <c r="NTG1107" s="15"/>
      <c r="NTH1107" s="15"/>
      <c r="NTK1107" s="15"/>
      <c r="NTL1107" s="15"/>
      <c r="NTO1107" s="15"/>
      <c r="NTP1107" s="15"/>
      <c r="NTS1107" s="15"/>
      <c r="NTT1107" s="15"/>
      <c r="NTW1107" s="15"/>
      <c r="NTX1107" s="15"/>
      <c r="NUA1107" s="15"/>
      <c r="NUB1107" s="15"/>
      <c r="NUE1107" s="15"/>
      <c r="NUF1107" s="15"/>
      <c r="NUI1107" s="15"/>
      <c r="NUJ1107" s="15"/>
      <c r="NUM1107" s="15"/>
      <c r="NUN1107" s="15"/>
      <c r="NUQ1107" s="15"/>
      <c r="NUR1107" s="15"/>
      <c r="NUU1107" s="15"/>
      <c r="NUV1107" s="15"/>
      <c r="NUY1107" s="15"/>
      <c r="NUZ1107" s="15"/>
      <c r="NVC1107" s="15"/>
      <c r="NVD1107" s="15"/>
      <c r="NVG1107" s="15"/>
      <c r="NVH1107" s="15"/>
      <c r="NVK1107" s="15"/>
      <c r="NVL1107" s="15"/>
      <c r="NVO1107" s="15"/>
      <c r="NVP1107" s="15"/>
      <c r="NVS1107" s="15"/>
      <c r="NVT1107" s="15"/>
      <c r="NVW1107" s="15"/>
      <c r="NVX1107" s="15"/>
      <c r="NWA1107" s="15"/>
      <c r="NWB1107" s="15"/>
      <c r="NWE1107" s="15"/>
      <c r="NWF1107" s="15"/>
      <c r="NWI1107" s="15"/>
      <c r="NWJ1107" s="15"/>
      <c r="NWM1107" s="15"/>
      <c r="NWN1107" s="15"/>
      <c r="NWQ1107" s="15"/>
      <c r="NWR1107" s="15"/>
      <c r="NWU1107" s="15"/>
      <c r="NWV1107" s="15"/>
      <c r="NWY1107" s="15"/>
      <c r="NWZ1107" s="15"/>
      <c r="NXC1107" s="15"/>
      <c r="NXD1107" s="15"/>
      <c r="NXG1107" s="15"/>
      <c r="NXH1107" s="15"/>
      <c r="NXK1107" s="15"/>
      <c r="NXL1107" s="15"/>
      <c r="NXO1107" s="15"/>
      <c r="NXP1107" s="15"/>
      <c r="NXS1107" s="15"/>
      <c r="NXT1107" s="15"/>
      <c r="NXW1107" s="15"/>
      <c r="NXX1107" s="15"/>
      <c r="NYA1107" s="15"/>
      <c r="NYB1107" s="15"/>
      <c r="NYE1107" s="15"/>
      <c r="NYF1107" s="15"/>
      <c r="NYI1107" s="15"/>
      <c r="NYJ1107" s="15"/>
      <c r="NYM1107" s="15"/>
      <c r="NYN1107" s="15"/>
      <c r="NYQ1107" s="15"/>
      <c r="NYR1107" s="15"/>
      <c r="NYU1107" s="15"/>
      <c r="NYV1107" s="15"/>
      <c r="NYY1107" s="15"/>
      <c r="NYZ1107" s="15"/>
      <c r="NZC1107" s="15"/>
      <c r="NZD1107" s="15"/>
      <c r="NZG1107" s="15"/>
      <c r="NZH1107" s="15"/>
      <c r="NZK1107" s="15"/>
      <c r="NZL1107" s="15"/>
      <c r="NZO1107" s="15"/>
      <c r="NZP1107" s="15"/>
      <c r="NZS1107" s="15"/>
      <c r="NZT1107" s="15"/>
      <c r="NZW1107" s="15"/>
      <c r="NZX1107" s="15"/>
      <c r="OAA1107" s="15"/>
      <c r="OAB1107" s="15"/>
      <c r="OAE1107" s="15"/>
      <c r="OAF1107" s="15"/>
      <c r="OAI1107" s="15"/>
      <c r="OAJ1107" s="15"/>
      <c r="OAM1107" s="15"/>
      <c r="OAN1107" s="15"/>
      <c r="OAQ1107" s="15"/>
      <c r="OAR1107" s="15"/>
      <c r="OAU1107" s="15"/>
      <c r="OAV1107" s="15"/>
      <c r="OAY1107" s="15"/>
      <c r="OAZ1107" s="15"/>
      <c r="OBC1107" s="15"/>
      <c r="OBD1107" s="15"/>
      <c r="OBG1107" s="15"/>
      <c r="OBH1107" s="15"/>
      <c r="OBK1107" s="15"/>
      <c r="OBL1107" s="15"/>
      <c r="OBO1107" s="15"/>
      <c r="OBP1107" s="15"/>
      <c r="OBS1107" s="15"/>
      <c r="OBT1107" s="15"/>
      <c r="OBW1107" s="15"/>
      <c r="OBX1107" s="15"/>
      <c r="OCA1107" s="15"/>
      <c r="OCB1107" s="15"/>
      <c r="OCE1107" s="15"/>
      <c r="OCF1107" s="15"/>
      <c r="OCI1107" s="15"/>
      <c r="OCJ1107" s="15"/>
      <c r="OCM1107" s="15"/>
      <c r="OCN1107" s="15"/>
      <c r="OCQ1107" s="15"/>
      <c r="OCR1107" s="15"/>
      <c r="OCU1107" s="15"/>
      <c r="OCV1107" s="15"/>
      <c r="OCY1107" s="15"/>
      <c r="OCZ1107" s="15"/>
      <c r="ODC1107" s="15"/>
      <c r="ODD1107" s="15"/>
      <c r="ODG1107" s="15"/>
      <c r="ODH1107" s="15"/>
      <c r="ODK1107" s="15"/>
      <c r="ODL1107" s="15"/>
      <c r="ODO1107" s="15"/>
      <c r="ODP1107" s="15"/>
      <c r="ODS1107" s="15"/>
      <c r="ODT1107" s="15"/>
      <c r="ODW1107" s="15"/>
      <c r="ODX1107" s="15"/>
      <c r="OEA1107" s="15"/>
      <c r="OEB1107" s="15"/>
      <c r="OEE1107" s="15"/>
      <c r="OEF1107" s="15"/>
      <c r="OEI1107" s="15"/>
      <c r="OEJ1107" s="15"/>
      <c r="OEM1107" s="15"/>
      <c r="OEN1107" s="15"/>
      <c r="OEQ1107" s="15"/>
      <c r="OER1107" s="15"/>
      <c r="OEU1107" s="15"/>
      <c r="OEV1107" s="15"/>
      <c r="OEY1107" s="15"/>
      <c r="OEZ1107" s="15"/>
      <c r="OFC1107" s="15"/>
      <c r="OFD1107" s="15"/>
      <c r="OFG1107" s="15"/>
      <c r="OFH1107" s="15"/>
      <c r="OFK1107" s="15"/>
      <c r="OFL1107" s="15"/>
      <c r="OFO1107" s="15"/>
      <c r="OFP1107" s="15"/>
      <c r="OFS1107" s="15"/>
      <c r="OFT1107" s="15"/>
      <c r="OFW1107" s="15"/>
      <c r="OFX1107" s="15"/>
      <c r="OGA1107" s="15"/>
      <c r="OGB1107" s="15"/>
      <c r="OGE1107" s="15"/>
      <c r="OGF1107" s="15"/>
      <c r="OGI1107" s="15"/>
      <c r="OGJ1107" s="15"/>
      <c r="OGM1107" s="15"/>
      <c r="OGN1107" s="15"/>
      <c r="OGQ1107" s="15"/>
      <c r="OGR1107" s="15"/>
      <c r="OGU1107" s="15"/>
      <c r="OGV1107" s="15"/>
      <c r="OGY1107" s="15"/>
      <c r="OGZ1107" s="15"/>
      <c r="OHC1107" s="15"/>
      <c r="OHD1107" s="15"/>
      <c r="OHG1107" s="15"/>
      <c r="OHH1107" s="15"/>
      <c r="OHK1107" s="15"/>
      <c r="OHL1107" s="15"/>
      <c r="OHO1107" s="15"/>
      <c r="OHP1107" s="15"/>
      <c r="OHS1107" s="15"/>
      <c r="OHT1107" s="15"/>
      <c r="OHW1107" s="15"/>
      <c r="OHX1107" s="15"/>
      <c r="OIA1107" s="15"/>
      <c r="OIB1107" s="15"/>
      <c r="OIE1107" s="15"/>
      <c r="OIF1107" s="15"/>
      <c r="OII1107" s="15"/>
      <c r="OIJ1107" s="15"/>
      <c r="OIM1107" s="15"/>
      <c r="OIN1107" s="15"/>
      <c r="OIQ1107" s="15"/>
      <c r="OIR1107" s="15"/>
      <c r="OIU1107" s="15"/>
      <c r="OIV1107" s="15"/>
      <c r="OIY1107" s="15"/>
      <c r="OIZ1107" s="15"/>
      <c r="OJC1107" s="15"/>
      <c r="OJD1107" s="15"/>
      <c r="OJG1107" s="15"/>
      <c r="OJH1107" s="15"/>
      <c r="OJK1107" s="15"/>
      <c r="OJL1107" s="15"/>
      <c r="OJO1107" s="15"/>
      <c r="OJP1107" s="15"/>
      <c r="OJS1107" s="15"/>
      <c r="OJT1107" s="15"/>
      <c r="OJW1107" s="15"/>
      <c r="OJX1107" s="15"/>
      <c r="OKA1107" s="15"/>
      <c r="OKB1107" s="15"/>
      <c r="OKE1107" s="15"/>
      <c r="OKF1107" s="15"/>
      <c r="OKI1107" s="15"/>
      <c r="OKJ1107" s="15"/>
      <c r="OKM1107" s="15"/>
      <c r="OKN1107" s="15"/>
      <c r="OKQ1107" s="15"/>
      <c r="OKR1107" s="15"/>
      <c r="OKU1107" s="15"/>
      <c r="OKV1107" s="15"/>
      <c r="OKY1107" s="15"/>
      <c r="OKZ1107" s="15"/>
      <c r="OLC1107" s="15"/>
      <c r="OLD1107" s="15"/>
      <c r="OLG1107" s="15"/>
      <c r="OLH1107" s="15"/>
      <c r="OLK1107" s="15"/>
      <c r="OLL1107" s="15"/>
      <c r="OLO1107" s="15"/>
      <c r="OLP1107" s="15"/>
      <c r="OLS1107" s="15"/>
      <c r="OLT1107" s="15"/>
      <c r="OLW1107" s="15"/>
      <c r="OLX1107" s="15"/>
      <c r="OMA1107" s="15"/>
      <c r="OMB1107" s="15"/>
      <c r="OME1107" s="15"/>
      <c r="OMF1107" s="15"/>
      <c r="OMI1107" s="15"/>
      <c r="OMJ1107" s="15"/>
      <c r="OMM1107" s="15"/>
      <c r="OMN1107" s="15"/>
      <c r="OMQ1107" s="15"/>
      <c r="OMR1107" s="15"/>
      <c r="OMU1107" s="15"/>
      <c r="OMV1107" s="15"/>
      <c r="OMY1107" s="15"/>
      <c r="OMZ1107" s="15"/>
      <c r="ONC1107" s="15"/>
      <c r="OND1107" s="15"/>
      <c r="ONG1107" s="15"/>
      <c r="ONH1107" s="15"/>
      <c r="ONK1107" s="15"/>
      <c r="ONL1107" s="15"/>
      <c r="ONO1107" s="15"/>
      <c r="ONP1107" s="15"/>
      <c r="ONS1107" s="15"/>
      <c r="ONT1107" s="15"/>
      <c r="ONW1107" s="15"/>
      <c r="ONX1107" s="15"/>
      <c r="OOA1107" s="15"/>
      <c r="OOB1107" s="15"/>
      <c r="OOE1107" s="15"/>
      <c r="OOF1107" s="15"/>
      <c r="OOI1107" s="15"/>
      <c r="OOJ1107" s="15"/>
      <c r="OOM1107" s="15"/>
      <c r="OON1107" s="15"/>
      <c r="OOQ1107" s="15"/>
      <c r="OOR1107" s="15"/>
      <c r="OOU1107" s="15"/>
      <c r="OOV1107" s="15"/>
      <c r="OOY1107" s="15"/>
      <c r="OOZ1107" s="15"/>
      <c r="OPC1107" s="15"/>
      <c r="OPD1107" s="15"/>
      <c r="OPG1107" s="15"/>
      <c r="OPH1107" s="15"/>
      <c r="OPK1107" s="15"/>
      <c r="OPL1107" s="15"/>
      <c r="OPO1107" s="15"/>
      <c r="OPP1107" s="15"/>
      <c r="OPS1107" s="15"/>
      <c r="OPT1107" s="15"/>
      <c r="OPW1107" s="15"/>
      <c r="OPX1107" s="15"/>
      <c r="OQA1107" s="15"/>
      <c r="OQB1107" s="15"/>
      <c r="OQE1107" s="15"/>
      <c r="OQF1107" s="15"/>
      <c r="OQI1107" s="15"/>
      <c r="OQJ1107" s="15"/>
      <c r="OQM1107" s="15"/>
      <c r="OQN1107" s="15"/>
      <c r="OQQ1107" s="15"/>
      <c r="OQR1107" s="15"/>
      <c r="OQU1107" s="15"/>
      <c r="OQV1107" s="15"/>
      <c r="OQY1107" s="15"/>
      <c r="OQZ1107" s="15"/>
      <c r="ORC1107" s="15"/>
      <c r="ORD1107" s="15"/>
      <c r="ORG1107" s="15"/>
      <c r="ORH1107" s="15"/>
      <c r="ORK1107" s="15"/>
      <c r="ORL1107" s="15"/>
      <c r="ORO1107" s="15"/>
      <c r="ORP1107" s="15"/>
      <c r="ORS1107" s="15"/>
      <c r="ORT1107" s="15"/>
      <c r="ORW1107" s="15"/>
      <c r="ORX1107" s="15"/>
      <c r="OSA1107" s="15"/>
      <c r="OSB1107" s="15"/>
      <c r="OSE1107" s="15"/>
      <c r="OSF1107" s="15"/>
      <c r="OSI1107" s="15"/>
      <c r="OSJ1107" s="15"/>
      <c r="OSM1107" s="15"/>
      <c r="OSN1107" s="15"/>
      <c r="OSQ1107" s="15"/>
      <c r="OSR1107" s="15"/>
      <c r="OSU1107" s="15"/>
      <c r="OSV1107" s="15"/>
      <c r="OSY1107" s="15"/>
      <c r="OSZ1107" s="15"/>
      <c r="OTC1107" s="15"/>
      <c r="OTD1107" s="15"/>
      <c r="OTG1107" s="15"/>
      <c r="OTH1107" s="15"/>
      <c r="OTK1107" s="15"/>
      <c r="OTL1107" s="15"/>
      <c r="OTO1107" s="15"/>
      <c r="OTP1107" s="15"/>
      <c r="OTS1107" s="15"/>
      <c r="OTT1107" s="15"/>
      <c r="OTW1107" s="15"/>
      <c r="OTX1107" s="15"/>
      <c r="OUA1107" s="15"/>
      <c r="OUB1107" s="15"/>
      <c r="OUE1107" s="15"/>
      <c r="OUF1107" s="15"/>
      <c r="OUI1107" s="15"/>
      <c r="OUJ1107" s="15"/>
      <c r="OUM1107" s="15"/>
      <c r="OUN1107" s="15"/>
      <c r="OUQ1107" s="15"/>
      <c r="OUR1107" s="15"/>
      <c r="OUU1107" s="15"/>
      <c r="OUV1107" s="15"/>
      <c r="OUY1107" s="15"/>
      <c r="OUZ1107" s="15"/>
      <c r="OVC1107" s="15"/>
      <c r="OVD1107" s="15"/>
      <c r="OVG1107" s="15"/>
      <c r="OVH1107" s="15"/>
      <c r="OVK1107" s="15"/>
      <c r="OVL1107" s="15"/>
      <c r="OVO1107" s="15"/>
      <c r="OVP1107" s="15"/>
      <c r="OVS1107" s="15"/>
      <c r="OVT1107" s="15"/>
      <c r="OVW1107" s="15"/>
      <c r="OVX1107" s="15"/>
      <c r="OWA1107" s="15"/>
      <c r="OWB1107" s="15"/>
      <c r="OWE1107" s="15"/>
      <c r="OWF1107" s="15"/>
      <c r="OWI1107" s="15"/>
      <c r="OWJ1107" s="15"/>
      <c r="OWM1107" s="15"/>
      <c r="OWN1107" s="15"/>
      <c r="OWQ1107" s="15"/>
      <c r="OWR1107" s="15"/>
      <c r="OWU1107" s="15"/>
      <c r="OWV1107" s="15"/>
      <c r="OWY1107" s="15"/>
      <c r="OWZ1107" s="15"/>
      <c r="OXC1107" s="15"/>
      <c r="OXD1107" s="15"/>
      <c r="OXG1107" s="15"/>
      <c r="OXH1107" s="15"/>
      <c r="OXK1107" s="15"/>
      <c r="OXL1107" s="15"/>
      <c r="OXO1107" s="15"/>
      <c r="OXP1107" s="15"/>
      <c r="OXS1107" s="15"/>
      <c r="OXT1107" s="15"/>
      <c r="OXW1107" s="15"/>
      <c r="OXX1107" s="15"/>
      <c r="OYA1107" s="15"/>
      <c r="OYB1107" s="15"/>
      <c r="OYE1107" s="15"/>
      <c r="OYF1107" s="15"/>
      <c r="OYI1107" s="15"/>
      <c r="OYJ1107" s="15"/>
      <c r="OYM1107" s="15"/>
      <c r="OYN1107" s="15"/>
      <c r="OYQ1107" s="15"/>
      <c r="OYR1107" s="15"/>
      <c r="OYU1107" s="15"/>
      <c r="OYV1107" s="15"/>
      <c r="OYY1107" s="15"/>
      <c r="OYZ1107" s="15"/>
      <c r="OZC1107" s="15"/>
      <c r="OZD1107" s="15"/>
      <c r="OZG1107" s="15"/>
      <c r="OZH1107" s="15"/>
      <c r="OZK1107" s="15"/>
      <c r="OZL1107" s="15"/>
      <c r="OZO1107" s="15"/>
      <c r="OZP1107" s="15"/>
      <c r="OZS1107" s="15"/>
      <c r="OZT1107" s="15"/>
      <c r="OZW1107" s="15"/>
      <c r="OZX1107" s="15"/>
      <c r="PAA1107" s="15"/>
      <c r="PAB1107" s="15"/>
      <c r="PAE1107" s="15"/>
      <c r="PAF1107" s="15"/>
      <c r="PAI1107" s="15"/>
      <c r="PAJ1107" s="15"/>
      <c r="PAM1107" s="15"/>
      <c r="PAN1107" s="15"/>
      <c r="PAQ1107" s="15"/>
      <c r="PAR1107" s="15"/>
      <c r="PAU1107" s="15"/>
      <c r="PAV1107" s="15"/>
      <c r="PAY1107" s="15"/>
      <c r="PAZ1107" s="15"/>
      <c r="PBC1107" s="15"/>
      <c r="PBD1107" s="15"/>
      <c r="PBG1107" s="15"/>
      <c r="PBH1107" s="15"/>
      <c r="PBK1107" s="15"/>
      <c r="PBL1107" s="15"/>
      <c r="PBO1107" s="15"/>
      <c r="PBP1107" s="15"/>
      <c r="PBS1107" s="15"/>
      <c r="PBT1107" s="15"/>
      <c r="PBW1107" s="15"/>
      <c r="PBX1107" s="15"/>
      <c r="PCA1107" s="15"/>
      <c r="PCB1107" s="15"/>
      <c r="PCE1107" s="15"/>
      <c r="PCF1107" s="15"/>
      <c r="PCI1107" s="15"/>
      <c r="PCJ1107" s="15"/>
      <c r="PCM1107" s="15"/>
      <c r="PCN1107" s="15"/>
      <c r="PCQ1107" s="15"/>
      <c r="PCR1107" s="15"/>
      <c r="PCU1107" s="15"/>
      <c r="PCV1107" s="15"/>
      <c r="PCY1107" s="15"/>
      <c r="PCZ1107" s="15"/>
      <c r="PDC1107" s="15"/>
      <c r="PDD1107" s="15"/>
      <c r="PDG1107" s="15"/>
      <c r="PDH1107" s="15"/>
      <c r="PDK1107" s="15"/>
      <c r="PDL1107" s="15"/>
      <c r="PDO1107" s="15"/>
      <c r="PDP1107" s="15"/>
      <c r="PDS1107" s="15"/>
      <c r="PDT1107" s="15"/>
      <c r="PDW1107" s="15"/>
      <c r="PDX1107" s="15"/>
      <c r="PEA1107" s="15"/>
      <c r="PEB1107" s="15"/>
      <c r="PEE1107" s="15"/>
      <c r="PEF1107" s="15"/>
      <c r="PEI1107" s="15"/>
      <c r="PEJ1107" s="15"/>
      <c r="PEM1107" s="15"/>
      <c r="PEN1107" s="15"/>
      <c r="PEQ1107" s="15"/>
      <c r="PER1107" s="15"/>
      <c r="PEU1107" s="15"/>
      <c r="PEV1107" s="15"/>
      <c r="PEY1107" s="15"/>
      <c r="PEZ1107" s="15"/>
      <c r="PFC1107" s="15"/>
      <c r="PFD1107" s="15"/>
      <c r="PFG1107" s="15"/>
      <c r="PFH1107" s="15"/>
      <c r="PFK1107" s="15"/>
      <c r="PFL1107" s="15"/>
      <c r="PFO1107" s="15"/>
      <c r="PFP1107" s="15"/>
      <c r="PFS1107" s="15"/>
      <c r="PFT1107" s="15"/>
      <c r="PFW1107" s="15"/>
      <c r="PFX1107" s="15"/>
      <c r="PGA1107" s="15"/>
      <c r="PGB1107" s="15"/>
      <c r="PGE1107" s="15"/>
      <c r="PGF1107" s="15"/>
      <c r="PGI1107" s="15"/>
      <c r="PGJ1107" s="15"/>
      <c r="PGM1107" s="15"/>
      <c r="PGN1107" s="15"/>
      <c r="PGQ1107" s="15"/>
      <c r="PGR1107" s="15"/>
      <c r="PGU1107" s="15"/>
      <c r="PGV1107" s="15"/>
      <c r="PGY1107" s="15"/>
      <c r="PGZ1107" s="15"/>
      <c r="PHC1107" s="15"/>
      <c r="PHD1107" s="15"/>
      <c r="PHG1107" s="15"/>
      <c r="PHH1107" s="15"/>
      <c r="PHK1107" s="15"/>
      <c r="PHL1107" s="15"/>
      <c r="PHO1107" s="15"/>
      <c r="PHP1107" s="15"/>
      <c r="PHS1107" s="15"/>
      <c r="PHT1107" s="15"/>
      <c r="PHW1107" s="15"/>
      <c r="PHX1107" s="15"/>
      <c r="PIA1107" s="15"/>
      <c r="PIB1107" s="15"/>
      <c r="PIE1107" s="15"/>
      <c r="PIF1107" s="15"/>
      <c r="PII1107" s="15"/>
      <c r="PIJ1107" s="15"/>
      <c r="PIM1107" s="15"/>
      <c r="PIN1107" s="15"/>
      <c r="PIQ1107" s="15"/>
      <c r="PIR1107" s="15"/>
      <c r="PIU1107" s="15"/>
      <c r="PIV1107" s="15"/>
      <c r="PIY1107" s="15"/>
      <c r="PIZ1107" s="15"/>
      <c r="PJC1107" s="15"/>
      <c r="PJD1107" s="15"/>
      <c r="PJG1107" s="15"/>
      <c r="PJH1107" s="15"/>
      <c r="PJK1107" s="15"/>
      <c r="PJL1107" s="15"/>
      <c r="PJO1107" s="15"/>
      <c r="PJP1107" s="15"/>
      <c r="PJS1107" s="15"/>
      <c r="PJT1107" s="15"/>
      <c r="PJW1107" s="15"/>
      <c r="PJX1107" s="15"/>
      <c r="PKA1107" s="15"/>
      <c r="PKB1107" s="15"/>
      <c r="PKE1107" s="15"/>
      <c r="PKF1107" s="15"/>
      <c r="PKI1107" s="15"/>
      <c r="PKJ1107" s="15"/>
      <c r="PKM1107" s="15"/>
      <c r="PKN1107" s="15"/>
      <c r="PKQ1107" s="15"/>
      <c r="PKR1107" s="15"/>
      <c r="PKU1107" s="15"/>
      <c r="PKV1107" s="15"/>
      <c r="PKY1107" s="15"/>
      <c r="PKZ1107" s="15"/>
      <c r="PLC1107" s="15"/>
      <c r="PLD1107" s="15"/>
      <c r="PLG1107" s="15"/>
      <c r="PLH1107" s="15"/>
      <c r="PLK1107" s="15"/>
      <c r="PLL1107" s="15"/>
      <c r="PLO1107" s="15"/>
      <c r="PLP1107" s="15"/>
      <c r="PLS1107" s="15"/>
      <c r="PLT1107" s="15"/>
      <c r="PLW1107" s="15"/>
      <c r="PLX1107" s="15"/>
      <c r="PMA1107" s="15"/>
      <c r="PMB1107" s="15"/>
      <c r="PME1107" s="15"/>
      <c r="PMF1107" s="15"/>
      <c r="PMI1107" s="15"/>
      <c r="PMJ1107" s="15"/>
      <c r="PMM1107" s="15"/>
      <c r="PMN1107" s="15"/>
      <c r="PMQ1107" s="15"/>
      <c r="PMR1107" s="15"/>
      <c r="PMU1107" s="15"/>
      <c r="PMV1107" s="15"/>
      <c r="PMY1107" s="15"/>
      <c r="PMZ1107" s="15"/>
      <c r="PNC1107" s="15"/>
      <c r="PND1107" s="15"/>
      <c r="PNG1107" s="15"/>
      <c r="PNH1107" s="15"/>
      <c r="PNK1107" s="15"/>
      <c r="PNL1107" s="15"/>
      <c r="PNO1107" s="15"/>
      <c r="PNP1107" s="15"/>
      <c r="PNS1107" s="15"/>
      <c r="PNT1107" s="15"/>
      <c r="PNW1107" s="15"/>
      <c r="PNX1107" s="15"/>
      <c r="POA1107" s="15"/>
      <c r="POB1107" s="15"/>
      <c r="POE1107" s="15"/>
      <c r="POF1107" s="15"/>
      <c r="POI1107" s="15"/>
      <c r="POJ1107" s="15"/>
      <c r="POM1107" s="15"/>
      <c r="PON1107" s="15"/>
      <c r="POQ1107" s="15"/>
      <c r="POR1107" s="15"/>
      <c r="POU1107" s="15"/>
      <c r="POV1107" s="15"/>
      <c r="POY1107" s="15"/>
      <c r="POZ1107" s="15"/>
      <c r="PPC1107" s="15"/>
      <c r="PPD1107" s="15"/>
      <c r="PPG1107" s="15"/>
      <c r="PPH1107" s="15"/>
      <c r="PPK1107" s="15"/>
      <c r="PPL1107" s="15"/>
      <c r="PPO1107" s="15"/>
      <c r="PPP1107" s="15"/>
      <c r="PPS1107" s="15"/>
      <c r="PPT1107" s="15"/>
      <c r="PPW1107" s="15"/>
      <c r="PPX1107" s="15"/>
      <c r="PQA1107" s="15"/>
      <c r="PQB1107" s="15"/>
      <c r="PQE1107" s="15"/>
      <c r="PQF1107" s="15"/>
      <c r="PQI1107" s="15"/>
      <c r="PQJ1107" s="15"/>
      <c r="PQM1107" s="15"/>
      <c r="PQN1107" s="15"/>
      <c r="PQQ1107" s="15"/>
      <c r="PQR1107" s="15"/>
      <c r="PQU1107" s="15"/>
      <c r="PQV1107" s="15"/>
      <c r="PQY1107" s="15"/>
      <c r="PQZ1107" s="15"/>
      <c r="PRC1107" s="15"/>
      <c r="PRD1107" s="15"/>
      <c r="PRG1107" s="15"/>
      <c r="PRH1107" s="15"/>
      <c r="PRK1107" s="15"/>
      <c r="PRL1107" s="15"/>
      <c r="PRO1107" s="15"/>
      <c r="PRP1107" s="15"/>
      <c r="PRS1107" s="15"/>
      <c r="PRT1107" s="15"/>
      <c r="PRW1107" s="15"/>
      <c r="PRX1107" s="15"/>
      <c r="PSA1107" s="15"/>
      <c r="PSB1107" s="15"/>
      <c r="PSE1107" s="15"/>
      <c r="PSF1107" s="15"/>
      <c r="PSI1107" s="15"/>
      <c r="PSJ1107" s="15"/>
      <c r="PSM1107" s="15"/>
      <c r="PSN1107" s="15"/>
      <c r="PSQ1107" s="15"/>
      <c r="PSR1107" s="15"/>
      <c r="PSU1107" s="15"/>
      <c r="PSV1107" s="15"/>
      <c r="PSY1107" s="15"/>
      <c r="PSZ1107" s="15"/>
      <c r="PTC1107" s="15"/>
      <c r="PTD1107" s="15"/>
      <c r="PTG1107" s="15"/>
      <c r="PTH1107" s="15"/>
      <c r="PTK1107" s="15"/>
      <c r="PTL1107" s="15"/>
      <c r="PTO1107" s="15"/>
      <c r="PTP1107" s="15"/>
      <c r="PTS1107" s="15"/>
      <c r="PTT1107" s="15"/>
      <c r="PTW1107" s="15"/>
      <c r="PTX1107" s="15"/>
      <c r="PUA1107" s="15"/>
      <c r="PUB1107" s="15"/>
      <c r="PUE1107" s="15"/>
      <c r="PUF1107" s="15"/>
      <c r="PUI1107" s="15"/>
      <c r="PUJ1107" s="15"/>
      <c r="PUM1107" s="15"/>
      <c r="PUN1107" s="15"/>
      <c r="PUQ1107" s="15"/>
      <c r="PUR1107" s="15"/>
      <c r="PUU1107" s="15"/>
      <c r="PUV1107" s="15"/>
      <c r="PUY1107" s="15"/>
      <c r="PUZ1107" s="15"/>
      <c r="PVC1107" s="15"/>
      <c r="PVD1107" s="15"/>
      <c r="PVG1107" s="15"/>
      <c r="PVH1107" s="15"/>
      <c r="PVK1107" s="15"/>
      <c r="PVL1107" s="15"/>
      <c r="PVO1107" s="15"/>
      <c r="PVP1107" s="15"/>
      <c r="PVS1107" s="15"/>
      <c r="PVT1107" s="15"/>
      <c r="PVW1107" s="15"/>
      <c r="PVX1107" s="15"/>
      <c r="PWA1107" s="15"/>
      <c r="PWB1107" s="15"/>
      <c r="PWE1107" s="15"/>
      <c r="PWF1107" s="15"/>
      <c r="PWI1107" s="15"/>
      <c r="PWJ1107" s="15"/>
      <c r="PWM1107" s="15"/>
      <c r="PWN1107" s="15"/>
      <c r="PWQ1107" s="15"/>
      <c r="PWR1107" s="15"/>
      <c r="PWU1107" s="15"/>
      <c r="PWV1107" s="15"/>
      <c r="PWY1107" s="15"/>
      <c r="PWZ1107" s="15"/>
      <c r="PXC1107" s="15"/>
      <c r="PXD1107" s="15"/>
      <c r="PXG1107" s="15"/>
      <c r="PXH1107" s="15"/>
      <c r="PXK1107" s="15"/>
      <c r="PXL1107" s="15"/>
      <c r="PXO1107" s="15"/>
      <c r="PXP1107" s="15"/>
      <c r="PXS1107" s="15"/>
      <c r="PXT1107" s="15"/>
      <c r="PXW1107" s="15"/>
      <c r="PXX1107" s="15"/>
      <c r="PYA1107" s="15"/>
      <c r="PYB1107" s="15"/>
      <c r="PYE1107" s="15"/>
      <c r="PYF1107" s="15"/>
      <c r="PYI1107" s="15"/>
      <c r="PYJ1107" s="15"/>
      <c r="PYM1107" s="15"/>
      <c r="PYN1107" s="15"/>
      <c r="PYQ1107" s="15"/>
      <c r="PYR1107" s="15"/>
      <c r="PYU1107" s="15"/>
      <c r="PYV1107" s="15"/>
      <c r="PYY1107" s="15"/>
      <c r="PYZ1107" s="15"/>
      <c r="PZC1107" s="15"/>
      <c r="PZD1107" s="15"/>
      <c r="PZG1107" s="15"/>
      <c r="PZH1107" s="15"/>
      <c r="PZK1107" s="15"/>
      <c r="PZL1107" s="15"/>
      <c r="PZO1107" s="15"/>
      <c r="PZP1107" s="15"/>
      <c r="PZS1107" s="15"/>
      <c r="PZT1107" s="15"/>
      <c r="PZW1107" s="15"/>
      <c r="PZX1107" s="15"/>
      <c r="QAA1107" s="15"/>
      <c r="QAB1107" s="15"/>
      <c r="QAE1107" s="15"/>
      <c r="QAF1107" s="15"/>
      <c r="QAI1107" s="15"/>
      <c r="QAJ1107" s="15"/>
      <c r="QAM1107" s="15"/>
      <c r="QAN1107" s="15"/>
      <c r="QAQ1107" s="15"/>
      <c r="QAR1107" s="15"/>
      <c r="QAU1107" s="15"/>
      <c r="QAV1107" s="15"/>
      <c r="QAY1107" s="15"/>
      <c r="QAZ1107" s="15"/>
      <c r="QBC1107" s="15"/>
      <c r="QBD1107" s="15"/>
      <c r="QBG1107" s="15"/>
      <c r="QBH1107" s="15"/>
      <c r="QBK1107" s="15"/>
      <c r="QBL1107" s="15"/>
      <c r="QBO1107" s="15"/>
      <c r="QBP1107" s="15"/>
      <c r="QBS1107" s="15"/>
      <c r="QBT1107" s="15"/>
      <c r="QBW1107" s="15"/>
      <c r="QBX1107" s="15"/>
      <c r="QCA1107" s="15"/>
      <c r="QCB1107" s="15"/>
      <c r="QCE1107" s="15"/>
      <c r="QCF1107" s="15"/>
      <c r="QCI1107" s="15"/>
      <c r="QCJ1107" s="15"/>
      <c r="QCM1107" s="15"/>
      <c r="QCN1107" s="15"/>
      <c r="QCQ1107" s="15"/>
      <c r="QCR1107" s="15"/>
      <c r="QCU1107" s="15"/>
      <c r="QCV1107" s="15"/>
      <c r="QCY1107" s="15"/>
      <c r="QCZ1107" s="15"/>
      <c r="QDC1107" s="15"/>
      <c r="QDD1107" s="15"/>
      <c r="QDG1107" s="15"/>
      <c r="QDH1107" s="15"/>
      <c r="QDK1107" s="15"/>
      <c r="QDL1107" s="15"/>
      <c r="QDO1107" s="15"/>
      <c r="QDP1107" s="15"/>
      <c r="QDS1107" s="15"/>
      <c r="QDT1107" s="15"/>
      <c r="QDW1107" s="15"/>
      <c r="QDX1107" s="15"/>
      <c r="QEA1107" s="15"/>
      <c r="QEB1107" s="15"/>
      <c r="QEE1107" s="15"/>
      <c r="QEF1107" s="15"/>
      <c r="QEI1107" s="15"/>
      <c r="QEJ1107" s="15"/>
      <c r="QEM1107" s="15"/>
      <c r="QEN1107" s="15"/>
      <c r="QEQ1107" s="15"/>
      <c r="QER1107" s="15"/>
      <c r="QEU1107" s="15"/>
      <c r="QEV1107" s="15"/>
      <c r="QEY1107" s="15"/>
      <c r="QEZ1107" s="15"/>
      <c r="QFC1107" s="15"/>
      <c r="QFD1107" s="15"/>
      <c r="QFG1107" s="15"/>
      <c r="QFH1107" s="15"/>
      <c r="QFK1107" s="15"/>
      <c r="QFL1107" s="15"/>
      <c r="QFO1107" s="15"/>
      <c r="QFP1107" s="15"/>
      <c r="QFS1107" s="15"/>
      <c r="QFT1107" s="15"/>
      <c r="QFW1107" s="15"/>
      <c r="QFX1107" s="15"/>
      <c r="QGA1107" s="15"/>
      <c r="QGB1107" s="15"/>
      <c r="QGE1107" s="15"/>
      <c r="QGF1107" s="15"/>
      <c r="QGI1107" s="15"/>
      <c r="QGJ1107" s="15"/>
      <c r="QGM1107" s="15"/>
      <c r="QGN1107" s="15"/>
      <c r="QGQ1107" s="15"/>
      <c r="QGR1107" s="15"/>
      <c r="QGU1107" s="15"/>
      <c r="QGV1107" s="15"/>
      <c r="QGY1107" s="15"/>
      <c r="QGZ1107" s="15"/>
      <c r="QHC1107" s="15"/>
      <c r="QHD1107" s="15"/>
      <c r="QHG1107" s="15"/>
      <c r="QHH1107" s="15"/>
      <c r="QHK1107" s="15"/>
      <c r="QHL1107" s="15"/>
      <c r="QHO1107" s="15"/>
      <c r="QHP1107" s="15"/>
      <c r="QHS1107" s="15"/>
      <c r="QHT1107" s="15"/>
      <c r="QHW1107" s="15"/>
      <c r="QHX1107" s="15"/>
      <c r="QIA1107" s="15"/>
      <c r="QIB1107" s="15"/>
      <c r="QIE1107" s="15"/>
      <c r="QIF1107" s="15"/>
      <c r="QII1107" s="15"/>
      <c r="QIJ1107" s="15"/>
      <c r="QIM1107" s="15"/>
      <c r="QIN1107" s="15"/>
      <c r="QIQ1107" s="15"/>
      <c r="QIR1107" s="15"/>
      <c r="QIU1107" s="15"/>
      <c r="QIV1107" s="15"/>
      <c r="QIY1107" s="15"/>
      <c r="QIZ1107" s="15"/>
      <c r="QJC1107" s="15"/>
      <c r="QJD1107" s="15"/>
      <c r="QJG1107" s="15"/>
      <c r="QJH1107" s="15"/>
      <c r="QJK1107" s="15"/>
      <c r="QJL1107" s="15"/>
      <c r="QJO1107" s="15"/>
      <c r="QJP1107" s="15"/>
      <c r="QJS1107" s="15"/>
      <c r="QJT1107" s="15"/>
      <c r="QJW1107" s="15"/>
      <c r="QJX1107" s="15"/>
      <c r="QKA1107" s="15"/>
      <c r="QKB1107" s="15"/>
      <c r="QKE1107" s="15"/>
      <c r="QKF1107" s="15"/>
      <c r="QKI1107" s="15"/>
      <c r="QKJ1107" s="15"/>
      <c r="QKM1107" s="15"/>
      <c r="QKN1107" s="15"/>
      <c r="QKQ1107" s="15"/>
      <c r="QKR1107" s="15"/>
      <c r="QKU1107" s="15"/>
      <c r="QKV1107" s="15"/>
      <c r="QKY1107" s="15"/>
      <c r="QKZ1107" s="15"/>
      <c r="QLC1107" s="15"/>
      <c r="QLD1107" s="15"/>
      <c r="QLG1107" s="15"/>
      <c r="QLH1107" s="15"/>
      <c r="QLK1107" s="15"/>
      <c r="QLL1107" s="15"/>
      <c r="QLO1107" s="15"/>
      <c r="QLP1107" s="15"/>
      <c r="QLS1107" s="15"/>
      <c r="QLT1107" s="15"/>
      <c r="QLW1107" s="15"/>
      <c r="QLX1107" s="15"/>
      <c r="QMA1107" s="15"/>
      <c r="QMB1107" s="15"/>
      <c r="QME1107" s="15"/>
      <c r="QMF1107" s="15"/>
      <c r="QMI1107" s="15"/>
      <c r="QMJ1107" s="15"/>
      <c r="QMM1107" s="15"/>
      <c r="QMN1107" s="15"/>
      <c r="QMQ1107" s="15"/>
      <c r="QMR1107" s="15"/>
      <c r="QMU1107" s="15"/>
      <c r="QMV1107" s="15"/>
      <c r="QMY1107" s="15"/>
      <c r="QMZ1107" s="15"/>
      <c r="QNC1107" s="15"/>
      <c r="QND1107" s="15"/>
      <c r="QNG1107" s="15"/>
      <c r="QNH1107" s="15"/>
      <c r="QNK1107" s="15"/>
      <c r="QNL1107" s="15"/>
      <c r="QNO1107" s="15"/>
      <c r="QNP1107" s="15"/>
      <c r="QNS1107" s="15"/>
      <c r="QNT1107" s="15"/>
      <c r="QNW1107" s="15"/>
      <c r="QNX1107" s="15"/>
      <c r="QOA1107" s="15"/>
      <c r="QOB1107" s="15"/>
      <c r="QOE1107" s="15"/>
      <c r="QOF1107" s="15"/>
      <c r="QOI1107" s="15"/>
      <c r="QOJ1107" s="15"/>
      <c r="QOM1107" s="15"/>
      <c r="QON1107" s="15"/>
      <c r="QOQ1107" s="15"/>
      <c r="QOR1107" s="15"/>
      <c r="QOU1107" s="15"/>
      <c r="QOV1107" s="15"/>
      <c r="QOY1107" s="15"/>
      <c r="QOZ1107" s="15"/>
      <c r="QPC1107" s="15"/>
      <c r="QPD1107" s="15"/>
      <c r="QPG1107" s="15"/>
      <c r="QPH1107" s="15"/>
      <c r="QPK1107" s="15"/>
      <c r="QPL1107" s="15"/>
      <c r="QPO1107" s="15"/>
      <c r="QPP1107" s="15"/>
      <c r="QPS1107" s="15"/>
      <c r="QPT1107" s="15"/>
      <c r="QPW1107" s="15"/>
      <c r="QPX1107" s="15"/>
      <c r="QQA1107" s="15"/>
      <c r="QQB1107" s="15"/>
      <c r="QQE1107" s="15"/>
      <c r="QQF1107" s="15"/>
      <c r="QQI1107" s="15"/>
      <c r="QQJ1107" s="15"/>
      <c r="QQM1107" s="15"/>
      <c r="QQN1107" s="15"/>
      <c r="QQQ1107" s="15"/>
      <c r="QQR1107" s="15"/>
      <c r="QQU1107" s="15"/>
      <c r="QQV1107" s="15"/>
      <c r="QQY1107" s="15"/>
      <c r="QQZ1107" s="15"/>
      <c r="QRC1107" s="15"/>
      <c r="QRD1107" s="15"/>
      <c r="QRG1107" s="15"/>
      <c r="QRH1107" s="15"/>
      <c r="QRK1107" s="15"/>
      <c r="QRL1107" s="15"/>
      <c r="QRO1107" s="15"/>
      <c r="QRP1107" s="15"/>
      <c r="QRS1107" s="15"/>
      <c r="QRT1107" s="15"/>
      <c r="QRW1107" s="15"/>
      <c r="QRX1107" s="15"/>
      <c r="QSA1107" s="15"/>
      <c r="QSB1107" s="15"/>
      <c r="QSE1107" s="15"/>
      <c r="QSF1107" s="15"/>
      <c r="QSI1107" s="15"/>
      <c r="QSJ1107" s="15"/>
      <c r="QSM1107" s="15"/>
      <c r="QSN1107" s="15"/>
      <c r="QSQ1107" s="15"/>
      <c r="QSR1107" s="15"/>
      <c r="QSU1107" s="15"/>
      <c r="QSV1107" s="15"/>
      <c r="QSY1107" s="15"/>
      <c r="QSZ1107" s="15"/>
      <c r="QTC1107" s="15"/>
      <c r="QTD1107" s="15"/>
      <c r="QTG1107" s="15"/>
      <c r="QTH1107" s="15"/>
      <c r="QTK1107" s="15"/>
      <c r="QTL1107" s="15"/>
      <c r="QTO1107" s="15"/>
      <c r="QTP1107" s="15"/>
      <c r="QTS1107" s="15"/>
      <c r="QTT1107" s="15"/>
      <c r="QTW1107" s="15"/>
      <c r="QTX1107" s="15"/>
      <c r="QUA1107" s="15"/>
      <c r="QUB1107" s="15"/>
      <c r="QUE1107" s="15"/>
      <c r="QUF1107" s="15"/>
      <c r="QUI1107" s="15"/>
      <c r="QUJ1107" s="15"/>
      <c r="QUM1107" s="15"/>
      <c r="QUN1107" s="15"/>
      <c r="QUQ1107" s="15"/>
      <c r="QUR1107" s="15"/>
      <c r="QUU1107" s="15"/>
      <c r="QUV1107" s="15"/>
      <c r="QUY1107" s="15"/>
      <c r="QUZ1107" s="15"/>
      <c r="QVC1107" s="15"/>
      <c r="QVD1107" s="15"/>
      <c r="QVG1107" s="15"/>
      <c r="QVH1107" s="15"/>
      <c r="QVK1107" s="15"/>
      <c r="QVL1107" s="15"/>
      <c r="QVO1107" s="15"/>
      <c r="QVP1107" s="15"/>
      <c r="QVS1107" s="15"/>
      <c r="QVT1107" s="15"/>
      <c r="QVW1107" s="15"/>
      <c r="QVX1107" s="15"/>
      <c r="QWA1107" s="15"/>
      <c r="QWB1107" s="15"/>
      <c r="QWE1107" s="15"/>
      <c r="QWF1107" s="15"/>
      <c r="QWI1107" s="15"/>
      <c r="QWJ1107" s="15"/>
      <c r="QWM1107" s="15"/>
      <c r="QWN1107" s="15"/>
      <c r="QWQ1107" s="15"/>
      <c r="QWR1107" s="15"/>
      <c r="QWU1107" s="15"/>
      <c r="QWV1107" s="15"/>
      <c r="QWY1107" s="15"/>
      <c r="QWZ1107" s="15"/>
      <c r="QXC1107" s="15"/>
      <c r="QXD1107" s="15"/>
      <c r="QXG1107" s="15"/>
      <c r="QXH1107" s="15"/>
      <c r="QXK1107" s="15"/>
      <c r="QXL1107" s="15"/>
      <c r="QXO1107" s="15"/>
      <c r="QXP1107" s="15"/>
      <c r="QXS1107" s="15"/>
      <c r="QXT1107" s="15"/>
      <c r="QXW1107" s="15"/>
      <c r="QXX1107" s="15"/>
      <c r="QYA1107" s="15"/>
      <c r="QYB1107" s="15"/>
      <c r="QYE1107" s="15"/>
      <c r="QYF1107" s="15"/>
      <c r="QYI1107" s="15"/>
      <c r="QYJ1107" s="15"/>
      <c r="QYM1107" s="15"/>
      <c r="QYN1107" s="15"/>
      <c r="QYQ1107" s="15"/>
      <c r="QYR1107" s="15"/>
      <c r="QYU1107" s="15"/>
      <c r="QYV1107" s="15"/>
      <c r="QYY1107" s="15"/>
      <c r="QYZ1107" s="15"/>
      <c r="QZC1107" s="15"/>
      <c r="QZD1107" s="15"/>
      <c r="QZG1107" s="15"/>
      <c r="QZH1107" s="15"/>
      <c r="QZK1107" s="15"/>
      <c r="QZL1107" s="15"/>
      <c r="QZO1107" s="15"/>
      <c r="QZP1107" s="15"/>
      <c r="QZS1107" s="15"/>
      <c r="QZT1107" s="15"/>
      <c r="QZW1107" s="15"/>
      <c r="QZX1107" s="15"/>
      <c r="RAA1107" s="15"/>
      <c r="RAB1107" s="15"/>
      <c r="RAE1107" s="15"/>
      <c r="RAF1107" s="15"/>
      <c r="RAI1107" s="15"/>
      <c r="RAJ1107" s="15"/>
      <c r="RAM1107" s="15"/>
      <c r="RAN1107" s="15"/>
      <c r="RAQ1107" s="15"/>
      <c r="RAR1107" s="15"/>
      <c r="RAU1107" s="15"/>
      <c r="RAV1107" s="15"/>
      <c r="RAY1107" s="15"/>
      <c r="RAZ1107" s="15"/>
      <c r="RBC1107" s="15"/>
      <c r="RBD1107" s="15"/>
      <c r="RBG1107" s="15"/>
      <c r="RBH1107" s="15"/>
      <c r="RBK1107" s="15"/>
      <c r="RBL1107" s="15"/>
      <c r="RBO1107" s="15"/>
      <c r="RBP1107" s="15"/>
      <c r="RBS1107" s="15"/>
      <c r="RBT1107" s="15"/>
      <c r="RBW1107" s="15"/>
      <c r="RBX1107" s="15"/>
      <c r="RCA1107" s="15"/>
      <c r="RCB1107" s="15"/>
      <c r="RCE1107" s="15"/>
      <c r="RCF1107" s="15"/>
      <c r="RCI1107" s="15"/>
      <c r="RCJ1107" s="15"/>
      <c r="RCM1107" s="15"/>
      <c r="RCN1107" s="15"/>
      <c r="RCQ1107" s="15"/>
      <c r="RCR1107" s="15"/>
      <c r="RCU1107" s="15"/>
      <c r="RCV1107" s="15"/>
      <c r="RCY1107" s="15"/>
      <c r="RCZ1107" s="15"/>
      <c r="RDC1107" s="15"/>
      <c r="RDD1107" s="15"/>
      <c r="RDG1107" s="15"/>
      <c r="RDH1107" s="15"/>
      <c r="RDK1107" s="15"/>
      <c r="RDL1107" s="15"/>
      <c r="RDO1107" s="15"/>
      <c r="RDP1107" s="15"/>
      <c r="RDS1107" s="15"/>
      <c r="RDT1107" s="15"/>
      <c r="RDW1107" s="15"/>
      <c r="RDX1107" s="15"/>
      <c r="REA1107" s="15"/>
      <c r="REB1107" s="15"/>
      <c r="REE1107" s="15"/>
      <c r="REF1107" s="15"/>
      <c r="REI1107" s="15"/>
      <c r="REJ1107" s="15"/>
      <c r="REM1107" s="15"/>
      <c r="REN1107" s="15"/>
      <c r="REQ1107" s="15"/>
      <c r="RER1107" s="15"/>
      <c r="REU1107" s="15"/>
      <c r="REV1107" s="15"/>
      <c r="REY1107" s="15"/>
      <c r="REZ1107" s="15"/>
      <c r="RFC1107" s="15"/>
      <c r="RFD1107" s="15"/>
      <c r="RFG1107" s="15"/>
      <c r="RFH1107" s="15"/>
      <c r="RFK1107" s="15"/>
      <c r="RFL1107" s="15"/>
      <c r="RFO1107" s="15"/>
      <c r="RFP1107" s="15"/>
      <c r="RFS1107" s="15"/>
      <c r="RFT1107" s="15"/>
      <c r="RFW1107" s="15"/>
      <c r="RFX1107" s="15"/>
      <c r="RGA1107" s="15"/>
      <c r="RGB1107" s="15"/>
      <c r="RGE1107" s="15"/>
      <c r="RGF1107" s="15"/>
      <c r="RGI1107" s="15"/>
      <c r="RGJ1107" s="15"/>
      <c r="RGM1107" s="15"/>
      <c r="RGN1107" s="15"/>
      <c r="RGQ1107" s="15"/>
      <c r="RGR1107" s="15"/>
      <c r="RGU1107" s="15"/>
      <c r="RGV1107" s="15"/>
      <c r="RGY1107" s="15"/>
      <c r="RGZ1107" s="15"/>
      <c r="RHC1107" s="15"/>
      <c r="RHD1107" s="15"/>
      <c r="RHG1107" s="15"/>
      <c r="RHH1107" s="15"/>
      <c r="RHK1107" s="15"/>
      <c r="RHL1107" s="15"/>
      <c r="RHO1107" s="15"/>
      <c r="RHP1107" s="15"/>
      <c r="RHS1107" s="15"/>
      <c r="RHT1107" s="15"/>
      <c r="RHW1107" s="15"/>
      <c r="RHX1107" s="15"/>
      <c r="RIA1107" s="15"/>
      <c r="RIB1107" s="15"/>
      <c r="RIE1107" s="15"/>
      <c r="RIF1107" s="15"/>
      <c r="RII1107" s="15"/>
      <c r="RIJ1107" s="15"/>
      <c r="RIM1107" s="15"/>
      <c r="RIN1107" s="15"/>
      <c r="RIQ1107" s="15"/>
      <c r="RIR1107" s="15"/>
      <c r="RIU1107" s="15"/>
      <c r="RIV1107" s="15"/>
      <c r="RIY1107" s="15"/>
      <c r="RIZ1107" s="15"/>
      <c r="RJC1107" s="15"/>
      <c r="RJD1107" s="15"/>
      <c r="RJG1107" s="15"/>
      <c r="RJH1107" s="15"/>
      <c r="RJK1107" s="15"/>
      <c r="RJL1107" s="15"/>
      <c r="RJO1107" s="15"/>
      <c r="RJP1107" s="15"/>
      <c r="RJS1107" s="15"/>
      <c r="RJT1107" s="15"/>
      <c r="RJW1107" s="15"/>
      <c r="RJX1107" s="15"/>
      <c r="RKA1107" s="15"/>
      <c r="RKB1107" s="15"/>
      <c r="RKE1107" s="15"/>
      <c r="RKF1107" s="15"/>
      <c r="RKI1107" s="15"/>
      <c r="RKJ1107" s="15"/>
      <c r="RKM1107" s="15"/>
      <c r="RKN1107" s="15"/>
      <c r="RKQ1107" s="15"/>
      <c r="RKR1107" s="15"/>
      <c r="RKU1107" s="15"/>
      <c r="RKV1107" s="15"/>
      <c r="RKY1107" s="15"/>
      <c r="RKZ1107" s="15"/>
      <c r="RLC1107" s="15"/>
      <c r="RLD1107" s="15"/>
      <c r="RLG1107" s="15"/>
      <c r="RLH1107" s="15"/>
      <c r="RLK1107" s="15"/>
      <c r="RLL1107" s="15"/>
      <c r="RLO1107" s="15"/>
      <c r="RLP1107" s="15"/>
      <c r="RLS1107" s="15"/>
      <c r="RLT1107" s="15"/>
      <c r="RLW1107" s="15"/>
      <c r="RLX1107" s="15"/>
      <c r="RMA1107" s="15"/>
      <c r="RMB1107" s="15"/>
      <c r="RME1107" s="15"/>
      <c r="RMF1107" s="15"/>
      <c r="RMI1107" s="15"/>
      <c r="RMJ1107" s="15"/>
      <c r="RMM1107" s="15"/>
      <c r="RMN1107" s="15"/>
      <c r="RMQ1107" s="15"/>
      <c r="RMR1107" s="15"/>
      <c r="RMU1107" s="15"/>
      <c r="RMV1107" s="15"/>
      <c r="RMY1107" s="15"/>
      <c r="RMZ1107" s="15"/>
      <c r="RNC1107" s="15"/>
      <c r="RND1107" s="15"/>
      <c r="RNG1107" s="15"/>
      <c r="RNH1107" s="15"/>
      <c r="RNK1107" s="15"/>
      <c r="RNL1107" s="15"/>
      <c r="RNO1107" s="15"/>
      <c r="RNP1107" s="15"/>
      <c r="RNS1107" s="15"/>
      <c r="RNT1107" s="15"/>
      <c r="RNW1107" s="15"/>
      <c r="RNX1107" s="15"/>
      <c r="ROA1107" s="15"/>
      <c r="ROB1107" s="15"/>
      <c r="ROE1107" s="15"/>
      <c r="ROF1107" s="15"/>
      <c r="ROI1107" s="15"/>
      <c r="ROJ1107" s="15"/>
      <c r="ROM1107" s="15"/>
      <c r="RON1107" s="15"/>
      <c r="ROQ1107" s="15"/>
      <c r="ROR1107" s="15"/>
      <c r="ROU1107" s="15"/>
      <c r="ROV1107" s="15"/>
      <c r="ROY1107" s="15"/>
      <c r="ROZ1107" s="15"/>
      <c r="RPC1107" s="15"/>
      <c r="RPD1107" s="15"/>
      <c r="RPG1107" s="15"/>
      <c r="RPH1107" s="15"/>
      <c r="RPK1107" s="15"/>
      <c r="RPL1107" s="15"/>
      <c r="RPO1107" s="15"/>
      <c r="RPP1107" s="15"/>
      <c r="RPS1107" s="15"/>
      <c r="RPT1107" s="15"/>
      <c r="RPW1107" s="15"/>
      <c r="RPX1107" s="15"/>
      <c r="RQA1107" s="15"/>
      <c r="RQB1107" s="15"/>
      <c r="RQE1107" s="15"/>
      <c r="RQF1107" s="15"/>
      <c r="RQI1107" s="15"/>
      <c r="RQJ1107" s="15"/>
      <c r="RQM1107" s="15"/>
      <c r="RQN1107" s="15"/>
      <c r="RQQ1107" s="15"/>
      <c r="RQR1107" s="15"/>
      <c r="RQU1107" s="15"/>
      <c r="RQV1107" s="15"/>
      <c r="RQY1107" s="15"/>
      <c r="RQZ1107" s="15"/>
      <c r="RRC1107" s="15"/>
      <c r="RRD1107" s="15"/>
      <c r="RRG1107" s="15"/>
      <c r="RRH1107" s="15"/>
      <c r="RRK1107" s="15"/>
      <c r="RRL1107" s="15"/>
      <c r="RRO1107" s="15"/>
      <c r="RRP1107" s="15"/>
      <c r="RRS1107" s="15"/>
      <c r="RRT1107" s="15"/>
      <c r="RRW1107" s="15"/>
      <c r="RRX1107" s="15"/>
      <c r="RSA1107" s="15"/>
      <c r="RSB1107" s="15"/>
      <c r="RSE1107" s="15"/>
      <c r="RSF1107" s="15"/>
      <c r="RSI1107" s="15"/>
      <c r="RSJ1107" s="15"/>
      <c r="RSM1107" s="15"/>
      <c r="RSN1107" s="15"/>
      <c r="RSQ1107" s="15"/>
      <c r="RSR1107" s="15"/>
      <c r="RSU1107" s="15"/>
      <c r="RSV1107" s="15"/>
      <c r="RSY1107" s="15"/>
      <c r="RSZ1107" s="15"/>
      <c r="RTC1107" s="15"/>
      <c r="RTD1107" s="15"/>
      <c r="RTG1107" s="15"/>
      <c r="RTH1107" s="15"/>
      <c r="RTK1107" s="15"/>
      <c r="RTL1107" s="15"/>
      <c r="RTO1107" s="15"/>
      <c r="RTP1107" s="15"/>
      <c r="RTS1107" s="15"/>
      <c r="RTT1107" s="15"/>
      <c r="RTW1107" s="15"/>
      <c r="RTX1107" s="15"/>
      <c r="RUA1107" s="15"/>
      <c r="RUB1107" s="15"/>
      <c r="RUE1107" s="15"/>
      <c r="RUF1107" s="15"/>
      <c r="RUI1107" s="15"/>
      <c r="RUJ1107" s="15"/>
      <c r="RUM1107" s="15"/>
      <c r="RUN1107" s="15"/>
      <c r="RUQ1107" s="15"/>
      <c r="RUR1107" s="15"/>
      <c r="RUU1107" s="15"/>
      <c r="RUV1107" s="15"/>
      <c r="RUY1107" s="15"/>
      <c r="RUZ1107" s="15"/>
      <c r="RVC1107" s="15"/>
      <c r="RVD1107" s="15"/>
      <c r="RVG1107" s="15"/>
      <c r="RVH1107" s="15"/>
      <c r="RVK1107" s="15"/>
      <c r="RVL1107" s="15"/>
      <c r="RVO1107" s="15"/>
      <c r="RVP1107" s="15"/>
      <c r="RVS1107" s="15"/>
      <c r="RVT1107" s="15"/>
      <c r="RVW1107" s="15"/>
      <c r="RVX1107" s="15"/>
      <c r="RWA1107" s="15"/>
      <c r="RWB1107" s="15"/>
      <c r="RWE1107" s="15"/>
      <c r="RWF1107" s="15"/>
      <c r="RWI1107" s="15"/>
      <c r="RWJ1107" s="15"/>
      <c r="RWM1107" s="15"/>
      <c r="RWN1107" s="15"/>
      <c r="RWQ1107" s="15"/>
      <c r="RWR1107" s="15"/>
      <c r="RWU1107" s="15"/>
      <c r="RWV1107" s="15"/>
      <c r="RWY1107" s="15"/>
      <c r="RWZ1107" s="15"/>
      <c r="RXC1107" s="15"/>
      <c r="RXD1107" s="15"/>
      <c r="RXG1107" s="15"/>
      <c r="RXH1107" s="15"/>
      <c r="RXK1107" s="15"/>
      <c r="RXL1107" s="15"/>
      <c r="RXO1107" s="15"/>
      <c r="RXP1107" s="15"/>
      <c r="RXS1107" s="15"/>
      <c r="RXT1107" s="15"/>
      <c r="RXW1107" s="15"/>
      <c r="RXX1107" s="15"/>
      <c r="RYA1107" s="15"/>
      <c r="RYB1107" s="15"/>
      <c r="RYE1107" s="15"/>
      <c r="RYF1107" s="15"/>
      <c r="RYI1107" s="15"/>
      <c r="RYJ1107" s="15"/>
      <c r="RYM1107" s="15"/>
      <c r="RYN1107" s="15"/>
      <c r="RYQ1107" s="15"/>
      <c r="RYR1107" s="15"/>
      <c r="RYU1107" s="15"/>
      <c r="RYV1107" s="15"/>
      <c r="RYY1107" s="15"/>
      <c r="RYZ1107" s="15"/>
      <c r="RZC1107" s="15"/>
      <c r="RZD1107" s="15"/>
      <c r="RZG1107" s="15"/>
      <c r="RZH1107" s="15"/>
      <c r="RZK1107" s="15"/>
      <c r="RZL1107" s="15"/>
      <c r="RZO1107" s="15"/>
      <c r="RZP1107" s="15"/>
      <c r="RZS1107" s="15"/>
      <c r="RZT1107" s="15"/>
      <c r="RZW1107" s="15"/>
      <c r="RZX1107" s="15"/>
      <c r="SAA1107" s="15"/>
      <c r="SAB1107" s="15"/>
      <c r="SAE1107" s="15"/>
      <c r="SAF1107" s="15"/>
      <c r="SAI1107" s="15"/>
      <c r="SAJ1107" s="15"/>
      <c r="SAM1107" s="15"/>
      <c r="SAN1107" s="15"/>
      <c r="SAQ1107" s="15"/>
      <c r="SAR1107" s="15"/>
      <c r="SAU1107" s="15"/>
      <c r="SAV1107" s="15"/>
      <c r="SAY1107" s="15"/>
      <c r="SAZ1107" s="15"/>
      <c r="SBC1107" s="15"/>
      <c r="SBD1107" s="15"/>
      <c r="SBG1107" s="15"/>
      <c r="SBH1107" s="15"/>
      <c r="SBK1107" s="15"/>
      <c r="SBL1107" s="15"/>
      <c r="SBO1107" s="15"/>
      <c r="SBP1107" s="15"/>
      <c r="SBS1107" s="15"/>
      <c r="SBT1107" s="15"/>
      <c r="SBW1107" s="15"/>
      <c r="SBX1107" s="15"/>
      <c r="SCA1107" s="15"/>
      <c r="SCB1107" s="15"/>
      <c r="SCE1107" s="15"/>
      <c r="SCF1107" s="15"/>
      <c r="SCI1107" s="15"/>
      <c r="SCJ1107" s="15"/>
      <c r="SCM1107" s="15"/>
      <c r="SCN1107" s="15"/>
      <c r="SCQ1107" s="15"/>
      <c r="SCR1107" s="15"/>
      <c r="SCU1107" s="15"/>
      <c r="SCV1107" s="15"/>
      <c r="SCY1107" s="15"/>
      <c r="SCZ1107" s="15"/>
      <c r="SDC1107" s="15"/>
      <c r="SDD1107" s="15"/>
      <c r="SDG1107" s="15"/>
      <c r="SDH1107" s="15"/>
      <c r="SDK1107" s="15"/>
      <c r="SDL1107" s="15"/>
      <c r="SDO1107" s="15"/>
      <c r="SDP1107" s="15"/>
      <c r="SDS1107" s="15"/>
      <c r="SDT1107" s="15"/>
      <c r="SDW1107" s="15"/>
      <c r="SDX1107" s="15"/>
      <c r="SEA1107" s="15"/>
      <c r="SEB1107" s="15"/>
      <c r="SEE1107" s="15"/>
      <c r="SEF1107" s="15"/>
      <c r="SEI1107" s="15"/>
      <c r="SEJ1107" s="15"/>
      <c r="SEM1107" s="15"/>
      <c r="SEN1107" s="15"/>
      <c r="SEQ1107" s="15"/>
      <c r="SER1107" s="15"/>
      <c r="SEU1107" s="15"/>
      <c r="SEV1107" s="15"/>
      <c r="SEY1107" s="15"/>
      <c r="SEZ1107" s="15"/>
      <c r="SFC1107" s="15"/>
      <c r="SFD1107" s="15"/>
      <c r="SFG1107" s="15"/>
      <c r="SFH1107" s="15"/>
      <c r="SFK1107" s="15"/>
      <c r="SFL1107" s="15"/>
      <c r="SFO1107" s="15"/>
      <c r="SFP1107" s="15"/>
      <c r="SFS1107" s="15"/>
      <c r="SFT1107" s="15"/>
      <c r="SFW1107" s="15"/>
      <c r="SFX1107" s="15"/>
      <c r="SGA1107" s="15"/>
      <c r="SGB1107" s="15"/>
      <c r="SGE1107" s="15"/>
      <c r="SGF1107" s="15"/>
      <c r="SGI1107" s="15"/>
      <c r="SGJ1107" s="15"/>
      <c r="SGM1107" s="15"/>
      <c r="SGN1107" s="15"/>
      <c r="SGQ1107" s="15"/>
      <c r="SGR1107" s="15"/>
      <c r="SGU1107" s="15"/>
      <c r="SGV1107" s="15"/>
      <c r="SGY1107" s="15"/>
      <c r="SGZ1107" s="15"/>
      <c r="SHC1107" s="15"/>
      <c r="SHD1107" s="15"/>
      <c r="SHG1107" s="15"/>
      <c r="SHH1107" s="15"/>
      <c r="SHK1107" s="15"/>
      <c r="SHL1107" s="15"/>
      <c r="SHO1107" s="15"/>
      <c r="SHP1107" s="15"/>
      <c r="SHS1107" s="15"/>
      <c r="SHT1107" s="15"/>
      <c r="SHW1107" s="15"/>
      <c r="SHX1107" s="15"/>
      <c r="SIA1107" s="15"/>
      <c r="SIB1107" s="15"/>
      <c r="SIE1107" s="15"/>
      <c r="SIF1107" s="15"/>
      <c r="SII1107" s="15"/>
      <c r="SIJ1107" s="15"/>
      <c r="SIM1107" s="15"/>
      <c r="SIN1107" s="15"/>
      <c r="SIQ1107" s="15"/>
      <c r="SIR1107" s="15"/>
      <c r="SIU1107" s="15"/>
      <c r="SIV1107" s="15"/>
      <c r="SIY1107" s="15"/>
      <c r="SIZ1107" s="15"/>
      <c r="SJC1107" s="15"/>
      <c r="SJD1107" s="15"/>
      <c r="SJG1107" s="15"/>
      <c r="SJH1107" s="15"/>
      <c r="SJK1107" s="15"/>
      <c r="SJL1107" s="15"/>
      <c r="SJO1107" s="15"/>
      <c r="SJP1107" s="15"/>
      <c r="SJS1107" s="15"/>
      <c r="SJT1107" s="15"/>
      <c r="SJW1107" s="15"/>
      <c r="SJX1107" s="15"/>
      <c r="SKA1107" s="15"/>
      <c r="SKB1107" s="15"/>
      <c r="SKE1107" s="15"/>
      <c r="SKF1107" s="15"/>
      <c r="SKI1107" s="15"/>
      <c r="SKJ1107" s="15"/>
      <c r="SKM1107" s="15"/>
      <c r="SKN1107" s="15"/>
      <c r="SKQ1107" s="15"/>
      <c r="SKR1107" s="15"/>
      <c r="SKU1107" s="15"/>
      <c r="SKV1107" s="15"/>
      <c r="SKY1107" s="15"/>
      <c r="SKZ1107" s="15"/>
      <c r="SLC1107" s="15"/>
      <c r="SLD1107" s="15"/>
      <c r="SLG1107" s="15"/>
      <c r="SLH1107" s="15"/>
      <c r="SLK1107" s="15"/>
      <c r="SLL1107" s="15"/>
      <c r="SLO1107" s="15"/>
      <c r="SLP1107" s="15"/>
      <c r="SLS1107" s="15"/>
      <c r="SLT1107" s="15"/>
      <c r="SLW1107" s="15"/>
      <c r="SLX1107" s="15"/>
      <c r="SMA1107" s="15"/>
      <c r="SMB1107" s="15"/>
      <c r="SME1107" s="15"/>
      <c r="SMF1107" s="15"/>
      <c r="SMI1107" s="15"/>
      <c r="SMJ1107" s="15"/>
      <c r="SMM1107" s="15"/>
      <c r="SMN1107" s="15"/>
      <c r="SMQ1107" s="15"/>
      <c r="SMR1107" s="15"/>
      <c r="SMU1107" s="15"/>
      <c r="SMV1107" s="15"/>
      <c r="SMY1107" s="15"/>
      <c r="SMZ1107" s="15"/>
      <c r="SNC1107" s="15"/>
      <c r="SND1107" s="15"/>
      <c r="SNG1107" s="15"/>
      <c r="SNH1107" s="15"/>
      <c r="SNK1107" s="15"/>
      <c r="SNL1107" s="15"/>
      <c r="SNO1107" s="15"/>
      <c r="SNP1107" s="15"/>
      <c r="SNS1107" s="15"/>
      <c r="SNT1107" s="15"/>
      <c r="SNW1107" s="15"/>
      <c r="SNX1107" s="15"/>
      <c r="SOA1107" s="15"/>
      <c r="SOB1107" s="15"/>
      <c r="SOE1107" s="15"/>
      <c r="SOF1107" s="15"/>
      <c r="SOI1107" s="15"/>
      <c r="SOJ1107" s="15"/>
      <c r="SOM1107" s="15"/>
      <c r="SON1107" s="15"/>
      <c r="SOQ1107" s="15"/>
      <c r="SOR1107" s="15"/>
      <c r="SOU1107" s="15"/>
      <c r="SOV1107" s="15"/>
      <c r="SOY1107" s="15"/>
      <c r="SOZ1107" s="15"/>
      <c r="SPC1107" s="15"/>
      <c r="SPD1107" s="15"/>
      <c r="SPG1107" s="15"/>
      <c r="SPH1107" s="15"/>
      <c r="SPK1107" s="15"/>
      <c r="SPL1107" s="15"/>
      <c r="SPO1107" s="15"/>
      <c r="SPP1107" s="15"/>
      <c r="SPS1107" s="15"/>
      <c r="SPT1107" s="15"/>
      <c r="SPW1107" s="15"/>
      <c r="SPX1107" s="15"/>
      <c r="SQA1107" s="15"/>
      <c r="SQB1107" s="15"/>
      <c r="SQE1107" s="15"/>
      <c r="SQF1107" s="15"/>
      <c r="SQI1107" s="15"/>
      <c r="SQJ1107" s="15"/>
      <c r="SQM1107" s="15"/>
      <c r="SQN1107" s="15"/>
      <c r="SQQ1107" s="15"/>
      <c r="SQR1107" s="15"/>
      <c r="SQU1107" s="15"/>
      <c r="SQV1107" s="15"/>
      <c r="SQY1107" s="15"/>
      <c r="SQZ1107" s="15"/>
      <c r="SRC1107" s="15"/>
      <c r="SRD1107" s="15"/>
      <c r="SRG1107" s="15"/>
      <c r="SRH1107" s="15"/>
      <c r="SRK1107" s="15"/>
      <c r="SRL1107" s="15"/>
      <c r="SRO1107" s="15"/>
      <c r="SRP1107" s="15"/>
      <c r="SRS1107" s="15"/>
      <c r="SRT1107" s="15"/>
      <c r="SRW1107" s="15"/>
      <c r="SRX1107" s="15"/>
      <c r="SSA1107" s="15"/>
      <c r="SSB1107" s="15"/>
      <c r="SSE1107" s="15"/>
      <c r="SSF1107" s="15"/>
      <c r="SSI1107" s="15"/>
      <c r="SSJ1107" s="15"/>
      <c r="SSM1107" s="15"/>
      <c r="SSN1107" s="15"/>
      <c r="SSQ1107" s="15"/>
      <c r="SSR1107" s="15"/>
      <c r="SSU1107" s="15"/>
      <c r="SSV1107" s="15"/>
      <c r="SSY1107" s="15"/>
      <c r="SSZ1107" s="15"/>
      <c r="STC1107" s="15"/>
      <c r="STD1107" s="15"/>
      <c r="STG1107" s="15"/>
      <c r="STH1107" s="15"/>
      <c r="STK1107" s="15"/>
      <c r="STL1107" s="15"/>
      <c r="STO1107" s="15"/>
      <c r="STP1107" s="15"/>
      <c r="STS1107" s="15"/>
      <c r="STT1107" s="15"/>
      <c r="STW1107" s="15"/>
      <c r="STX1107" s="15"/>
      <c r="SUA1107" s="15"/>
      <c r="SUB1107" s="15"/>
      <c r="SUE1107" s="15"/>
      <c r="SUF1107" s="15"/>
      <c r="SUI1107" s="15"/>
      <c r="SUJ1107" s="15"/>
      <c r="SUM1107" s="15"/>
      <c r="SUN1107" s="15"/>
      <c r="SUQ1107" s="15"/>
      <c r="SUR1107" s="15"/>
      <c r="SUU1107" s="15"/>
      <c r="SUV1107" s="15"/>
      <c r="SUY1107" s="15"/>
      <c r="SUZ1107" s="15"/>
      <c r="SVC1107" s="15"/>
      <c r="SVD1107" s="15"/>
      <c r="SVG1107" s="15"/>
      <c r="SVH1107" s="15"/>
      <c r="SVK1107" s="15"/>
      <c r="SVL1107" s="15"/>
      <c r="SVO1107" s="15"/>
      <c r="SVP1107" s="15"/>
      <c r="SVS1107" s="15"/>
      <c r="SVT1107" s="15"/>
      <c r="SVW1107" s="15"/>
      <c r="SVX1107" s="15"/>
      <c r="SWA1107" s="15"/>
      <c r="SWB1107" s="15"/>
      <c r="SWE1107" s="15"/>
      <c r="SWF1107" s="15"/>
      <c r="SWI1107" s="15"/>
      <c r="SWJ1107" s="15"/>
      <c r="SWM1107" s="15"/>
      <c r="SWN1107" s="15"/>
      <c r="SWQ1107" s="15"/>
      <c r="SWR1107" s="15"/>
      <c r="SWU1107" s="15"/>
      <c r="SWV1107" s="15"/>
      <c r="SWY1107" s="15"/>
      <c r="SWZ1107" s="15"/>
      <c r="SXC1107" s="15"/>
      <c r="SXD1107" s="15"/>
      <c r="SXG1107" s="15"/>
      <c r="SXH1107" s="15"/>
      <c r="SXK1107" s="15"/>
      <c r="SXL1107" s="15"/>
      <c r="SXO1107" s="15"/>
      <c r="SXP1107" s="15"/>
      <c r="SXS1107" s="15"/>
      <c r="SXT1107" s="15"/>
      <c r="SXW1107" s="15"/>
      <c r="SXX1107" s="15"/>
      <c r="SYA1107" s="15"/>
      <c r="SYB1107" s="15"/>
      <c r="SYE1107" s="15"/>
      <c r="SYF1107" s="15"/>
      <c r="SYI1107" s="15"/>
      <c r="SYJ1107" s="15"/>
      <c r="SYM1107" s="15"/>
      <c r="SYN1107" s="15"/>
      <c r="SYQ1107" s="15"/>
      <c r="SYR1107" s="15"/>
      <c r="SYU1107" s="15"/>
      <c r="SYV1107" s="15"/>
      <c r="SYY1107" s="15"/>
      <c r="SYZ1107" s="15"/>
      <c r="SZC1107" s="15"/>
      <c r="SZD1107" s="15"/>
      <c r="SZG1107" s="15"/>
      <c r="SZH1107" s="15"/>
      <c r="SZK1107" s="15"/>
      <c r="SZL1107" s="15"/>
      <c r="SZO1107" s="15"/>
      <c r="SZP1107" s="15"/>
      <c r="SZS1107" s="15"/>
      <c r="SZT1107" s="15"/>
      <c r="SZW1107" s="15"/>
      <c r="SZX1107" s="15"/>
      <c r="TAA1107" s="15"/>
      <c r="TAB1107" s="15"/>
      <c r="TAE1107" s="15"/>
      <c r="TAF1107" s="15"/>
      <c r="TAI1107" s="15"/>
      <c r="TAJ1107" s="15"/>
      <c r="TAM1107" s="15"/>
      <c r="TAN1107" s="15"/>
      <c r="TAQ1107" s="15"/>
      <c r="TAR1107" s="15"/>
      <c r="TAU1107" s="15"/>
      <c r="TAV1107" s="15"/>
      <c r="TAY1107" s="15"/>
      <c r="TAZ1107" s="15"/>
      <c r="TBC1107" s="15"/>
      <c r="TBD1107" s="15"/>
      <c r="TBG1107" s="15"/>
      <c r="TBH1107" s="15"/>
      <c r="TBK1107" s="15"/>
      <c r="TBL1107" s="15"/>
      <c r="TBO1107" s="15"/>
      <c r="TBP1107" s="15"/>
      <c r="TBS1107" s="15"/>
      <c r="TBT1107" s="15"/>
      <c r="TBW1107" s="15"/>
      <c r="TBX1107" s="15"/>
      <c r="TCA1107" s="15"/>
      <c r="TCB1107" s="15"/>
      <c r="TCE1107" s="15"/>
      <c r="TCF1107" s="15"/>
      <c r="TCI1107" s="15"/>
      <c r="TCJ1107" s="15"/>
      <c r="TCM1107" s="15"/>
      <c r="TCN1107" s="15"/>
      <c r="TCQ1107" s="15"/>
      <c r="TCR1107" s="15"/>
      <c r="TCU1107" s="15"/>
      <c r="TCV1107" s="15"/>
      <c r="TCY1107" s="15"/>
      <c r="TCZ1107" s="15"/>
      <c r="TDC1107" s="15"/>
      <c r="TDD1107" s="15"/>
      <c r="TDG1107" s="15"/>
      <c r="TDH1107" s="15"/>
      <c r="TDK1107" s="15"/>
      <c r="TDL1107" s="15"/>
      <c r="TDO1107" s="15"/>
      <c r="TDP1107" s="15"/>
      <c r="TDS1107" s="15"/>
      <c r="TDT1107" s="15"/>
      <c r="TDW1107" s="15"/>
      <c r="TDX1107" s="15"/>
      <c r="TEA1107" s="15"/>
      <c r="TEB1107" s="15"/>
      <c r="TEE1107" s="15"/>
      <c r="TEF1107" s="15"/>
      <c r="TEI1107" s="15"/>
      <c r="TEJ1107" s="15"/>
      <c r="TEM1107" s="15"/>
      <c r="TEN1107" s="15"/>
      <c r="TEQ1107" s="15"/>
      <c r="TER1107" s="15"/>
      <c r="TEU1107" s="15"/>
      <c r="TEV1107" s="15"/>
      <c r="TEY1107" s="15"/>
      <c r="TEZ1107" s="15"/>
      <c r="TFC1107" s="15"/>
      <c r="TFD1107" s="15"/>
      <c r="TFG1107" s="15"/>
      <c r="TFH1107" s="15"/>
      <c r="TFK1107" s="15"/>
      <c r="TFL1107" s="15"/>
      <c r="TFO1107" s="15"/>
      <c r="TFP1107" s="15"/>
      <c r="TFS1107" s="15"/>
      <c r="TFT1107" s="15"/>
      <c r="TFW1107" s="15"/>
      <c r="TFX1107" s="15"/>
      <c r="TGA1107" s="15"/>
      <c r="TGB1107" s="15"/>
      <c r="TGE1107" s="15"/>
      <c r="TGF1107" s="15"/>
      <c r="TGI1107" s="15"/>
      <c r="TGJ1107" s="15"/>
      <c r="TGM1107" s="15"/>
      <c r="TGN1107" s="15"/>
      <c r="TGQ1107" s="15"/>
      <c r="TGR1107" s="15"/>
      <c r="TGU1107" s="15"/>
      <c r="TGV1107" s="15"/>
      <c r="TGY1107" s="15"/>
      <c r="TGZ1107" s="15"/>
      <c r="THC1107" s="15"/>
      <c r="THD1107" s="15"/>
      <c r="THG1107" s="15"/>
      <c r="THH1107" s="15"/>
      <c r="THK1107" s="15"/>
      <c r="THL1107" s="15"/>
      <c r="THO1107" s="15"/>
      <c r="THP1107" s="15"/>
      <c r="THS1107" s="15"/>
      <c r="THT1107" s="15"/>
      <c r="THW1107" s="15"/>
      <c r="THX1107" s="15"/>
      <c r="TIA1107" s="15"/>
      <c r="TIB1107" s="15"/>
      <c r="TIE1107" s="15"/>
      <c r="TIF1107" s="15"/>
      <c r="TII1107" s="15"/>
      <c r="TIJ1107" s="15"/>
      <c r="TIM1107" s="15"/>
      <c r="TIN1107" s="15"/>
      <c r="TIQ1107" s="15"/>
      <c r="TIR1107" s="15"/>
      <c r="TIU1107" s="15"/>
      <c r="TIV1107" s="15"/>
      <c r="TIY1107" s="15"/>
      <c r="TIZ1107" s="15"/>
      <c r="TJC1107" s="15"/>
      <c r="TJD1107" s="15"/>
      <c r="TJG1107" s="15"/>
      <c r="TJH1107" s="15"/>
      <c r="TJK1107" s="15"/>
      <c r="TJL1107" s="15"/>
      <c r="TJO1107" s="15"/>
      <c r="TJP1107" s="15"/>
      <c r="TJS1107" s="15"/>
      <c r="TJT1107" s="15"/>
      <c r="TJW1107" s="15"/>
      <c r="TJX1107" s="15"/>
      <c r="TKA1107" s="15"/>
      <c r="TKB1107" s="15"/>
      <c r="TKE1107" s="15"/>
      <c r="TKF1107" s="15"/>
      <c r="TKI1107" s="15"/>
      <c r="TKJ1107" s="15"/>
      <c r="TKM1107" s="15"/>
      <c r="TKN1107" s="15"/>
      <c r="TKQ1107" s="15"/>
      <c r="TKR1107" s="15"/>
      <c r="TKU1107" s="15"/>
      <c r="TKV1107" s="15"/>
      <c r="TKY1107" s="15"/>
      <c r="TKZ1107" s="15"/>
      <c r="TLC1107" s="15"/>
      <c r="TLD1107" s="15"/>
      <c r="TLG1107" s="15"/>
      <c r="TLH1107" s="15"/>
      <c r="TLK1107" s="15"/>
      <c r="TLL1107" s="15"/>
      <c r="TLO1107" s="15"/>
      <c r="TLP1107" s="15"/>
      <c r="TLS1107" s="15"/>
      <c r="TLT1107" s="15"/>
      <c r="TLW1107" s="15"/>
      <c r="TLX1107" s="15"/>
      <c r="TMA1107" s="15"/>
      <c r="TMB1107" s="15"/>
      <c r="TME1107" s="15"/>
      <c r="TMF1107" s="15"/>
      <c r="TMI1107" s="15"/>
      <c r="TMJ1107" s="15"/>
      <c r="TMM1107" s="15"/>
      <c r="TMN1107" s="15"/>
      <c r="TMQ1107" s="15"/>
      <c r="TMR1107" s="15"/>
      <c r="TMU1107" s="15"/>
      <c r="TMV1107" s="15"/>
      <c r="TMY1107" s="15"/>
      <c r="TMZ1107" s="15"/>
      <c r="TNC1107" s="15"/>
      <c r="TND1107" s="15"/>
      <c r="TNG1107" s="15"/>
      <c r="TNH1107" s="15"/>
      <c r="TNK1107" s="15"/>
      <c r="TNL1107" s="15"/>
      <c r="TNO1107" s="15"/>
      <c r="TNP1107" s="15"/>
      <c r="TNS1107" s="15"/>
      <c r="TNT1107" s="15"/>
      <c r="TNW1107" s="15"/>
      <c r="TNX1107" s="15"/>
      <c r="TOA1107" s="15"/>
      <c r="TOB1107" s="15"/>
      <c r="TOE1107" s="15"/>
      <c r="TOF1107" s="15"/>
      <c r="TOI1107" s="15"/>
      <c r="TOJ1107" s="15"/>
      <c r="TOM1107" s="15"/>
      <c r="TON1107" s="15"/>
      <c r="TOQ1107" s="15"/>
      <c r="TOR1107" s="15"/>
      <c r="TOU1107" s="15"/>
      <c r="TOV1107" s="15"/>
      <c r="TOY1107" s="15"/>
      <c r="TOZ1107" s="15"/>
      <c r="TPC1107" s="15"/>
      <c r="TPD1107" s="15"/>
      <c r="TPG1107" s="15"/>
      <c r="TPH1107" s="15"/>
      <c r="TPK1107" s="15"/>
      <c r="TPL1107" s="15"/>
      <c r="TPO1107" s="15"/>
      <c r="TPP1107" s="15"/>
      <c r="TPS1107" s="15"/>
      <c r="TPT1107" s="15"/>
      <c r="TPW1107" s="15"/>
      <c r="TPX1107" s="15"/>
      <c r="TQA1107" s="15"/>
      <c r="TQB1107" s="15"/>
      <c r="TQE1107" s="15"/>
      <c r="TQF1107" s="15"/>
      <c r="TQI1107" s="15"/>
      <c r="TQJ1107" s="15"/>
      <c r="TQM1107" s="15"/>
      <c r="TQN1107" s="15"/>
      <c r="TQQ1107" s="15"/>
      <c r="TQR1107" s="15"/>
      <c r="TQU1107" s="15"/>
      <c r="TQV1107" s="15"/>
      <c r="TQY1107" s="15"/>
      <c r="TQZ1107" s="15"/>
      <c r="TRC1107" s="15"/>
      <c r="TRD1107" s="15"/>
      <c r="TRG1107" s="15"/>
      <c r="TRH1107" s="15"/>
      <c r="TRK1107" s="15"/>
      <c r="TRL1107" s="15"/>
      <c r="TRO1107" s="15"/>
      <c r="TRP1107" s="15"/>
      <c r="TRS1107" s="15"/>
      <c r="TRT1107" s="15"/>
      <c r="TRW1107" s="15"/>
      <c r="TRX1107" s="15"/>
      <c r="TSA1107" s="15"/>
      <c r="TSB1107" s="15"/>
      <c r="TSE1107" s="15"/>
      <c r="TSF1107" s="15"/>
      <c r="TSI1107" s="15"/>
      <c r="TSJ1107" s="15"/>
      <c r="TSM1107" s="15"/>
      <c r="TSN1107" s="15"/>
      <c r="TSQ1107" s="15"/>
      <c r="TSR1107" s="15"/>
      <c r="TSU1107" s="15"/>
      <c r="TSV1107" s="15"/>
      <c r="TSY1107" s="15"/>
      <c r="TSZ1107" s="15"/>
      <c r="TTC1107" s="15"/>
      <c r="TTD1107" s="15"/>
      <c r="TTG1107" s="15"/>
      <c r="TTH1107" s="15"/>
      <c r="TTK1107" s="15"/>
      <c r="TTL1107" s="15"/>
      <c r="TTO1107" s="15"/>
      <c r="TTP1107" s="15"/>
      <c r="TTS1107" s="15"/>
      <c r="TTT1107" s="15"/>
      <c r="TTW1107" s="15"/>
      <c r="TTX1107" s="15"/>
      <c r="TUA1107" s="15"/>
      <c r="TUB1107" s="15"/>
      <c r="TUE1107" s="15"/>
      <c r="TUF1107" s="15"/>
      <c r="TUI1107" s="15"/>
      <c r="TUJ1107" s="15"/>
      <c r="TUM1107" s="15"/>
      <c r="TUN1107" s="15"/>
      <c r="TUQ1107" s="15"/>
      <c r="TUR1107" s="15"/>
      <c r="TUU1107" s="15"/>
      <c r="TUV1107" s="15"/>
      <c r="TUY1107" s="15"/>
      <c r="TUZ1107" s="15"/>
      <c r="TVC1107" s="15"/>
      <c r="TVD1107" s="15"/>
      <c r="TVG1107" s="15"/>
      <c r="TVH1107" s="15"/>
      <c r="TVK1107" s="15"/>
      <c r="TVL1107" s="15"/>
      <c r="TVO1107" s="15"/>
      <c r="TVP1107" s="15"/>
      <c r="TVS1107" s="15"/>
      <c r="TVT1107" s="15"/>
      <c r="TVW1107" s="15"/>
      <c r="TVX1107" s="15"/>
      <c r="TWA1107" s="15"/>
      <c r="TWB1107" s="15"/>
      <c r="TWE1107" s="15"/>
      <c r="TWF1107" s="15"/>
      <c r="TWI1107" s="15"/>
      <c r="TWJ1107" s="15"/>
      <c r="TWM1107" s="15"/>
      <c r="TWN1107" s="15"/>
      <c r="TWQ1107" s="15"/>
      <c r="TWR1107" s="15"/>
      <c r="TWU1107" s="15"/>
      <c r="TWV1107" s="15"/>
      <c r="TWY1107" s="15"/>
      <c r="TWZ1107" s="15"/>
      <c r="TXC1107" s="15"/>
      <c r="TXD1107" s="15"/>
      <c r="TXG1107" s="15"/>
      <c r="TXH1107" s="15"/>
      <c r="TXK1107" s="15"/>
      <c r="TXL1107" s="15"/>
      <c r="TXO1107" s="15"/>
      <c r="TXP1107" s="15"/>
      <c r="TXS1107" s="15"/>
      <c r="TXT1107" s="15"/>
      <c r="TXW1107" s="15"/>
      <c r="TXX1107" s="15"/>
      <c r="TYA1107" s="15"/>
      <c r="TYB1107" s="15"/>
      <c r="TYE1107" s="15"/>
      <c r="TYF1107" s="15"/>
      <c r="TYI1107" s="15"/>
      <c r="TYJ1107" s="15"/>
      <c r="TYM1107" s="15"/>
      <c r="TYN1107" s="15"/>
      <c r="TYQ1107" s="15"/>
      <c r="TYR1107" s="15"/>
      <c r="TYU1107" s="15"/>
      <c r="TYV1107" s="15"/>
      <c r="TYY1107" s="15"/>
      <c r="TYZ1107" s="15"/>
      <c r="TZC1107" s="15"/>
      <c r="TZD1107" s="15"/>
      <c r="TZG1107" s="15"/>
      <c r="TZH1107" s="15"/>
      <c r="TZK1107" s="15"/>
      <c r="TZL1107" s="15"/>
      <c r="TZO1107" s="15"/>
      <c r="TZP1107" s="15"/>
      <c r="TZS1107" s="15"/>
      <c r="TZT1107" s="15"/>
      <c r="TZW1107" s="15"/>
      <c r="TZX1107" s="15"/>
      <c r="UAA1107" s="15"/>
      <c r="UAB1107" s="15"/>
      <c r="UAE1107" s="15"/>
      <c r="UAF1107" s="15"/>
      <c r="UAI1107" s="15"/>
      <c r="UAJ1107" s="15"/>
      <c r="UAM1107" s="15"/>
      <c r="UAN1107" s="15"/>
      <c r="UAQ1107" s="15"/>
      <c r="UAR1107" s="15"/>
      <c r="UAU1107" s="15"/>
      <c r="UAV1107" s="15"/>
      <c r="UAY1107" s="15"/>
      <c r="UAZ1107" s="15"/>
      <c r="UBC1107" s="15"/>
      <c r="UBD1107" s="15"/>
      <c r="UBG1107" s="15"/>
      <c r="UBH1107" s="15"/>
      <c r="UBK1107" s="15"/>
      <c r="UBL1107" s="15"/>
      <c r="UBO1107" s="15"/>
      <c r="UBP1107" s="15"/>
      <c r="UBS1107" s="15"/>
      <c r="UBT1107" s="15"/>
      <c r="UBW1107" s="15"/>
      <c r="UBX1107" s="15"/>
      <c r="UCA1107" s="15"/>
      <c r="UCB1107" s="15"/>
      <c r="UCE1107" s="15"/>
      <c r="UCF1107" s="15"/>
      <c r="UCI1107" s="15"/>
      <c r="UCJ1107" s="15"/>
      <c r="UCM1107" s="15"/>
      <c r="UCN1107" s="15"/>
      <c r="UCQ1107" s="15"/>
      <c r="UCR1107" s="15"/>
      <c r="UCU1107" s="15"/>
      <c r="UCV1107" s="15"/>
      <c r="UCY1107" s="15"/>
      <c r="UCZ1107" s="15"/>
      <c r="UDC1107" s="15"/>
      <c r="UDD1107" s="15"/>
      <c r="UDG1107" s="15"/>
      <c r="UDH1107" s="15"/>
      <c r="UDK1107" s="15"/>
      <c r="UDL1107" s="15"/>
      <c r="UDO1107" s="15"/>
      <c r="UDP1107" s="15"/>
      <c r="UDS1107" s="15"/>
      <c r="UDT1107" s="15"/>
      <c r="UDW1107" s="15"/>
      <c r="UDX1107" s="15"/>
      <c r="UEA1107" s="15"/>
      <c r="UEB1107" s="15"/>
      <c r="UEE1107" s="15"/>
      <c r="UEF1107" s="15"/>
      <c r="UEI1107" s="15"/>
      <c r="UEJ1107" s="15"/>
      <c r="UEM1107" s="15"/>
      <c r="UEN1107" s="15"/>
      <c r="UEQ1107" s="15"/>
      <c r="UER1107" s="15"/>
      <c r="UEU1107" s="15"/>
      <c r="UEV1107" s="15"/>
      <c r="UEY1107" s="15"/>
      <c r="UEZ1107" s="15"/>
      <c r="UFC1107" s="15"/>
      <c r="UFD1107" s="15"/>
      <c r="UFG1107" s="15"/>
      <c r="UFH1107" s="15"/>
      <c r="UFK1107" s="15"/>
      <c r="UFL1107" s="15"/>
      <c r="UFO1107" s="15"/>
      <c r="UFP1107" s="15"/>
      <c r="UFS1107" s="15"/>
      <c r="UFT1107" s="15"/>
      <c r="UFW1107" s="15"/>
      <c r="UFX1107" s="15"/>
      <c r="UGA1107" s="15"/>
      <c r="UGB1107" s="15"/>
      <c r="UGE1107" s="15"/>
      <c r="UGF1107" s="15"/>
      <c r="UGI1107" s="15"/>
      <c r="UGJ1107" s="15"/>
      <c r="UGM1107" s="15"/>
      <c r="UGN1107" s="15"/>
      <c r="UGQ1107" s="15"/>
      <c r="UGR1107" s="15"/>
      <c r="UGU1107" s="15"/>
      <c r="UGV1107" s="15"/>
      <c r="UGY1107" s="15"/>
      <c r="UGZ1107" s="15"/>
      <c r="UHC1107" s="15"/>
      <c r="UHD1107" s="15"/>
      <c r="UHG1107" s="15"/>
      <c r="UHH1107" s="15"/>
      <c r="UHK1107" s="15"/>
      <c r="UHL1107" s="15"/>
      <c r="UHO1107" s="15"/>
      <c r="UHP1107" s="15"/>
      <c r="UHS1107" s="15"/>
      <c r="UHT1107" s="15"/>
      <c r="UHW1107" s="15"/>
      <c r="UHX1107" s="15"/>
      <c r="UIA1107" s="15"/>
      <c r="UIB1107" s="15"/>
      <c r="UIE1107" s="15"/>
      <c r="UIF1107" s="15"/>
      <c r="UII1107" s="15"/>
      <c r="UIJ1107" s="15"/>
      <c r="UIM1107" s="15"/>
      <c r="UIN1107" s="15"/>
      <c r="UIQ1107" s="15"/>
      <c r="UIR1107" s="15"/>
      <c r="UIU1107" s="15"/>
      <c r="UIV1107" s="15"/>
      <c r="UIY1107" s="15"/>
      <c r="UIZ1107" s="15"/>
      <c r="UJC1107" s="15"/>
      <c r="UJD1107" s="15"/>
      <c r="UJG1107" s="15"/>
      <c r="UJH1107" s="15"/>
      <c r="UJK1107" s="15"/>
      <c r="UJL1107" s="15"/>
      <c r="UJO1107" s="15"/>
      <c r="UJP1107" s="15"/>
      <c r="UJS1107" s="15"/>
      <c r="UJT1107" s="15"/>
      <c r="UJW1107" s="15"/>
      <c r="UJX1107" s="15"/>
      <c r="UKA1107" s="15"/>
      <c r="UKB1107" s="15"/>
      <c r="UKE1107" s="15"/>
      <c r="UKF1107" s="15"/>
      <c r="UKI1107" s="15"/>
      <c r="UKJ1107" s="15"/>
      <c r="UKM1107" s="15"/>
      <c r="UKN1107" s="15"/>
      <c r="UKQ1107" s="15"/>
      <c r="UKR1107" s="15"/>
      <c r="UKU1107" s="15"/>
      <c r="UKV1107" s="15"/>
      <c r="UKY1107" s="15"/>
      <c r="UKZ1107" s="15"/>
      <c r="ULC1107" s="15"/>
      <c r="ULD1107" s="15"/>
      <c r="ULG1107" s="15"/>
      <c r="ULH1107" s="15"/>
      <c r="ULK1107" s="15"/>
      <c r="ULL1107" s="15"/>
      <c r="ULO1107" s="15"/>
      <c r="ULP1107" s="15"/>
      <c r="ULS1107" s="15"/>
      <c r="ULT1107" s="15"/>
      <c r="ULW1107" s="15"/>
      <c r="ULX1107" s="15"/>
      <c r="UMA1107" s="15"/>
      <c r="UMB1107" s="15"/>
      <c r="UME1107" s="15"/>
      <c r="UMF1107" s="15"/>
      <c r="UMI1107" s="15"/>
      <c r="UMJ1107" s="15"/>
      <c r="UMM1107" s="15"/>
      <c r="UMN1107" s="15"/>
      <c r="UMQ1107" s="15"/>
      <c r="UMR1107" s="15"/>
      <c r="UMU1107" s="15"/>
      <c r="UMV1107" s="15"/>
      <c r="UMY1107" s="15"/>
      <c r="UMZ1107" s="15"/>
      <c r="UNC1107" s="15"/>
      <c r="UND1107" s="15"/>
      <c r="UNG1107" s="15"/>
      <c r="UNH1107" s="15"/>
      <c r="UNK1107" s="15"/>
      <c r="UNL1107" s="15"/>
      <c r="UNO1107" s="15"/>
      <c r="UNP1107" s="15"/>
      <c r="UNS1107" s="15"/>
      <c r="UNT1107" s="15"/>
      <c r="UNW1107" s="15"/>
      <c r="UNX1107" s="15"/>
      <c r="UOA1107" s="15"/>
      <c r="UOB1107" s="15"/>
      <c r="UOE1107" s="15"/>
      <c r="UOF1107" s="15"/>
      <c r="UOI1107" s="15"/>
      <c r="UOJ1107" s="15"/>
      <c r="UOM1107" s="15"/>
      <c r="UON1107" s="15"/>
      <c r="UOQ1107" s="15"/>
      <c r="UOR1107" s="15"/>
      <c r="UOU1107" s="15"/>
      <c r="UOV1107" s="15"/>
      <c r="UOY1107" s="15"/>
      <c r="UOZ1107" s="15"/>
      <c r="UPC1107" s="15"/>
      <c r="UPD1107" s="15"/>
      <c r="UPG1107" s="15"/>
      <c r="UPH1107" s="15"/>
      <c r="UPK1107" s="15"/>
      <c r="UPL1107" s="15"/>
      <c r="UPO1107" s="15"/>
      <c r="UPP1107" s="15"/>
      <c r="UPS1107" s="15"/>
      <c r="UPT1107" s="15"/>
      <c r="UPW1107" s="15"/>
      <c r="UPX1107" s="15"/>
      <c r="UQA1107" s="15"/>
      <c r="UQB1107" s="15"/>
      <c r="UQE1107" s="15"/>
      <c r="UQF1107" s="15"/>
      <c r="UQI1107" s="15"/>
      <c r="UQJ1107" s="15"/>
      <c r="UQM1107" s="15"/>
      <c r="UQN1107" s="15"/>
      <c r="UQQ1107" s="15"/>
      <c r="UQR1107" s="15"/>
      <c r="UQU1107" s="15"/>
      <c r="UQV1107" s="15"/>
      <c r="UQY1107" s="15"/>
      <c r="UQZ1107" s="15"/>
      <c r="URC1107" s="15"/>
      <c r="URD1107" s="15"/>
      <c r="URG1107" s="15"/>
      <c r="URH1107" s="15"/>
      <c r="URK1107" s="15"/>
      <c r="URL1107" s="15"/>
      <c r="URO1107" s="15"/>
      <c r="URP1107" s="15"/>
      <c r="URS1107" s="15"/>
      <c r="URT1107" s="15"/>
      <c r="URW1107" s="15"/>
      <c r="URX1107" s="15"/>
      <c r="USA1107" s="15"/>
      <c r="USB1107" s="15"/>
      <c r="USE1107" s="15"/>
      <c r="USF1107" s="15"/>
      <c r="USI1107" s="15"/>
      <c r="USJ1107" s="15"/>
      <c r="USM1107" s="15"/>
      <c r="USN1107" s="15"/>
      <c r="USQ1107" s="15"/>
      <c r="USR1107" s="15"/>
      <c r="USU1107" s="15"/>
      <c r="USV1107" s="15"/>
      <c r="USY1107" s="15"/>
      <c r="USZ1107" s="15"/>
      <c r="UTC1107" s="15"/>
      <c r="UTD1107" s="15"/>
      <c r="UTG1107" s="15"/>
      <c r="UTH1107" s="15"/>
      <c r="UTK1107" s="15"/>
      <c r="UTL1107" s="15"/>
      <c r="UTO1107" s="15"/>
      <c r="UTP1107" s="15"/>
      <c r="UTS1107" s="15"/>
      <c r="UTT1107" s="15"/>
      <c r="UTW1107" s="15"/>
      <c r="UTX1107" s="15"/>
      <c r="UUA1107" s="15"/>
      <c r="UUB1107" s="15"/>
      <c r="UUE1107" s="15"/>
      <c r="UUF1107" s="15"/>
      <c r="UUI1107" s="15"/>
      <c r="UUJ1107" s="15"/>
      <c r="UUM1107" s="15"/>
      <c r="UUN1107" s="15"/>
      <c r="UUQ1107" s="15"/>
      <c r="UUR1107" s="15"/>
      <c r="UUU1107" s="15"/>
      <c r="UUV1107" s="15"/>
      <c r="UUY1107" s="15"/>
      <c r="UUZ1107" s="15"/>
      <c r="UVC1107" s="15"/>
      <c r="UVD1107" s="15"/>
      <c r="UVG1107" s="15"/>
      <c r="UVH1107" s="15"/>
      <c r="UVK1107" s="15"/>
      <c r="UVL1107" s="15"/>
      <c r="UVO1107" s="15"/>
      <c r="UVP1107" s="15"/>
      <c r="UVS1107" s="15"/>
      <c r="UVT1107" s="15"/>
      <c r="UVW1107" s="15"/>
      <c r="UVX1107" s="15"/>
      <c r="UWA1107" s="15"/>
      <c r="UWB1107" s="15"/>
      <c r="UWE1107" s="15"/>
      <c r="UWF1107" s="15"/>
      <c r="UWI1107" s="15"/>
      <c r="UWJ1107" s="15"/>
      <c r="UWM1107" s="15"/>
      <c r="UWN1107" s="15"/>
      <c r="UWQ1107" s="15"/>
      <c r="UWR1107" s="15"/>
      <c r="UWU1107" s="15"/>
      <c r="UWV1107" s="15"/>
      <c r="UWY1107" s="15"/>
      <c r="UWZ1107" s="15"/>
      <c r="UXC1107" s="15"/>
      <c r="UXD1107" s="15"/>
      <c r="UXG1107" s="15"/>
      <c r="UXH1107" s="15"/>
      <c r="UXK1107" s="15"/>
      <c r="UXL1107" s="15"/>
      <c r="UXO1107" s="15"/>
      <c r="UXP1107" s="15"/>
      <c r="UXS1107" s="15"/>
      <c r="UXT1107" s="15"/>
      <c r="UXW1107" s="15"/>
      <c r="UXX1107" s="15"/>
      <c r="UYA1107" s="15"/>
      <c r="UYB1107" s="15"/>
      <c r="UYE1107" s="15"/>
      <c r="UYF1107" s="15"/>
      <c r="UYI1107" s="15"/>
      <c r="UYJ1107" s="15"/>
      <c r="UYM1107" s="15"/>
      <c r="UYN1107" s="15"/>
      <c r="UYQ1107" s="15"/>
      <c r="UYR1107" s="15"/>
      <c r="UYU1107" s="15"/>
      <c r="UYV1107" s="15"/>
      <c r="UYY1107" s="15"/>
      <c r="UYZ1107" s="15"/>
      <c r="UZC1107" s="15"/>
      <c r="UZD1107" s="15"/>
      <c r="UZG1107" s="15"/>
      <c r="UZH1107" s="15"/>
      <c r="UZK1107" s="15"/>
      <c r="UZL1107" s="15"/>
      <c r="UZO1107" s="15"/>
      <c r="UZP1107" s="15"/>
      <c r="UZS1107" s="15"/>
      <c r="UZT1107" s="15"/>
      <c r="UZW1107" s="15"/>
      <c r="UZX1107" s="15"/>
      <c r="VAA1107" s="15"/>
      <c r="VAB1107" s="15"/>
      <c r="VAE1107" s="15"/>
      <c r="VAF1107" s="15"/>
      <c r="VAI1107" s="15"/>
      <c r="VAJ1107" s="15"/>
      <c r="VAM1107" s="15"/>
      <c r="VAN1107" s="15"/>
      <c r="VAQ1107" s="15"/>
      <c r="VAR1107" s="15"/>
      <c r="VAU1107" s="15"/>
      <c r="VAV1107" s="15"/>
      <c r="VAY1107" s="15"/>
      <c r="VAZ1107" s="15"/>
      <c r="VBC1107" s="15"/>
      <c r="VBD1107" s="15"/>
      <c r="VBG1107" s="15"/>
      <c r="VBH1107" s="15"/>
      <c r="VBK1107" s="15"/>
      <c r="VBL1107" s="15"/>
      <c r="VBO1107" s="15"/>
      <c r="VBP1107" s="15"/>
      <c r="VBS1107" s="15"/>
      <c r="VBT1107" s="15"/>
      <c r="VBW1107" s="15"/>
      <c r="VBX1107" s="15"/>
      <c r="VCA1107" s="15"/>
      <c r="VCB1107" s="15"/>
      <c r="VCE1107" s="15"/>
      <c r="VCF1107" s="15"/>
      <c r="VCI1107" s="15"/>
      <c r="VCJ1107" s="15"/>
      <c r="VCM1107" s="15"/>
      <c r="VCN1107" s="15"/>
      <c r="VCQ1107" s="15"/>
      <c r="VCR1107" s="15"/>
      <c r="VCU1107" s="15"/>
      <c r="VCV1107" s="15"/>
      <c r="VCY1107" s="15"/>
      <c r="VCZ1107" s="15"/>
      <c r="VDC1107" s="15"/>
      <c r="VDD1107" s="15"/>
      <c r="VDG1107" s="15"/>
      <c r="VDH1107" s="15"/>
      <c r="VDK1107" s="15"/>
      <c r="VDL1107" s="15"/>
      <c r="VDO1107" s="15"/>
      <c r="VDP1107" s="15"/>
      <c r="VDS1107" s="15"/>
      <c r="VDT1107" s="15"/>
      <c r="VDW1107" s="15"/>
      <c r="VDX1107" s="15"/>
      <c r="VEA1107" s="15"/>
      <c r="VEB1107" s="15"/>
      <c r="VEE1107" s="15"/>
      <c r="VEF1107" s="15"/>
      <c r="VEI1107" s="15"/>
      <c r="VEJ1107" s="15"/>
      <c r="VEM1107" s="15"/>
      <c r="VEN1107" s="15"/>
      <c r="VEQ1107" s="15"/>
      <c r="VER1107" s="15"/>
      <c r="VEU1107" s="15"/>
      <c r="VEV1107" s="15"/>
      <c r="VEY1107" s="15"/>
      <c r="VEZ1107" s="15"/>
      <c r="VFC1107" s="15"/>
      <c r="VFD1107" s="15"/>
      <c r="VFG1107" s="15"/>
      <c r="VFH1107" s="15"/>
      <c r="VFK1107" s="15"/>
      <c r="VFL1107" s="15"/>
      <c r="VFO1107" s="15"/>
      <c r="VFP1107" s="15"/>
      <c r="VFS1107" s="15"/>
      <c r="VFT1107" s="15"/>
      <c r="VFW1107" s="15"/>
      <c r="VFX1107" s="15"/>
      <c r="VGA1107" s="15"/>
      <c r="VGB1107" s="15"/>
      <c r="VGE1107" s="15"/>
      <c r="VGF1107" s="15"/>
      <c r="VGI1107" s="15"/>
      <c r="VGJ1107" s="15"/>
      <c r="VGM1107" s="15"/>
      <c r="VGN1107" s="15"/>
      <c r="VGQ1107" s="15"/>
      <c r="VGR1107" s="15"/>
      <c r="VGU1107" s="15"/>
      <c r="VGV1107" s="15"/>
      <c r="VGY1107" s="15"/>
      <c r="VGZ1107" s="15"/>
      <c r="VHC1107" s="15"/>
      <c r="VHD1107" s="15"/>
      <c r="VHG1107" s="15"/>
      <c r="VHH1107" s="15"/>
      <c r="VHK1107" s="15"/>
      <c r="VHL1107" s="15"/>
      <c r="VHO1107" s="15"/>
      <c r="VHP1107" s="15"/>
      <c r="VHS1107" s="15"/>
      <c r="VHT1107" s="15"/>
      <c r="VHW1107" s="15"/>
      <c r="VHX1107" s="15"/>
      <c r="VIA1107" s="15"/>
      <c r="VIB1107" s="15"/>
      <c r="VIE1107" s="15"/>
      <c r="VIF1107" s="15"/>
      <c r="VII1107" s="15"/>
      <c r="VIJ1107" s="15"/>
      <c r="VIM1107" s="15"/>
      <c r="VIN1107" s="15"/>
      <c r="VIQ1107" s="15"/>
      <c r="VIR1107" s="15"/>
      <c r="VIU1107" s="15"/>
      <c r="VIV1107" s="15"/>
      <c r="VIY1107" s="15"/>
      <c r="VIZ1107" s="15"/>
      <c r="VJC1107" s="15"/>
      <c r="VJD1107" s="15"/>
      <c r="VJG1107" s="15"/>
      <c r="VJH1107" s="15"/>
      <c r="VJK1107" s="15"/>
      <c r="VJL1107" s="15"/>
      <c r="VJO1107" s="15"/>
      <c r="VJP1107" s="15"/>
      <c r="VJS1107" s="15"/>
      <c r="VJT1107" s="15"/>
      <c r="VJW1107" s="15"/>
      <c r="VJX1107" s="15"/>
      <c r="VKA1107" s="15"/>
      <c r="VKB1107" s="15"/>
      <c r="VKE1107" s="15"/>
      <c r="VKF1107" s="15"/>
      <c r="VKI1107" s="15"/>
      <c r="VKJ1107" s="15"/>
      <c r="VKM1107" s="15"/>
      <c r="VKN1107" s="15"/>
      <c r="VKQ1107" s="15"/>
      <c r="VKR1107" s="15"/>
      <c r="VKU1107" s="15"/>
      <c r="VKV1107" s="15"/>
      <c r="VKY1107" s="15"/>
      <c r="VKZ1107" s="15"/>
      <c r="VLC1107" s="15"/>
      <c r="VLD1107" s="15"/>
      <c r="VLG1107" s="15"/>
      <c r="VLH1107" s="15"/>
      <c r="VLK1107" s="15"/>
      <c r="VLL1107" s="15"/>
      <c r="VLO1107" s="15"/>
      <c r="VLP1107" s="15"/>
      <c r="VLS1107" s="15"/>
      <c r="VLT1107" s="15"/>
      <c r="VLW1107" s="15"/>
      <c r="VLX1107" s="15"/>
      <c r="VMA1107" s="15"/>
      <c r="VMB1107" s="15"/>
      <c r="VME1107" s="15"/>
      <c r="VMF1107" s="15"/>
      <c r="VMI1107" s="15"/>
      <c r="VMJ1107" s="15"/>
      <c r="VMM1107" s="15"/>
      <c r="VMN1107" s="15"/>
      <c r="VMQ1107" s="15"/>
      <c r="VMR1107" s="15"/>
      <c r="VMU1107" s="15"/>
      <c r="VMV1107" s="15"/>
      <c r="VMY1107" s="15"/>
      <c r="VMZ1107" s="15"/>
      <c r="VNC1107" s="15"/>
      <c r="VND1107" s="15"/>
      <c r="VNG1107" s="15"/>
      <c r="VNH1107" s="15"/>
      <c r="VNK1107" s="15"/>
      <c r="VNL1107" s="15"/>
      <c r="VNO1107" s="15"/>
      <c r="VNP1107" s="15"/>
      <c r="VNS1107" s="15"/>
      <c r="VNT1107" s="15"/>
      <c r="VNW1107" s="15"/>
      <c r="VNX1107" s="15"/>
      <c r="VOA1107" s="15"/>
      <c r="VOB1107" s="15"/>
      <c r="VOE1107" s="15"/>
      <c r="VOF1107" s="15"/>
      <c r="VOI1107" s="15"/>
      <c r="VOJ1107" s="15"/>
      <c r="VOM1107" s="15"/>
      <c r="VON1107" s="15"/>
      <c r="VOQ1107" s="15"/>
      <c r="VOR1107" s="15"/>
      <c r="VOU1107" s="15"/>
      <c r="VOV1107" s="15"/>
      <c r="VOY1107" s="15"/>
      <c r="VOZ1107" s="15"/>
      <c r="VPC1107" s="15"/>
      <c r="VPD1107" s="15"/>
      <c r="VPG1107" s="15"/>
      <c r="VPH1107" s="15"/>
      <c r="VPK1107" s="15"/>
      <c r="VPL1107" s="15"/>
      <c r="VPO1107" s="15"/>
      <c r="VPP1107" s="15"/>
      <c r="VPS1107" s="15"/>
      <c r="VPT1107" s="15"/>
      <c r="VPW1107" s="15"/>
      <c r="VPX1107" s="15"/>
      <c r="VQA1107" s="15"/>
      <c r="VQB1107" s="15"/>
      <c r="VQE1107" s="15"/>
      <c r="VQF1107" s="15"/>
      <c r="VQI1107" s="15"/>
      <c r="VQJ1107" s="15"/>
      <c r="VQM1107" s="15"/>
      <c r="VQN1107" s="15"/>
      <c r="VQQ1107" s="15"/>
      <c r="VQR1107" s="15"/>
      <c r="VQU1107" s="15"/>
      <c r="VQV1107" s="15"/>
      <c r="VQY1107" s="15"/>
      <c r="VQZ1107" s="15"/>
      <c r="VRC1107" s="15"/>
      <c r="VRD1107" s="15"/>
      <c r="VRG1107" s="15"/>
      <c r="VRH1107" s="15"/>
      <c r="VRK1107" s="15"/>
      <c r="VRL1107" s="15"/>
      <c r="VRO1107" s="15"/>
      <c r="VRP1107" s="15"/>
      <c r="VRS1107" s="15"/>
      <c r="VRT1107" s="15"/>
      <c r="VRW1107" s="15"/>
      <c r="VRX1107" s="15"/>
      <c r="VSA1107" s="15"/>
      <c r="VSB1107" s="15"/>
      <c r="VSE1107" s="15"/>
      <c r="VSF1107" s="15"/>
      <c r="VSI1107" s="15"/>
      <c r="VSJ1107" s="15"/>
      <c r="VSM1107" s="15"/>
      <c r="VSN1107" s="15"/>
      <c r="VSQ1107" s="15"/>
      <c r="VSR1107" s="15"/>
      <c r="VSU1107" s="15"/>
      <c r="VSV1107" s="15"/>
      <c r="VSY1107" s="15"/>
      <c r="VSZ1107" s="15"/>
      <c r="VTC1107" s="15"/>
      <c r="VTD1107" s="15"/>
      <c r="VTG1107" s="15"/>
      <c r="VTH1107" s="15"/>
      <c r="VTK1107" s="15"/>
      <c r="VTL1107" s="15"/>
      <c r="VTO1107" s="15"/>
      <c r="VTP1107" s="15"/>
      <c r="VTS1107" s="15"/>
      <c r="VTT1107" s="15"/>
      <c r="VTW1107" s="15"/>
      <c r="VTX1107" s="15"/>
      <c r="VUA1107" s="15"/>
      <c r="VUB1107" s="15"/>
      <c r="VUE1107" s="15"/>
      <c r="VUF1107" s="15"/>
      <c r="VUI1107" s="15"/>
      <c r="VUJ1107" s="15"/>
      <c r="VUM1107" s="15"/>
      <c r="VUN1107" s="15"/>
      <c r="VUQ1107" s="15"/>
      <c r="VUR1107" s="15"/>
      <c r="VUU1107" s="15"/>
      <c r="VUV1107" s="15"/>
      <c r="VUY1107" s="15"/>
      <c r="VUZ1107" s="15"/>
      <c r="VVC1107" s="15"/>
      <c r="VVD1107" s="15"/>
      <c r="VVG1107" s="15"/>
      <c r="VVH1107" s="15"/>
      <c r="VVK1107" s="15"/>
      <c r="VVL1107" s="15"/>
      <c r="VVO1107" s="15"/>
      <c r="VVP1107" s="15"/>
      <c r="VVS1107" s="15"/>
      <c r="VVT1107" s="15"/>
      <c r="VVW1107" s="15"/>
      <c r="VVX1107" s="15"/>
      <c r="VWA1107" s="15"/>
      <c r="VWB1107" s="15"/>
      <c r="VWE1107" s="15"/>
      <c r="VWF1107" s="15"/>
      <c r="VWI1107" s="15"/>
      <c r="VWJ1107" s="15"/>
      <c r="VWM1107" s="15"/>
      <c r="VWN1107" s="15"/>
      <c r="VWQ1107" s="15"/>
      <c r="VWR1107" s="15"/>
      <c r="VWU1107" s="15"/>
      <c r="VWV1107" s="15"/>
      <c r="VWY1107" s="15"/>
      <c r="VWZ1107" s="15"/>
      <c r="VXC1107" s="15"/>
      <c r="VXD1107" s="15"/>
      <c r="VXG1107" s="15"/>
      <c r="VXH1107" s="15"/>
      <c r="VXK1107" s="15"/>
      <c r="VXL1107" s="15"/>
      <c r="VXO1107" s="15"/>
      <c r="VXP1107" s="15"/>
      <c r="VXS1107" s="15"/>
      <c r="VXT1107" s="15"/>
      <c r="VXW1107" s="15"/>
      <c r="VXX1107" s="15"/>
      <c r="VYA1107" s="15"/>
      <c r="VYB1107" s="15"/>
      <c r="VYE1107" s="15"/>
      <c r="VYF1107" s="15"/>
      <c r="VYI1107" s="15"/>
      <c r="VYJ1107" s="15"/>
      <c r="VYM1107" s="15"/>
      <c r="VYN1107" s="15"/>
      <c r="VYQ1107" s="15"/>
      <c r="VYR1107" s="15"/>
      <c r="VYU1107" s="15"/>
      <c r="VYV1107" s="15"/>
      <c r="VYY1107" s="15"/>
      <c r="VYZ1107" s="15"/>
      <c r="VZC1107" s="15"/>
      <c r="VZD1107" s="15"/>
      <c r="VZG1107" s="15"/>
      <c r="VZH1107" s="15"/>
      <c r="VZK1107" s="15"/>
      <c r="VZL1107" s="15"/>
      <c r="VZO1107" s="15"/>
      <c r="VZP1107" s="15"/>
      <c r="VZS1107" s="15"/>
      <c r="VZT1107" s="15"/>
      <c r="VZW1107" s="15"/>
      <c r="VZX1107" s="15"/>
      <c r="WAA1107" s="15"/>
      <c r="WAB1107" s="15"/>
      <c r="WAE1107" s="15"/>
      <c r="WAF1107" s="15"/>
      <c r="WAI1107" s="15"/>
      <c r="WAJ1107" s="15"/>
      <c r="WAM1107" s="15"/>
      <c r="WAN1107" s="15"/>
      <c r="WAQ1107" s="15"/>
      <c r="WAR1107" s="15"/>
      <c r="WAU1107" s="15"/>
      <c r="WAV1107" s="15"/>
      <c r="WAY1107" s="15"/>
      <c r="WAZ1107" s="15"/>
      <c r="WBC1107" s="15"/>
      <c r="WBD1107" s="15"/>
      <c r="WBG1107" s="15"/>
      <c r="WBH1107" s="15"/>
      <c r="WBK1107" s="15"/>
      <c r="WBL1107" s="15"/>
      <c r="WBO1107" s="15"/>
      <c r="WBP1107" s="15"/>
      <c r="WBS1107" s="15"/>
      <c r="WBT1107" s="15"/>
      <c r="WBW1107" s="15"/>
      <c r="WBX1107" s="15"/>
      <c r="WCA1107" s="15"/>
      <c r="WCB1107" s="15"/>
      <c r="WCE1107" s="15"/>
      <c r="WCF1107" s="15"/>
      <c r="WCI1107" s="15"/>
      <c r="WCJ1107" s="15"/>
      <c r="WCM1107" s="15"/>
      <c r="WCN1107" s="15"/>
      <c r="WCQ1107" s="15"/>
      <c r="WCR1107" s="15"/>
      <c r="WCU1107" s="15"/>
      <c r="WCV1107" s="15"/>
      <c r="WCY1107" s="15"/>
      <c r="WCZ1107" s="15"/>
      <c r="WDC1107" s="15"/>
      <c r="WDD1107" s="15"/>
      <c r="WDG1107" s="15"/>
      <c r="WDH1107" s="15"/>
      <c r="WDK1107" s="15"/>
      <c r="WDL1107" s="15"/>
      <c r="WDO1107" s="15"/>
      <c r="WDP1107" s="15"/>
      <c r="WDS1107" s="15"/>
      <c r="WDT1107" s="15"/>
      <c r="WDW1107" s="15"/>
      <c r="WDX1107" s="15"/>
      <c r="WEA1107" s="15"/>
      <c r="WEB1107" s="15"/>
      <c r="WEE1107" s="15"/>
      <c r="WEF1107" s="15"/>
      <c r="WEI1107" s="15"/>
      <c r="WEJ1107" s="15"/>
      <c r="WEM1107" s="15"/>
      <c r="WEN1107" s="15"/>
      <c r="WEQ1107" s="15"/>
      <c r="WER1107" s="15"/>
      <c r="WEU1107" s="15"/>
      <c r="WEV1107" s="15"/>
      <c r="WEY1107" s="15"/>
      <c r="WEZ1107" s="15"/>
      <c r="WFC1107" s="15"/>
      <c r="WFD1107" s="15"/>
      <c r="WFG1107" s="15"/>
      <c r="WFH1107" s="15"/>
      <c r="WFK1107" s="15"/>
      <c r="WFL1107" s="15"/>
      <c r="WFO1107" s="15"/>
      <c r="WFP1107" s="15"/>
      <c r="WFS1107" s="15"/>
      <c r="WFT1107" s="15"/>
      <c r="WFW1107" s="15"/>
      <c r="WFX1107" s="15"/>
      <c r="WGA1107" s="15"/>
      <c r="WGB1107" s="15"/>
      <c r="WGE1107" s="15"/>
      <c r="WGF1107" s="15"/>
      <c r="WGI1107" s="15"/>
      <c r="WGJ1107" s="15"/>
      <c r="WGM1107" s="15"/>
      <c r="WGN1107" s="15"/>
      <c r="WGQ1107" s="15"/>
      <c r="WGR1107" s="15"/>
      <c r="WGU1107" s="15"/>
      <c r="WGV1107" s="15"/>
      <c r="WGY1107" s="15"/>
      <c r="WGZ1107" s="15"/>
      <c r="WHC1107" s="15"/>
      <c r="WHD1107" s="15"/>
      <c r="WHG1107" s="15"/>
      <c r="WHH1107" s="15"/>
      <c r="WHK1107" s="15"/>
      <c r="WHL1107" s="15"/>
      <c r="WHO1107" s="15"/>
      <c r="WHP1107" s="15"/>
      <c r="WHS1107" s="15"/>
      <c r="WHT1107" s="15"/>
      <c r="WHW1107" s="15"/>
      <c r="WHX1107" s="15"/>
      <c r="WIA1107" s="15"/>
      <c r="WIB1107" s="15"/>
      <c r="WIE1107" s="15"/>
      <c r="WIF1107" s="15"/>
      <c r="WII1107" s="15"/>
      <c r="WIJ1107" s="15"/>
      <c r="WIM1107" s="15"/>
      <c r="WIN1107" s="15"/>
      <c r="WIQ1107" s="15"/>
      <c r="WIR1107" s="15"/>
      <c r="WIU1107" s="15"/>
      <c r="WIV1107" s="15"/>
      <c r="WIY1107" s="15"/>
      <c r="WIZ1107" s="15"/>
      <c r="WJC1107" s="15"/>
      <c r="WJD1107" s="15"/>
      <c r="WJG1107" s="15"/>
      <c r="WJH1107" s="15"/>
      <c r="WJK1107" s="15"/>
      <c r="WJL1107" s="15"/>
      <c r="WJO1107" s="15"/>
      <c r="WJP1107" s="15"/>
      <c r="WJS1107" s="15"/>
      <c r="WJT1107" s="15"/>
      <c r="WJW1107" s="15"/>
      <c r="WJX1107" s="15"/>
      <c r="WKA1107" s="15"/>
      <c r="WKB1107" s="15"/>
      <c r="WKE1107" s="15"/>
      <c r="WKF1107" s="15"/>
      <c r="WKI1107" s="15"/>
      <c r="WKJ1107" s="15"/>
      <c r="WKM1107" s="15"/>
      <c r="WKN1107" s="15"/>
      <c r="WKQ1107" s="15"/>
      <c r="WKR1107" s="15"/>
      <c r="WKU1107" s="15"/>
      <c r="WKV1107" s="15"/>
      <c r="WKY1107" s="15"/>
      <c r="WKZ1107" s="15"/>
      <c r="WLC1107" s="15"/>
      <c r="WLD1107" s="15"/>
      <c r="WLG1107" s="15"/>
      <c r="WLH1107" s="15"/>
      <c r="WLK1107" s="15"/>
      <c r="WLL1107" s="15"/>
      <c r="WLO1107" s="15"/>
      <c r="WLP1107" s="15"/>
      <c r="WLS1107" s="15"/>
      <c r="WLT1107" s="15"/>
      <c r="WLW1107" s="15"/>
      <c r="WLX1107" s="15"/>
      <c r="WMA1107" s="15"/>
      <c r="WMB1107" s="15"/>
      <c r="WME1107" s="15"/>
      <c r="WMF1107" s="15"/>
      <c r="WMI1107" s="15"/>
      <c r="WMJ1107" s="15"/>
      <c r="WMM1107" s="15"/>
      <c r="WMN1107" s="15"/>
      <c r="WMQ1107" s="15"/>
      <c r="WMR1107" s="15"/>
      <c r="WMU1107" s="15"/>
      <c r="WMV1107" s="15"/>
      <c r="WMY1107" s="15"/>
      <c r="WMZ1107" s="15"/>
      <c r="WNC1107" s="15"/>
      <c r="WND1107" s="15"/>
      <c r="WNG1107" s="15"/>
      <c r="WNH1107" s="15"/>
      <c r="WNK1107" s="15"/>
      <c r="WNL1107" s="15"/>
      <c r="WNO1107" s="15"/>
      <c r="WNP1107" s="15"/>
      <c r="WNS1107" s="15"/>
      <c r="WNT1107" s="15"/>
      <c r="WNW1107" s="15"/>
      <c r="WNX1107" s="15"/>
      <c r="WOA1107" s="15"/>
      <c r="WOB1107" s="15"/>
      <c r="WOE1107" s="15"/>
      <c r="WOF1107" s="15"/>
      <c r="WOI1107" s="15"/>
      <c r="WOJ1107" s="15"/>
      <c r="WOM1107" s="15"/>
      <c r="WON1107" s="15"/>
      <c r="WOQ1107" s="15"/>
      <c r="WOR1107" s="15"/>
      <c r="WOU1107" s="15"/>
      <c r="WOV1107" s="15"/>
      <c r="WOY1107" s="15"/>
      <c r="WOZ1107" s="15"/>
      <c r="WPC1107" s="15"/>
      <c r="WPD1107" s="15"/>
      <c r="WPG1107" s="15"/>
      <c r="WPH1107" s="15"/>
      <c r="WPK1107" s="15"/>
      <c r="WPL1107" s="15"/>
      <c r="WPO1107" s="15"/>
      <c r="WPP1107" s="15"/>
      <c r="WPS1107" s="15"/>
      <c r="WPT1107" s="15"/>
      <c r="WPW1107" s="15"/>
      <c r="WPX1107" s="15"/>
      <c r="WQA1107" s="15"/>
      <c r="WQB1107" s="15"/>
      <c r="WQE1107" s="15"/>
      <c r="WQF1107" s="15"/>
      <c r="WQI1107" s="15"/>
      <c r="WQJ1107" s="15"/>
      <c r="WQM1107" s="15"/>
      <c r="WQN1107" s="15"/>
      <c r="WQQ1107" s="15"/>
      <c r="WQR1107" s="15"/>
      <c r="WQU1107" s="15"/>
      <c r="WQV1107" s="15"/>
      <c r="WQY1107" s="15"/>
      <c r="WQZ1107" s="15"/>
      <c r="WRC1107" s="15"/>
      <c r="WRD1107" s="15"/>
      <c r="WRG1107" s="15"/>
      <c r="WRH1107" s="15"/>
      <c r="WRK1107" s="15"/>
      <c r="WRL1107" s="15"/>
      <c r="WRO1107" s="15"/>
      <c r="WRP1107" s="15"/>
      <c r="WRS1107" s="15"/>
      <c r="WRT1107" s="15"/>
      <c r="WRW1107" s="15"/>
      <c r="WRX1107" s="15"/>
      <c r="WSA1107" s="15"/>
      <c r="WSB1107" s="15"/>
      <c r="WSE1107" s="15"/>
      <c r="WSF1107" s="15"/>
      <c r="WSI1107" s="15"/>
      <c r="WSJ1107" s="15"/>
      <c r="WSM1107" s="15"/>
      <c r="WSN1107" s="15"/>
      <c r="WSQ1107" s="15"/>
      <c r="WSR1107" s="15"/>
      <c r="WSU1107" s="15"/>
      <c r="WSV1107" s="15"/>
      <c r="WSY1107" s="15"/>
      <c r="WSZ1107" s="15"/>
      <c r="WTC1107" s="15"/>
      <c r="WTD1107" s="15"/>
      <c r="WTG1107" s="15"/>
      <c r="WTH1107" s="15"/>
      <c r="WTK1107" s="15"/>
      <c r="WTL1107" s="15"/>
      <c r="WTO1107" s="15"/>
      <c r="WTP1107" s="15"/>
      <c r="WTS1107" s="15"/>
      <c r="WTT1107" s="15"/>
      <c r="WTW1107" s="15"/>
      <c r="WTX1107" s="15"/>
      <c r="WUA1107" s="15"/>
      <c r="WUB1107" s="15"/>
      <c r="WUE1107" s="15"/>
      <c r="WUF1107" s="15"/>
      <c r="WUI1107" s="15"/>
      <c r="WUJ1107" s="15"/>
      <c r="WUM1107" s="15"/>
      <c r="WUN1107" s="15"/>
      <c r="WUQ1107" s="15"/>
      <c r="WUR1107" s="15"/>
      <c r="WUU1107" s="15"/>
      <c r="WUV1107" s="15"/>
      <c r="WUY1107" s="15"/>
      <c r="WUZ1107" s="15"/>
      <c r="WVC1107" s="15"/>
      <c r="WVD1107" s="15"/>
      <c r="WVG1107" s="15"/>
      <c r="WVH1107" s="15"/>
      <c r="WVK1107" s="15"/>
      <c r="WVL1107" s="15"/>
      <c r="WVO1107" s="15"/>
      <c r="WVP1107" s="15"/>
      <c r="WVS1107" s="15"/>
      <c r="WVT1107" s="15"/>
      <c r="WVW1107" s="15"/>
      <c r="WVX1107" s="15"/>
      <c r="WWA1107" s="15"/>
      <c r="WWB1107" s="15"/>
      <c r="WWE1107" s="15"/>
      <c r="WWF1107" s="15"/>
      <c r="WWI1107" s="15"/>
      <c r="WWJ1107" s="15"/>
      <c r="WWM1107" s="15"/>
      <c r="WWN1107" s="15"/>
      <c r="WWQ1107" s="15"/>
      <c r="WWR1107" s="15"/>
      <c r="WWU1107" s="15"/>
      <c r="WWV1107" s="15"/>
      <c r="WWY1107" s="15"/>
      <c r="WWZ1107" s="15"/>
      <c r="WXC1107" s="15"/>
      <c r="WXD1107" s="15"/>
      <c r="WXG1107" s="15"/>
      <c r="WXH1107" s="15"/>
      <c r="WXK1107" s="15"/>
      <c r="WXL1107" s="15"/>
      <c r="WXO1107" s="15"/>
      <c r="WXP1107" s="15"/>
      <c r="WXS1107" s="15"/>
      <c r="WXT1107" s="15"/>
      <c r="WXW1107" s="15"/>
      <c r="WXX1107" s="15"/>
      <c r="WYA1107" s="15"/>
      <c r="WYB1107" s="15"/>
      <c r="WYE1107" s="15"/>
      <c r="WYF1107" s="15"/>
      <c r="WYI1107" s="15"/>
      <c r="WYJ1107" s="15"/>
      <c r="WYM1107" s="15"/>
      <c r="WYN1107" s="15"/>
      <c r="WYQ1107" s="15"/>
      <c r="WYR1107" s="15"/>
      <c r="WYU1107" s="15"/>
      <c r="WYV1107" s="15"/>
      <c r="WYY1107" s="15"/>
      <c r="WYZ1107" s="15"/>
      <c r="WZC1107" s="15"/>
      <c r="WZD1107" s="15"/>
      <c r="WZG1107" s="15"/>
      <c r="WZH1107" s="15"/>
      <c r="WZK1107" s="15"/>
      <c r="WZL1107" s="15"/>
      <c r="WZO1107" s="15"/>
      <c r="WZP1107" s="15"/>
      <c r="WZS1107" s="15"/>
      <c r="WZT1107" s="15"/>
      <c r="WZW1107" s="15"/>
      <c r="WZX1107" s="15"/>
      <c r="XAA1107" s="15"/>
      <c r="XAB1107" s="15"/>
      <c r="XAE1107" s="15"/>
      <c r="XAF1107" s="15"/>
      <c r="XAI1107" s="15"/>
      <c r="XAJ1107" s="15"/>
      <c r="XAM1107" s="15"/>
      <c r="XAN1107" s="15"/>
      <c r="XAQ1107" s="15"/>
      <c r="XAR1107" s="15"/>
      <c r="XAU1107" s="15"/>
      <c r="XAV1107" s="15"/>
      <c r="XAY1107" s="15"/>
      <c r="XAZ1107" s="15"/>
      <c r="XBC1107" s="15"/>
      <c r="XBD1107" s="15"/>
      <c r="XBG1107" s="15"/>
      <c r="XBH1107" s="15"/>
      <c r="XBK1107" s="15"/>
      <c r="XBL1107" s="15"/>
      <c r="XBO1107" s="15"/>
      <c r="XBP1107" s="15"/>
      <c r="XBS1107" s="15"/>
      <c r="XBT1107" s="15"/>
      <c r="XBW1107" s="15"/>
      <c r="XBX1107" s="15"/>
      <c r="XCA1107" s="15"/>
      <c r="XCB1107" s="15"/>
      <c r="XCE1107" s="15"/>
      <c r="XCF1107" s="15"/>
      <c r="XCI1107" s="15"/>
      <c r="XCJ1107" s="15"/>
      <c r="XCM1107" s="15"/>
      <c r="XCN1107" s="15"/>
      <c r="XCQ1107" s="15"/>
      <c r="XCR1107" s="15"/>
      <c r="XCU1107" s="15"/>
      <c r="XCV1107" s="15"/>
      <c r="XCY1107" s="15"/>
      <c r="XCZ1107" s="15"/>
      <c r="XDC1107" s="15"/>
      <c r="XDD1107" s="15"/>
      <c r="XDG1107" s="15"/>
      <c r="XDH1107" s="15"/>
      <c r="XDK1107" s="15"/>
      <c r="XDL1107" s="15"/>
      <c r="XDO1107" s="15"/>
      <c r="XDP1107" s="15"/>
      <c r="XDS1107" s="15"/>
      <c r="XDT1107" s="15"/>
      <c r="XDW1107" s="15"/>
      <c r="XDX1107" s="15"/>
      <c r="XEA1107" s="15"/>
      <c r="XEB1107" s="15"/>
      <c r="XEE1107" s="15"/>
      <c r="XEF1107" s="15"/>
      <c r="XEI1107" s="15"/>
      <c r="XEJ1107" s="15"/>
      <c r="XEM1107" s="15"/>
      <c r="XEN1107" s="15"/>
      <c r="XEQ1107" s="15"/>
      <c r="XER1107" s="15"/>
      <c r="XEU1107" s="15"/>
      <c r="XEV1107" s="15"/>
      <c r="XEY1107" s="15"/>
      <c r="XEZ1107" s="15"/>
      <c r="XFC1107" s="15"/>
      <c r="XFD1107" s="15"/>
    </row>
    <row r="1108" spans="1:1024 1027:2048 2051:3072 3075:4096 4099:5120 5123:6144 6147:7168 7171:8192 8195:9216 9219:10240 10243:11264 11267:12288 12291:13312 13315:14336 14339:15360 15363:16384" outlineLevel="1" x14ac:dyDescent="0.3">
      <c r="A1108" t="s">
        <v>1837</v>
      </c>
      <c r="B1108" t="s">
        <v>269</v>
      </c>
      <c r="C1108" s="15" t="s">
        <v>10</v>
      </c>
      <c r="D1108" s="15" t="s">
        <v>1838</v>
      </c>
      <c r="E1108" t="s">
        <v>8541</v>
      </c>
      <c r="G1108" s="15"/>
      <c r="H1108" s="15"/>
      <c r="K1108" s="15"/>
      <c r="L1108" s="15"/>
      <c r="O1108" s="15"/>
      <c r="P1108" s="15"/>
      <c r="S1108" s="15"/>
      <c r="T1108" s="15"/>
      <c r="W1108" s="15"/>
      <c r="X1108" s="15"/>
      <c r="AA1108" s="15"/>
      <c r="AB1108" s="15"/>
      <c r="AE1108" s="15"/>
      <c r="AF1108" s="15"/>
      <c r="AI1108" s="15"/>
      <c r="AJ1108" s="15"/>
      <c r="AM1108" s="15"/>
      <c r="AN1108" s="15"/>
      <c r="AQ1108" s="15"/>
      <c r="AR1108" s="15"/>
      <c r="AU1108" s="15"/>
      <c r="AV1108" s="15"/>
      <c r="AY1108" s="15"/>
      <c r="AZ1108" s="15"/>
      <c r="BC1108" s="15"/>
      <c r="BD1108" s="15"/>
      <c r="BG1108" s="15"/>
      <c r="BH1108" s="15"/>
      <c r="BK1108" s="15"/>
      <c r="BL1108" s="15"/>
      <c r="BO1108" s="15"/>
      <c r="BP1108" s="15"/>
      <c r="BS1108" s="15"/>
      <c r="BT1108" s="15"/>
      <c r="BW1108" s="15"/>
      <c r="BX1108" s="15"/>
      <c r="CA1108" s="15"/>
      <c r="CB1108" s="15"/>
      <c r="CE1108" s="15"/>
      <c r="CF1108" s="15"/>
      <c r="CI1108" s="15"/>
      <c r="CJ1108" s="15"/>
      <c r="CM1108" s="15"/>
      <c r="CN1108" s="15"/>
      <c r="CQ1108" s="15"/>
      <c r="CR1108" s="15"/>
      <c r="CU1108" s="15"/>
      <c r="CV1108" s="15"/>
      <c r="CY1108" s="15"/>
      <c r="CZ1108" s="15"/>
      <c r="DC1108" s="15"/>
      <c r="DD1108" s="15"/>
      <c r="DG1108" s="15"/>
      <c r="DH1108" s="15"/>
      <c r="DK1108" s="15"/>
      <c r="DL1108" s="15"/>
      <c r="DO1108" s="15"/>
      <c r="DP1108" s="15"/>
      <c r="DS1108" s="15"/>
      <c r="DT1108" s="15"/>
      <c r="DW1108" s="15"/>
      <c r="DX1108" s="15"/>
      <c r="EA1108" s="15"/>
      <c r="EB1108" s="15"/>
      <c r="EE1108" s="15"/>
      <c r="EF1108" s="15"/>
      <c r="EI1108" s="15"/>
      <c r="EJ1108" s="15"/>
      <c r="EM1108" s="15"/>
      <c r="EN1108" s="15"/>
      <c r="EQ1108" s="15"/>
      <c r="ER1108" s="15"/>
      <c r="EU1108" s="15"/>
      <c r="EV1108" s="15"/>
      <c r="EY1108" s="15"/>
      <c r="EZ1108" s="15"/>
      <c r="FC1108" s="15"/>
      <c r="FD1108" s="15"/>
      <c r="FG1108" s="15"/>
      <c r="FH1108" s="15"/>
      <c r="FK1108" s="15"/>
      <c r="FL1108" s="15"/>
      <c r="FO1108" s="15"/>
      <c r="FP1108" s="15"/>
      <c r="FS1108" s="15"/>
      <c r="FT1108" s="15"/>
      <c r="FW1108" s="15"/>
      <c r="FX1108" s="15"/>
      <c r="GA1108" s="15"/>
      <c r="GB1108" s="15"/>
      <c r="GE1108" s="15"/>
      <c r="GF1108" s="15"/>
      <c r="GI1108" s="15"/>
      <c r="GJ1108" s="15"/>
      <c r="GM1108" s="15"/>
      <c r="GN1108" s="15"/>
      <c r="GQ1108" s="15"/>
      <c r="GR1108" s="15"/>
      <c r="GU1108" s="15"/>
      <c r="GV1108" s="15"/>
      <c r="GY1108" s="15"/>
      <c r="GZ1108" s="15"/>
      <c r="HC1108" s="15"/>
      <c r="HD1108" s="15"/>
      <c r="HG1108" s="15"/>
      <c r="HH1108" s="15"/>
      <c r="HK1108" s="15"/>
      <c r="HL1108" s="15"/>
      <c r="HO1108" s="15"/>
      <c r="HP1108" s="15"/>
      <c r="HS1108" s="15"/>
      <c r="HT1108" s="15"/>
      <c r="HW1108" s="15"/>
      <c r="HX1108" s="15"/>
      <c r="IA1108" s="15"/>
      <c r="IB1108" s="15"/>
      <c r="IE1108" s="15"/>
      <c r="IF1108" s="15"/>
      <c r="II1108" s="15"/>
      <c r="IJ1108" s="15"/>
      <c r="IM1108" s="15"/>
      <c r="IN1108" s="15"/>
      <c r="IQ1108" s="15"/>
      <c r="IR1108" s="15"/>
      <c r="IU1108" s="15"/>
      <c r="IV1108" s="15"/>
      <c r="IY1108" s="15"/>
      <c r="IZ1108" s="15"/>
      <c r="JC1108" s="15"/>
      <c r="JD1108" s="15"/>
      <c r="JG1108" s="15"/>
      <c r="JH1108" s="15"/>
      <c r="JK1108" s="15"/>
      <c r="JL1108" s="15"/>
      <c r="JO1108" s="15"/>
      <c r="JP1108" s="15"/>
      <c r="JS1108" s="15"/>
      <c r="JT1108" s="15"/>
      <c r="JW1108" s="15"/>
      <c r="JX1108" s="15"/>
      <c r="KA1108" s="15"/>
      <c r="KB1108" s="15"/>
      <c r="KE1108" s="15"/>
      <c r="KF1108" s="15"/>
      <c r="KI1108" s="15"/>
      <c r="KJ1108" s="15"/>
      <c r="KM1108" s="15"/>
      <c r="KN1108" s="15"/>
      <c r="KQ1108" s="15"/>
      <c r="KR1108" s="15"/>
      <c r="KU1108" s="15"/>
      <c r="KV1108" s="15"/>
      <c r="KY1108" s="15"/>
      <c r="KZ1108" s="15"/>
      <c r="LC1108" s="15"/>
      <c r="LD1108" s="15"/>
      <c r="LG1108" s="15"/>
      <c r="LH1108" s="15"/>
      <c r="LK1108" s="15"/>
      <c r="LL1108" s="15"/>
      <c r="LO1108" s="15"/>
      <c r="LP1108" s="15"/>
      <c r="LS1108" s="15"/>
      <c r="LT1108" s="15"/>
      <c r="LW1108" s="15"/>
      <c r="LX1108" s="15"/>
      <c r="MA1108" s="15"/>
      <c r="MB1108" s="15"/>
      <c r="ME1108" s="15"/>
      <c r="MF1108" s="15"/>
      <c r="MI1108" s="15"/>
      <c r="MJ1108" s="15"/>
      <c r="MM1108" s="15"/>
      <c r="MN1108" s="15"/>
      <c r="MQ1108" s="15"/>
      <c r="MR1108" s="15"/>
      <c r="MU1108" s="15"/>
      <c r="MV1108" s="15"/>
      <c r="MY1108" s="15"/>
      <c r="MZ1108" s="15"/>
      <c r="NC1108" s="15"/>
      <c r="ND1108" s="15"/>
      <c r="NG1108" s="15"/>
      <c r="NH1108" s="15"/>
      <c r="NK1108" s="15"/>
      <c r="NL1108" s="15"/>
      <c r="NO1108" s="15"/>
      <c r="NP1108" s="15"/>
      <c r="NS1108" s="15"/>
      <c r="NT1108" s="15"/>
      <c r="NW1108" s="15"/>
      <c r="NX1108" s="15"/>
      <c r="OA1108" s="15"/>
      <c r="OB1108" s="15"/>
      <c r="OE1108" s="15"/>
      <c r="OF1108" s="15"/>
      <c r="OI1108" s="15"/>
      <c r="OJ1108" s="15"/>
      <c r="OM1108" s="15"/>
      <c r="ON1108" s="15"/>
      <c r="OQ1108" s="15"/>
      <c r="OR1108" s="15"/>
      <c r="OU1108" s="15"/>
      <c r="OV1108" s="15"/>
      <c r="OY1108" s="15"/>
      <c r="OZ1108" s="15"/>
      <c r="PC1108" s="15"/>
      <c r="PD1108" s="15"/>
      <c r="PG1108" s="15"/>
      <c r="PH1108" s="15"/>
      <c r="PK1108" s="15"/>
      <c r="PL1108" s="15"/>
      <c r="PO1108" s="15"/>
      <c r="PP1108" s="15"/>
      <c r="PS1108" s="15"/>
      <c r="PT1108" s="15"/>
      <c r="PW1108" s="15"/>
      <c r="PX1108" s="15"/>
      <c r="QA1108" s="15"/>
      <c r="QB1108" s="15"/>
      <c r="QE1108" s="15"/>
      <c r="QF1108" s="15"/>
      <c r="QI1108" s="15"/>
      <c r="QJ1108" s="15"/>
      <c r="QM1108" s="15"/>
      <c r="QN1108" s="15"/>
      <c r="QQ1108" s="15"/>
      <c r="QR1108" s="15"/>
      <c r="QU1108" s="15"/>
      <c r="QV1108" s="15"/>
      <c r="QY1108" s="15"/>
      <c r="QZ1108" s="15"/>
      <c r="RC1108" s="15"/>
      <c r="RD1108" s="15"/>
      <c r="RG1108" s="15"/>
      <c r="RH1108" s="15"/>
      <c r="RK1108" s="15"/>
      <c r="RL1108" s="15"/>
      <c r="RO1108" s="15"/>
      <c r="RP1108" s="15"/>
      <c r="RS1108" s="15"/>
      <c r="RT1108" s="15"/>
      <c r="RW1108" s="15"/>
      <c r="RX1108" s="15"/>
      <c r="SA1108" s="15"/>
      <c r="SB1108" s="15"/>
      <c r="SE1108" s="15"/>
      <c r="SF1108" s="15"/>
      <c r="SI1108" s="15"/>
      <c r="SJ1108" s="15"/>
      <c r="SM1108" s="15"/>
      <c r="SN1108" s="15"/>
      <c r="SQ1108" s="15"/>
      <c r="SR1108" s="15"/>
      <c r="SU1108" s="15"/>
      <c r="SV1108" s="15"/>
      <c r="SY1108" s="15"/>
      <c r="SZ1108" s="15"/>
      <c r="TC1108" s="15"/>
      <c r="TD1108" s="15"/>
      <c r="TG1108" s="15"/>
      <c r="TH1108" s="15"/>
      <c r="TK1108" s="15"/>
      <c r="TL1108" s="15"/>
      <c r="TO1108" s="15"/>
      <c r="TP1108" s="15"/>
      <c r="TS1108" s="15"/>
      <c r="TT1108" s="15"/>
      <c r="TW1108" s="15"/>
      <c r="TX1108" s="15"/>
      <c r="UA1108" s="15"/>
      <c r="UB1108" s="15"/>
      <c r="UE1108" s="15"/>
      <c r="UF1108" s="15"/>
      <c r="UI1108" s="15"/>
      <c r="UJ1108" s="15"/>
      <c r="UM1108" s="15"/>
      <c r="UN1108" s="15"/>
      <c r="UQ1108" s="15"/>
      <c r="UR1108" s="15"/>
      <c r="UU1108" s="15"/>
      <c r="UV1108" s="15"/>
      <c r="UY1108" s="15"/>
      <c r="UZ1108" s="15"/>
      <c r="VC1108" s="15"/>
      <c r="VD1108" s="15"/>
      <c r="VG1108" s="15"/>
      <c r="VH1108" s="15"/>
      <c r="VK1108" s="15"/>
      <c r="VL1108" s="15"/>
      <c r="VO1108" s="15"/>
      <c r="VP1108" s="15"/>
      <c r="VS1108" s="15"/>
      <c r="VT1108" s="15"/>
      <c r="VW1108" s="15"/>
      <c r="VX1108" s="15"/>
      <c r="WA1108" s="15"/>
      <c r="WB1108" s="15"/>
      <c r="WE1108" s="15"/>
      <c r="WF1108" s="15"/>
      <c r="WI1108" s="15"/>
      <c r="WJ1108" s="15"/>
      <c r="WM1108" s="15"/>
      <c r="WN1108" s="15"/>
      <c r="WQ1108" s="15"/>
      <c r="WR1108" s="15"/>
      <c r="WU1108" s="15"/>
      <c r="WV1108" s="15"/>
      <c r="WY1108" s="15"/>
      <c r="WZ1108" s="15"/>
      <c r="XC1108" s="15"/>
      <c r="XD1108" s="15"/>
      <c r="XG1108" s="15"/>
      <c r="XH1108" s="15"/>
      <c r="XK1108" s="15"/>
      <c r="XL1108" s="15"/>
      <c r="XO1108" s="15"/>
      <c r="XP1108" s="15"/>
      <c r="XS1108" s="15"/>
      <c r="XT1108" s="15"/>
      <c r="XW1108" s="15"/>
      <c r="XX1108" s="15"/>
      <c r="YA1108" s="15"/>
      <c r="YB1108" s="15"/>
      <c r="YE1108" s="15"/>
      <c r="YF1108" s="15"/>
      <c r="YI1108" s="15"/>
      <c r="YJ1108" s="15"/>
      <c r="YM1108" s="15"/>
      <c r="YN1108" s="15"/>
      <c r="YQ1108" s="15"/>
      <c r="YR1108" s="15"/>
      <c r="YU1108" s="15"/>
      <c r="YV1108" s="15"/>
      <c r="YY1108" s="15"/>
      <c r="YZ1108" s="15"/>
      <c r="ZC1108" s="15"/>
      <c r="ZD1108" s="15"/>
      <c r="ZG1108" s="15"/>
      <c r="ZH1108" s="15"/>
      <c r="ZK1108" s="15"/>
      <c r="ZL1108" s="15"/>
      <c r="ZO1108" s="15"/>
      <c r="ZP1108" s="15"/>
      <c r="ZS1108" s="15"/>
      <c r="ZT1108" s="15"/>
      <c r="ZW1108" s="15"/>
      <c r="ZX1108" s="15"/>
      <c r="AAA1108" s="15"/>
      <c r="AAB1108" s="15"/>
      <c r="AAE1108" s="15"/>
      <c r="AAF1108" s="15"/>
      <c r="AAI1108" s="15"/>
      <c r="AAJ1108" s="15"/>
      <c r="AAM1108" s="15"/>
      <c r="AAN1108" s="15"/>
      <c r="AAQ1108" s="15"/>
      <c r="AAR1108" s="15"/>
      <c r="AAU1108" s="15"/>
      <c r="AAV1108" s="15"/>
      <c r="AAY1108" s="15"/>
      <c r="AAZ1108" s="15"/>
      <c r="ABC1108" s="15"/>
      <c r="ABD1108" s="15"/>
      <c r="ABG1108" s="15"/>
      <c r="ABH1108" s="15"/>
      <c r="ABK1108" s="15"/>
      <c r="ABL1108" s="15"/>
      <c r="ABO1108" s="15"/>
      <c r="ABP1108" s="15"/>
      <c r="ABS1108" s="15"/>
      <c r="ABT1108" s="15"/>
      <c r="ABW1108" s="15"/>
      <c r="ABX1108" s="15"/>
      <c r="ACA1108" s="15"/>
      <c r="ACB1108" s="15"/>
      <c r="ACE1108" s="15"/>
      <c r="ACF1108" s="15"/>
      <c r="ACI1108" s="15"/>
      <c r="ACJ1108" s="15"/>
      <c r="ACM1108" s="15"/>
      <c r="ACN1108" s="15"/>
      <c r="ACQ1108" s="15"/>
      <c r="ACR1108" s="15"/>
      <c r="ACU1108" s="15"/>
      <c r="ACV1108" s="15"/>
      <c r="ACY1108" s="15"/>
      <c r="ACZ1108" s="15"/>
      <c r="ADC1108" s="15"/>
      <c r="ADD1108" s="15"/>
      <c r="ADG1108" s="15"/>
      <c r="ADH1108" s="15"/>
      <c r="ADK1108" s="15"/>
      <c r="ADL1108" s="15"/>
      <c r="ADO1108" s="15"/>
      <c r="ADP1108" s="15"/>
      <c r="ADS1108" s="15"/>
      <c r="ADT1108" s="15"/>
      <c r="ADW1108" s="15"/>
      <c r="ADX1108" s="15"/>
      <c r="AEA1108" s="15"/>
      <c r="AEB1108" s="15"/>
      <c r="AEE1108" s="15"/>
      <c r="AEF1108" s="15"/>
      <c r="AEI1108" s="15"/>
      <c r="AEJ1108" s="15"/>
      <c r="AEM1108" s="15"/>
      <c r="AEN1108" s="15"/>
      <c r="AEQ1108" s="15"/>
      <c r="AER1108" s="15"/>
      <c r="AEU1108" s="15"/>
      <c r="AEV1108" s="15"/>
      <c r="AEY1108" s="15"/>
      <c r="AEZ1108" s="15"/>
      <c r="AFC1108" s="15"/>
      <c r="AFD1108" s="15"/>
      <c r="AFG1108" s="15"/>
      <c r="AFH1108" s="15"/>
      <c r="AFK1108" s="15"/>
      <c r="AFL1108" s="15"/>
      <c r="AFO1108" s="15"/>
      <c r="AFP1108" s="15"/>
      <c r="AFS1108" s="15"/>
      <c r="AFT1108" s="15"/>
      <c r="AFW1108" s="15"/>
      <c r="AFX1108" s="15"/>
      <c r="AGA1108" s="15"/>
      <c r="AGB1108" s="15"/>
      <c r="AGE1108" s="15"/>
      <c r="AGF1108" s="15"/>
      <c r="AGI1108" s="15"/>
      <c r="AGJ1108" s="15"/>
      <c r="AGM1108" s="15"/>
      <c r="AGN1108" s="15"/>
      <c r="AGQ1108" s="15"/>
      <c r="AGR1108" s="15"/>
      <c r="AGU1108" s="15"/>
      <c r="AGV1108" s="15"/>
      <c r="AGY1108" s="15"/>
      <c r="AGZ1108" s="15"/>
      <c r="AHC1108" s="15"/>
      <c r="AHD1108" s="15"/>
      <c r="AHG1108" s="15"/>
      <c r="AHH1108" s="15"/>
      <c r="AHK1108" s="15"/>
      <c r="AHL1108" s="15"/>
      <c r="AHO1108" s="15"/>
      <c r="AHP1108" s="15"/>
      <c r="AHS1108" s="15"/>
      <c r="AHT1108" s="15"/>
      <c r="AHW1108" s="15"/>
      <c r="AHX1108" s="15"/>
      <c r="AIA1108" s="15"/>
      <c r="AIB1108" s="15"/>
      <c r="AIE1108" s="15"/>
      <c r="AIF1108" s="15"/>
      <c r="AII1108" s="15"/>
      <c r="AIJ1108" s="15"/>
      <c r="AIM1108" s="15"/>
      <c r="AIN1108" s="15"/>
      <c r="AIQ1108" s="15"/>
      <c r="AIR1108" s="15"/>
      <c r="AIU1108" s="15"/>
      <c r="AIV1108" s="15"/>
      <c r="AIY1108" s="15"/>
      <c r="AIZ1108" s="15"/>
      <c r="AJC1108" s="15"/>
      <c r="AJD1108" s="15"/>
      <c r="AJG1108" s="15"/>
      <c r="AJH1108" s="15"/>
      <c r="AJK1108" s="15"/>
      <c r="AJL1108" s="15"/>
      <c r="AJO1108" s="15"/>
      <c r="AJP1108" s="15"/>
      <c r="AJS1108" s="15"/>
      <c r="AJT1108" s="15"/>
      <c r="AJW1108" s="15"/>
      <c r="AJX1108" s="15"/>
      <c r="AKA1108" s="15"/>
      <c r="AKB1108" s="15"/>
      <c r="AKE1108" s="15"/>
      <c r="AKF1108" s="15"/>
      <c r="AKI1108" s="15"/>
      <c r="AKJ1108" s="15"/>
      <c r="AKM1108" s="15"/>
      <c r="AKN1108" s="15"/>
      <c r="AKQ1108" s="15"/>
      <c r="AKR1108" s="15"/>
      <c r="AKU1108" s="15"/>
      <c r="AKV1108" s="15"/>
      <c r="AKY1108" s="15"/>
      <c r="AKZ1108" s="15"/>
      <c r="ALC1108" s="15"/>
      <c r="ALD1108" s="15"/>
      <c r="ALG1108" s="15"/>
      <c r="ALH1108" s="15"/>
      <c r="ALK1108" s="15"/>
      <c r="ALL1108" s="15"/>
      <c r="ALO1108" s="15"/>
      <c r="ALP1108" s="15"/>
      <c r="ALS1108" s="15"/>
      <c r="ALT1108" s="15"/>
      <c r="ALW1108" s="15"/>
      <c r="ALX1108" s="15"/>
      <c r="AMA1108" s="15"/>
      <c r="AMB1108" s="15"/>
      <c r="AME1108" s="15"/>
      <c r="AMF1108" s="15"/>
      <c r="AMI1108" s="15"/>
      <c r="AMJ1108" s="15"/>
      <c r="AMM1108" s="15"/>
      <c r="AMN1108" s="15"/>
      <c r="AMQ1108" s="15"/>
      <c r="AMR1108" s="15"/>
      <c r="AMU1108" s="15"/>
      <c r="AMV1108" s="15"/>
      <c r="AMY1108" s="15"/>
      <c r="AMZ1108" s="15"/>
      <c r="ANC1108" s="15"/>
      <c r="AND1108" s="15"/>
      <c r="ANG1108" s="15"/>
      <c r="ANH1108" s="15"/>
      <c r="ANK1108" s="15"/>
      <c r="ANL1108" s="15"/>
      <c r="ANO1108" s="15"/>
      <c r="ANP1108" s="15"/>
      <c r="ANS1108" s="15"/>
      <c r="ANT1108" s="15"/>
      <c r="ANW1108" s="15"/>
      <c r="ANX1108" s="15"/>
      <c r="AOA1108" s="15"/>
      <c r="AOB1108" s="15"/>
      <c r="AOE1108" s="15"/>
      <c r="AOF1108" s="15"/>
      <c r="AOI1108" s="15"/>
      <c r="AOJ1108" s="15"/>
      <c r="AOM1108" s="15"/>
      <c r="AON1108" s="15"/>
      <c r="AOQ1108" s="15"/>
      <c r="AOR1108" s="15"/>
      <c r="AOU1108" s="15"/>
      <c r="AOV1108" s="15"/>
      <c r="AOY1108" s="15"/>
      <c r="AOZ1108" s="15"/>
      <c r="APC1108" s="15"/>
      <c r="APD1108" s="15"/>
      <c r="APG1108" s="15"/>
      <c r="APH1108" s="15"/>
      <c r="APK1108" s="15"/>
      <c r="APL1108" s="15"/>
      <c r="APO1108" s="15"/>
      <c r="APP1108" s="15"/>
      <c r="APS1108" s="15"/>
      <c r="APT1108" s="15"/>
      <c r="APW1108" s="15"/>
      <c r="APX1108" s="15"/>
      <c r="AQA1108" s="15"/>
      <c r="AQB1108" s="15"/>
      <c r="AQE1108" s="15"/>
      <c r="AQF1108" s="15"/>
      <c r="AQI1108" s="15"/>
      <c r="AQJ1108" s="15"/>
      <c r="AQM1108" s="15"/>
      <c r="AQN1108" s="15"/>
      <c r="AQQ1108" s="15"/>
      <c r="AQR1108" s="15"/>
      <c r="AQU1108" s="15"/>
      <c r="AQV1108" s="15"/>
      <c r="AQY1108" s="15"/>
      <c r="AQZ1108" s="15"/>
      <c r="ARC1108" s="15"/>
      <c r="ARD1108" s="15"/>
      <c r="ARG1108" s="15"/>
      <c r="ARH1108" s="15"/>
      <c r="ARK1108" s="15"/>
      <c r="ARL1108" s="15"/>
      <c r="ARO1108" s="15"/>
      <c r="ARP1108" s="15"/>
      <c r="ARS1108" s="15"/>
      <c r="ART1108" s="15"/>
      <c r="ARW1108" s="15"/>
      <c r="ARX1108" s="15"/>
      <c r="ASA1108" s="15"/>
      <c r="ASB1108" s="15"/>
      <c r="ASE1108" s="15"/>
      <c r="ASF1108" s="15"/>
      <c r="ASI1108" s="15"/>
      <c r="ASJ1108" s="15"/>
      <c r="ASM1108" s="15"/>
      <c r="ASN1108" s="15"/>
      <c r="ASQ1108" s="15"/>
      <c r="ASR1108" s="15"/>
      <c r="ASU1108" s="15"/>
      <c r="ASV1108" s="15"/>
      <c r="ASY1108" s="15"/>
      <c r="ASZ1108" s="15"/>
      <c r="ATC1108" s="15"/>
      <c r="ATD1108" s="15"/>
      <c r="ATG1108" s="15"/>
      <c r="ATH1108" s="15"/>
      <c r="ATK1108" s="15"/>
      <c r="ATL1108" s="15"/>
      <c r="ATO1108" s="15"/>
      <c r="ATP1108" s="15"/>
      <c r="ATS1108" s="15"/>
      <c r="ATT1108" s="15"/>
      <c r="ATW1108" s="15"/>
      <c r="ATX1108" s="15"/>
      <c r="AUA1108" s="15"/>
      <c r="AUB1108" s="15"/>
      <c r="AUE1108" s="15"/>
      <c r="AUF1108" s="15"/>
      <c r="AUI1108" s="15"/>
      <c r="AUJ1108" s="15"/>
      <c r="AUM1108" s="15"/>
      <c r="AUN1108" s="15"/>
      <c r="AUQ1108" s="15"/>
      <c r="AUR1108" s="15"/>
      <c r="AUU1108" s="15"/>
      <c r="AUV1108" s="15"/>
      <c r="AUY1108" s="15"/>
      <c r="AUZ1108" s="15"/>
      <c r="AVC1108" s="15"/>
      <c r="AVD1108" s="15"/>
      <c r="AVG1108" s="15"/>
      <c r="AVH1108" s="15"/>
      <c r="AVK1108" s="15"/>
      <c r="AVL1108" s="15"/>
      <c r="AVO1108" s="15"/>
      <c r="AVP1108" s="15"/>
      <c r="AVS1108" s="15"/>
      <c r="AVT1108" s="15"/>
      <c r="AVW1108" s="15"/>
      <c r="AVX1108" s="15"/>
      <c r="AWA1108" s="15"/>
      <c r="AWB1108" s="15"/>
      <c r="AWE1108" s="15"/>
      <c r="AWF1108" s="15"/>
      <c r="AWI1108" s="15"/>
      <c r="AWJ1108" s="15"/>
      <c r="AWM1108" s="15"/>
      <c r="AWN1108" s="15"/>
      <c r="AWQ1108" s="15"/>
      <c r="AWR1108" s="15"/>
      <c r="AWU1108" s="15"/>
      <c r="AWV1108" s="15"/>
      <c r="AWY1108" s="15"/>
      <c r="AWZ1108" s="15"/>
      <c r="AXC1108" s="15"/>
      <c r="AXD1108" s="15"/>
      <c r="AXG1108" s="15"/>
      <c r="AXH1108" s="15"/>
      <c r="AXK1108" s="15"/>
      <c r="AXL1108" s="15"/>
      <c r="AXO1108" s="15"/>
      <c r="AXP1108" s="15"/>
      <c r="AXS1108" s="15"/>
      <c r="AXT1108" s="15"/>
      <c r="AXW1108" s="15"/>
      <c r="AXX1108" s="15"/>
      <c r="AYA1108" s="15"/>
      <c r="AYB1108" s="15"/>
      <c r="AYE1108" s="15"/>
      <c r="AYF1108" s="15"/>
      <c r="AYI1108" s="15"/>
      <c r="AYJ1108" s="15"/>
      <c r="AYM1108" s="15"/>
      <c r="AYN1108" s="15"/>
      <c r="AYQ1108" s="15"/>
      <c r="AYR1108" s="15"/>
      <c r="AYU1108" s="15"/>
      <c r="AYV1108" s="15"/>
      <c r="AYY1108" s="15"/>
      <c r="AYZ1108" s="15"/>
      <c r="AZC1108" s="15"/>
      <c r="AZD1108" s="15"/>
      <c r="AZG1108" s="15"/>
      <c r="AZH1108" s="15"/>
      <c r="AZK1108" s="15"/>
      <c r="AZL1108" s="15"/>
      <c r="AZO1108" s="15"/>
      <c r="AZP1108" s="15"/>
      <c r="AZS1108" s="15"/>
      <c r="AZT1108" s="15"/>
      <c r="AZW1108" s="15"/>
      <c r="AZX1108" s="15"/>
      <c r="BAA1108" s="15"/>
      <c r="BAB1108" s="15"/>
      <c r="BAE1108" s="15"/>
      <c r="BAF1108" s="15"/>
      <c r="BAI1108" s="15"/>
      <c r="BAJ1108" s="15"/>
      <c r="BAM1108" s="15"/>
      <c r="BAN1108" s="15"/>
      <c r="BAQ1108" s="15"/>
      <c r="BAR1108" s="15"/>
      <c r="BAU1108" s="15"/>
      <c r="BAV1108" s="15"/>
      <c r="BAY1108" s="15"/>
      <c r="BAZ1108" s="15"/>
      <c r="BBC1108" s="15"/>
      <c r="BBD1108" s="15"/>
      <c r="BBG1108" s="15"/>
      <c r="BBH1108" s="15"/>
      <c r="BBK1108" s="15"/>
      <c r="BBL1108" s="15"/>
      <c r="BBO1108" s="15"/>
      <c r="BBP1108" s="15"/>
      <c r="BBS1108" s="15"/>
      <c r="BBT1108" s="15"/>
      <c r="BBW1108" s="15"/>
      <c r="BBX1108" s="15"/>
      <c r="BCA1108" s="15"/>
      <c r="BCB1108" s="15"/>
      <c r="BCE1108" s="15"/>
      <c r="BCF1108" s="15"/>
      <c r="BCI1108" s="15"/>
      <c r="BCJ1108" s="15"/>
      <c r="BCM1108" s="15"/>
      <c r="BCN1108" s="15"/>
      <c r="BCQ1108" s="15"/>
      <c r="BCR1108" s="15"/>
      <c r="BCU1108" s="15"/>
      <c r="BCV1108" s="15"/>
      <c r="BCY1108" s="15"/>
      <c r="BCZ1108" s="15"/>
      <c r="BDC1108" s="15"/>
      <c r="BDD1108" s="15"/>
      <c r="BDG1108" s="15"/>
      <c r="BDH1108" s="15"/>
      <c r="BDK1108" s="15"/>
      <c r="BDL1108" s="15"/>
      <c r="BDO1108" s="15"/>
      <c r="BDP1108" s="15"/>
      <c r="BDS1108" s="15"/>
      <c r="BDT1108" s="15"/>
      <c r="BDW1108" s="15"/>
      <c r="BDX1108" s="15"/>
      <c r="BEA1108" s="15"/>
      <c r="BEB1108" s="15"/>
      <c r="BEE1108" s="15"/>
      <c r="BEF1108" s="15"/>
      <c r="BEI1108" s="15"/>
      <c r="BEJ1108" s="15"/>
      <c r="BEM1108" s="15"/>
      <c r="BEN1108" s="15"/>
      <c r="BEQ1108" s="15"/>
      <c r="BER1108" s="15"/>
      <c r="BEU1108" s="15"/>
      <c r="BEV1108" s="15"/>
      <c r="BEY1108" s="15"/>
      <c r="BEZ1108" s="15"/>
      <c r="BFC1108" s="15"/>
      <c r="BFD1108" s="15"/>
      <c r="BFG1108" s="15"/>
      <c r="BFH1108" s="15"/>
      <c r="BFK1108" s="15"/>
      <c r="BFL1108" s="15"/>
      <c r="BFO1108" s="15"/>
      <c r="BFP1108" s="15"/>
      <c r="BFS1108" s="15"/>
      <c r="BFT1108" s="15"/>
      <c r="BFW1108" s="15"/>
      <c r="BFX1108" s="15"/>
      <c r="BGA1108" s="15"/>
      <c r="BGB1108" s="15"/>
      <c r="BGE1108" s="15"/>
      <c r="BGF1108" s="15"/>
      <c r="BGI1108" s="15"/>
      <c r="BGJ1108" s="15"/>
      <c r="BGM1108" s="15"/>
      <c r="BGN1108" s="15"/>
      <c r="BGQ1108" s="15"/>
      <c r="BGR1108" s="15"/>
      <c r="BGU1108" s="15"/>
      <c r="BGV1108" s="15"/>
      <c r="BGY1108" s="15"/>
      <c r="BGZ1108" s="15"/>
      <c r="BHC1108" s="15"/>
      <c r="BHD1108" s="15"/>
      <c r="BHG1108" s="15"/>
      <c r="BHH1108" s="15"/>
      <c r="BHK1108" s="15"/>
      <c r="BHL1108" s="15"/>
      <c r="BHO1108" s="15"/>
      <c r="BHP1108" s="15"/>
      <c r="BHS1108" s="15"/>
      <c r="BHT1108" s="15"/>
      <c r="BHW1108" s="15"/>
      <c r="BHX1108" s="15"/>
      <c r="BIA1108" s="15"/>
      <c r="BIB1108" s="15"/>
      <c r="BIE1108" s="15"/>
      <c r="BIF1108" s="15"/>
      <c r="BII1108" s="15"/>
      <c r="BIJ1108" s="15"/>
      <c r="BIM1108" s="15"/>
      <c r="BIN1108" s="15"/>
      <c r="BIQ1108" s="15"/>
      <c r="BIR1108" s="15"/>
      <c r="BIU1108" s="15"/>
      <c r="BIV1108" s="15"/>
      <c r="BIY1108" s="15"/>
      <c r="BIZ1108" s="15"/>
      <c r="BJC1108" s="15"/>
      <c r="BJD1108" s="15"/>
      <c r="BJG1108" s="15"/>
      <c r="BJH1108" s="15"/>
      <c r="BJK1108" s="15"/>
      <c r="BJL1108" s="15"/>
      <c r="BJO1108" s="15"/>
      <c r="BJP1108" s="15"/>
      <c r="BJS1108" s="15"/>
      <c r="BJT1108" s="15"/>
      <c r="BJW1108" s="15"/>
      <c r="BJX1108" s="15"/>
      <c r="BKA1108" s="15"/>
      <c r="BKB1108" s="15"/>
      <c r="BKE1108" s="15"/>
      <c r="BKF1108" s="15"/>
      <c r="BKI1108" s="15"/>
      <c r="BKJ1108" s="15"/>
      <c r="BKM1108" s="15"/>
      <c r="BKN1108" s="15"/>
      <c r="BKQ1108" s="15"/>
      <c r="BKR1108" s="15"/>
      <c r="BKU1108" s="15"/>
      <c r="BKV1108" s="15"/>
      <c r="BKY1108" s="15"/>
      <c r="BKZ1108" s="15"/>
      <c r="BLC1108" s="15"/>
      <c r="BLD1108" s="15"/>
      <c r="BLG1108" s="15"/>
      <c r="BLH1108" s="15"/>
      <c r="BLK1108" s="15"/>
      <c r="BLL1108" s="15"/>
      <c r="BLO1108" s="15"/>
      <c r="BLP1108" s="15"/>
      <c r="BLS1108" s="15"/>
      <c r="BLT1108" s="15"/>
      <c r="BLW1108" s="15"/>
      <c r="BLX1108" s="15"/>
      <c r="BMA1108" s="15"/>
      <c r="BMB1108" s="15"/>
      <c r="BME1108" s="15"/>
      <c r="BMF1108" s="15"/>
      <c r="BMI1108" s="15"/>
      <c r="BMJ1108" s="15"/>
      <c r="BMM1108" s="15"/>
      <c r="BMN1108" s="15"/>
      <c r="BMQ1108" s="15"/>
      <c r="BMR1108" s="15"/>
      <c r="BMU1108" s="15"/>
      <c r="BMV1108" s="15"/>
      <c r="BMY1108" s="15"/>
      <c r="BMZ1108" s="15"/>
      <c r="BNC1108" s="15"/>
      <c r="BND1108" s="15"/>
      <c r="BNG1108" s="15"/>
      <c r="BNH1108" s="15"/>
      <c r="BNK1108" s="15"/>
      <c r="BNL1108" s="15"/>
      <c r="BNO1108" s="15"/>
      <c r="BNP1108" s="15"/>
      <c r="BNS1108" s="15"/>
      <c r="BNT1108" s="15"/>
      <c r="BNW1108" s="15"/>
      <c r="BNX1108" s="15"/>
      <c r="BOA1108" s="15"/>
      <c r="BOB1108" s="15"/>
      <c r="BOE1108" s="15"/>
      <c r="BOF1108" s="15"/>
      <c r="BOI1108" s="15"/>
      <c r="BOJ1108" s="15"/>
      <c r="BOM1108" s="15"/>
      <c r="BON1108" s="15"/>
      <c r="BOQ1108" s="15"/>
      <c r="BOR1108" s="15"/>
      <c r="BOU1108" s="15"/>
      <c r="BOV1108" s="15"/>
      <c r="BOY1108" s="15"/>
      <c r="BOZ1108" s="15"/>
      <c r="BPC1108" s="15"/>
      <c r="BPD1108" s="15"/>
      <c r="BPG1108" s="15"/>
      <c r="BPH1108" s="15"/>
      <c r="BPK1108" s="15"/>
      <c r="BPL1108" s="15"/>
      <c r="BPO1108" s="15"/>
      <c r="BPP1108" s="15"/>
      <c r="BPS1108" s="15"/>
      <c r="BPT1108" s="15"/>
      <c r="BPW1108" s="15"/>
      <c r="BPX1108" s="15"/>
      <c r="BQA1108" s="15"/>
      <c r="BQB1108" s="15"/>
      <c r="BQE1108" s="15"/>
      <c r="BQF1108" s="15"/>
      <c r="BQI1108" s="15"/>
      <c r="BQJ1108" s="15"/>
      <c r="BQM1108" s="15"/>
      <c r="BQN1108" s="15"/>
      <c r="BQQ1108" s="15"/>
      <c r="BQR1108" s="15"/>
      <c r="BQU1108" s="15"/>
      <c r="BQV1108" s="15"/>
      <c r="BQY1108" s="15"/>
      <c r="BQZ1108" s="15"/>
      <c r="BRC1108" s="15"/>
      <c r="BRD1108" s="15"/>
      <c r="BRG1108" s="15"/>
      <c r="BRH1108" s="15"/>
      <c r="BRK1108" s="15"/>
      <c r="BRL1108" s="15"/>
      <c r="BRO1108" s="15"/>
      <c r="BRP1108" s="15"/>
      <c r="BRS1108" s="15"/>
      <c r="BRT1108" s="15"/>
      <c r="BRW1108" s="15"/>
      <c r="BRX1108" s="15"/>
      <c r="BSA1108" s="15"/>
      <c r="BSB1108" s="15"/>
      <c r="BSE1108" s="15"/>
      <c r="BSF1108" s="15"/>
      <c r="BSI1108" s="15"/>
      <c r="BSJ1108" s="15"/>
      <c r="BSM1108" s="15"/>
      <c r="BSN1108" s="15"/>
      <c r="BSQ1108" s="15"/>
      <c r="BSR1108" s="15"/>
      <c r="BSU1108" s="15"/>
      <c r="BSV1108" s="15"/>
      <c r="BSY1108" s="15"/>
      <c r="BSZ1108" s="15"/>
      <c r="BTC1108" s="15"/>
      <c r="BTD1108" s="15"/>
      <c r="BTG1108" s="15"/>
      <c r="BTH1108" s="15"/>
      <c r="BTK1108" s="15"/>
      <c r="BTL1108" s="15"/>
      <c r="BTO1108" s="15"/>
      <c r="BTP1108" s="15"/>
      <c r="BTS1108" s="15"/>
      <c r="BTT1108" s="15"/>
      <c r="BTW1108" s="15"/>
      <c r="BTX1108" s="15"/>
      <c r="BUA1108" s="15"/>
      <c r="BUB1108" s="15"/>
      <c r="BUE1108" s="15"/>
      <c r="BUF1108" s="15"/>
      <c r="BUI1108" s="15"/>
      <c r="BUJ1108" s="15"/>
      <c r="BUM1108" s="15"/>
      <c r="BUN1108" s="15"/>
      <c r="BUQ1108" s="15"/>
      <c r="BUR1108" s="15"/>
      <c r="BUU1108" s="15"/>
      <c r="BUV1108" s="15"/>
      <c r="BUY1108" s="15"/>
      <c r="BUZ1108" s="15"/>
      <c r="BVC1108" s="15"/>
      <c r="BVD1108" s="15"/>
      <c r="BVG1108" s="15"/>
      <c r="BVH1108" s="15"/>
      <c r="BVK1108" s="15"/>
      <c r="BVL1108" s="15"/>
      <c r="BVO1108" s="15"/>
      <c r="BVP1108" s="15"/>
      <c r="BVS1108" s="15"/>
      <c r="BVT1108" s="15"/>
      <c r="BVW1108" s="15"/>
      <c r="BVX1108" s="15"/>
      <c r="BWA1108" s="15"/>
      <c r="BWB1108" s="15"/>
      <c r="BWE1108" s="15"/>
      <c r="BWF1108" s="15"/>
      <c r="BWI1108" s="15"/>
      <c r="BWJ1108" s="15"/>
      <c r="BWM1108" s="15"/>
      <c r="BWN1108" s="15"/>
      <c r="BWQ1108" s="15"/>
      <c r="BWR1108" s="15"/>
      <c r="BWU1108" s="15"/>
      <c r="BWV1108" s="15"/>
      <c r="BWY1108" s="15"/>
      <c r="BWZ1108" s="15"/>
      <c r="BXC1108" s="15"/>
      <c r="BXD1108" s="15"/>
      <c r="BXG1108" s="15"/>
      <c r="BXH1108" s="15"/>
      <c r="BXK1108" s="15"/>
      <c r="BXL1108" s="15"/>
      <c r="BXO1108" s="15"/>
      <c r="BXP1108" s="15"/>
      <c r="BXS1108" s="15"/>
      <c r="BXT1108" s="15"/>
      <c r="BXW1108" s="15"/>
      <c r="BXX1108" s="15"/>
      <c r="BYA1108" s="15"/>
      <c r="BYB1108" s="15"/>
      <c r="BYE1108" s="15"/>
      <c r="BYF1108" s="15"/>
      <c r="BYI1108" s="15"/>
      <c r="BYJ1108" s="15"/>
      <c r="BYM1108" s="15"/>
      <c r="BYN1108" s="15"/>
      <c r="BYQ1108" s="15"/>
      <c r="BYR1108" s="15"/>
      <c r="BYU1108" s="15"/>
      <c r="BYV1108" s="15"/>
      <c r="BYY1108" s="15"/>
      <c r="BYZ1108" s="15"/>
      <c r="BZC1108" s="15"/>
      <c r="BZD1108" s="15"/>
      <c r="BZG1108" s="15"/>
      <c r="BZH1108" s="15"/>
      <c r="BZK1108" s="15"/>
      <c r="BZL1108" s="15"/>
      <c r="BZO1108" s="15"/>
      <c r="BZP1108" s="15"/>
      <c r="BZS1108" s="15"/>
      <c r="BZT1108" s="15"/>
      <c r="BZW1108" s="15"/>
      <c r="BZX1108" s="15"/>
      <c r="CAA1108" s="15"/>
      <c r="CAB1108" s="15"/>
      <c r="CAE1108" s="15"/>
      <c r="CAF1108" s="15"/>
      <c r="CAI1108" s="15"/>
      <c r="CAJ1108" s="15"/>
      <c r="CAM1108" s="15"/>
      <c r="CAN1108" s="15"/>
      <c r="CAQ1108" s="15"/>
      <c r="CAR1108" s="15"/>
      <c r="CAU1108" s="15"/>
      <c r="CAV1108" s="15"/>
      <c r="CAY1108" s="15"/>
      <c r="CAZ1108" s="15"/>
      <c r="CBC1108" s="15"/>
      <c r="CBD1108" s="15"/>
      <c r="CBG1108" s="15"/>
      <c r="CBH1108" s="15"/>
      <c r="CBK1108" s="15"/>
      <c r="CBL1108" s="15"/>
      <c r="CBO1108" s="15"/>
      <c r="CBP1108" s="15"/>
      <c r="CBS1108" s="15"/>
      <c r="CBT1108" s="15"/>
      <c r="CBW1108" s="15"/>
      <c r="CBX1108" s="15"/>
      <c r="CCA1108" s="15"/>
      <c r="CCB1108" s="15"/>
      <c r="CCE1108" s="15"/>
      <c r="CCF1108" s="15"/>
      <c r="CCI1108" s="15"/>
      <c r="CCJ1108" s="15"/>
      <c r="CCM1108" s="15"/>
      <c r="CCN1108" s="15"/>
      <c r="CCQ1108" s="15"/>
      <c r="CCR1108" s="15"/>
      <c r="CCU1108" s="15"/>
      <c r="CCV1108" s="15"/>
      <c r="CCY1108" s="15"/>
      <c r="CCZ1108" s="15"/>
      <c r="CDC1108" s="15"/>
      <c r="CDD1108" s="15"/>
      <c r="CDG1108" s="15"/>
      <c r="CDH1108" s="15"/>
      <c r="CDK1108" s="15"/>
      <c r="CDL1108" s="15"/>
      <c r="CDO1108" s="15"/>
      <c r="CDP1108" s="15"/>
      <c r="CDS1108" s="15"/>
      <c r="CDT1108" s="15"/>
      <c r="CDW1108" s="15"/>
      <c r="CDX1108" s="15"/>
      <c r="CEA1108" s="15"/>
      <c r="CEB1108" s="15"/>
      <c r="CEE1108" s="15"/>
      <c r="CEF1108" s="15"/>
      <c r="CEI1108" s="15"/>
      <c r="CEJ1108" s="15"/>
      <c r="CEM1108" s="15"/>
      <c r="CEN1108" s="15"/>
      <c r="CEQ1108" s="15"/>
      <c r="CER1108" s="15"/>
      <c r="CEU1108" s="15"/>
      <c r="CEV1108" s="15"/>
      <c r="CEY1108" s="15"/>
      <c r="CEZ1108" s="15"/>
      <c r="CFC1108" s="15"/>
      <c r="CFD1108" s="15"/>
      <c r="CFG1108" s="15"/>
      <c r="CFH1108" s="15"/>
      <c r="CFK1108" s="15"/>
      <c r="CFL1108" s="15"/>
      <c r="CFO1108" s="15"/>
      <c r="CFP1108" s="15"/>
      <c r="CFS1108" s="15"/>
      <c r="CFT1108" s="15"/>
      <c r="CFW1108" s="15"/>
      <c r="CFX1108" s="15"/>
      <c r="CGA1108" s="15"/>
      <c r="CGB1108" s="15"/>
      <c r="CGE1108" s="15"/>
      <c r="CGF1108" s="15"/>
      <c r="CGI1108" s="15"/>
      <c r="CGJ1108" s="15"/>
      <c r="CGM1108" s="15"/>
      <c r="CGN1108" s="15"/>
      <c r="CGQ1108" s="15"/>
      <c r="CGR1108" s="15"/>
      <c r="CGU1108" s="15"/>
      <c r="CGV1108" s="15"/>
      <c r="CGY1108" s="15"/>
      <c r="CGZ1108" s="15"/>
      <c r="CHC1108" s="15"/>
      <c r="CHD1108" s="15"/>
      <c r="CHG1108" s="15"/>
      <c r="CHH1108" s="15"/>
      <c r="CHK1108" s="15"/>
      <c r="CHL1108" s="15"/>
      <c r="CHO1108" s="15"/>
      <c r="CHP1108" s="15"/>
      <c r="CHS1108" s="15"/>
      <c r="CHT1108" s="15"/>
      <c r="CHW1108" s="15"/>
      <c r="CHX1108" s="15"/>
      <c r="CIA1108" s="15"/>
      <c r="CIB1108" s="15"/>
      <c r="CIE1108" s="15"/>
      <c r="CIF1108" s="15"/>
      <c r="CII1108" s="15"/>
      <c r="CIJ1108" s="15"/>
      <c r="CIM1108" s="15"/>
      <c r="CIN1108" s="15"/>
      <c r="CIQ1108" s="15"/>
      <c r="CIR1108" s="15"/>
      <c r="CIU1108" s="15"/>
      <c r="CIV1108" s="15"/>
      <c r="CIY1108" s="15"/>
      <c r="CIZ1108" s="15"/>
      <c r="CJC1108" s="15"/>
      <c r="CJD1108" s="15"/>
      <c r="CJG1108" s="15"/>
      <c r="CJH1108" s="15"/>
      <c r="CJK1108" s="15"/>
      <c r="CJL1108" s="15"/>
      <c r="CJO1108" s="15"/>
      <c r="CJP1108" s="15"/>
      <c r="CJS1108" s="15"/>
      <c r="CJT1108" s="15"/>
      <c r="CJW1108" s="15"/>
      <c r="CJX1108" s="15"/>
      <c r="CKA1108" s="15"/>
      <c r="CKB1108" s="15"/>
      <c r="CKE1108" s="15"/>
      <c r="CKF1108" s="15"/>
      <c r="CKI1108" s="15"/>
      <c r="CKJ1108" s="15"/>
      <c r="CKM1108" s="15"/>
      <c r="CKN1108" s="15"/>
      <c r="CKQ1108" s="15"/>
      <c r="CKR1108" s="15"/>
      <c r="CKU1108" s="15"/>
      <c r="CKV1108" s="15"/>
      <c r="CKY1108" s="15"/>
      <c r="CKZ1108" s="15"/>
      <c r="CLC1108" s="15"/>
      <c r="CLD1108" s="15"/>
      <c r="CLG1108" s="15"/>
      <c r="CLH1108" s="15"/>
      <c r="CLK1108" s="15"/>
      <c r="CLL1108" s="15"/>
      <c r="CLO1108" s="15"/>
      <c r="CLP1108" s="15"/>
      <c r="CLS1108" s="15"/>
      <c r="CLT1108" s="15"/>
      <c r="CLW1108" s="15"/>
      <c r="CLX1108" s="15"/>
      <c r="CMA1108" s="15"/>
      <c r="CMB1108" s="15"/>
      <c r="CME1108" s="15"/>
      <c r="CMF1108" s="15"/>
      <c r="CMI1108" s="15"/>
      <c r="CMJ1108" s="15"/>
      <c r="CMM1108" s="15"/>
      <c r="CMN1108" s="15"/>
      <c r="CMQ1108" s="15"/>
      <c r="CMR1108" s="15"/>
      <c r="CMU1108" s="15"/>
      <c r="CMV1108" s="15"/>
      <c r="CMY1108" s="15"/>
      <c r="CMZ1108" s="15"/>
      <c r="CNC1108" s="15"/>
      <c r="CND1108" s="15"/>
      <c r="CNG1108" s="15"/>
      <c r="CNH1108" s="15"/>
      <c r="CNK1108" s="15"/>
      <c r="CNL1108" s="15"/>
      <c r="CNO1108" s="15"/>
      <c r="CNP1108" s="15"/>
      <c r="CNS1108" s="15"/>
      <c r="CNT1108" s="15"/>
      <c r="CNW1108" s="15"/>
      <c r="CNX1108" s="15"/>
      <c r="COA1108" s="15"/>
      <c r="COB1108" s="15"/>
      <c r="COE1108" s="15"/>
      <c r="COF1108" s="15"/>
      <c r="COI1108" s="15"/>
      <c r="COJ1108" s="15"/>
      <c r="COM1108" s="15"/>
      <c r="CON1108" s="15"/>
      <c r="COQ1108" s="15"/>
      <c r="COR1108" s="15"/>
      <c r="COU1108" s="15"/>
      <c r="COV1108" s="15"/>
      <c r="COY1108" s="15"/>
      <c r="COZ1108" s="15"/>
      <c r="CPC1108" s="15"/>
      <c r="CPD1108" s="15"/>
      <c r="CPG1108" s="15"/>
      <c r="CPH1108" s="15"/>
      <c r="CPK1108" s="15"/>
      <c r="CPL1108" s="15"/>
      <c r="CPO1108" s="15"/>
      <c r="CPP1108" s="15"/>
      <c r="CPS1108" s="15"/>
      <c r="CPT1108" s="15"/>
      <c r="CPW1108" s="15"/>
      <c r="CPX1108" s="15"/>
      <c r="CQA1108" s="15"/>
      <c r="CQB1108" s="15"/>
      <c r="CQE1108" s="15"/>
      <c r="CQF1108" s="15"/>
      <c r="CQI1108" s="15"/>
      <c r="CQJ1108" s="15"/>
      <c r="CQM1108" s="15"/>
      <c r="CQN1108" s="15"/>
      <c r="CQQ1108" s="15"/>
      <c r="CQR1108" s="15"/>
      <c r="CQU1108" s="15"/>
      <c r="CQV1108" s="15"/>
      <c r="CQY1108" s="15"/>
      <c r="CQZ1108" s="15"/>
      <c r="CRC1108" s="15"/>
      <c r="CRD1108" s="15"/>
      <c r="CRG1108" s="15"/>
      <c r="CRH1108" s="15"/>
      <c r="CRK1108" s="15"/>
      <c r="CRL1108" s="15"/>
      <c r="CRO1108" s="15"/>
      <c r="CRP1108" s="15"/>
      <c r="CRS1108" s="15"/>
      <c r="CRT1108" s="15"/>
      <c r="CRW1108" s="15"/>
      <c r="CRX1108" s="15"/>
      <c r="CSA1108" s="15"/>
      <c r="CSB1108" s="15"/>
      <c r="CSE1108" s="15"/>
      <c r="CSF1108" s="15"/>
      <c r="CSI1108" s="15"/>
      <c r="CSJ1108" s="15"/>
      <c r="CSM1108" s="15"/>
      <c r="CSN1108" s="15"/>
      <c r="CSQ1108" s="15"/>
      <c r="CSR1108" s="15"/>
      <c r="CSU1108" s="15"/>
      <c r="CSV1108" s="15"/>
      <c r="CSY1108" s="15"/>
      <c r="CSZ1108" s="15"/>
      <c r="CTC1108" s="15"/>
      <c r="CTD1108" s="15"/>
      <c r="CTG1108" s="15"/>
      <c r="CTH1108" s="15"/>
      <c r="CTK1108" s="15"/>
      <c r="CTL1108" s="15"/>
      <c r="CTO1108" s="15"/>
      <c r="CTP1108" s="15"/>
      <c r="CTS1108" s="15"/>
      <c r="CTT1108" s="15"/>
      <c r="CTW1108" s="15"/>
      <c r="CTX1108" s="15"/>
      <c r="CUA1108" s="15"/>
      <c r="CUB1108" s="15"/>
      <c r="CUE1108" s="15"/>
      <c r="CUF1108" s="15"/>
      <c r="CUI1108" s="15"/>
      <c r="CUJ1108" s="15"/>
      <c r="CUM1108" s="15"/>
      <c r="CUN1108" s="15"/>
      <c r="CUQ1108" s="15"/>
      <c r="CUR1108" s="15"/>
      <c r="CUU1108" s="15"/>
      <c r="CUV1108" s="15"/>
      <c r="CUY1108" s="15"/>
      <c r="CUZ1108" s="15"/>
      <c r="CVC1108" s="15"/>
      <c r="CVD1108" s="15"/>
      <c r="CVG1108" s="15"/>
      <c r="CVH1108" s="15"/>
      <c r="CVK1108" s="15"/>
      <c r="CVL1108" s="15"/>
      <c r="CVO1108" s="15"/>
      <c r="CVP1108" s="15"/>
      <c r="CVS1108" s="15"/>
      <c r="CVT1108" s="15"/>
      <c r="CVW1108" s="15"/>
      <c r="CVX1108" s="15"/>
      <c r="CWA1108" s="15"/>
      <c r="CWB1108" s="15"/>
      <c r="CWE1108" s="15"/>
      <c r="CWF1108" s="15"/>
      <c r="CWI1108" s="15"/>
      <c r="CWJ1108" s="15"/>
      <c r="CWM1108" s="15"/>
      <c r="CWN1108" s="15"/>
      <c r="CWQ1108" s="15"/>
      <c r="CWR1108" s="15"/>
      <c r="CWU1108" s="15"/>
      <c r="CWV1108" s="15"/>
      <c r="CWY1108" s="15"/>
      <c r="CWZ1108" s="15"/>
      <c r="CXC1108" s="15"/>
      <c r="CXD1108" s="15"/>
      <c r="CXG1108" s="15"/>
      <c r="CXH1108" s="15"/>
      <c r="CXK1108" s="15"/>
      <c r="CXL1108" s="15"/>
      <c r="CXO1108" s="15"/>
      <c r="CXP1108" s="15"/>
      <c r="CXS1108" s="15"/>
      <c r="CXT1108" s="15"/>
      <c r="CXW1108" s="15"/>
      <c r="CXX1108" s="15"/>
      <c r="CYA1108" s="15"/>
      <c r="CYB1108" s="15"/>
      <c r="CYE1108" s="15"/>
      <c r="CYF1108" s="15"/>
      <c r="CYI1108" s="15"/>
      <c r="CYJ1108" s="15"/>
      <c r="CYM1108" s="15"/>
      <c r="CYN1108" s="15"/>
      <c r="CYQ1108" s="15"/>
      <c r="CYR1108" s="15"/>
      <c r="CYU1108" s="15"/>
      <c r="CYV1108" s="15"/>
      <c r="CYY1108" s="15"/>
      <c r="CYZ1108" s="15"/>
      <c r="CZC1108" s="15"/>
      <c r="CZD1108" s="15"/>
      <c r="CZG1108" s="15"/>
      <c r="CZH1108" s="15"/>
      <c r="CZK1108" s="15"/>
      <c r="CZL1108" s="15"/>
      <c r="CZO1108" s="15"/>
      <c r="CZP1108" s="15"/>
      <c r="CZS1108" s="15"/>
      <c r="CZT1108" s="15"/>
      <c r="CZW1108" s="15"/>
      <c r="CZX1108" s="15"/>
      <c r="DAA1108" s="15"/>
      <c r="DAB1108" s="15"/>
      <c r="DAE1108" s="15"/>
      <c r="DAF1108" s="15"/>
      <c r="DAI1108" s="15"/>
      <c r="DAJ1108" s="15"/>
      <c r="DAM1108" s="15"/>
      <c r="DAN1108" s="15"/>
      <c r="DAQ1108" s="15"/>
      <c r="DAR1108" s="15"/>
      <c r="DAU1108" s="15"/>
      <c r="DAV1108" s="15"/>
      <c r="DAY1108" s="15"/>
      <c r="DAZ1108" s="15"/>
      <c r="DBC1108" s="15"/>
      <c r="DBD1108" s="15"/>
      <c r="DBG1108" s="15"/>
      <c r="DBH1108" s="15"/>
      <c r="DBK1108" s="15"/>
      <c r="DBL1108" s="15"/>
      <c r="DBO1108" s="15"/>
      <c r="DBP1108" s="15"/>
      <c r="DBS1108" s="15"/>
      <c r="DBT1108" s="15"/>
      <c r="DBW1108" s="15"/>
      <c r="DBX1108" s="15"/>
      <c r="DCA1108" s="15"/>
      <c r="DCB1108" s="15"/>
      <c r="DCE1108" s="15"/>
      <c r="DCF1108" s="15"/>
      <c r="DCI1108" s="15"/>
      <c r="DCJ1108" s="15"/>
      <c r="DCM1108" s="15"/>
      <c r="DCN1108" s="15"/>
      <c r="DCQ1108" s="15"/>
      <c r="DCR1108" s="15"/>
      <c r="DCU1108" s="15"/>
      <c r="DCV1108" s="15"/>
      <c r="DCY1108" s="15"/>
      <c r="DCZ1108" s="15"/>
      <c r="DDC1108" s="15"/>
      <c r="DDD1108" s="15"/>
      <c r="DDG1108" s="15"/>
      <c r="DDH1108" s="15"/>
      <c r="DDK1108" s="15"/>
      <c r="DDL1108" s="15"/>
      <c r="DDO1108" s="15"/>
      <c r="DDP1108" s="15"/>
      <c r="DDS1108" s="15"/>
      <c r="DDT1108" s="15"/>
      <c r="DDW1108" s="15"/>
      <c r="DDX1108" s="15"/>
      <c r="DEA1108" s="15"/>
      <c r="DEB1108" s="15"/>
      <c r="DEE1108" s="15"/>
      <c r="DEF1108" s="15"/>
      <c r="DEI1108" s="15"/>
      <c r="DEJ1108" s="15"/>
      <c r="DEM1108" s="15"/>
      <c r="DEN1108" s="15"/>
      <c r="DEQ1108" s="15"/>
      <c r="DER1108" s="15"/>
      <c r="DEU1108" s="15"/>
      <c r="DEV1108" s="15"/>
      <c r="DEY1108" s="15"/>
      <c r="DEZ1108" s="15"/>
      <c r="DFC1108" s="15"/>
      <c r="DFD1108" s="15"/>
      <c r="DFG1108" s="15"/>
      <c r="DFH1108" s="15"/>
      <c r="DFK1108" s="15"/>
      <c r="DFL1108" s="15"/>
      <c r="DFO1108" s="15"/>
      <c r="DFP1108" s="15"/>
      <c r="DFS1108" s="15"/>
      <c r="DFT1108" s="15"/>
      <c r="DFW1108" s="15"/>
      <c r="DFX1108" s="15"/>
      <c r="DGA1108" s="15"/>
      <c r="DGB1108" s="15"/>
      <c r="DGE1108" s="15"/>
      <c r="DGF1108" s="15"/>
      <c r="DGI1108" s="15"/>
      <c r="DGJ1108" s="15"/>
      <c r="DGM1108" s="15"/>
      <c r="DGN1108" s="15"/>
      <c r="DGQ1108" s="15"/>
      <c r="DGR1108" s="15"/>
      <c r="DGU1108" s="15"/>
      <c r="DGV1108" s="15"/>
      <c r="DGY1108" s="15"/>
      <c r="DGZ1108" s="15"/>
      <c r="DHC1108" s="15"/>
      <c r="DHD1108" s="15"/>
      <c r="DHG1108" s="15"/>
      <c r="DHH1108" s="15"/>
      <c r="DHK1108" s="15"/>
      <c r="DHL1108" s="15"/>
      <c r="DHO1108" s="15"/>
      <c r="DHP1108" s="15"/>
      <c r="DHS1108" s="15"/>
      <c r="DHT1108" s="15"/>
      <c r="DHW1108" s="15"/>
      <c r="DHX1108" s="15"/>
      <c r="DIA1108" s="15"/>
      <c r="DIB1108" s="15"/>
      <c r="DIE1108" s="15"/>
      <c r="DIF1108" s="15"/>
      <c r="DII1108" s="15"/>
      <c r="DIJ1108" s="15"/>
      <c r="DIM1108" s="15"/>
      <c r="DIN1108" s="15"/>
      <c r="DIQ1108" s="15"/>
      <c r="DIR1108" s="15"/>
      <c r="DIU1108" s="15"/>
      <c r="DIV1108" s="15"/>
      <c r="DIY1108" s="15"/>
      <c r="DIZ1108" s="15"/>
      <c r="DJC1108" s="15"/>
      <c r="DJD1108" s="15"/>
      <c r="DJG1108" s="15"/>
      <c r="DJH1108" s="15"/>
      <c r="DJK1108" s="15"/>
      <c r="DJL1108" s="15"/>
      <c r="DJO1108" s="15"/>
      <c r="DJP1108" s="15"/>
      <c r="DJS1108" s="15"/>
      <c r="DJT1108" s="15"/>
      <c r="DJW1108" s="15"/>
      <c r="DJX1108" s="15"/>
      <c r="DKA1108" s="15"/>
      <c r="DKB1108" s="15"/>
      <c r="DKE1108" s="15"/>
      <c r="DKF1108" s="15"/>
      <c r="DKI1108" s="15"/>
      <c r="DKJ1108" s="15"/>
      <c r="DKM1108" s="15"/>
      <c r="DKN1108" s="15"/>
      <c r="DKQ1108" s="15"/>
      <c r="DKR1108" s="15"/>
      <c r="DKU1108" s="15"/>
      <c r="DKV1108" s="15"/>
      <c r="DKY1108" s="15"/>
      <c r="DKZ1108" s="15"/>
      <c r="DLC1108" s="15"/>
      <c r="DLD1108" s="15"/>
      <c r="DLG1108" s="15"/>
      <c r="DLH1108" s="15"/>
      <c r="DLK1108" s="15"/>
      <c r="DLL1108" s="15"/>
      <c r="DLO1108" s="15"/>
      <c r="DLP1108" s="15"/>
      <c r="DLS1108" s="15"/>
      <c r="DLT1108" s="15"/>
      <c r="DLW1108" s="15"/>
      <c r="DLX1108" s="15"/>
      <c r="DMA1108" s="15"/>
      <c r="DMB1108" s="15"/>
      <c r="DME1108" s="15"/>
      <c r="DMF1108" s="15"/>
      <c r="DMI1108" s="15"/>
      <c r="DMJ1108" s="15"/>
      <c r="DMM1108" s="15"/>
      <c r="DMN1108" s="15"/>
      <c r="DMQ1108" s="15"/>
      <c r="DMR1108" s="15"/>
      <c r="DMU1108" s="15"/>
      <c r="DMV1108" s="15"/>
      <c r="DMY1108" s="15"/>
      <c r="DMZ1108" s="15"/>
      <c r="DNC1108" s="15"/>
      <c r="DND1108" s="15"/>
      <c r="DNG1108" s="15"/>
      <c r="DNH1108" s="15"/>
      <c r="DNK1108" s="15"/>
      <c r="DNL1108" s="15"/>
      <c r="DNO1108" s="15"/>
      <c r="DNP1108" s="15"/>
      <c r="DNS1108" s="15"/>
      <c r="DNT1108" s="15"/>
      <c r="DNW1108" s="15"/>
      <c r="DNX1108" s="15"/>
      <c r="DOA1108" s="15"/>
      <c r="DOB1108" s="15"/>
      <c r="DOE1108" s="15"/>
      <c r="DOF1108" s="15"/>
      <c r="DOI1108" s="15"/>
      <c r="DOJ1108" s="15"/>
      <c r="DOM1108" s="15"/>
      <c r="DON1108" s="15"/>
      <c r="DOQ1108" s="15"/>
      <c r="DOR1108" s="15"/>
      <c r="DOU1108" s="15"/>
      <c r="DOV1108" s="15"/>
      <c r="DOY1108" s="15"/>
      <c r="DOZ1108" s="15"/>
      <c r="DPC1108" s="15"/>
      <c r="DPD1108" s="15"/>
      <c r="DPG1108" s="15"/>
      <c r="DPH1108" s="15"/>
      <c r="DPK1108" s="15"/>
      <c r="DPL1108" s="15"/>
      <c r="DPO1108" s="15"/>
      <c r="DPP1108" s="15"/>
      <c r="DPS1108" s="15"/>
      <c r="DPT1108" s="15"/>
      <c r="DPW1108" s="15"/>
      <c r="DPX1108" s="15"/>
      <c r="DQA1108" s="15"/>
      <c r="DQB1108" s="15"/>
      <c r="DQE1108" s="15"/>
      <c r="DQF1108" s="15"/>
      <c r="DQI1108" s="15"/>
      <c r="DQJ1108" s="15"/>
      <c r="DQM1108" s="15"/>
      <c r="DQN1108" s="15"/>
      <c r="DQQ1108" s="15"/>
      <c r="DQR1108" s="15"/>
      <c r="DQU1108" s="15"/>
      <c r="DQV1108" s="15"/>
      <c r="DQY1108" s="15"/>
      <c r="DQZ1108" s="15"/>
      <c r="DRC1108" s="15"/>
      <c r="DRD1108" s="15"/>
      <c r="DRG1108" s="15"/>
      <c r="DRH1108" s="15"/>
      <c r="DRK1108" s="15"/>
      <c r="DRL1108" s="15"/>
      <c r="DRO1108" s="15"/>
      <c r="DRP1108" s="15"/>
      <c r="DRS1108" s="15"/>
      <c r="DRT1108" s="15"/>
      <c r="DRW1108" s="15"/>
      <c r="DRX1108" s="15"/>
      <c r="DSA1108" s="15"/>
      <c r="DSB1108" s="15"/>
      <c r="DSE1108" s="15"/>
      <c r="DSF1108" s="15"/>
      <c r="DSI1108" s="15"/>
      <c r="DSJ1108" s="15"/>
      <c r="DSM1108" s="15"/>
      <c r="DSN1108" s="15"/>
      <c r="DSQ1108" s="15"/>
      <c r="DSR1108" s="15"/>
      <c r="DSU1108" s="15"/>
      <c r="DSV1108" s="15"/>
      <c r="DSY1108" s="15"/>
      <c r="DSZ1108" s="15"/>
      <c r="DTC1108" s="15"/>
      <c r="DTD1108" s="15"/>
      <c r="DTG1108" s="15"/>
      <c r="DTH1108" s="15"/>
      <c r="DTK1108" s="15"/>
      <c r="DTL1108" s="15"/>
      <c r="DTO1108" s="15"/>
      <c r="DTP1108" s="15"/>
      <c r="DTS1108" s="15"/>
      <c r="DTT1108" s="15"/>
      <c r="DTW1108" s="15"/>
      <c r="DTX1108" s="15"/>
      <c r="DUA1108" s="15"/>
      <c r="DUB1108" s="15"/>
      <c r="DUE1108" s="15"/>
      <c r="DUF1108" s="15"/>
      <c r="DUI1108" s="15"/>
      <c r="DUJ1108" s="15"/>
      <c r="DUM1108" s="15"/>
      <c r="DUN1108" s="15"/>
      <c r="DUQ1108" s="15"/>
      <c r="DUR1108" s="15"/>
      <c r="DUU1108" s="15"/>
      <c r="DUV1108" s="15"/>
      <c r="DUY1108" s="15"/>
      <c r="DUZ1108" s="15"/>
      <c r="DVC1108" s="15"/>
      <c r="DVD1108" s="15"/>
      <c r="DVG1108" s="15"/>
      <c r="DVH1108" s="15"/>
      <c r="DVK1108" s="15"/>
      <c r="DVL1108" s="15"/>
      <c r="DVO1108" s="15"/>
      <c r="DVP1108" s="15"/>
      <c r="DVS1108" s="15"/>
      <c r="DVT1108" s="15"/>
      <c r="DVW1108" s="15"/>
      <c r="DVX1108" s="15"/>
      <c r="DWA1108" s="15"/>
      <c r="DWB1108" s="15"/>
      <c r="DWE1108" s="15"/>
      <c r="DWF1108" s="15"/>
      <c r="DWI1108" s="15"/>
      <c r="DWJ1108" s="15"/>
      <c r="DWM1108" s="15"/>
      <c r="DWN1108" s="15"/>
      <c r="DWQ1108" s="15"/>
      <c r="DWR1108" s="15"/>
      <c r="DWU1108" s="15"/>
      <c r="DWV1108" s="15"/>
      <c r="DWY1108" s="15"/>
      <c r="DWZ1108" s="15"/>
      <c r="DXC1108" s="15"/>
      <c r="DXD1108" s="15"/>
      <c r="DXG1108" s="15"/>
      <c r="DXH1108" s="15"/>
      <c r="DXK1108" s="15"/>
      <c r="DXL1108" s="15"/>
      <c r="DXO1108" s="15"/>
      <c r="DXP1108" s="15"/>
      <c r="DXS1108" s="15"/>
      <c r="DXT1108" s="15"/>
      <c r="DXW1108" s="15"/>
      <c r="DXX1108" s="15"/>
      <c r="DYA1108" s="15"/>
      <c r="DYB1108" s="15"/>
      <c r="DYE1108" s="15"/>
      <c r="DYF1108" s="15"/>
      <c r="DYI1108" s="15"/>
      <c r="DYJ1108" s="15"/>
      <c r="DYM1108" s="15"/>
      <c r="DYN1108" s="15"/>
      <c r="DYQ1108" s="15"/>
      <c r="DYR1108" s="15"/>
      <c r="DYU1108" s="15"/>
      <c r="DYV1108" s="15"/>
      <c r="DYY1108" s="15"/>
      <c r="DYZ1108" s="15"/>
      <c r="DZC1108" s="15"/>
      <c r="DZD1108" s="15"/>
      <c r="DZG1108" s="15"/>
      <c r="DZH1108" s="15"/>
      <c r="DZK1108" s="15"/>
      <c r="DZL1108" s="15"/>
      <c r="DZO1108" s="15"/>
      <c r="DZP1108" s="15"/>
      <c r="DZS1108" s="15"/>
      <c r="DZT1108" s="15"/>
      <c r="DZW1108" s="15"/>
      <c r="DZX1108" s="15"/>
      <c r="EAA1108" s="15"/>
      <c r="EAB1108" s="15"/>
      <c r="EAE1108" s="15"/>
      <c r="EAF1108" s="15"/>
      <c r="EAI1108" s="15"/>
      <c r="EAJ1108" s="15"/>
      <c r="EAM1108" s="15"/>
      <c r="EAN1108" s="15"/>
      <c r="EAQ1108" s="15"/>
      <c r="EAR1108" s="15"/>
      <c r="EAU1108" s="15"/>
      <c r="EAV1108" s="15"/>
      <c r="EAY1108" s="15"/>
      <c r="EAZ1108" s="15"/>
      <c r="EBC1108" s="15"/>
      <c r="EBD1108" s="15"/>
      <c r="EBG1108" s="15"/>
      <c r="EBH1108" s="15"/>
      <c r="EBK1108" s="15"/>
      <c r="EBL1108" s="15"/>
      <c r="EBO1108" s="15"/>
      <c r="EBP1108" s="15"/>
      <c r="EBS1108" s="15"/>
      <c r="EBT1108" s="15"/>
      <c r="EBW1108" s="15"/>
      <c r="EBX1108" s="15"/>
      <c r="ECA1108" s="15"/>
      <c r="ECB1108" s="15"/>
      <c r="ECE1108" s="15"/>
      <c r="ECF1108" s="15"/>
      <c r="ECI1108" s="15"/>
      <c r="ECJ1108" s="15"/>
      <c r="ECM1108" s="15"/>
      <c r="ECN1108" s="15"/>
      <c r="ECQ1108" s="15"/>
      <c r="ECR1108" s="15"/>
      <c r="ECU1108" s="15"/>
      <c r="ECV1108" s="15"/>
      <c r="ECY1108" s="15"/>
      <c r="ECZ1108" s="15"/>
      <c r="EDC1108" s="15"/>
      <c r="EDD1108" s="15"/>
      <c r="EDG1108" s="15"/>
      <c r="EDH1108" s="15"/>
      <c r="EDK1108" s="15"/>
      <c r="EDL1108" s="15"/>
      <c r="EDO1108" s="15"/>
      <c r="EDP1108" s="15"/>
      <c r="EDS1108" s="15"/>
      <c r="EDT1108" s="15"/>
      <c r="EDW1108" s="15"/>
      <c r="EDX1108" s="15"/>
      <c r="EEA1108" s="15"/>
      <c r="EEB1108" s="15"/>
      <c r="EEE1108" s="15"/>
      <c r="EEF1108" s="15"/>
      <c r="EEI1108" s="15"/>
      <c r="EEJ1108" s="15"/>
      <c r="EEM1108" s="15"/>
      <c r="EEN1108" s="15"/>
      <c r="EEQ1108" s="15"/>
      <c r="EER1108" s="15"/>
      <c r="EEU1108" s="15"/>
      <c r="EEV1108" s="15"/>
      <c r="EEY1108" s="15"/>
      <c r="EEZ1108" s="15"/>
      <c r="EFC1108" s="15"/>
      <c r="EFD1108" s="15"/>
      <c r="EFG1108" s="15"/>
      <c r="EFH1108" s="15"/>
      <c r="EFK1108" s="15"/>
      <c r="EFL1108" s="15"/>
      <c r="EFO1108" s="15"/>
      <c r="EFP1108" s="15"/>
      <c r="EFS1108" s="15"/>
      <c r="EFT1108" s="15"/>
      <c r="EFW1108" s="15"/>
      <c r="EFX1108" s="15"/>
      <c r="EGA1108" s="15"/>
      <c r="EGB1108" s="15"/>
      <c r="EGE1108" s="15"/>
      <c r="EGF1108" s="15"/>
      <c r="EGI1108" s="15"/>
      <c r="EGJ1108" s="15"/>
      <c r="EGM1108" s="15"/>
      <c r="EGN1108" s="15"/>
      <c r="EGQ1108" s="15"/>
      <c r="EGR1108" s="15"/>
      <c r="EGU1108" s="15"/>
      <c r="EGV1108" s="15"/>
      <c r="EGY1108" s="15"/>
      <c r="EGZ1108" s="15"/>
      <c r="EHC1108" s="15"/>
      <c r="EHD1108" s="15"/>
      <c r="EHG1108" s="15"/>
      <c r="EHH1108" s="15"/>
      <c r="EHK1108" s="15"/>
      <c r="EHL1108" s="15"/>
      <c r="EHO1108" s="15"/>
      <c r="EHP1108" s="15"/>
      <c r="EHS1108" s="15"/>
      <c r="EHT1108" s="15"/>
      <c r="EHW1108" s="15"/>
      <c r="EHX1108" s="15"/>
      <c r="EIA1108" s="15"/>
      <c r="EIB1108" s="15"/>
      <c r="EIE1108" s="15"/>
      <c r="EIF1108" s="15"/>
      <c r="EII1108" s="15"/>
      <c r="EIJ1108" s="15"/>
      <c r="EIM1108" s="15"/>
      <c r="EIN1108" s="15"/>
      <c r="EIQ1108" s="15"/>
      <c r="EIR1108" s="15"/>
      <c r="EIU1108" s="15"/>
      <c r="EIV1108" s="15"/>
      <c r="EIY1108" s="15"/>
      <c r="EIZ1108" s="15"/>
      <c r="EJC1108" s="15"/>
      <c r="EJD1108" s="15"/>
      <c r="EJG1108" s="15"/>
      <c r="EJH1108" s="15"/>
      <c r="EJK1108" s="15"/>
      <c r="EJL1108" s="15"/>
      <c r="EJO1108" s="15"/>
      <c r="EJP1108" s="15"/>
      <c r="EJS1108" s="15"/>
      <c r="EJT1108" s="15"/>
      <c r="EJW1108" s="15"/>
      <c r="EJX1108" s="15"/>
      <c r="EKA1108" s="15"/>
      <c r="EKB1108" s="15"/>
      <c r="EKE1108" s="15"/>
      <c r="EKF1108" s="15"/>
      <c r="EKI1108" s="15"/>
      <c r="EKJ1108" s="15"/>
      <c r="EKM1108" s="15"/>
      <c r="EKN1108" s="15"/>
      <c r="EKQ1108" s="15"/>
      <c r="EKR1108" s="15"/>
      <c r="EKU1108" s="15"/>
      <c r="EKV1108" s="15"/>
      <c r="EKY1108" s="15"/>
      <c r="EKZ1108" s="15"/>
      <c r="ELC1108" s="15"/>
      <c r="ELD1108" s="15"/>
      <c r="ELG1108" s="15"/>
      <c r="ELH1108" s="15"/>
      <c r="ELK1108" s="15"/>
      <c r="ELL1108" s="15"/>
      <c r="ELO1108" s="15"/>
      <c r="ELP1108" s="15"/>
      <c r="ELS1108" s="15"/>
      <c r="ELT1108" s="15"/>
      <c r="ELW1108" s="15"/>
      <c r="ELX1108" s="15"/>
      <c r="EMA1108" s="15"/>
      <c r="EMB1108" s="15"/>
      <c r="EME1108" s="15"/>
      <c r="EMF1108" s="15"/>
      <c r="EMI1108" s="15"/>
      <c r="EMJ1108" s="15"/>
      <c r="EMM1108" s="15"/>
      <c r="EMN1108" s="15"/>
      <c r="EMQ1108" s="15"/>
      <c r="EMR1108" s="15"/>
      <c r="EMU1108" s="15"/>
      <c r="EMV1108" s="15"/>
      <c r="EMY1108" s="15"/>
      <c r="EMZ1108" s="15"/>
      <c r="ENC1108" s="15"/>
      <c r="END1108" s="15"/>
      <c r="ENG1108" s="15"/>
      <c r="ENH1108" s="15"/>
      <c r="ENK1108" s="15"/>
      <c r="ENL1108" s="15"/>
      <c r="ENO1108" s="15"/>
      <c r="ENP1108" s="15"/>
      <c r="ENS1108" s="15"/>
      <c r="ENT1108" s="15"/>
      <c r="ENW1108" s="15"/>
      <c r="ENX1108" s="15"/>
      <c r="EOA1108" s="15"/>
      <c r="EOB1108" s="15"/>
      <c r="EOE1108" s="15"/>
      <c r="EOF1108" s="15"/>
      <c r="EOI1108" s="15"/>
      <c r="EOJ1108" s="15"/>
      <c r="EOM1108" s="15"/>
      <c r="EON1108" s="15"/>
      <c r="EOQ1108" s="15"/>
      <c r="EOR1108" s="15"/>
      <c r="EOU1108" s="15"/>
      <c r="EOV1108" s="15"/>
      <c r="EOY1108" s="15"/>
      <c r="EOZ1108" s="15"/>
      <c r="EPC1108" s="15"/>
      <c r="EPD1108" s="15"/>
      <c r="EPG1108" s="15"/>
      <c r="EPH1108" s="15"/>
      <c r="EPK1108" s="15"/>
      <c r="EPL1108" s="15"/>
      <c r="EPO1108" s="15"/>
      <c r="EPP1108" s="15"/>
      <c r="EPS1108" s="15"/>
      <c r="EPT1108" s="15"/>
      <c r="EPW1108" s="15"/>
      <c r="EPX1108" s="15"/>
      <c r="EQA1108" s="15"/>
      <c r="EQB1108" s="15"/>
      <c r="EQE1108" s="15"/>
      <c r="EQF1108" s="15"/>
      <c r="EQI1108" s="15"/>
      <c r="EQJ1108" s="15"/>
      <c r="EQM1108" s="15"/>
      <c r="EQN1108" s="15"/>
      <c r="EQQ1108" s="15"/>
      <c r="EQR1108" s="15"/>
      <c r="EQU1108" s="15"/>
      <c r="EQV1108" s="15"/>
      <c r="EQY1108" s="15"/>
      <c r="EQZ1108" s="15"/>
      <c r="ERC1108" s="15"/>
      <c r="ERD1108" s="15"/>
      <c r="ERG1108" s="15"/>
      <c r="ERH1108" s="15"/>
      <c r="ERK1108" s="15"/>
      <c r="ERL1108" s="15"/>
      <c r="ERO1108" s="15"/>
      <c r="ERP1108" s="15"/>
      <c r="ERS1108" s="15"/>
      <c r="ERT1108" s="15"/>
      <c r="ERW1108" s="15"/>
      <c r="ERX1108" s="15"/>
      <c r="ESA1108" s="15"/>
      <c r="ESB1108" s="15"/>
      <c r="ESE1108" s="15"/>
      <c r="ESF1108" s="15"/>
      <c r="ESI1108" s="15"/>
      <c r="ESJ1108" s="15"/>
      <c r="ESM1108" s="15"/>
      <c r="ESN1108" s="15"/>
      <c r="ESQ1108" s="15"/>
      <c r="ESR1108" s="15"/>
      <c r="ESU1108" s="15"/>
      <c r="ESV1108" s="15"/>
      <c r="ESY1108" s="15"/>
      <c r="ESZ1108" s="15"/>
      <c r="ETC1108" s="15"/>
      <c r="ETD1108" s="15"/>
      <c r="ETG1108" s="15"/>
      <c r="ETH1108" s="15"/>
      <c r="ETK1108" s="15"/>
      <c r="ETL1108" s="15"/>
      <c r="ETO1108" s="15"/>
      <c r="ETP1108" s="15"/>
      <c r="ETS1108" s="15"/>
      <c r="ETT1108" s="15"/>
      <c r="ETW1108" s="15"/>
      <c r="ETX1108" s="15"/>
      <c r="EUA1108" s="15"/>
      <c r="EUB1108" s="15"/>
      <c r="EUE1108" s="15"/>
      <c r="EUF1108" s="15"/>
      <c r="EUI1108" s="15"/>
      <c r="EUJ1108" s="15"/>
      <c r="EUM1108" s="15"/>
      <c r="EUN1108" s="15"/>
      <c r="EUQ1108" s="15"/>
      <c r="EUR1108" s="15"/>
      <c r="EUU1108" s="15"/>
      <c r="EUV1108" s="15"/>
      <c r="EUY1108" s="15"/>
      <c r="EUZ1108" s="15"/>
      <c r="EVC1108" s="15"/>
      <c r="EVD1108" s="15"/>
      <c r="EVG1108" s="15"/>
      <c r="EVH1108" s="15"/>
      <c r="EVK1108" s="15"/>
      <c r="EVL1108" s="15"/>
      <c r="EVO1108" s="15"/>
      <c r="EVP1108" s="15"/>
      <c r="EVS1108" s="15"/>
      <c r="EVT1108" s="15"/>
      <c r="EVW1108" s="15"/>
      <c r="EVX1108" s="15"/>
      <c r="EWA1108" s="15"/>
      <c r="EWB1108" s="15"/>
      <c r="EWE1108" s="15"/>
      <c r="EWF1108" s="15"/>
      <c r="EWI1108" s="15"/>
      <c r="EWJ1108" s="15"/>
      <c r="EWM1108" s="15"/>
      <c r="EWN1108" s="15"/>
      <c r="EWQ1108" s="15"/>
      <c r="EWR1108" s="15"/>
      <c r="EWU1108" s="15"/>
      <c r="EWV1108" s="15"/>
      <c r="EWY1108" s="15"/>
      <c r="EWZ1108" s="15"/>
      <c r="EXC1108" s="15"/>
      <c r="EXD1108" s="15"/>
      <c r="EXG1108" s="15"/>
      <c r="EXH1108" s="15"/>
      <c r="EXK1108" s="15"/>
      <c r="EXL1108" s="15"/>
      <c r="EXO1108" s="15"/>
      <c r="EXP1108" s="15"/>
      <c r="EXS1108" s="15"/>
      <c r="EXT1108" s="15"/>
      <c r="EXW1108" s="15"/>
      <c r="EXX1108" s="15"/>
      <c r="EYA1108" s="15"/>
      <c r="EYB1108" s="15"/>
      <c r="EYE1108" s="15"/>
      <c r="EYF1108" s="15"/>
      <c r="EYI1108" s="15"/>
      <c r="EYJ1108" s="15"/>
      <c r="EYM1108" s="15"/>
      <c r="EYN1108" s="15"/>
      <c r="EYQ1108" s="15"/>
      <c r="EYR1108" s="15"/>
      <c r="EYU1108" s="15"/>
      <c r="EYV1108" s="15"/>
      <c r="EYY1108" s="15"/>
      <c r="EYZ1108" s="15"/>
      <c r="EZC1108" s="15"/>
      <c r="EZD1108" s="15"/>
      <c r="EZG1108" s="15"/>
      <c r="EZH1108" s="15"/>
      <c r="EZK1108" s="15"/>
      <c r="EZL1108" s="15"/>
      <c r="EZO1108" s="15"/>
      <c r="EZP1108" s="15"/>
      <c r="EZS1108" s="15"/>
      <c r="EZT1108" s="15"/>
      <c r="EZW1108" s="15"/>
      <c r="EZX1108" s="15"/>
      <c r="FAA1108" s="15"/>
      <c r="FAB1108" s="15"/>
      <c r="FAE1108" s="15"/>
      <c r="FAF1108" s="15"/>
      <c r="FAI1108" s="15"/>
      <c r="FAJ1108" s="15"/>
      <c r="FAM1108" s="15"/>
      <c r="FAN1108" s="15"/>
      <c r="FAQ1108" s="15"/>
      <c r="FAR1108" s="15"/>
      <c r="FAU1108" s="15"/>
      <c r="FAV1108" s="15"/>
      <c r="FAY1108" s="15"/>
      <c r="FAZ1108" s="15"/>
      <c r="FBC1108" s="15"/>
      <c r="FBD1108" s="15"/>
      <c r="FBG1108" s="15"/>
      <c r="FBH1108" s="15"/>
      <c r="FBK1108" s="15"/>
      <c r="FBL1108" s="15"/>
      <c r="FBO1108" s="15"/>
      <c r="FBP1108" s="15"/>
      <c r="FBS1108" s="15"/>
      <c r="FBT1108" s="15"/>
      <c r="FBW1108" s="15"/>
      <c r="FBX1108" s="15"/>
      <c r="FCA1108" s="15"/>
      <c r="FCB1108" s="15"/>
      <c r="FCE1108" s="15"/>
      <c r="FCF1108" s="15"/>
      <c r="FCI1108" s="15"/>
      <c r="FCJ1108" s="15"/>
      <c r="FCM1108" s="15"/>
      <c r="FCN1108" s="15"/>
      <c r="FCQ1108" s="15"/>
      <c r="FCR1108" s="15"/>
      <c r="FCU1108" s="15"/>
      <c r="FCV1108" s="15"/>
      <c r="FCY1108" s="15"/>
      <c r="FCZ1108" s="15"/>
      <c r="FDC1108" s="15"/>
      <c r="FDD1108" s="15"/>
      <c r="FDG1108" s="15"/>
      <c r="FDH1108" s="15"/>
      <c r="FDK1108" s="15"/>
      <c r="FDL1108" s="15"/>
      <c r="FDO1108" s="15"/>
      <c r="FDP1108" s="15"/>
      <c r="FDS1108" s="15"/>
      <c r="FDT1108" s="15"/>
      <c r="FDW1108" s="15"/>
      <c r="FDX1108" s="15"/>
      <c r="FEA1108" s="15"/>
      <c r="FEB1108" s="15"/>
      <c r="FEE1108" s="15"/>
      <c r="FEF1108" s="15"/>
      <c r="FEI1108" s="15"/>
      <c r="FEJ1108" s="15"/>
      <c r="FEM1108" s="15"/>
      <c r="FEN1108" s="15"/>
      <c r="FEQ1108" s="15"/>
      <c r="FER1108" s="15"/>
      <c r="FEU1108" s="15"/>
      <c r="FEV1108" s="15"/>
      <c r="FEY1108" s="15"/>
      <c r="FEZ1108" s="15"/>
      <c r="FFC1108" s="15"/>
      <c r="FFD1108" s="15"/>
      <c r="FFG1108" s="15"/>
      <c r="FFH1108" s="15"/>
      <c r="FFK1108" s="15"/>
      <c r="FFL1108" s="15"/>
      <c r="FFO1108" s="15"/>
      <c r="FFP1108" s="15"/>
      <c r="FFS1108" s="15"/>
      <c r="FFT1108" s="15"/>
      <c r="FFW1108" s="15"/>
      <c r="FFX1108" s="15"/>
      <c r="FGA1108" s="15"/>
      <c r="FGB1108" s="15"/>
      <c r="FGE1108" s="15"/>
      <c r="FGF1108" s="15"/>
      <c r="FGI1108" s="15"/>
      <c r="FGJ1108" s="15"/>
      <c r="FGM1108" s="15"/>
      <c r="FGN1108" s="15"/>
      <c r="FGQ1108" s="15"/>
      <c r="FGR1108" s="15"/>
      <c r="FGU1108" s="15"/>
      <c r="FGV1108" s="15"/>
      <c r="FGY1108" s="15"/>
      <c r="FGZ1108" s="15"/>
      <c r="FHC1108" s="15"/>
      <c r="FHD1108" s="15"/>
      <c r="FHG1108" s="15"/>
      <c r="FHH1108" s="15"/>
      <c r="FHK1108" s="15"/>
      <c r="FHL1108" s="15"/>
      <c r="FHO1108" s="15"/>
      <c r="FHP1108" s="15"/>
      <c r="FHS1108" s="15"/>
      <c r="FHT1108" s="15"/>
      <c r="FHW1108" s="15"/>
      <c r="FHX1108" s="15"/>
      <c r="FIA1108" s="15"/>
      <c r="FIB1108" s="15"/>
      <c r="FIE1108" s="15"/>
      <c r="FIF1108" s="15"/>
      <c r="FII1108" s="15"/>
      <c r="FIJ1108" s="15"/>
      <c r="FIM1108" s="15"/>
      <c r="FIN1108" s="15"/>
      <c r="FIQ1108" s="15"/>
      <c r="FIR1108" s="15"/>
      <c r="FIU1108" s="15"/>
      <c r="FIV1108" s="15"/>
      <c r="FIY1108" s="15"/>
      <c r="FIZ1108" s="15"/>
      <c r="FJC1108" s="15"/>
      <c r="FJD1108" s="15"/>
      <c r="FJG1108" s="15"/>
      <c r="FJH1108" s="15"/>
      <c r="FJK1108" s="15"/>
      <c r="FJL1108" s="15"/>
      <c r="FJO1108" s="15"/>
      <c r="FJP1108" s="15"/>
      <c r="FJS1108" s="15"/>
      <c r="FJT1108" s="15"/>
      <c r="FJW1108" s="15"/>
      <c r="FJX1108" s="15"/>
      <c r="FKA1108" s="15"/>
      <c r="FKB1108" s="15"/>
      <c r="FKE1108" s="15"/>
      <c r="FKF1108" s="15"/>
      <c r="FKI1108" s="15"/>
      <c r="FKJ1108" s="15"/>
      <c r="FKM1108" s="15"/>
      <c r="FKN1108" s="15"/>
      <c r="FKQ1108" s="15"/>
      <c r="FKR1108" s="15"/>
      <c r="FKU1108" s="15"/>
      <c r="FKV1108" s="15"/>
      <c r="FKY1108" s="15"/>
      <c r="FKZ1108" s="15"/>
      <c r="FLC1108" s="15"/>
      <c r="FLD1108" s="15"/>
      <c r="FLG1108" s="15"/>
      <c r="FLH1108" s="15"/>
      <c r="FLK1108" s="15"/>
      <c r="FLL1108" s="15"/>
      <c r="FLO1108" s="15"/>
      <c r="FLP1108" s="15"/>
      <c r="FLS1108" s="15"/>
      <c r="FLT1108" s="15"/>
      <c r="FLW1108" s="15"/>
      <c r="FLX1108" s="15"/>
      <c r="FMA1108" s="15"/>
      <c r="FMB1108" s="15"/>
      <c r="FME1108" s="15"/>
      <c r="FMF1108" s="15"/>
      <c r="FMI1108" s="15"/>
      <c r="FMJ1108" s="15"/>
      <c r="FMM1108" s="15"/>
      <c r="FMN1108" s="15"/>
      <c r="FMQ1108" s="15"/>
      <c r="FMR1108" s="15"/>
      <c r="FMU1108" s="15"/>
      <c r="FMV1108" s="15"/>
      <c r="FMY1108" s="15"/>
      <c r="FMZ1108" s="15"/>
      <c r="FNC1108" s="15"/>
      <c r="FND1108" s="15"/>
      <c r="FNG1108" s="15"/>
      <c r="FNH1108" s="15"/>
      <c r="FNK1108" s="15"/>
      <c r="FNL1108" s="15"/>
      <c r="FNO1108" s="15"/>
      <c r="FNP1108" s="15"/>
      <c r="FNS1108" s="15"/>
      <c r="FNT1108" s="15"/>
      <c r="FNW1108" s="15"/>
      <c r="FNX1108" s="15"/>
      <c r="FOA1108" s="15"/>
      <c r="FOB1108" s="15"/>
      <c r="FOE1108" s="15"/>
      <c r="FOF1108" s="15"/>
      <c r="FOI1108" s="15"/>
      <c r="FOJ1108" s="15"/>
      <c r="FOM1108" s="15"/>
      <c r="FON1108" s="15"/>
      <c r="FOQ1108" s="15"/>
      <c r="FOR1108" s="15"/>
      <c r="FOU1108" s="15"/>
      <c r="FOV1108" s="15"/>
      <c r="FOY1108" s="15"/>
      <c r="FOZ1108" s="15"/>
      <c r="FPC1108" s="15"/>
      <c r="FPD1108" s="15"/>
      <c r="FPG1108" s="15"/>
      <c r="FPH1108" s="15"/>
      <c r="FPK1108" s="15"/>
      <c r="FPL1108" s="15"/>
      <c r="FPO1108" s="15"/>
      <c r="FPP1108" s="15"/>
      <c r="FPS1108" s="15"/>
      <c r="FPT1108" s="15"/>
      <c r="FPW1108" s="15"/>
      <c r="FPX1108" s="15"/>
      <c r="FQA1108" s="15"/>
      <c r="FQB1108" s="15"/>
      <c r="FQE1108" s="15"/>
      <c r="FQF1108" s="15"/>
      <c r="FQI1108" s="15"/>
      <c r="FQJ1108" s="15"/>
      <c r="FQM1108" s="15"/>
      <c r="FQN1108" s="15"/>
      <c r="FQQ1108" s="15"/>
      <c r="FQR1108" s="15"/>
      <c r="FQU1108" s="15"/>
      <c r="FQV1108" s="15"/>
      <c r="FQY1108" s="15"/>
      <c r="FQZ1108" s="15"/>
      <c r="FRC1108" s="15"/>
      <c r="FRD1108" s="15"/>
      <c r="FRG1108" s="15"/>
      <c r="FRH1108" s="15"/>
      <c r="FRK1108" s="15"/>
      <c r="FRL1108" s="15"/>
      <c r="FRO1108" s="15"/>
      <c r="FRP1108" s="15"/>
      <c r="FRS1108" s="15"/>
      <c r="FRT1108" s="15"/>
      <c r="FRW1108" s="15"/>
      <c r="FRX1108" s="15"/>
      <c r="FSA1108" s="15"/>
      <c r="FSB1108" s="15"/>
      <c r="FSE1108" s="15"/>
      <c r="FSF1108" s="15"/>
      <c r="FSI1108" s="15"/>
      <c r="FSJ1108" s="15"/>
      <c r="FSM1108" s="15"/>
      <c r="FSN1108" s="15"/>
      <c r="FSQ1108" s="15"/>
      <c r="FSR1108" s="15"/>
      <c r="FSU1108" s="15"/>
      <c r="FSV1108" s="15"/>
      <c r="FSY1108" s="15"/>
      <c r="FSZ1108" s="15"/>
      <c r="FTC1108" s="15"/>
      <c r="FTD1108" s="15"/>
      <c r="FTG1108" s="15"/>
      <c r="FTH1108" s="15"/>
      <c r="FTK1108" s="15"/>
      <c r="FTL1108" s="15"/>
      <c r="FTO1108" s="15"/>
      <c r="FTP1108" s="15"/>
      <c r="FTS1108" s="15"/>
      <c r="FTT1108" s="15"/>
      <c r="FTW1108" s="15"/>
      <c r="FTX1108" s="15"/>
      <c r="FUA1108" s="15"/>
      <c r="FUB1108" s="15"/>
      <c r="FUE1108" s="15"/>
      <c r="FUF1108" s="15"/>
      <c r="FUI1108" s="15"/>
      <c r="FUJ1108" s="15"/>
      <c r="FUM1108" s="15"/>
      <c r="FUN1108" s="15"/>
      <c r="FUQ1108" s="15"/>
      <c r="FUR1108" s="15"/>
      <c r="FUU1108" s="15"/>
      <c r="FUV1108" s="15"/>
      <c r="FUY1108" s="15"/>
      <c r="FUZ1108" s="15"/>
      <c r="FVC1108" s="15"/>
      <c r="FVD1108" s="15"/>
      <c r="FVG1108" s="15"/>
      <c r="FVH1108" s="15"/>
      <c r="FVK1108" s="15"/>
      <c r="FVL1108" s="15"/>
      <c r="FVO1108" s="15"/>
      <c r="FVP1108" s="15"/>
      <c r="FVS1108" s="15"/>
      <c r="FVT1108" s="15"/>
      <c r="FVW1108" s="15"/>
      <c r="FVX1108" s="15"/>
      <c r="FWA1108" s="15"/>
      <c r="FWB1108" s="15"/>
      <c r="FWE1108" s="15"/>
      <c r="FWF1108" s="15"/>
      <c r="FWI1108" s="15"/>
      <c r="FWJ1108" s="15"/>
      <c r="FWM1108" s="15"/>
      <c r="FWN1108" s="15"/>
      <c r="FWQ1108" s="15"/>
      <c r="FWR1108" s="15"/>
      <c r="FWU1108" s="15"/>
      <c r="FWV1108" s="15"/>
      <c r="FWY1108" s="15"/>
      <c r="FWZ1108" s="15"/>
      <c r="FXC1108" s="15"/>
      <c r="FXD1108" s="15"/>
      <c r="FXG1108" s="15"/>
      <c r="FXH1108" s="15"/>
      <c r="FXK1108" s="15"/>
      <c r="FXL1108" s="15"/>
      <c r="FXO1108" s="15"/>
      <c r="FXP1108" s="15"/>
      <c r="FXS1108" s="15"/>
      <c r="FXT1108" s="15"/>
      <c r="FXW1108" s="15"/>
      <c r="FXX1108" s="15"/>
      <c r="FYA1108" s="15"/>
      <c r="FYB1108" s="15"/>
      <c r="FYE1108" s="15"/>
      <c r="FYF1108" s="15"/>
      <c r="FYI1108" s="15"/>
      <c r="FYJ1108" s="15"/>
      <c r="FYM1108" s="15"/>
      <c r="FYN1108" s="15"/>
      <c r="FYQ1108" s="15"/>
      <c r="FYR1108" s="15"/>
      <c r="FYU1108" s="15"/>
      <c r="FYV1108" s="15"/>
      <c r="FYY1108" s="15"/>
      <c r="FYZ1108" s="15"/>
      <c r="FZC1108" s="15"/>
      <c r="FZD1108" s="15"/>
      <c r="FZG1108" s="15"/>
      <c r="FZH1108" s="15"/>
      <c r="FZK1108" s="15"/>
      <c r="FZL1108" s="15"/>
      <c r="FZO1108" s="15"/>
      <c r="FZP1108" s="15"/>
      <c r="FZS1108" s="15"/>
      <c r="FZT1108" s="15"/>
      <c r="FZW1108" s="15"/>
      <c r="FZX1108" s="15"/>
      <c r="GAA1108" s="15"/>
      <c r="GAB1108" s="15"/>
      <c r="GAE1108" s="15"/>
      <c r="GAF1108" s="15"/>
      <c r="GAI1108" s="15"/>
      <c r="GAJ1108" s="15"/>
      <c r="GAM1108" s="15"/>
      <c r="GAN1108" s="15"/>
      <c r="GAQ1108" s="15"/>
      <c r="GAR1108" s="15"/>
      <c r="GAU1108" s="15"/>
      <c r="GAV1108" s="15"/>
      <c r="GAY1108" s="15"/>
      <c r="GAZ1108" s="15"/>
      <c r="GBC1108" s="15"/>
      <c r="GBD1108" s="15"/>
      <c r="GBG1108" s="15"/>
      <c r="GBH1108" s="15"/>
      <c r="GBK1108" s="15"/>
      <c r="GBL1108" s="15"/>
      <c r="GBO1108" s="15"/>
      <c r="GBP1108" s="15"/>
      <c r="GBS1108" s="15"/>
      <c r="GBT1108" s="15"/>
      <c r="GBW1108" s="15"/>
      <c r="GBX1108" s="15"/>
      <c r="GCA1108" s="15"/>
      <c r="GCB1108" s="15"/>
      <c r="GCE1108" s="15"/>
      <c r="GCF1108" s="15"/>
      <c r="GCI1108" s="15"/>
      <c r="GCJ1108" s="15"/>
      <c r="GCM1108" s="15"/>
      <c r="GCN1108" s="15"/>
      <c r="GCQ1108" s="15"/>
      <c r="GCR1108" s="15"/>
      <c r="GCU1108" s="15"/>
      <c r="GCV1108" s="15"/>
      <c r="GCY1108" s="15"/>
      <c r="GCZ1108" s="15"/>
      <c r="GDC1108" s="15"/>
      <c r="GDD1108" s="15"/>
      <c r="GDG1108" s="15"/>
      <c r="GDH1108" s="15"/>
      <c r="GDK1108" s="15"/>
      <c r="GDL1108" s="15"/>
      <c r="GDO1108" s="15"/>
      <c r="GDP1108" s="15"/>
      <c r="GDS1108" s="15"/>
      <c r="GDT1108" s="15"/>
      <c r="GDW1108" s="15"/>
      <c r="GDX1108" s="15"/>
      <c r="GEA1108" s="15"/>
      <c r="GEB1108" s="15"/>
      <c r="GEE1108" s="15"/>
      <c r="GEF1108" s="15"/>
      <c r="GEI1108" s="15"/>
      <c r="GEJ1108" s="15"/>
      <c r="GEM1108" s="15"/>
      <c r="GEN1108" s="15"/>
      <c r="GEQ1108" s="15"/>
      <c r="GER1108" s="15"/>
      <c r="GEU1108" s="15"/>
      <c r="GEV1108" s="15"/>
      <c r="GEY1108" s="15"/>
      <c r="GEZ1108" s="15"/>
      <c r="GFC1108" s="15"/>
      <c r="GFD1108" s="15"/>
      <c r="GFG1108" s="15"/>
      <c r="GFH1108" s="15"/>
      <c r="GFK1108" s="15"/>
      <c r="GFL1108" s="15"/>
      <c r="GFO1108" s="15"/>
      <c r="GFP1108" s="15"/>
      <c r="GFS1108" s="15"/>
      <c r="GFT1108" s="15"/>
      <c r="GFW1108" s="15"/>
      <c r="GFX1108" s="15"/>
      <c r="GGA1108" s="15"/>
      <c r="GGB1108" s="15"/>
      <c r="GGE1108" s="15"/>
      <c r="GGF1108" s="15"/>
      <c r="GGI1108" s="15"/>
      <c r="GGJ1108" s="15"/>
      <c r="GGM1108" s="15"/>
      <c r="GGN1108" s="15"/>
      <c r="GGQ1108" s="15"/>
      <c r="GGR1108" s="15"/>
      <c r="GGU1108" s="15"/>
      <c r="GGV1108" s="15"/>
      <c r="GGY1108" s="15"/>
      <c r="GGZ1108" s="15"/>
      <c r="GHC1108" s="15"/>
      <c r="GHD1108" s="15"/>
      <c r="GHG1108" s="15"/>
      <c r="GHH1108" s="15"/>
      <c r="GHK1108" s="15"/>
      <c r="GHL1108" s="15"/>
      <c r="GHO1108" s="15"/>
      <c r="GHP1108" s="15"/>
      <c r="GHS1108" s="15"/>
      <c r="GHT1108" s="15"/>
      <c r="GHW1108" s="15"/>
      <c r="GHX1108" s="15"/>
      <c r="GIA1108" s="15"/>
      <c r="GIB1108" s="15"/>
      <c r="GIE1108" s="15"/>
      <c r="GIF1108" s="15"/>
      <c r="GII1108" s="15"/>
      <c r="GIJ1108" s="15"/>
      <c r="GIM1108" s="15"/>
      <c r="GIN1108" s="15"/>
      <c r="GIQ1108" s="15"/>
      <c r="GIR1108" s="15"/>
      <c r="GIU1108" s="15"/>
      <c r="GIV1108" s="15"/>
      <c r="GIY1108" s="15"/>
      <c r="GIZ1108" s="15"/>
      <c r="GJC1108" s="15"/>
      <c r="GJD1108" s="15"/>
      <c r="GJG1108" s="15"/>
      <c r="GJH1108" s="15"/>
      <c r="GJK1108" s="15"/>
      <c r="GJL1108" s="15"/>
      <c r="GJO1108" s="15"/>
      <c r="GJP1108" s="15"/>
      <c r="GJS1108" s="15"/>
      <c r="GJT1108" s="15"/>
      <c r="GJW1108" s="15"/>
      <c r="GJX1108" s="15"/>
      <c r="GKA1108" s="15"/>
      <c r="GKB1108" s="15"/>
      <c r="GKE1108" s="15"/>
      <c r="GKF1108" s="15"/>
      <c r="GKI1108" s="15"/>
      <c r="GKJ1108" s="15"/>
      <c r="GKM1108" s="15"/>
      <c r="GKN1108" s="15"/>
      <c r="GKQ1108" s="15"/>
      <c r="GKR1108" s="15"/>
      <c r="GKU1108" s="15"/>
      <c r="GKV1108" s="15"/>
      <c r="GKY1108" s="15"/>
      <c r="GKZ1108" s="15"/>
      <c r="GLC1108" s="15"/>
      <c r="GLD1108" s="15"/>
      <c r="GLG1108" s="15"/>
      <c r="GLH1108" s="15"/>
      <c r="GLK1108" s="15"/>
      <c r="GLL1108" s="15"/>
      <c r="GLO1108" s="15"/>
      <c r="GLP1108" s="15"/>
      <c r="GLS1108" s="15"/>
      <c r="GLT1108" s="15"/>
      <c r="GLW1108" s="15"/>
      <c r="GLX1108" s="15"/>
      <c r="GMA1108" s="15"/>
      <c r="GMB1108" s="15"/>
      <c r="GME1108" s="15"/>
      <c r="GMF1108" s="15"/>
      <c r="GMI1108" s="15"/>
      <c r="GMJ1108" s="15"/>
      <c r="GMM1108" s="15"/>
      <c r="GMN1108" s="15"/>
      <c r="GMQ1108" s="15"/>
      <c r="GMR1108" s="15"/>
      <c r="GMU1108" s="15"/>
      <c r="GMV1108" s="15"/>
      <c r="GMY1108" s="15"/>
      <c r="GMZ1108" s="15"/>
      <c r="GNC1108" s="15"/>
      <c r="GND1108" s="15"/>
      <c r="GNG1108" s="15"/>
      <c r="GNH1108" s="15"/>
      <c r="GNK1108" s="15"/>
      <c r="GNL1108" s="15"/>
      <c r="GNO1108" s="15"/>
      <c r="GNP1108" s="15"/>
      <c r="GNS1108" s="15"/>
      <c r="GNT1108" s="15"/>
      <c r="GNW1108" s="15"/>
      <c r="GNX1108" s="15"/>
      <c r="GOA1108" s="15"/>
      <c r="GOB1108" s="15"/>
      <c r="GOE1108" s="15"/>
      <c r="GOF1108" s="15"/>
      <c r="GOI1108" s="15"/>
      <c r="GOJ1108" s="15"/>
      <c r="GOM1108" s="15"/>
      <c r="GON1108" s="15"/>
      <c r="GOQ1108" s="15"/>
      <c r="GOR1108" s="15"/>
      <c r="GOU1108" s="15"/>
      <c r="GOV1108" s="15"/>
      <c r="GOY1108" s="15"/>
      <c r="GOZ1108" s="15"/>
      <c r="GPC1108" s="15"/>
      <c r="GPD1108" s="15"/>
      <c r="GPG1108" s="15"/>
      <c r="GPH1108" s="15"/>
      <c r="GPK1108" s="15"/>
      <c r="GPL1108" s="15"/>
      <c r="GPO1108" s="15"/>
      <c r="GPP1108" s="15"/>
      <c r="GPS1108" s="15"/>
      <c r="GPT1108" s="15"/>
      <c r="GPW1108" s="15"/>
      <c r="GPX1108" s="15"/>
      <c r="GQA1108" s="15"/>
      <c r="GQB1108" s="15"/>
      <c r="GQE1108" s="15"/>
      <c r="GQF1108" s="15"/>
      <c r="GQI1108" s="15"/>
      <c r="GQJ1108" s="15"/>
      <c r="GQM1108" s="15"/>
      <c r="GQN1108" s="15"/>
      <c r="GQQ1108" s="15"/>
      <c r="GQR1108" s="15"/>
      <c r="GQU1108" s="15"/>
      <c r="GQV1108" s="15"/>
      <c r="GQY1108" s="15"/>
      <c r="GQZ1108" s="15"/>
      <c r="GRC1108" s="15"/>
      <c r="GRD1108" s="15"/>
      <c r="GRG1108" s="15"/>
      <c r="GRH1108" s="15"/>
      <c r="GRK1108" s="15"/>
      <c r="GRL1108" s="15"/>
      <c r="GRO1108" s="15"/>
      <c r="GRP1108" s="15"/>
      <c r="GRS1108" s="15"/>
      <c r="GRT1108" s="15"/>
      <c r="GRW1108" s="15"/>
      <c r="GRX1108" s="15"/>
      <c r="GSA1108" s="15"/>
      <c r="GSB1108" s="15"/>
      <c r="GSE1108" s="15"/>
      <c r="GSF1108" s="15"/>
      <c r="GSI1108" s="15"/>
      <c r="GSJ1108" s="15"/>
      <c r="GSM1108" s="15"/>
      <c r="GSN1108" s="15"/>
      <c r="GSQ1108" s="15"/>
      <c r="GSR1108" s="15"/>
      <c r="GSU1108" s="15"/>
      <c r="GSV1108" s="15"/>
      <c r="GSY1108" s="15"/>
      <c r="GSZ1108" s="15"/>
      <c r="GTC1108" s="15"/>
      <c r="GTD1108" s="15"/>
      <c r="GTG1108" s="15"/>
      <c r="GTH1108" s="15"/>
      <c r="GTK1108" s="15"/>
      <c r="GTL1108" s="15"/>
      <c r="GTO1108" s="15"/>
      <c r="GTP1108" s="15"/>
      <c r="GTS1108" s="15"/>
      <c r="GTT1108" s="15"/>
      <c r="GTW1108" s="15"/>
      <c r="GTX1108" s="15"/>
      <c r="GUA1108" s="15"/>
      <c r="GUB1108" s="15"/>
      <c r="GUE1108" s="15"/>
      <c r="GUF1108" s="15"/>
      <c r="GUI1108" s="15"/>
      <c r="GUJ1108" s="15"/>
      <c r="GUM1108" s="15"/>
      <c r="GUN1108" s="15"/>
      <c r="GUQ1108" s="15"/>
      <c r="GUR1108" s="15"/>
      <c r="GUU1108" s="15"/>
      <c r="GUV1108" s="15"/>
      <c r="GUY1108" s="15"/>
      <c r="GUZ1108" s="15"/>
      <c r="GVC1108" s="15"/>
      <c r="GVD1108" s="15"/>
      <c r="GVG1108" s="15"/>
      <c r="GVH1108" s="15"/>
      <c r="GVK1108" s="15"/>
      <c r="GVL1108" s="15"/>
      <c r="GVO1108" s="15"/>
      <c r="GVP1108" s="15"/>
      <c r="GVS1108" s="15"/>
      <c r="GVT1108" s="15"/>
      <c r="GVW1108" s="15"/>
      <c r="GVX1108" s="15"/>
      <c r="GWA1108" s="15"/>
      <c r="GWB1108" s="15"/>
      <c r="GWE1108" s="15"/>
      <c r="GWF1108" s="15"/>
      <c r="GWI1108" s="15"/>
      <c r="GWJ1108" s="15"/>
      <c r="GWM1108" s="15"/>
      <c r="GWN1108" s="15"/>
      <c r="GWQ1108" s="15"/>
      <c r="GWR1108" s="15"/>
      <c r="GWU1108" s="15"/>
      <c r="GWV1108" s="15"/>
      <c r="GWY1108" s="15"/>
      <c r="GWZ1108" s="15"/>
      <c r="GXC1108" s="15"/>
      <c r="GXD1108" s="15"/>
      <c r="GXG1108" s="15"/>
      <c r="GXH1108" s="15"/>
      <c r="GXK1108" s="15"/>
      <c r="GXL1108" s="15"/>
      <c r="GXO1108" s="15"/>
      <c r="GXP1108" s="15"/>
      <c r="GXS1108" s="15"/>
      <c r="GXT1108" s="15"/>
      <c r="GXW1108" s="15"/>
      <c r="GXX1108" s="15"/>
      <c r="GYA1108" s="15"/>
      <c r="GYB1108" s="15"/>
      <c r="GYE1108" s="15"/>
      <c r="GYF1108" s="15"/>
      <c r="GYI1108" s="15"/>
      <c r="GYJ1108" s="15"/>
      <c r="GYM1108" s="15"/>
      <c r="GYN1108" s="15"/>
      <c r="GYQ1108" s="15"/>
      <c r="GYR1108" s="15"/>
      <c r="GYU1108" s="15"/>
      <c r="GYV1108" s="15"/>
      <c r="GYY1108" s="15"/>
      <c r="GYZ1108" s="15"/>
      <c r="GZC1108" s="15"/>
      <c r="GZD1108" s="15"/>
      <c r="GZG1108" s="15"/>
      <c r="GZH1108" s="15"/>
      <c r="GZK1108" s="15"/>
      <c r="GZL1108" s="15"/>
      <c r="GZO1108" s="15"/>
      <c r="GZP1108" s="15"/>
      <c r="GZS1108" s="15"/>
      <c r="GZT1108" s="15"/>
      <c r="GZW1108" s="15"/>
      <c r="GZX1108" s="15"/>
      <c r="HAA1108" s="15"/>
      <c r="HAB1108" s="15"/>
      <c r="HAE1108" s="15"/>
      <c r="HAF1108" s="15"/>
      <c r="HAI1108" s="15"/>
      <c r="HAJ1108" s="15"/>
      <c r="HAM1108" s="15"/>
      <c r="HAN1108" s="15"/>
      <c r="HAQ1108" s="15"/>
      <c r="HAR1108" s="15"/>
      <c r="HAU1108" s="15"/>
      <c r="HAV1108" s="15"/>
      <c r="HAY1108" s="15"/>
      <c r="HAZ1108" s="15"/>
      <c r="HBC1108" s="15"/>
      <c r="HBD1108" s="15"/>
      <c r="HBG1108" s="15"/>
      <c r="HBH1108" s="15"/>
      <c r="HBK1108" s="15"/>
      <c r="HBL1108" s="15"/>
      <c r="HBO1108" s="15"/>
      <c r="HBP1108" s="15"/>
      <c r="HBS1108" s="15"/>
      <c r="HBT1108" s="15"/>
      <c r="HBW1108" s="15"/>
      <c r="HBX1108" s="15"/>
      <c r="HCA1108" s="15"/>
      <c r="HCB1108" s="15"/>
      <c r="HCE1108" s="15"/>
      <c r="HCF1108" s="15"/>
      <c r="HCI1108" s="15"/>
      <c r="HCJ1108" s="15"/>
      <c r="HCM1108" s="15"/>
      <c r="HCN1108" s="15"/>
      <c r="HCQ1108" s="15"/>
      <c r="HCR1108" s="15"/>
      <c r="HCU1108" s="15"/>
      <c r="HCV1108" s="15"/>
      <c r="HCY1108" s="15"/>
      <c r="HCZ1108" s="15"/>
      <c r="HDC1108" s="15"/>
      <c r="HDD1108" s="15"/>
      <c r="HDG1108" s="15"/>
      <c r="HDH1108" s="15"/>
      <c r="HDK1108" s="15"/>
      <c r="HDL1108" s="15"/>
      <c r="HDO1108" s="15"/>
      <c r="HDP1108" s="15"/>
      <c r="HDS1108" s="15"/>
      <c r="HDT1108" s="15"/>
      <c r="HDW1108" s="15"/>
      <c r="HDX1108" s="15"/>
      <c r="HEA1108" s="15"/>
      <c r="HEB1108" s="15"/>
      <c r="HEE1108" s="15"/>
      <c r="HEF1108" s="15"/>
      <c r="HEI1108" s="15"/>
      <c r="HEJ1108" s="15"/>
      <c r="HEM1108" s="15"/>
      <c r="HEN1108" s="15"/>
      <c r="HEQ1108" s="15"/>
      <c r="HER1108" s="15"/>
      <c r="HEU1108" s="15"/>
      <c r="HEV1108" s="15"/>
      <c r="HEY1108" s="15"/>
      <c r="HEZ1108" s="15"/>
      <c r="HFC1108" s="15"/>
      <c r="HFD1108" s="15"/>
      <c r="HFG1108" s="15"/>
      <c r="HFH1108" s="15"/>
      <c r="HFK1108" s="15"/>
      <c r="HFL1108" s="15"/>
      <c r="HFO1108" s="15"/>
      <c r="HFP1108" s="15"/>
      <c r="HFS1108" s="15"/>
      <c r="HFT1108" s="15"/>
      <c r="HFW1108" s="15"/>
      <c r="HFX1108" s="15"/>
      <c r="HGA1108" s="15"/>
      <c r="HGB1108" s="15"/>
      <c r="HGE1108" s="15"/>
      <c r="HGF1108" s="15"/>
      <c r="HGI1108" s="15"/>
      <c r="HGJ1108" s="15"/>
      <c r="HGM1108" s="15"/>
      <c r="HGN1108" s="15"/>
      <c r="HGQ1108" s="15"/>
      <c r="HGR1108" s="15"/>
      <c r="HGU1108" s="15"/>
      <c r="HGV1108" s="15"/>
      <c r="HGY1108" s="15"/>
      <c r="HGZ1108" s="15"/>
      <c r="HHC1108" s="15"/>
      <c r="HHD1108" s="15"/>
      <c r="HHG1108" s="15"/>
      <c r="HHH1108" s="15"/>
      <c r="HHK1108" s="15"/>
      <c r="HHL1108" s="15"/>
      <c r="HHO1108" s="15"/>
      <c r="HHP1108" s="15"/>
      <c r="HHS1108" s="15"/>
      <c r="HHT1108" s="15"/>
      <c r="HHW1108" s="15"/>
      <c r="HHX1108" s="15"/>
      <c r="HIA1108" s="15"/>
      <c r="HIB1108" s="15"/>
      <c r="HIE1108" s="15"/>
      <c r="HIF1108" s="15"/>
      <c r="HII1108" s="15"/>
      <c r="HIJ1108" s="15"/>
      <c r="HIM1108" s="15"/>
      <c r="HIN1108" s="15"/>
      <c r="HIQ1108" s="15"/>
      <c r="HIR1108" s="15"/>
      <c r="HIU1108" s="15"/>
      <c r="HIV1108" s="15"/>
      <c r="HIY1108" s="15"/>
      <c r="HIZ1108" s="15"/>
      <c r="HJC1108" s="15"/>
      <c r="HJD1108" s="15"/>
      <c r="HJG1108" s="15"/>
      <c r="HJH1108" s="15"/>
      <c r="HJK1108" s="15"/>
      <c r="HJL1108" s="15"/>
      <c r="HJO1108" s="15"/>
      <c r="HJP1108" s="15"/>
      <c r="HJS1108" s="15"/>
      <c r="HJT1108" s="15"/>
      <c r="HJW1108" s="15"/>
      <c r="HJX1108" s="15"/>
      <c r="HKA1108" s="15"/>
      <c r="HKB1108" s="15"/>
      <c r="HKE1108" s="15"/>
      <c r="HKF1108" s="15"/>
      <c r="HKI1108" s="15"/>
      <c r="HKJ1108" s="15"/>
      <c r="HKM1108" s="15"/>
      <c r="HKN1108" s="15"/>
      <c r="HKQ1108" s="15"/>
      <c r="HKR1108" s="15"/>
      <c r="HKU1108" s="15"/>
      <c r="HKV1108" s="15"/>
      <c r="HKY1108" s="15"/>
      <c r="HKZ1108" s="15"/>
      <c r="HLC1108" s="15"/>
      <c r="HLD1108" s="15"/>
      <c r="HLG1108" s="15"/>
      <c r="HLH1108" s="15"/>
      <c r="HLK1108" s="15"/>
      <c r="HLL1108" s="15"/>
      <c r="HLO1108" s="15"/>
      <c r="HLP1108" s="15"/>
      <c r="HLS1108" s="15"/>
      <c r="HLT1108" s="15"/>
      <c r="HLW1108" s="15"/>
      <c r="HLX1108" s="15"/>
      <c r="HMA1108" s="15"/>
      <c r="HMB1108" s="15"/>
      <c r="HME1108" s="15"/>
      <c r="HMF1108" s="15"/>
      <c r="HMI1108" s="15"/>
      <c r="HMJ1108" s="15"/>
      <c r="HMM1108" s="15"/>
      <c r="HMN1108" s="15"/>
      <c r="HMQ1108" s="15"/>
      <c r="HMR1108" s="15"/>
      <c r="HMU1108" s="15"/>
      <c r="HMV1108" s="15"/>
      <c r="HMY1108" s="15"/>
      <c r="HMZ1108" s="15"/>
      <c r="HNC1108" s="15"/>
      <c r="HND1108" s="15"/>
      <c r="HNG1108" s="15"/>
      <c r="HNH1108" s="15"/>
      <c r="HNK1108" s="15"/>
      <c r="HNL1108" s="15"/>
      <c r="HNO1108" s="15"/>
      <c r="HNP1108" s="15"/>
      <c r="HNS1108" s="15"/>
      <c r="HNT1108" s="15"/>
      <c r="HNW1108" s="15"/>
      <c r="HNX1108" s="15"/>
      <c r="HOA1108" s="15"/>
      <c r="HOB1108" s="15"/>
      <c r="HOE1108" s="15"/>
      <c r="HOF1108" s="15"/>
      <c r="HOI1108" s="15"/>
      <c r="HOJ1108" s="15"/>
      <c r="HOM1108" s="15"/>
      <c r="HON1108" s="15"/>
      <c r="HOQ1108" s="15"/>
      <c r="HOR1108" s="15"/>
      <c r="HOU1108" s="15"/>
      <c r="HOV1108" s="15"/>
      <c r="HOY1108" s="15"/>
      <c r="HOZ1108" s="15"/>
      <c r="HPC1108" s="15"/>
      <c r="HPD1108" s="15"/>
      <c r="HPG1108" s="15"/>
      <c r="HPH1108" s="15"/>
      <c r="HPK1108" s="15"/>
      <c r="HPL1108" s="15"/>
      <c r="HPO1108" s="15"/>
      <c r="HPP1108" s="15"/>
      <c r="HPS1108" s="15"/>
      <c r="HPT1108" s="15"/>
      <c r="HPW1108" s="15"/>
      <c r="HPX1108" s="15"/>
      <c r="HQA1108" s="15"/>
      <c r="HQB1108" s="15"/>
      <c r="HQE1108" s="15"/>
      <c r="HQF1108" s="15"/>
      <c r="HQI1108" s="15"/>
      <c r="HQJ1108" s="15"/>
      <c r="HQM1108" s="15"/>
      <c r="HQN1108" s="15"/>
      <c r="HQQ1108" s="15"/>
      <c r="HQR1108" s="15"/>
      <c r="HQU1108" s="15"/>
      <c r="HQV1108" s="15"/>
      <c r="HQY1108" s="15"/>
      <c r="HQZ1108" s="15"/>
      <c r="HRC1108" s="15"/>
      <c r="HRD1108" s="15"/>
      <c r="HRG1108" s="15"/>
      <c r="HRH1108" s="15"/>
      <c r="HRK1108" s="15"/>
      <c r="HRL1108" s="15"/>
      <c r="HRO1108" s="15"/>
      <c r="HRP1108" s="15"/>
      <c r="HRS1108" s="15"/>
      <c r="HRT1108" s="15"/>
      <c r="HRW1108" s="15"/>
      <c r="HRX1108" s="15"/>
      <c r="HSA1108" s="15"/>
      <c r="HSB1108" s="15"/>
      <c r="HSE1108" s="15"/>
      <c r="HSF1108" s="15"/>
      <c r="HSI1108" s="15"/>
      <c r="HSJ1108" s="15"/>
      <c r="HSM1108" s="15"/>
      <c r="HSN1108" s="15"/>
      <c r="HSQ1108" s="15"/>
      <c r="HSR1108" s="15"/>
      <c r="HSU1108" s="15"/>
      <c r="HSV1108" s="15"/>
      <c r="HSY1108" s="15"/>
      <c r="HSZ1108" s="15"/>
      <c r="HTC1108" s="15"/>
      <c r="HTD1108" s="15"/>
      <c r="HTG1108" s="15"/>
      <c r="HTH1108" s="15"/>
      <c r="HTK1108" s="15"/>
      <c r="HTL1108" s="15"/>
      <c r="HTO1108" s="15"/>
      <c r="HTP1108" s="15"/>
      <c r="HTS1108" s="15"/>
      <c r="HTT1108" s="15"/>
      <c r="HTW1108" s="15"/>
      <c r="HTX1108" s="15"/>
      <c r="HUA1108" s="15"/>
      <c r="HUB1108" s="15"/>
      <c r="HUE1108" s="15"/>
      <c r="HUF1108" s="15"/>
      <c r="HUI1108" s="15"/>
      <c r="HUJ1108" s="15"/>
      <c r="HUM1108" s="15"/>
      <c r="HUN1108" s="15"/>
      <c r="HUQ1108" s="15"/>
      <c r="HUR1108" s="15"/>
      <c r="HUU1108" s="15"/>
      <c r="HUV1108" s="15"/>
      <c r="HUY1108" s="15"/>
      <c r="HUZ1108" s="15"/>
      <c r="HVC1108" s="15"/>
      <c r="HVD1108" s="15"/>
      <c r="HVG1108" s="15"/>
      <c r="HVH1108" s="15"/>
      <c r="HVK1108" s="15"/>
      <c r="HVL1108" s="15"/>
      <c r="HVO1108" s="15"/>
      <c r="HVP1108" s="15"/>
      <c r="HVS1108" s="15"/>
      <c r="HVT1108" s="15"/>
      <c r="HVW1108" s="15"/>
      <c r="HVX1108" s="15"/>
      <c r="HWA1108" s="15"/>
      <c r="HWB1108" s="15"/>
      <c r="HWE1108" s="15"/>
      <c r="HWF1108" s="15"/>
      <c r="HWI1108" s="15"/>
      <c r="HWJ1108" s="15"/>
      <c r="HWM1108" s="15"/>
      <c r="HWN1108" s="15"/>
      <c r="HWQ1108" s="15"/>
      <c r="HWR1108" s="15"/>
      <c r="HWU1108" s="15"/>
      <c r="HWV1108" s="15"/>
      <c r="HWY1108" s="15"/>
      <c r="HWZ1108" s="15"/>
      <c r="HXC1108" s="15"/>
      <c r="HXD1108" s="15"/>
      <c r="HXG1108" s="15"/>
      <c r="HXH1108" s="15"/>
      <c r="HXK1108" s="15"/>
      <c r="HXL1108" s="15"/>
      <c r="HXO1108" s="15"/>
      <c r="HXP1108" s="15"/>
      <c r="HXS1108" s="15"/>
      <c r="HXT1108" s="15"/>
      <c r="HXW1108" s="15"/>
      <c r="HXX1108" s="15"/>
      <c r="HYA1108" s="15"/>
      <c r="HYB1108" s="15"/>
      <c r="HYE1108" s="15"/>
      <c r="HYF1108" s="15"/>
      <c r="HYI1108" s="15"/>
      <c r="HYJ1108" s="15"/>
      <c r="HYM1108" s="15"/>
      <c r="HYN1108" s="15"/>
      <c r="HYQ1108" s="15"/>
      <c r="HYR1108" s="15"/>
      <c r="HYU1108" s="15"/>
      <c r="HYV1108" s="15"/>
      <c r="HYY1108" s="15"/>
      <c r="HYZ1108" s="15"/>
      <c r="HZC1108" s="15"/>
      <c r="HZD1108" s="15"/>
      <c r="HZG1108" s="15"/>
      <c r="HZH1108" s="15"/>
      <c r="HZK1108" s="15"/>
      <c r="HZL1108" s="15"/>
      <c r="HZO1108" s="15"/>
      <c r="HZP1108" s="15"/>
      <c r="HZS1108" s="15"/>
      <c r="HZT1108" s="15"/>
      <c r="HZW1108" s="15"/>
      <c r="HZX1108" s="15"/>
      <c r="IAA1108" s="15"/>
      <c r="IAB1108" s="15"/>
      <c r="IAE1108" s="15"/>
      <c r="IAF1108" s="15"/>
      <c r="IAI1108" s="15"/>
      <c r="IAJ1108" s="15"/>
      <c r="IAM1108" s="15"/>
      <c r="IAN1108" s="15"/>
      <c r="IAQ1108" s="15"/>
      <c r="IAR1108" s="15"/>
      <c r="IAU1108" s="15"/>
      <c r="IAV1108" s="15"/>
      <c r="IAY1108" s="15"/>
      <c r="IAZ1108" s="15"/>
      <c r="IBC1108" s="15"/>
      <c r="IBD1108" s="15"/>
      <c r="IBG1108" s="15"/>
      <c r="IBH1108" s="15"/>
      <c r="IBK1108" s="15"/>
      <c r="IBL1108" s="15"/>
      <c r="IBO1108" s="15"/>
      <c r="IBP1108" s="15"/>
      <c r="IBS1108" s="15"/>
      <c r="IBT1108" s="15"/>
      <c r="IBW1108" s="15"/>
      <c r="IBX1108" s="15"/>
      <c r="ICA1108" s="15"/>
      <c r="ICB1108" s="15"/>
      <c r="ICE1108" s="15"/>
      <c r="ICF1108" s="15"/>
      <c r="ICI1108" s="15"/>
      <c r="ICJ1108" s="15"/>
      <c r="ICM1108" s="15"/>
      <c r="ICN1108" s="15"/>
      <c r="ICQ1108" s="15"/>
      <c r="ICR1108" s="15"/>
      <c r="ICU1108" s="15"/>
      <c r="ICV1108" s="15"/>
      <c r="ICY1108" s="15"/>
      <c r="ICZ1108" s="15"/>
      <c r="IDC1108" s="15"/>
      <c r="IDD1108" s="15"/>
      <c r="IDG1108" s="15"/>
      <c r="IDH1108" s="15"/>
      <c r="IDK1108" s="15"/>
      <c r="IDL1108" s="15"/>
      <c r="IDO1108" s="15"/>
      <c r="IDP1108" s="15"/>
      <c r="IDS1108" s="15"/>
      <c r="IDT1108" s="15"/>
      <c r="IDW1108" s="15"/>
      <c r="IDX1108" s="15"/>
      <c r="IEA1108" s="15"/>
      <c r="IEB1108" s="15"/>
      <c r="IEE1108" s="15"/>
      <c r="IEF1108" s="15"/>
      <c r="IEI1108" s="15"/>
      <c r="IEJ1108" s="15"/>
      <c r="IEM1108" s="15"/>
      <c r="IEN1108" s="15"/>
      <c r="IEQ1108" s="15"/>
      <c r="IER1108" s="15"/>
      <c r="IEU1108" s="15"/>
      <c r="IEV1108" s="15"/>
      <c r="IEY1108" s="15"/>
      <c r="IEZ1108" s="15"/>
      <c r="IFC1108" s="15"/>
      <c r="IFD1108" s="15"/>
      <c r="IFG1108" s="15"/>
      <c r="IFH1108" s="15"/>
      <c r="IFK1108" s="15"/>
      <c r="IFL1108" s="15"/>
      <c r="IFO1108" s="15"/>
      <c r="IFP1108" s="15"/>
      <c r="IFS1108" s="15"/>
      <c r="IFT1108" s="15"/>
      <c r="IFW1108" s="15"/>
      <c r="IFX1108" s="15"/>
      <c r="IGA1108" s="15"/>
      <c r="IGB1108" s="15"/>
      <c r="IGE1108" s="15"/>
      <c r="IGF1108" s="15"/>
      <c r="IGI1108" s="15"/>
      <c r="IGJ1108" s="15"/>
      <c r="IGM1108" s="15"/>
      <c r="IGN1108" s="15"/>
      <c r="IGQ1108" s="15"/>
      <c r="IGR1108" s="15"/>
      <c r="IGU1108" s="15"/>
      <c r="IGV1108" s="15"/>
      <c r="IGY1108" s="15"/>
      <c r="IGZ1108" s="15"/>
      <c r="IHC1108" s="15"/>
      <c r="IHD1108" s="15"/>
      <c r="IHG1108" s="15"/>
      <c r="IHH1108" s="15"/>
      <c r="IHK1108" s="15"/>
      <c r="IHL1108" s="15"/>
      <c r="IHO1108" s="15"/>
      <c r="IHP1108" s="15"/>
      <c r="IHS1108" s="15"/>
      <c r="IHT1108" s="15"/>
      <c r="IHW1108" s="15"/>
      <c r="IHX1108" s="15"/>
      <c r="IIA1108" s="15"/>
      <c r="IIB1108" s="15"/>
      <c r="IIE1108" s="15"/>
      <c r="IIF1108" s="15"/>
      <c r="III1108" s="15"/>
      <c r="IIJ1108" s="15"/>
      <c r="IIM1108" s="15"/>
      <c r="IIN1108" s="15"/>
      <c r="IIQ1108" s="15"/>
      <c r="IIR1108" s="15"/>
      <c r="IIU1108" s="15"/>
      <c r="IIV1108" s="15"/>
      <c r="IIY1108" s="15"/>
      <c r="IIZ1108" s="15"/>
      <c r="IJC1108" s="15"/>
      <c r="IJD1108" s="15"/>
      <c r="IJG1108" s="15"/>
      <c r="IJH1108" s="15"/>
      <c r="IJK1108" s="15"/>
      <c r="IJL1108" s="15"/>
      <c r="IJO1108" s="15"/>
      <c r="IJP1108" s="15"/>
      <c r="IJS1108" s="15"/>
      <c r="IJT1108" s="15"/>
      <c r="IJW1108" s="15"/>
      <c r="IJX1108" s="15"/>
      <c r="IKA1108" s="15"/>
      <c r="IKB1108" s="15"/>
      <c r="IKE1108" s="15"/>
      <c r="IKF1108" s="15"/>
      <c r="IKI1108" s="15"/>
      <c r="IKJ1108" s="15"/>
      <c r="IKM1108" s="15"/>
      <c r="IKN1108" s="15"/>
      <c r="IKQ1108" s="15"/>
      <c r="IKR1108" s="15"/>
      <c r="IKU1108" s="15"/>
      <c r="IKV1108" s="15"/>
      <c r="IKY1108" s="15"/>
      <c r="IKZ1108" s="15"/>
      <c r="ILC1108" s="15"/>
      <c r="ILD1108" s="15"/>
      <c r="ILG1108" s="15"/>
      <c r="ILH1108" s="15"/>
      <c r="ILK1108" s="15"/>
      <c r="ILL1108" s="15"/>
      <c r="ILO1108" s="15"/>
      <c r="ILP1108" s="15"/>
      <c r="ILS1108" s="15"/>
      <c r="ILT1108" s="15"/>
      <c r="ILW1108" s="15"/>
      <c r="ILX1108" s="15"/>
      <c r="IMA1108" s="15"/>
      <c r="IMB1108" s="15"/>
      <c r="IME1108" s="15"/>
      <c r="IMF1108" s="15"/>
      <c r="IMI1108" s="15"/>
      <c r="IMJ1108" s="15"/>
      <c r="IMM1108" s="15"/>
      <c r="IMN1108" s="15"/>
      <c r="IMQ1108" s="15"/>
      <c r="IMR1108" s="15"/>
      <c r="IMU1108" s="15"/>
      <c r="IMV1108" s="15"/>
      <c r="IMY1108" s="15"/>
      <c r="IMZ1108" s="15"/>
      <c r="INC1108" s="15"/>
      <c r="IND1108" s="15"/>
      <c r="ING1108" s="15"/>
      <c r="INH1108" s="15"/>
      <c r="INK1108" s="15"/>
      <c r="INL1108" s="15"/>
      <c r="INO1108" s="15"/>
      <c r="INP1108" s="15"/>
      <c r="INS1108" s="15"/>
      <c r="INT1108" s="15"/>
      <c r="INW1108" s="15"/>
      <c r="INX1108" s="15"/>
      <c r="IOA1108" s="15"/>
      <c r="IOB1108" s="15"/>
      <c r="IOE1108" s="15"/>
      <c r="IOF1108" s="15"/>
      <c r="IOI1108" s="15"/>
      <c r="IOJ1108" s="15"/>
      <c r="IOM1108" s="15"/>
      <c r="ION1108" s="15"/>
      <c r="IOQ1108" s="15"/>
      <c r="IOR1108" s="15"/>
      <c r="IOU1108" s="15"/>
      <c r="IOV1108" s="15"/>
      <c r="IOY1108" s="15"/>
      <c r="IOZ1108" s="15"/>
      <c r="IPC1108" s="15"/>
      <c r="IPD1108" s="15"/>
      <c r="IPG1108" s="15"/>
      <c r="IPH1108" s="15"/>
      <c r="IPK1108" s="15"/>
      <c r="IPL1108" s="15"/>
      <c r="IPO1108" s="15"/>
      <c r="IPP1108" s="15"/>
      <c r="IPS1108" s="15"/>
      <c r="IPT1108" s="15"/>
      <c r="IPW1108" s="15"/>
      <c r="IPX1108" s="15"/>
      <c r="IQA1108" s="15"/>
      <c r="IQB1108" s="15"/>
      <c r="IQE1108" s="15"/>
      <c r="IQF1108" s="15"/>
      <c r="IQI1108" s="15"/>
      <c r="IQJ1108" s="15"/>
      <c r="IQM1108" s="15"/>
      <c r="IQN1108" s="15"/>
      <c r="IQQ1108" s="15"/>
      <c r="IQR1108" s="15"/>
      <c r="IQU1108" s="15"/>
      <c r="IQV1108" s="15"/>
      <c r="IQY1108" s="15"/>
      <c r="IQZ1108" s="15"/>
      <c r="IRC1108" s="15"/>
      <c r="IRD1108" s="15"/>
      <c r="IRG1108" s="15"/>
      <c r="IRH1108" s="15"/>
      <c r="IRK1108" s="15"/>
      <c r="IRL1108" s="15"/>
      <c r="IRO1108" s="15"/>
      <c r="IRP1108" s="15"/>
      <c r="IRS1108" s="15"/>
      <c r="IRT1108" s="15"/>
      <c r="IRW1108" s="15"/>
      <c r="IRX1108" s="15"/>
      <c r="ISA1108" s="15"/>
      <c r="ISB1108" s="15"/>
      <c r="ISE1108" s="15"/>
      <c r="ISF1108" s="15"/>
      <c r="ISI1108" s="15"/>
      <c r="ISJ1108" s="15"/>
      <c r="ISM1108" s="15"/>
      <c r="ISN1108" s="15"/>
      <c r="ISQ1108" s="15"/>
      <c r="ISR1108" s="15"/>
      <c r="ISU1108" s="15"/>
      <c r="ISV1108" s="15"/>
      <c r="ISY1108" s="15"/>
      <c r="ISZ1108" s="15"/>
      <c r="ITC1108" s="15"/>
      <c r="ITD1108" s="15"/>
      <c r="ITG1108" s="15"/>
      <c r="ITH1108" s="15"/>
      <c r="ITK1108" s="15"/>
      <c r="ITL1108" s="15"/>
      <c r="ITO1108" s="15"/>
      <c r="ITP1108" s="15"/>
      <c r="ITS1108" s="15"/>
      <c r="ITT1108" s="15"/>
      <c r="ITW1108" s="15"/>
      <c r="ITX1108" s="15"/>
      <c r="IUA1108" s="15"/>
      <c r="IUB1108" s="15"/>
      <c r="IUE1108" s="15"/>
      <c r="IUF1108" s="15"/>
      <c r="IUI1108" s="15"/>
      <c r="IUJ1108" s="15"/>
      <c r="IUM1108" s="15"/>
      <c r="IUN1108" s="15"/>
      <c r="IUQ1108" s="15"/>
      <c r="IUR1108" s="15"/>
      <c r="IUU1108" s="15"/>
      <c r="IUV1108" s="15"/>
      <c r="IUY1108" s="15"/>
      <c r="IUZ1108" s="15"/>
      <c r="IVC1108" s="15"/>
      <c r="IVD1108" s="15"/>
      <c r="IVG1108" s="15"/>
      <c r="IVH1108" s="15"/>
      <c r="IVK1108" s="15"/>
      <c r="IVL1108" s="15"/>
      <c r="IVO1108" s="15"/>
      <c r="IVP1108" s="15"/>
      <c r="IVS1108" s="15"/>
      <c r="IVT1108" s="15"/>
      <c r="IVW1108" s="15"/>
      <c r="IVX1108" s="15"/>
      <c r="IWA1108" s="15"/>
      <c r="IWB1108" s="15"/>
      <c r="IWE1108" s="15"/>
      <c r="IWF1108" s="15"/>
      <c r="IWI1108" s="15"/>
      <c r="IWJ1108" s="15"/>
      <c r="IWM1108" s="15"/>
      <c r="IWN1108" s="15"/>
      <c r="IWQ1108" s="15"/>
      <c r="IWR1108" s="15"/>
      <c r="IWU1108" s="15"/>
      <c r="IWV1108" s="15"/>
      <c r="IWY1108" s="15"/>
      <c r="IWZ1108" s="15"/>
      <c r="IXC1108" s="15"/>
      <c r="IXD1108" s="15"/>
      <c r="IXG1108" s="15"/>
      <c r="IXH1108" s="15"/>
      <c r="IXK1108" s="15"/>
      <c r="IXL1108" s="15"/>
      <c r="IXO1108" s="15"/>
      <c r="IXP1108" s="15"/>
      <c r="IXS1108" s="15"/>
      <c r="IXT1108" s="15"/>
      <c r="IXW1108" s="15"/>
      <c r="IXX1108" s="15"/>
      <c r="IYA1108" s="15"/>
      <c r="IYB1108" s="15"/>
      <c r="IYE1108" s="15"/>
      <c r="IYF1108" s="15"/>
      <c r="IYI1108" s="15"/>
      <c r="IYJ1108" s="15"/>
      <c r="IYM1108" s="15"/>
      <c r="IYN1108" s="15"/>
      <c r="IYQ1108" s="15"/>
      <c r="IYR1108" s="15"/>
      <c r="IYU1108" s="15"/>
      <c r="IYV1108" s="15"/>
      <c r="IYY1108" s="15"/>
      <c r="IYZ1108" s="15"/>
      <c r="IZC1108" s="15"/>
      <c r="IZD1108" s="15"/>
      <c r="IZG1108" s="15"/>
      <c r="IZH1108" s="15"/>
      <c r="IZK1108" s="15"/>
      <c r="IZL1108" s="15"/>
      <c r="IZO1108" s="15"/>
      <c r="IZP1108" s="15"/>
      <c r="IZS1108" s="15"/>
      <c r="IZT1108" s="15"/>
      <c r="IZW1108" s="15"/>
      <c r="IZX1108" s="15"/>
      <c r="JAA1108" s="15"/>
      <c r="JAB1108" s="15"/>
      <c r="JAE1108" s="15"/>
      <c r="JAF1108" s="15"/>
      <c r="JAI1108" s="15"/>
      <c r="JAJ1108" s="15"/>
      <c r="JAM1108" s="15"/>
      <c r="JAN1108" s="15"/>
      <c r="JAQ1108" s="15"/>
      <c r="JAR1108" s="15"/>
      <c r="JAU1108" s="15"/>
      <c r="JAV1108" s="15"/>
      <c r="JAY1108" s="15"/>
      <c r="JAZ1108" s="15"/>
      <c r="JBC1108" s="15"/>
      <c r="JBD1108" s="15"/>
      <c r="JBG1108" s="15"/>
      <c r="JBH1108" s="15"/>
      <c r="JBK1108" s="15"/>
      <c r="JBL1108" s="15"/>
      <c r="JBO1108" s="15"/>
      <c r="JBP1108" s="15"/>
      <c r="JBS1108" s="15"/>
      <c r="JBT1108" s="15"/>
      <c r="JBW1108" s="15"/>
      <c r="JBX1108" s="15"/>
      <c r="JCA1108" s="15"/>
      <c r="JCB1108" s="15"/>
      <c r="JCE1108" s="15"/>
      <c r="JCF1108" s="15"/>
      <c r="JCI1108" s="15"/>
      <c r="JCJ1108" s="15"/>
      <c r="JCM1108" s="15"/>
      <c r="JCN1108" s="15"/>
      <c r="JCQ1108" s="15"/>
      <c r="JCR1108" s="15"/>
      <c r="JCU1108" s="15"/>
      <c r="JCV1108" s="15"/>
      <c r="JCY1108" s="15"/>
      <c r="JCZ1108" s="15"/>
      <c r="JDC1108" s="15"/>
      <c r="JDD1108" s="15"/>
      <c r="JDG1108" s="15"/>
      <c r="JDH1108" s="15"/>
      <c r="JDK1108" s="15"/>
      <c r="JDL1108" s="15"/>
      <c r="JDO1108" s="15"/>
      <c r="JDP1108" s="15"/>
      <c r="JDS1108" s="15"/>
      <c r="JDT1108" s="15"/>
      <c r="JDW1108" s="15"/>
      <c r="JDX1108" s="15"/>
      <c r="JEA1108" s="15"/>
      <c r="JEB1108" s="15"/>
      <c r="JEE1108" s="15"/>
      <c r="JEF1108" s="15"/>
      <c r="JEI1108" s="15"/>
      <c r="JEJ1108" s="15"/>
      <c r="JEM1108" s="15"/>
      <c r="JEN1108" s="15"/>
      <c r="JEQ1108" s="15"/>
      <c r="JER1108" s="15"/>
      <c r="JEU1108" s="15"/>
      <c r="JEV1108" s="15"/>
      <c r="JEY1108" s="15"/>
      <c r="JEZ1108" s="15"/>
      <c r="JFC1108" s="15"/>
      <c r="JFD1108" s="15"/>
      <c r="JFG1108" s="15"/>
      <c r="JFH1108" s="15"/>
      <c r="JFK1108" s="15"/>
      <c r="JFL1108" s="15"/>
      <c r="JFO1108" s="15"/>
      <c r="JFP1108" s="15"/>
      <c r="JFS1108" s="15"/>
      <c r="JFT1108" s="15"/>
      <c r="JFW1108" s="15"/>
      <c r="JFX1108" s="15"/>
      <c r="JGA1108" s="15"/>
      <c r="JGB1108" s="15"/>
      <c r="JGE1108" s="15"/>
      <c r="JGF1108" s="15"/>
      <c r="JGI1108" s="15"/>
      <c r="JGJ1108" s="15"/>
      <c r="JGM1108" s="15"/>
      <c r="JGN1108" s="15"/>
      <c r="JGQ1108" s="15"/>
      <c r="JGR1108" s="15"/>
      <c r="JGU1108" s="15"/>
      <c r="JGV1108" s="15"/>
      <c r="JGY1108" s="15"/>
      <c r="JGZ1108" s="15"/>
      <c r="JHC1108" s="15"/>
      <c r="JHD1108" s="15"/>
      <c r="JHG1108" s="15"/>
      <c r="JHH1108" s="15"/>
      <c r="JHK1108" s="15"/>
      <c r="JHL1108" s="15"/>
      <c r="JHO1108" s="15"/>
      <c r="JHP1108" s="15"/>
      <c r="JHS1108" s="15"/>
      <c r="JHT1108" s="15"/>
      <c r="JHW1108" s="15"/>
      <c r="JHX1108" s="15"/>
      <c r="JIA1108" s="15"/>
      <c r="JIB1108" s="15"/>
      <c r="JIE1108" s="15"/>
      <c r="JIF1108" s="15"/>
      <c r="JII1108" s="15"/>
      <c r="JIJ1108" s="15"/>
      <c r="JIM1108" s="15"/>
      <c r="JIN1108" s="15"/>
      <c r="JIQ1108" s="15"/>
      <c r="JIR1108" s="15"/>
      <c r="JIU1108" s="15"/>
      <c r="JIV1108" s="15"/>
      <c r="JIY1108" s="15"/>
      <c r="JIZ1108" s="15"/>
      <c r="JJC1108" s="15"/>
      <c r="JJD1108" s="15"/>
      <c r="JJG1108" s="15"/>
      <c r="JJH1108" s="15"/>
      <c r="JJK1108" s="15"/>
      <c r="JJL1108" s="15"/>
      <c r="JJO1108" s="15"/>
      <c r="JJP1108" s="15"/>
      <c r="JJS1108" s="15"/>
      <c r="JJT1108" s="15"/>
      <c r="JJW1108" s="15"/>
      <c r="JJX1108" s="15"/>
      <c r="JKA1108" s="15"/>
      <c r="JKB1108" s="15"/>
      <c r="JKE1108" s="15"/>
      <c r="JKF1108" s="15"/>
      <c r="JKI1108" s="15"/>
      <c r="JKJ1108" s="15"/>
      <c r="JKM1108" s="15"/>
      <c r="JKN1108" s="15"/>
      <c r="JKQ1108" s="15"/>
      <c r="JKR1108" s="15"/>
      <c r="JKU1108" s="15"/>
      <c r="JKV1108" s="15"/>
      <c r="JKY1108" s="15"/>
      <c r="JKZ1108" s="15"/>
      <c r="JLC1108" s="15"/>
      <c r="JLD1108" s="15"/>
      <c r="JLG1108" s="15"/>
      <c r="JLH1108" s="15"/>
      <c r="JLK1108" s="15"/>
      <c r="JLL1108" s="15"/>
      <c r="JLO1108" s="15"/>
      <c r="JLP1108" s="15"/>
      <c r="JLS1108" s="15"/>
      <c r="JLT1108" s="15"/>
      <c r="JLW1108" s="15"/>
      <c r="JLX1108" s="15"/>
      <c r="JMA1108" s="15"/>
      <c r="JMB1108" s="15"/>
      <c r="JME1108" s="15"/>
      <c r="JMF1108" s="15"/>
      <c r="JMI1108" s="15"/>
      <c r="JMJ1108" s="15"/>
      <c r="JMM1108" s="15"/>
      <c r="JMN1108" s="15"/>
      <c r="JMQ1108" s="15"/>
      <c r="JMR1108" s="15"/>
      <c r="JMU1108" s="15"/>
      <c r="JMV1108" s="15"/>
      <c r="JMY1108" s="15"/>
      <c r="JMZ1108" s="15"/>
      <c r="JNC1108" s="15"/>
      <c r="JND1108" s="15"/>
      <c r="JNG1108" s="15"/>
      <c r="JNH1108" s="15"/>
      <c r="JNK1108" s="15"/>
      <c r="JNL1108" s="15"/>
      <c r="JNO1108" s="15"/>
      <c r="JNP1108" s="15"/>
      <c r="JNS1108" s="15"/>
      <c r="JNT1108" s="15"/>
      <c r="JNW1108" s="15"/>
      <c r="JNX1108" s="15"/>
      <c r="JOA1108" s="15"/>
      <c r="JOB1108" s="15"/>
      <c r="JOE1108" s="15"/>
      <c r="JOF1108" s="15"/>
      <c r="JOI1108" s="15"/>
      <c r="JOJ1108" s="15"/>
      <c r="JOM1108" s="15"/>
      <c r="JON1108" s="15"/>
      <c r="JOQ1108" s="15"/>
      <c r="JOR1108" s="15"/>
      <c r="JOU1108" s="15"/>
      <c r="JOV1108" s="15"/>
      <c r="JOY1108" s="15"/>
      <c r="JOZ1108" s="15"/>
      <c r="JPC1108" s="15"/>
      <c r="JPD1108" s="15"/>
      <c r="JPG1108" s="15"/>
      <c r="JPH1108" s="15"/>
      <c r="JPK1108" s="15"/>
      <c r="JPL1108" s="15"/>
      <c r="JPO1108" s="15"/>
      <c r="JPP1108" s="15"/>
      <c r="JPS1108" s="15"/>
      <c r="JPT1108" s="15"/>
      <c r="JPW1108" s="15"/>
      <c r="JPX1108" s="15"/>
      <c r="JQA1108" s="15"/>
      <c r="JQB1108" s="15"/>
      <c r="JQE1108" s="15"/>
      <c r="JQF1108" s="15"/>
      <c r="JQI1108" s="15"/>
      <c r="JQJ1108" s="15"/>
      <c r="JQM1108" s="15"/>
      <c r="JQN1108" s="15"/>
      <c r="JQQ1108" s="15"/>
      <c r="JQR1108" s="15"/>
      <c r="JQU1108" s="15"/>
      <c r="JQV1108" s="15"/>
      <c r="JQY1108" s="15"/>
      <c r="JQZ1108" s="15"/>
      <c r="JRC1108" s="15"/>
      <c r="JRD1108" s="15"/>
      <c r="JRG1108" s="15"/>
      <c r="JRH1108" s="15"/>
      <c r="JRK1108" s="15"/>
      <c r="JRL1108" s="15"/>
      <c r="JRO1108" s="15"/>
      <c r="JRP1108" s="15"/>
      <c r="JRS1108" s="15"/>
      <c r="JRT1108" s="15"/>
      <c r="JRW1108" s="15"/>
      <c r="JRX1108" s="15"/>
      <c r="JSA1108" s="15"/>
      <c r="JSB1108" s="15"/>
      <c r="JSE1108" s="15"/>
      <c r="JSF1108" s="15"/>
      <c r="JSI1108" s="15"/>
      <c r="JSJ1108" s="15"/>
      <c r="JSM1108" s="15"/>
      <c r="JSN1108" s="15"/>
      <c r="JSQ1108" s="15"/>
      <c r="JSR1108" s="15"/>
      <c r="JSU1108" s="15"/>
      <c r="JSV1108" s="15"/>
      <c r="JSY1108" s="15"/>
      <c r="JSZ1108" s="15"/>
      <c r="JTC1108" s="15"/>
      <c r="JTD1108" s="15"/>
      <c r="JTG1108" s="15"/>
      <c r="JTH1108" s="15"/>
      <c r="JTK1108" s="15"/>
      <c r="JTL1108" s="15"/>
      <c r="JTO1108" s="15"/>
      <c r="JTP1108" s="15"/>
      <c r="JTS1108" s="15"/>
      <c r="JTT1108" s="15"/>
      <c r="JTW1108" s="15"/>
      <c r="JTX1108" s="15"/>
      <c r="JUA1108" s="15"/>
      <c r="JUB1108" s="15"/>
      <c r="JUE1108" s="15"/>
      <c r="JUF1108" s="15"/>
      <c r="JUI1108" s="15"/>
      <c r="JUJ1108" s="15"/>
      <c r="JUM1108" s="15"/>
      <c r="JUN1108" s="15"/>
      <c r="JUQ1108" s="15"/>
      <c r="JUR1108" s="15"/>
      <c r="JUU1108" s="15"/>
      <c r="JUV1108" s="15"/>
      <c r="JUY1108" s="15"/>
      <c r="JUZ1108" s="15"/>
      <c r="JVC1108" s="15"/>
      <c r="JVD1108" s="15"/>
      <c r="JVG1108" s="15"/>
      <c r="JVH1108" s="15"/>
      <c r="JVK1108" s="15"/>
      <c r="JVL1108" s="15"/>
      <c r="JVO1108" s="15"/>
      <c r="JVP1108" s="15"/>
      <c r="JVS1108" s="15"/>
      <c r="JVT1108" s="15"/>
      <c r="JVW1108" s="15"/>
      <c r="JVX1108" s="15"/>
      <c r="JWA1108" s="15"/>
      <c r="JWB1108" s="15"/>
      <c r="JWE1108" s="15"/>
      <c r="JWF1108" s="15"/>
      <c r="JWI1108" s="15"/>
      <c r="JWJ1108" s="15"/>
      <c r="JWM1108" s="15"/>
      <c r="JWN1108" s="15"/>
      <c r="JWQ1108" s="15"/>
      <c r="JWR1108" s="15"/>
      <c r="JWU1108" s="15"/>
      <c r="JWV1108" s="15"/>
      <c r="JWY1108" s="15"/>
      <c r="JWZ1108" s="15"/>
      <c r="JXC1108" s="15"/>
      <c r="JXD1108" s="15"/>
      <c r="JXG1108" s="15"/>
      <c r="JXH1108" s="15"/>
      <c r="JXK1108" s="15"/>
      <c r="JXL1108" s="15"/>
      <c r="JXO1108" s="15"/>
      <c r="JXP1108" s="15"/>
      <c r="JXS1108" s="15"/>
      <c r="JXT1108" s="15"/>
      <c r="JXW1108" s="15"/>
      <c r="JXX1108" s="15"/>
      <c r="JYA1108" s="15"/>
      <c r="JYB1108" s="15"/>
      <c r="JYE1108" s="15"/>
      <c r="JYF1108" s="15"/>
      <c r="JYI1108" s="15"/>
      <c r="JYJ1108" s="15"/>
      <c r="JYM1108" s="15"/>
      <c r="JYN1108" s="15"/>
      <c r="JYQ1108" s="15"/>
      <c r="JYR1108" s="15"/>
      <c r="JYU1108" s="15"/>
      <c r="JYV1108" s="15"/>
      <c r="JYY1108" s="15"/>
      <c r="JYZ1108" s="15"/>
      <c r="JZC1108" s="15"/>
      <c r="JZD1108" s="15"/>
      <c r="JZG1108" s="15"/>
      <c r="JZH1108" s="15"/>
      <c r="JZK1108" s="15"/>
      <c r="JZL1108" s="15"/>
      <c r="JZO1108" s="15"/>
      <c r="JZP1108" s="15"/>
      <c r="JZS1108" s="15"/>
      <c r="JZT1108" s="15"/>
      <c r="JZW1108" s="15"/>
      <c r="JZX1108" s="15"/>
      <c r="KAA1108" s="15"/>
      <c r="KAB1108" s="15"/>
      <c r="KAE1108" s="15"/>
      <c r="KAF1108" s="15"/>
      <c r="KAI1108" s="15"/>
      <c r="KAJ1108" s="15"/>
      <c r="KAM1108" s="15"/>
      <c r="KAN1108" s="15"/>
      <c r="KAQ1108" s="15"/>
      <c r="KAR1108" s="15"/>
      <c r="KAU1108" s="15"/>
      <c r="KAV1108" s="15"/>
      <c r="KAY1108" s="15"/>
      <c r="KAZ1108" s="15"/>
      <c r="KBC1108" s="15"/>
      <c r="KBD1108" s="15"/>
      <c r="KBG1108" s="15"/>
      <c r="KBH1108" s="15"/>
      <c r="KBK1108" s="15"/>
      <c r="KBL1108" s="15"/>
      <c r="KBO1108" s="15"/>
      <c r="KBP1108" s="15"/>
      <c r="KBS1108" s="15"/>
      <c r="KBT1108" s="15"/>
      <c r="KBW1108" s="15"/>
      <c r="KBX1108" s="15"/>
      <c r="KCA1108" s="15"/>
      <c r="KCB1108" s="15"/>
      <c r="KCE1108" s="15"/>
      <c r="KCF1108" s="15"/>
      <c r="KCI1108" s="15"/>
      <c r="KCJ1108" s="15"/>
      <c r="KCM1108" s="15"/>
      <c r="KCN1108" s="15"/>
      <c r="KCQ1108" s="15"/>
      <c r="KCR1108" s="15"/>
      <c r="KCU1108" s="15"/>
      <c r="KCV1108" s="15"/>
      <c r="KCY1108" s="15"/>
      <c r="KCZ1108" s="15"/>
      <c r="KDC1108" s="15"/>
      <c r="KDD1108" s="15"/>
      <c r="KDG1108" s="15"/>
      <c r="KDH1108" s="15"/>
      <c r="KDK1108" s="15"/>
      <c r="KDL1108" s="15"/>
      <c r="KDO1108" s="15"/>
      <c r="KDP1108" s="15"/>
      <c r="KDS1108" s="15"/>
      <c r="KDT1108" s="15"/>
      <c r="KDW1108" s="15"/>
      <c r="KDX1108" s="15"/>
      <c r="KEA1108" s="15"/>
      <c r="KEB1108" s="15"/>
      <c r="KEE1108" s="15"/>
      <c r="KEF1108" s="15"/>
      <c r="KEI1108" s="15"/>
      <c r="KEJ1108" s="15"/>
      <c r="KEM1108" s="15"/>
      <c r="KEN1108" s="15"/>
      <c r="KEQ1108" s="15"/>
      <c r="KER1108" s="15"/>
      <c r="KEU1108" s="15"/>
      <c r="KEV1108" s="15"/>
      <c r="KEY1108" s="15"/>
      <c r="KEZ1108" s="15"/>
      <c r="KFC1108" s="15"/>
      <c r="KFD1108" s="15"/>
      <c r="KFG1108" s="15"/>
      <c r="KFH1108" s="15"/>
      <c r="KFK1108" s="15"/>
      <c r="KFL1108" s="15"/>
      <c r="KFO1108" s="15"/>
      <c r="KFP1108" s="15"/>
      <c r="KFS1108" s="15"/>
      <c r="KFT1108" s="15"/>
      <c r="KFW1108" s="15"/>
      <c r="KFX1108" s="15"/>
      <c r="KGA1108" s="15"/>
      <c r="KGB1108" s="15"/>
      <c r="KGE1108" s="15"/>
      <c r="KGF1108" s="15"/>
      <c r="KGI1108" s="15"/>
      <c r="KGJ1108" s="15"/>
      <c r="KGM1108" s="15"/>
      <c r="KGN1108" s="15"/>
      <c r="KGQ1108" s="15"/>
      <c r="KGR1108" s="15"/>
      <c r="KGU1108" s="15"/>
      <c r="KGV1108" s="15"/>
      <c r="KGY1108" s="15"/>
      <c r="KGZ1108" s="15"/>
      <c r="KHC1108" s="15"/>
      <c r="KHD1108" s="15"/>
      <c r="KHG1108" s="15"/>
      <c r="KHH1108" s="15"/>
      <c r="KHK1108" s="15"/>
      <c r="KHL1108" s="15"/>
      <c r="KHO1108" s="15"/>
      <c r="KHP1108" s="15"/>
      <c r="KHS1108" s="15"/>
      <c r="KHT1108" s="15"/>
      <c r="KHW1108" s="15"/>
      <c r="KHX1108" s="15"/>
      <c r="KIA1108" s="15"/>
      <c r="KIB1108" s="15"/>
      <c r="KIE1108" s="15"/>
      <c r="KIF1108" s="15"/>
      <c r="KII1108" s="15"/>
      <c r="KIJ1108" s="15"/>
      <c r="KIM1108" s="15"/>
      <c r="KIN1108" s="15"/>
      <c r="KIQ1108" s="15"/>
      <c r="KIR1108" s="15"/>
      <c r="KIU1108" s="15"/>
      <c r="KIV1108" s="15"/>
      <c r="KIY1108" s="15"/>
      <c r="KIZ1108" s="15"/>
      <c r="KJC1108" s="15"/>
      <c r="KJD1108" s="15"/>
      <c r="KJG1108" s="15"/>
      <c r="KJH1108" s="15"/>
      <c r="KJK1108" s="15"/>
      <c r="KJL1108" s="15"/>
      <c r="KJO1108" s="15"/>
      <c r="KJP1108" s="15"/>
      <c r="KJS1108" s="15"/>
      <c r="KJT1108" s="15"/>
      <c r="KJW1108" s="15"/>
      <c r="KJX1108" s="15"/>
      <c r="KKA1108" s="15"/>
      <c r="KKB1108" s="15"/>
      <c r="KKE1108" s="15"/>
      <c r="KKF1108" s="15"/>
      <c r="KKI1108" s="15"/>
      <c r="KKJ1108" s="15"/>
      <c r="KKM1108" s="15"/>
      <c r="KKN1108" s="15"/>
      <c r="KKQ1108" s="15"/>
      <c r="KKR1108" s="15"/>
      <c r="KKU1108" s="15"/>
      <c r="KKV1108" s="15"/>
      <c r="KKY1108" s="15"/>
      <c r="KKZ1108" s="15"/>
      <c r="KLC1108" s="15"/>
      <c r="KLD1108" s="15"/>
      <c r="KLG1108" s="15"/>
      <c r="KLH1108" s="15"/>
      <c r="KLK1108" s="15"/>
      <c r="KLL1108" s="15"/>
      <c r="KLO1108" s="15"/>
      <c r="KLP1108" s="15"/>
      <c r="KLS1108" s="15"/>
      <c r="KLT1108" s="15"/>
      <c r="KLW1108" s="15"/>
      <c r="KLX1108" s="15"/>
      <c r="KMA1108" s="15"/>
      <c r="KMB1108" s="15"/>
      <c r="KME1108" s="15"/>
      <c r="KMF1108" s="15"/>
      <c r="KMI1108" s="15"/>
      <c r="KMJ1108" s="15"/>
      <c r="KMM1108" s="15"/>
      <c r="KMN1108" s="15"/>
      <c r="KMQ1108" s="15"/>
      <c r="KMR1108" s="15"/>
      <c r="KMU1108" s="15"/>
      <c r="KMV1108" s="15"/>
      <c r="KMY1108" s="15"/>
      <c r="KMZ1108" s="15"/>
      <c r="KNC1108" s="15"/>
      <c r="KND1108" s="15"/>
      <c r="KNG1108" s="15"/>
      <c r="KNH1108" s="15"/>
      <c r="KNK1108" s="15"/>
      <c r="KNL1108" s="15"/>
      <c r="KNO1108" s="15"/>
      <c r="KNP1108" s="15"/>
      <c r="KNS1108" s="15"/>
      <c r="KNT1108" s="15"/>
      <c r="KNW1108" s="15"/>
      <c r="KNX1108" s="15"/>
      <c r="KOA1108" s="15"/>
      <c r="KOB1108" s="15"/>
      <c r="KOE1108" s="15"/>
      <c r="KOF1108" s="15"/>
      <c r="KOI1108" s="15"/>
      <c r="KOJ1108" s="15"/>
      <c r="KOM1108" s="15"/>
      <c r="KON1108" s="15"/>
      <c r="KOQ1108" s="15"/>
      <c r="KOR1108" s="15"/>
      <c r="KOU1108" s="15"/>
      <c r="KOV1108" s="15"/>
      <c r="KOY1108" s="15"/>
      <c r="KOZ1108" s="15"/>
      <c r="KPC1108" s="15"/>
      <c r="KPD1108" s="15"/>
      <c r="KPG1108" s="15"/>
      <c r="KPH1108" s="15"/>
      <c r="KPK1108" s="15"/>
      <c r="KPL1108" s="15"/>
      <c r="KPO1108" s="15"/>
      <c r="KPP1108" s="15"/>
      <c r="KPS1108" s="15"/>
      <c r="KPT1108" s="15"/>
      <c r="KPW1108" s="15"/>
      <c r="KPX1108" s="15"/>
      <c r="KQA1108" s="15"/>
      <c r="KQB1108" s="15"/>
      <c r="KQE1108" s="15"/>
      <c r="KQF1108" s="15"/>
      <c r="KQI1108" s="15"/>
      <c r="KQJ1108" s="15"/>
      <c r="KQM1108" s="15"/>
      <c r="KQN1108" s="15"/>
      <c r="KQQ1108" s="15"/>
      <c r="KQR1108" s="15"/>
      <c r="KQU1108" s="15"/>
      <c r="KQV1108" s="15"/>
      <c r="KQY1108" s="15"/>
      <c r="KQZ1108" s="15"/>
      <c r="KRC1108" s="15"/>
      <c r="KRD1108" s="15"/>
      <c r="KRG1108" s="15"/>
      <c r="KRH1108" s="15"/>
      <c r="KRK1108" s="15"/>
      <c r="KRL1108" s="15"/>
      <c r="KRO1108" s="15"/>
      <c r="KRP1108" s="15"/>
      <c r="KRS1108" s="15"/>
      <c r="KRT1108" s="15"/>
      <c r="KRW1108" s="15"/>
      <c r="KRX1108" s="15"/>
      <c r="KSA1108" s="15"/>
      <c r="KSB1108" s="15"/>
      <c r="KSE1108" s="15"/>
      <c r="KSF1108" s="15"/>
      <c r="KSI1108" s="15"/>
      <c r="KSJ1108" s="15"/>
      <c r="KSM1108" s="15"/>
      <c r="KSN1108" s="15"/>
      <c r="KSQ1108" s="15"/>
      <c r="KSR1108" s="15"/>
      <c r="KSU1108" s="15"/>
      <c r="KSV1108" s="15"/>
      <c r="KSY1108" s="15"/>
      <c r="KSZ1108" s="15"/>
      <c r="KTC1108" s="15"/>
      <c r="KTD1108" s="15"/>
      <c r="KTG1108" s="15"/>
      <c r="KTH1108" s="15"/>
      <c r="KTK1108" s="15"/>
      <c r="KTL1108" s="15"/>
      <c r="KTO1108" s="15"/>
      <c r="KTP1108" s="15"/>
      <c r="KTS1108" s="15"/>
      <c r="KTT1108" s="15"/>
      <c r="KTW1108" s="15"/>
      <c r="KTX1108" s="15"/>
      <c r="KUA1108" s="15"/>
      <c r="KUB1108" s="15"/>
      <c r="KUE1108" s="15"/>
      <c r="KUF1108" s="15"/>
      <c r="KUI1108" s="15"/>
      <c r="KUJ1108" s="15"/>
      <c r="KUM1108" s="15"/>
      <c r="KUN1108" s="15"/>
      <c r="KUQ1108" s="15"/>
      <c r="KUR1108" s="15"/>
      <c r="KUU1108" s="15"/>
      <c r="KUV1108" s="15"/>
      <c r="KUY1108" s="15"/>
      <c r="KUZ1108" s="15"/>
      <c r="KVC1108" s="15"/>
      <c r="KVD1108" s="15"/>
      <c r="KVG1108" s="15"/>
      <c r="KVH1108" s="15"/>
      <c r="KVK1108" s="15"/>
      <c r="KVL1108" s="15"/>
      <c r="KVO1108" s="15"/>
      <c r="KVP1108" s="15"/>
      <c r="KVS1108" s="15"/>
      <c r="KVT1108" s="15"/>
      <c r="KVW1108" s="15"/>
      <c r="KVX1108" s="15"/>
      <c r="KWA1108" s="15"/>
      <c r="KWB1108" s="15"/>
      <c r="KWE1108" s="15"/>
      <c r="KWF1108" s="15"/>
      <c r="KWI1108" s="15"/>
      <c r="KWJ1108" s="15"/>
      <c r="KWM1108" s="15"/>
      <c r="KWN1108" s="15"/>
      <c r="KWQ1108" s="15"/>
      <c r="KWR1108" s="15"/>
      <c r="KWU1108" s="15"/>
      <c r="KWV1108" s="15"/>
      <c r="KWY1108" s="15"/>
      <c r="KWZ1108" s="15"/>
      <c r="KXC1108" s="15"/>
      <c r="KXD1108" s="15"/>
      <c r="KXG1108" s="15"/>
      <c r="KXH1108" s="15"/>
      <c r="KXK1108" s="15"/>
      <c r="KXL1108" s="15"/>
      <c r="KXO1108" s="15"/>
      <c r="KXP1108" s="15"/>
      <c r="KXS1108" s="15"/>
      <c r="KXT1108" s="15"/>
      <c r="KXW1108" s="15"/>
      <c r="KXX1108" s="15"/>
      <c r="KYA1108" s="15"/>
      <c r="KYB1108" s="15"/>
      <c r="KYE1108" s="15"/>
      <c r="KYF1108" s="15"/>
      <c r="KYI1108" s="15"/>
      <c r="KYJ1108" s="15"/>
      <c r="KYM1108" s="15"/>
      <c r="KYN1108" s="15"/>
      <c r="KYQ1108" s="15"/>
      <c r="KYR1108" s="15"/>
      <c r="KYU1108" s="15"/>
      <c r="KYV1108" s="15"/>
      <c r="KYY1108" s="15"/>
      <c r="KYZ1108" s="15"/>
      <c r="KZC1108" s="15"/>
      <c r="KZD1108" s="15"/>
      <c r="KZG1108" s="15"/>
      <c r="KZH1108" s="15"/>
      <c r="KZK1108" s="15"/>
      <c r="KZL1108" s="15"/>
      <c r="KZO1108" s="15"/>
      <c r="KZP1108" s="15"/>
      <c r="KZS1108" s="15"/>
      <c r="KZT1108" s="15"/>
      <c r="KZW1108" s="15"/>
      <c r="KZX1108" s="15"/>
      <c r="LAA1108" s="15"/>
      <c r="LAB1108" s="15"/>
      <c r="LAE1108" s="15"/>
      <c r="LAF1108" s="15"/>
      <c r="LAI1108" s="15"/>
      <c r="LAJ1108" s="15"/>
      <c r="LAM1108" s="15"/>
      <c r="LAN1108" s="15"/>
      <c r="LAQ1108" s="15"/>
      <c r="LAR1108" s="15"/>
      <c r="LAU1108" s="15"/>
      <c r="LAV1108" s="15"/>
      <c r="LAY1108" s="15"/>
      <c r="LAZ1108" s="15"/>
      <c r="LBC1108" s="15"/>
      <c r="LBD1108" s="15"/>
      <c r="LBG1108" s="15"/>
      <c r="LBH1108" s="15"/>
      <c r="LBK1108" s="15"/>
      <c r="LBL1108" s="15"/>
      <c r="LBO1108" s="15"/>
      <c r="LBP1108" s="15"/>
      <c r="LBS1108" s="15"/>
      <c r="LBT1108" s="15"/>
      <c r="LBW1108" s="15"/>
      <c r="LBX1108" s="15"/>
      <c r="LCA1108" s="15"/>
      <c r="LCB1108" s="15"/>
      <c r="LCE1108" s="15"/>
      <c r="LCF1108" s="15"/>
      <c r="LCI1108" s="15"/>
      <c r="LCJ1108" s="15"/>
      <c r="LCM1108" s="15"/>
      <c r="LCN1108" s="15"/>
      <c r="LCQ1108" s="15"/>
      <c r="LCR1108" s="15"/>
      <c r="LCU1108" s="15"/>
      <c r="LCV1108" s="15"/>
      <c r="LCY1108" s="15"/>
      <c r="LCZ1108" s="15"/>
      <c r="LDC1108" s="15"/>
      <c r="LDD1108" s="15"/>
      <c r="LDG1108" s="15"/>
      <c r="LDH1108" s="15"/>
      <c r="LDK1108" s="15"/>
      <c r="LDL1108" s="15"/>
      <c r="LDO1108" s="15"/>
      <c r="LDP1108" s="15"/>
      <c r="LDS1108" s="15"/>
      <c r="LDT1108" s="15"/>
      <c r="LDW1108" s="15"/>
      <c r="LDX1108" s="15"/>
      <c r="LEA1108" s="15"/>
      <c r="LEB1108" s="15"/>
      <c r="LEE1108" s="15"/>
      <c r="LEF1108" s="15"/>
      <c r="LEI1108" s="15"/>
      <c r="LEJ1108" s="15"/>
      <c r="LEM1108" s="15"/>
      <c r="LEN1108" s="15"/>
      <c r="LEQ1108" s="15"/>
      <c r="LER1108" s="15"/>
      <c r="LEU1108" s="15"/>
      <c r="LEV1108" s="15"/>
      <c r="LEY1108" s="15"/>
      <c r="LEZ1108" s="15"/>
      <c r="LFC1108" s="15"/>
      <c r="LFD1108" s="15"/>
      <c r="LFG1108" s="15"/>
      <c r="LFH1108" s="15"/>
      <c r="LFK1108" s="15"/>
      <c r="LFL1108" s="15"/>
      <c r="LFO1108" s="15"/>
      <c r="LFP1108" s="15"/>
      <c r="LFS1108" s="15"/>
      <c r="LFT1108" s="15"/>
      <c r="LFW1108" s="15"/>
      <c r="LFX1108" s="15"/>
      <c r="LGA1108" s="15"/>
      <c r="LGB1108" s="15"/>
      <c r="LGE1108" s="15"/>
      <c r="LGF1108" s="15"/>
      <c r="LGI1108" s="15"/>
      <c r="LGJ1108" s="15"/>
      <c r="LGM1108" s="15"/>
      <c r="LGN1108" s="15"/>
      <c r="LGQ1108" s="15"/>
      <c r="LGR1108" s="15"/>
      <c r="LGU1108" s="15"/>
      <c r="LGV1108" s="15"/>
      <c r="LGY1108" s="15"/>
      <c r="LGZ1108" s="15"/>
      <c r="LHC1108" s="15"/>
      <c r="LHD1108" s="15"/>
      <c r="LHG1108" s="15"/>
      <c r="LHH1108" s="15"/>
      <c r="LHK1108" s="15"/>
      <c r="LHL1108" s="15"/>
      <c r="LHO1108" s="15"/>
      <c r="LHP1108" s="15"/>
      <c r="LHS1108" s="15"/>
      <c r="LHT1108" s="15"/>
      <c r="LHW1108" s="15"/>
      <c r="LHX1108" s="15"/>
      <c r="LIA1108" s="15"/>
      <c r="LIB1108" s="15"/>
      <c r="LIE1108" s="15"/>
      <c r="LIF1108" s="15"/>
      <c r="LII1108" s="15"/>
      <c r="LIJ1108" s="15"/>
      <c r="LIM1108" s="15"/>
      <c r="LIN1108" s="15"/>
      <c r="LIQ1108" s="15"/>
      <c r="LIR1108" s="15"/>
      <c r="LIU1108" s="15"/>
      <c r="LIV1108" s="15"/>
      <c r="LIY1108" s="15"/>
      <c r="LIZ1108" s="15"/>
      <c r="LJC1108" s="15"/>
      <c r="LJD1108" s="15"/>
      <c r="LJG1108" s="15"/>
      <c r="LJH1108" s="15"/>
      <c r="LJK1108" s="15"/>
      <c r="LJL1108" s="15"/>
      <c r="LJO1108" s="15"/>
      <c r="LJP1108" s="15"/>
      <c r="LJS1108" s="15"/>
      <c r="LJT1108" s="15"/>
      <c r="LJW1108" s="15"/>
      <c r="LJX1108" s="15"/>
      <c r="LKA1108" s="15"/>
      <c r="LKB1108" s="15"/>
      <c r="LKE1108" s="15"/>
      <c r="LKF1108" s="15"/>
      <c r="LKI1108" s="15"/>
      <c r="LKJ1108" s="15"/>
      <c r="LKM1108" s="15"/>
      <c r="LKN1108" s="15"/>
      <c r="LKQ1108" s="15"/>
      <c r="LKR1108" s="15"/>
      <c r="LKU1108" s="15"/>
      <c r="LKV1108" s="15"/>
      <c r="LKY1108" s="15"/>
      <c r="LKZ1108" s="15"/>
      <c r="LLC1108" s="15"/>
      <c r="LLD1108" s="15"/>
      <c r="LLG1108" s="15"/>
      <c r="LLH1108" s="15"/>
      <c r="LLK1108" s="15"/>
      <c r="LLL1108" s="15"/>
      <c r="LLO1108" s="15"/>
      <c r="LLP1108" s="15"/>
      <c r="LLS1108" s="15"/>
      <c r="LLT1108" s="15"/>
      <c r="LLW1108" s="15"/>
      <c r="LLX1108" s="15"/>
      <c r="LMA1108" s="15"/>
      <c r="LMB1108" s="15"/>
      <c r="LME1108" s="15"/>
      <c r="LMF1108" s="15"/>
      <c r="LMI1108" s="15"/>
      <c r="LMJ1108" s="15"/>
      <c r="LMM1108" s="15"/>
      <c r="LMN1108" s="15"/>
      <c r="LMQ1108" s="15"/>
      <c r="LMR1108" s="15"/>
      <c r="LMU1108" s="15"/>
      <c r="LMV1108" s="15"/>
      <c r="LMY1108" s="15"/>
      <c r="LMZ1108" s="15"/>
      <c r="LNC1108" s="15"/>
      <c r="LND1108" s="15"/>
      <c r="LNG1108" s="15"/>
      <c r="LNH1108" s="15"/>
      <c r="LNK1108" s="15"/>
      <c r="LNL1108" s="15"/>
      <c r="LNO1108" s="15"/>
      <c r="LNP1108" s="15"/>
      <c r="LNS1108" s="15"/>
      <c r="LNT1108" s="15"/>
      <c r="LNW1108" s="15"/>
      <c r="LNX1108" s="15"/>
      <c r="LOA1108" s="15"/>
      <c r="LOB1108" s="15"/>
      <c r="LOE1108" s="15"/>
      <c r="LOF1108" s="15"/>
      <c r="LOI1108" s="15"/>
      <c r="LOJ1108" s="15"/>
      <c r="LOM1108" s="15"/>
      <c r="LON1108" s="15"/>
      <c r="LOQ1108" s="15"/>
      <c r="LOR1108" s="15"/>
      <c r="LOU1108" s="15"/>
      <c r="LOV1108" s="15"/>
      <c r="LOY1108" s="15"/>
      <c r="LOZ1108" s="15"/>
      <c r="LPC1108" s="15"/>
      <c r="LPD1108" s="15"/>
      <c r="LPG1108" s="15"/>
      <c r="LPH1108" s="15"/>
      <c r="LPK1108" s="15"/>
      <c r="LPL1108" s="15"/>
      <c r="LPO1108" s="15"/>
      <c r="LPP1108" s="15"/>
      <c r="LPS1108" s="15"/>
      <c r="LPT1108" s="15"/>
      <c r="LPW1108" s="15"/>
      <c r="LPX1108" s="15"/>
      <c r="LQA1108" s="15"/>
      <c r="LQB1108" s="15"/>
      <c r="LQE1108" s="15"/>
      <c r="LQF1108" s="15"/>
      <c r="LQI1108" s="15"/>
      <c r="LQJ1108" s="15"/>
      <c r="LQM1108" s="15"/>
      <c r="LQN1108" s="15"/>
      <c r="LQQ1108" s="15"/>
      <c r="LQR1108" s="15"/>
      <c r="LQU1108" s="15"/>
      <c r="LQV1108" s="15"/>
      <c r="LQY1108" s="15"/>
      <c r="LQZ1108" s="15"/>
      <c r="LRC1108" s="15"/>
      <c r="LRD1108" s="15"/>
      <c r="LRG1108" s="15"/>
      <c r="LRH1108" s="15"/>
      <c r="LRK1108" s="15"/>
      <c r="LRL1108" s="15"/>
      <c r="LRO1108" s="15"/>
      <c r="LRP1108" s="15"/>
      <c r="LRS1108" s="15"/>
      <c r="LRT1108" s="15"/>
      <c r="LRW1108" s="15"/>
      <c r="LRX1108" s="15"/>
      <c r="LSA1108" s="15"/>
      <c r="LSB1108" s="15"/>
      <c r="LSE1108" s="15"/>
      <c r="LSF1108" s="15"/>
      <c r="LSI1108" s="15"/>
      <c r="LSJ1108" s="15"/>
      <c r="LSM1108" s="15"/>
      <c r="LSN1108" s="15"/>
      <c r="LSQ1108" s="15"/>
      <c r="LSR1108" s="15"/>
      <c r="LSU1108" s="15"/>
      <c r="LSV1108" s="15"/>
      <c r="LSY1108" s="15"/>
      <c r="LSZ1108" s="15"/>
      <c r="LTC1108" s="15"/>
      <c r="LTD1108" s="15"/>
      <c r="LTG1108" s="15"/>
      <c r="LTH1108" s="15"/>
      <c r="LTK1108" s="15"/>
      <c r="LTL1108" s="15"/>
      <c r="LTO1108" s="15"/>
      <c r="LTP1108" s="15"/>
      <c r="LTS1108" s="15"/>
      <c r="LTT1108" s="15"/>
      <c r="LTW1108" s="15"/>
      <c r="LTX1108" s="15"/>
      <c r="LUA1108" s="15"/>
      <c r="LUB1108" s="15"/>
      <c r="LUE1108" s="15"/>
      <c r="LUF1108" s="15"/>
      <c r="LUI1108" s="15"/>
      <c r="LUJ1108" s="15"/>
      <c r="LUM1108" s="15"/>
      <c r="LUN1108" s="15"/>
      <c r="LUQ1108" s="15"/>
      <c r="LUR1108" s="15"/>
      <c r="LUU1108" s="15"/>
      <c r="LUV1108" s="15"/>
      <c r="LUY1108" s="15"/>
      <c r="LUZ1108" s="15"/>
      <c r="LVC1108" s="15"/>
      <c r="LVD1108" s="15"/>
      <c r="LVG1108" s="15"/>
      <c r="LVH1108" s="15"/>
      <c r="LVK1108" s="15"/>
      <c r="LVL1108" s="15"/>
      <c r="LVO1108" s="15"/>
      <c r="LVP1108" s="15"/>
      <c r="LVS1108" s="15"/>
      <c r="LVT1108" s="15"/>
      <c r="LVW1108" s="15"/>
      <c r="LVX1108" s="15"/>
      <c r="LWA1108" s="15"/>
      <c r="LWB1108" s="15"/>
      <c r="LWE1108" s="15"/>
      <c r="LWF1108" s="15"/>
      <c r="LWI1108" s="15"/>
      <c r="LWJ1108" s="15"/>
      <c r="LWM1108" s="15"/>
      <c r="LWN1108" s="15"/>
      <c r="LWQ1108" s="15"/>
      <c r="LWR1108" s="15"/>
      <c r="LWU1108" s="15"/>
      <c r="LWV1108" s="15"/>
      <c r="LWY1108" s="15"/>
      <c r="LWZ1108" s="15"/>
      <c r="LXC1108" s="15"/>
      <c r="LXD1108" s="15"/>
      <c r="LXG1108" s="15"/>
      <c r="LXH1108" s="15"/>
      <c r="LXK1108" s="15"/>
      <c r="LXL1108" s="15"/>
      <c r="LXO1108" s="15"/>
      <c r="LXP1108" s="15"/>
      <c r="LXS1108" s="15"/>
      <c r="LXT1108" s="15"/>
      <c r="LXW1108" s="15"/>
      <c r="LXX1108" s="15"/>
      <c r="LYA1108" s="15"/>
      <c r="LYB1108" s="15"/>
      <c r="LYE1108" s="15"/>
      <c r="LYF1108" s="15"/>
      <c r="LYI1108" s="15"/>
      <c r="LYJ1108" s="15"/>
      <c r="LYM1108" s="15"/>
      <c r="LYN1108" s="15"/>
      <c r="LYQ1108" s="15"/>
      <c r="LYR1108" s="15"/>
      <c r="LYU1108" s="15"/>
      <c r="LYV1108" s="15"/>
      <c r="LYY1108" s="15"/>
      <c r="LYZ1108" s="15"/>
      <c r="LZC1108" s="15"/>
      <c r="LZD1108" s="15"/>
      <c r="LZG1108" s="15"/>
      <c r="LZH1108" s="15"/>
      <c r="LZK1108" s="15"/>
      <c r="LZL1108" s="15"/>
      <c r="LZO1108" s="15"/>
      <c r="LZP1108" s="15"/>
      <c r="LZS1108" s="15"/>
      <c r="LZT1108" s="15"/>
      <c r="LZW1108" s="15"/>
      <c r="LZX1108" s="15"/>
      <c r="MAA1108" s="15"/>
      <c r="MAB1108" s="15"/>
      <c r="MAE1108" s="15"/>
      <c r="MAF1108" s="15"/>
      <c r="MAI1108" s="15"/>
      <c r="MAJ1108" s="15"/>
      <c r="MAM1108" s="15"/>
      <c r="MAN1108" s="15"/>
      <c r="MAQ1108" s="15"/>
      <c r="MAR1108" s="15"/>
      <c r="MAU1108" s="15"/>
      <c r="MAV1108" s="15"/>
      <c r="MAY1108" s="15"/>
      <c r="MAZ1108" s="15"/>
      <c r="MBC1108" s="15"/>
      <c r="MBD1108" s="15"/>
      <c r="MBG1108" s="15"/>
      <c r="MBH1108" s="15"/>
      <c r="MBK1108" s="15"/>
      <c r="MBL1108" s="15"/>
      <c r="MBO1108" s="15"/>
      <c r="MBP1108" s="15"/>
      <c r="MBS1108" s="15"/>
      <c r="MBT1108" s="15"/>
      <c r="MBW1108" s="15"/>
      <c r="MBX1108" s="15"/>
      <c r="MCA1108" s="15"/>
      <c r="MCB1108" s="15"/>
      <c r="MCE1108" s="15"/>
      <c r="MCF1108" s="15"/>
      <c r="MCI1108" s="15"/>
      <c r="MCJ1108" s="15"/>
      <c r="MCM1108" s="15"/>
      <c r="MCN1108" s="15"/>
      <c r="MCQ1108" s="15"/>
      <c r="MCR1108" s="15"/>
      <c r="MCU1108" s="15"/>
      <c r="MCV1108" s="15"/>
      <c r="MCY1108" s="15"/>
      <c r="MCZ1108" s="15"/>
      <c r="MDC1108" s="15"/>
      <c r="MDD1108" s="15"/>
      <c r="MDG1108" s="15"/>
      <c r="MDH1108" s="15"/>
      <c r="MDK1108" s="15"/>
      <c r="MDL1108" s="15"/>
      <c r="MDO1108" s="15"/>
      <c r="MDP1108" s="15"/>
      <c r="MDS1108" s="15"/>
      <c r="MDT1108" s="15"/>
      <c r="MDW1108" s="15"/>
      <c r="MDX1108" s="15"/>
      <c r="MEA1108" s="15"/>
      <c r="MEB1108" s="15"/>
      <c r="MEE1108" s="15"/>
      <c r="MEF1108" s="15"/>
      <c r="MEI1108" s="15"/>
      <c r="MEJ1108" s="15"/>
      <c r="MEM1108" s="15"/>
      <c r="MEN1108" s="15"/>
      <c r="MEQ1108" s="15"/>
      <c r="MER1108" s="15"/>
      <c r="MEU1108" s="15"/>
      <c r="MEV1108" s="15"/>
      <c r="MEY1108" s="15"/>
      <c r="MEZ1108" s="15"/>
      <c r="MFC1108" s="15"/>
      <c r="MFD1108" s="15"/>
      <c r="MFG1108" s="15"/>
      <c r="MFH1108" s="15"/>
      <c r="MFK1108" s="15"/>
      <c r="MFL1108" s="15"/>
      <c r="MFO1108" s="15"/>
      <c r="MFP1108" s="15"/>
      <c r="MFS1108" s="15"/>
      <c r="MFT1108" s="15"/>
      <c r="MFW1108" s="15"/>
      <c r="MFX1108" s="15"/>
      <c r="MGA1108" s="15"/>
      <c r="MGB1108" s="15"/>
      <c r="MGE1108" s="15"/>
      <c r="MGF1108" s="15"/>
      <c r="MGI1108" s="15"/>
      <c r="MGJ1108" s="15"/>
      <c r="MGM1108" s="15"/>
      <c r="MGN1108" s="15"/>
      <c r="MGQ1108" s="15"/>
      <c r="MGR1108" s="15"/>
      <c r="MGU1108" s="15"/>
      <c r="MGV1108" s="15"/>
      <c r="MGY1108" s="15"/>
      <c r="MGZ1108" s="15"/>
      <c r="MHC1108" s="15"/>
      <c r="MHD1108" s="15"/>
      <c r="MHG1108" s="15"/>
      <c r="MHH1108" s="15"/>
      <c r="MHK1108" s="15"/>
      <c r="MHL1108" s="15"/>
      <c r="MHO1108" s="15"/>
      <c r="MHP1108" s="15"/>
      <c r="MHS1108" s="15"/>
      <c r="MHT1108" s="15"/>
      <c r="MHW1108" s="15"/>
      <c r="MHX1108" s="15"/>
      <c r="MIA1108" s="15"/>
      <c r="MIB1108" s="15"/>
      <c r="MIE1108" s="15"/>
      <c r="MIF1108" s="15"/>
      <c r="MII1108" s="15"/>
      <c r="MIJ1108" s="15"/>
      <c r="MIM1108" s="15"/>
      <c r="MIN1108" s="15"/>
      <c r="MIQ1108" s="15"/>
      <c r="MIR1108" s="15"/>
      <c r="MIU1108" s="15"/>
      <c r="MIV1108" s="15"/>
      <c r="MIY1108" s="15"/>
      <c r="MIZ1108" s="15"/>
      <c r="MJC1108" s="15"/>
      <c r="MJD1108" s="15"/>
      <c r="MJG1108" s="15"/>
      <c r="MJH1108" s="15"/>
      <c r="MJK1108" s="15"/>
      <c r="MJL1108" s="15"/>
      <c r="MJO1108" s="15"/>
      <c r="MJP1108" s="15"/>
      <c r="MJS1108" s="15"/>
      <c r="MJT1108" s="15"/>
      <c r="MJW1108" s="15"/>
      <c r="MJX1108" s="15"/>
      <c r="MKA1108" s="15"/>
      <c r="MKB1108" s="15"/>
      <c r="MKE1108" s="15"/>
      <c r="MKF1108" s="15"/>
      <c r="MKI1108" s="15"/>
      <c r="MKJ1108" s="15"/>
      <c r="MKM1108" s="15"/>
      <c r="MKN1108" s="15"/>
      <c r="MKQ1108" s="15"/>
      <c r="MKR1108" s="15"/>
      <c r="MKU1108" s="15"/>
      <c r="MKV1108" s="15"/>
      <c r="MKY1108" s="15"/>
      <c r="MKZ1108" s="15"/>
      <c r="MLC1108" s="15"/>
      <c r="MLD1108" s="15"/>
      <c r="MLG1108" s="15"/>
      <c r="MLH1108" s="15"/>
      <c r="MLK1108" s="15"/>
      <c r="MLL1108" s="15"/>
      <c r="MLO1108" s="15"/>
      <c r="MLP1108" s="15"/>
      <c r="MLS1108" s="15"/>
      <c r="MLT1108" s="15"/>
      <c r="MLW1108" s="15"/>
      <c r="MLX1108" s="15"/>
      <c r="MMA1108" s="15"/>
      <c r="MMB1108" s="15"/>
      <c r="MME1108" s="15"/>
      <c r="MMF1108" s="15"/>
      <c r="MMI1108" s="15"/>
      <c r="MMJ1108" s="15"/>
      <c r="MMM1108" s="15"/>
      <c r="MMN1108" s="15"/>
      <c r="MMQ1108" s="15"/>
      <c r="MMR1108" s="15"/>
      <c r="MMU1108" s="15"/>
      <c r="MMV1108" s="15"/>
      <c r="MMY1108" s="15"/>
      <c r="MMZ1108" s="15"/>
      <c r="MNC1108" s="15"/>
      <c r="MND1108" s="15"/>
      <c r="MNG1108" s="15"/>
      <c r="MNH1108" s="15"/>
      <c r="MNK1108" s="15"/>
      <c r="MNL1108" s="15"/>
      <c r="MNO1108" s="15"/>
      <c r="MNP1108" s="15"/>
      <c r="MNS1108" s="15"/>
      <c r="MNT1108" s="15"/>
      <c r="MNW1108" s="15"/>
      <c r="MNX1108" s="15"/>
      <c r="MOA1108" s="15"/>
      <c r="MOB1108" s="15"/>
      <c r="MOE1108" s="15"/>
      <c r="MOF1108" s="15"/>
      <c r="MOI1108" s="15"/>
      <c r="MOJ1108" s="15"/>
      <c r="MOM1108" s="15"/>
      <c r="MON1108" s="15"/>
      <c r="MOQ1108" s="15"/>
      <c r="MOR1108" s="15"/>
      <c r="MOU1108" s="15"/>
      <c r="MOV1108" s="15"/>
      <c r="MOY1108" s="15"/>
      <c r="MOZ1108" s="15"/>
      <c r="MPC1108" s="15"/>
      <c r="MPD1108" s="15"/>
      <c r="MPG1108" s="15"/>
      <c r="MPH1108" s="15"/>
      <c r="MPK1108" s="15"/>
      <c r="MPL1108" s="15"/>
      <c r="MPO1108" s="15"/>
      <c r="MPP1108" s="15"/>
      <c r="MPS1108" s="15"/>
      <c r="MPT1108" s="15"/>
      <c r="MPW1108" s="15"/>
      <c r="MPX1108" s="15"/>
      <c r="MQA1108" s="15"/>
      <c r="MQB1108" s="15"/>
      <c r="MQE1108" s="15"/>
      <c r="MQF1108" s="15"/>
      <c r="MQI1108" s="15"/>
      <c r="MQJ1108" s="15"/>
      <c r="MQM1108" s="15"/>
      <c r="MQN1108" s="15"/>
      <c r="MQQ1108" s="15"/>
      <c r="MQR1108" s="15"/>
      <c r="MQU1108" s="15"/>
      <c r="MQV1108" s="15"/>
      <c r="MQY1108" s="15"/>
      <c r="MQZ1108" s="15"/>
      <c r="MRC1108" s="15"/>
      <c r="MRD1108" s="15"/>
      <c r="MRG1108" s="15"/>
      <c r="MRH1108" s="15"/>
      <c r="MRK1108" s="15"/>
      <c r="MRL1108" s="15"/>
      <c r="MRO1108" s="15"/>
      <c r="MRP1108" s="15"/>
      <c r="MRS1108" s="15"/>
      <c r="MRT1108" s="15"/>
      <c r="MRW1108" s="15"/>
      <c r="MRX1108" s="15"/>
      <c r="MSA1108" s="15"/>
      <c r="MSB1108" s="15"/>
      <c r="MSE1108" s="15"/>
      <c r="MSF1108" s="15"/>
      <c r="MSI1108" s="15"/>
      <c r="MSJ1108" s="15"/>
      <c r="MSM1108" s="15"/>
      <c r="MSN1108" s="15"/>
      <c r="MSQ1108" s="15"/>
      <c r="MSR1108" s="15"/>
      <c r="MSU1108" s="15"/>
      <c r="MSV1108" s="15"/>
      <c r="MSY1108" s="15"/>
      <c r="MSZ1108" s="15"/>
      <c r="MTC1108" s="15"/>
      <c r="MTD1108" s="15"/>
      <c r="MTG1108" s="15"/>
      <c r="MTH1108" s="15"/>
      <c r="MTK1108" s="15"/>
      <c r="MTL1108" s="15"/>
      <c r="MTO1108" s="15"/>
      <c r="MTP1108" s="15"/>
      <c r="MTS1108" s="15"/>
      <c r="MTT1108" s="15"/>
      <c r="MTW1108" s="15"/>
      <c r="MTX1108" s="15"/>
      <c r="MUA1108" s="15"/>
      <c r="MUB1108" s="15"/>
      <c r="MUE1108" s="15"/>
      <c r="MUF1108" s="15"/>
      <c r="MUI1108" s="15"/>
      <c r="MUJ1108" s="15"/>
      <c r="MUM1108" s="15"/>
      <c r="MUN1108" s="15"/>
      <c r="MUQ1108" s="15"/>
      <c r="MUR1108" s="15"/>
      <c r="MUU1108" s="15"/>
      <c r="MUV1108" s="15"/>
      <c r="MUY1108" s="15"/>
      <c r="MUZ1108" s="15"/>
      <c r="MVC1108" s="15"/>
      <c r="MVD1108" s="15"/>
      <c r="MVG1108" s="15"/>
      <c r="MVH1108" s="15"/>
      <c r="MVK1108" s="15"/>
      <c r="MVL1108" s="15"/>
      <c r="MVO1108" s="15"/>
      <c r="MVP1108" s="15"/>
      <c r="MVS1108" s="15"/>
      <c r="MVT1108" s="15"/>
      <c r="MVW1108" s="15"/>
      <c r="MVX1108" s="15"/>
      <c r="MWA1108" s="15"/>
      <c r="MWB1108" s="15"/>
      <c r="MWE1108" s="15"/>
      <c r="MWF1108" s="15"/>
      <c r="MWI1108" s="15"/>
      <c r="MWJ1108" s="15"/>
      <c r="MWM1108" s="15"/>
      <c r="MWN1108" s="15"/>
      <c r="MWQ1108" s="15"/>
      <c r="MWR1108" s="15"/>
      <c r="MWU1108" s="15"/>
      <c r="MWV1108" s="15"/>
      <c r="MWY1108" s="15"/>
      <c r="MWZ1108" s="15"/>
      <c r="MXC1108" s="15"/>
      <c r="MXD1108" s="15"/>
      <c r="MXG1108" s="15"/>
      <c r="MXH1108" s="15"/>
      <c r="MXK1108" s="15"/>
      <c r="MXL1108" s="15"/>
      <c r="MXO1108" s="15"/>
      <c r="MXP1108" s="15"/>
      <c r="MXS1108" s="15"/>
      <c r="MXT1108" s="15"/>
      <c r="MXW1108" s="15"/>
      <c r="MXX1108" s="15"/>
      <c r="MYA1108" s="15"/>
      <c r="MYB1108" s="15"/>
      <c r="MYE1108" s="15"/>
      <c r="MYF1108" s="15"/>
      <c r="MYI1108" s="15"/>
      <c r="MYJ1108" s="15"/>
      <c r="MYM1108" s="15"/>
      <c r="MYN1108" s="15"/>
      <c r="MYQ1108" s="15"/>
      <c r="MYR1108" s="15"/>
      <c r="MYU1108" s="15"/>
      <c r="MYV1108" s="15"/>
      <c r="MYY1108" s="15"/>
      <c r="MYZ1108" s="15"/>
      <c r="MZC1108" s="15"/>
      <c r="MZD1108" s="15"/>
      <c r="MZG1108" s="15"/>
      <c r="MZH1108" s="15"/>
      <c r="MZK1108" s="15"/>
      <c r="MZL1108" s="15"/>
      <c r="MZO1108" s="15"/>
      <c r="MZP1108" s="15"/>
      <c r="MZS1108" s="15"/>
      <c r="MZT1108" s="15"/>
      <c r="MZW1108" s="15"/>
      <c r="MZX1108" s="15"/>
      <c r="NAA1108" s="15"/>
      <c r="NAB1108" s="15"/>
      <c r="NAE1108" s="15"/>
      <c r="NAF1108" s="15"/>
      <c r="NAI1108" s="15"/>
      <c r="NAJ1108" s="15"/>
      <c r="NAM1108" s="15"/>
      <c r="NAN1108" s="15"/>
      <c r="NAQ1108" s="15"/>
      <c r="NAR1108" s="15"/>
      <c r="NAU1108" s="15"/>
      <c r="NAV1108" s="15"/>
      <c r="NAY1108" s="15"/>
      <c r="NAZ1108" s="15"/>
      <c r="NBC1108" s="15"/>
      <c r="NBD1108" s="15"/>
      <c r="NBG1108" s="15"/>
      <c r="NBH1108" s="15"/>
      <c r="NBK1108" s="15"/>
      <c r="NBL1108" s="15"/>
      <c r="NBO1108" s="15"/>
      <c r="NBP1108" s="15"/>
      <c r="NBS1108" s="15"/>
      <c r="NBT1108" s="15"/>
      <c r="NBW1108" s="15"/>
      <c r="NBX1108" s="15"/>
      <c r="NCA1108" s="15"/>
      <c r="NCB1108" s="15"/>
      <c r="NCE1108" s="15"/>
      <c r="NCF1108" s="15"/>
      <c r="NCI1108" s="15"/>
      <c r="NCJ1108" s="15"/>
      <c r="NCM1108" s="15"/>
      <c r="NCN1108" s="15"/>
      <c r="NCQ1108" s="15"/>
      <c r="NCR1108" s="15"/>
      <c r="NCU1108" s="15"/>
      <c r="NCV1108" s="15"/>
      <c r="NCY1108" s="15"/>
      <c r="NCZ1108" s="15"/>
      <c r="NDC1108" s="15"/>
      <c r="NDD1108" s="15"/>
      <c r="NDG1108" s="15"/>
      <c r="NDH1108" s="15"/>
      <c r="NDK1108" s="15"/>
      <c r="NDL1108" s="15"/>
      <c r="NDO1108" s="15"/>
      <c r="NDP1108" s="15"/>
      <c r="NDS1108" s="15"/>
      <c r="NDT1108" s="15"/>
      <c r="NDW1108" s="15"/>
      <c r="NDX1108" s="15"/>
      <c r="NEA1108" s="15"/>
      <c r="NEB1108" s="15"/>
      <c r="NEE1108" s="15"/>
      <c r="NEF1108" s="15"/>
      <c r="NEI1108" s="15"/>
      <c r="NEJ1108" s="15"/>
      <c r="NEM1108" s="15"/>
      <c r="NEN1108" s="15"/>
      <c r="NEQ1108" s="15"/>
      <c r="NER1108" s="15"/>
      <c r="NEU1108" s="15"/>
      <c r="NEV1108" s="15"/>
      <c r="NEY1108" s="15"/>
      <c r="NEZ1108" s="15"/>
      <c r="NFC1108" s="15"/>
      <c r="NFD1108" s="15"/>
      <c r="NFG1108" s="15"/>
      <c r="NFH1108" s="15"/>
      <c r="NFK1108" s="15"/>
      <c r="NFL1108" s="15"/>
      <c r="NFO1108" s="15"/>
      <c r="NFP1108" s="15"/>
      <c r="NFS1108" s="15"/>
      <c r="NFT1108" s="15"/>
      <c r="NFW1108" s="15"/>
      <c r="NFX1108" s="15"/>
      <c r="NGA1108" s="15"/>
      <c r="NGB1108" s="15"/>
      <c r="NGE1108" s="15"/>
      <c r="NGF1108" s="15"/>
      <c r="NGI1108" s="15"/>
      <c r="NGJ1108" s="15"/>
      <c r="NGM1108" s="15"/>
      <c r="NGN1108" s="15"/>
      <c r="NGQ1108" s="15"/>
      <c r="NGR1108" s="15"/>
      <c r="NGU1108" s="15"/>
      <c r="NGV1108" s="15"/>
      <c r="NGY1108" s="15"/>
      <c r="NGZ1108" s="15"/>
      <c r="NHC1108" s="15"/>
      <c r="NHD1108" s="15"/>
      <c r="NHG1108" s="15"/>
      <c r="NHH1108" s="15"/>
      <c r="NHK1108" s="15"/>
      <c r="NHL1108" s="15"/>
      <c r="NHO1108" s="15"/>
      <c r="NHP1108" s="15"/>
      <c r="NHS1108" s="15"/>
      <c r="NHT1108" s="15"/>
      <c r="NHW1108" s="15"/>
      <c r="NHX1108" s="15"/>
      <c r="NIA1108" s="15"/>
      <c r="NIB1108" s="15"/>
      <c r="NIE1108" s="15"/>
      <c r="NIF1108" s="15"/>
      <c r="NII1108" s="15"/>
      <c r="NIJ1108" s="15"/>
      <c r="NIM1108" s="15"/>
      <c r="NIN1108" s="15"/>
      <c r="NIQ1108" s="15"/>
      <c r="NIR1108" s="15"/>
      <c r="NIU1108" s="15"/>
      <c r="NIV1108" s="15"/>
      <c r="NIY1108" s="15"/>
      <c r="NIZ1108" s="15"/>
      <c r="NJC1108" s="15"/>
      <c r="NJD1108" s="15"/>
      <c r="NJG1108" s="15"/>
      <c r="NJH1108" s="15"/>
      <c r="NJK1108" s="15"/>
      <c r="NJL1108" s="15"/>
      <c r="NJO1108" s="15"/>
      <c r="NJP1108" s="15"/>
      <c r="NJS1108" s="15"/>
      <c r="NJT1108" s="15"/>
      <c r="NJW1108" s="15"/>
      <c r="NJX1108" s="15"/>
      <c r="NKA1108" s="15"/>
      <c r="NKB1108" s="15"/>
      <c r="NKE1108" s="15"/>
      <c r="NKF1108" s="15"/>
      <c r="NKI1108" s="15"/>
      <c r="NKJ1108" s="15"/>
      <c r="NKM1108" s="15"/>
      <c r="NKN1108" s="15"/>
      <c r="NKQ1108" s="15"/>
      <c r="NKR1108" s="15"/>
      <c r="NKU1108" s="15"/>
      <c r="NKV1108" s="15"/>
      <c r="NKY1108" s="15"/>
      <c r="NKZ1108" s="15"/>
      <c r="NLC1108" s="15"/>
      <c r="NLD1108" s="15"/>
      <c r="NLG1108" s="15"/>
      <c r="NLH1108" s="15"/>
      <c r="NLK1108" s="15"/>
      <c r="NLL1108" s="15"/>
      <c r="NLO1108" s="15"/>
      <c r="NLP1108" s="15"/>
      <c r="NLS1108" s="15"/>
      <c r="NLT1108" s="15"/>
      <c r="NLW1108" s="15"/>
      <c r="NLX1108" s="15"/>
      <c r="NMA1108" s="15"/>
      <c r="NMB1108" s="15"/>
      <c r="NME1108" s="15"/>
      <c r="NMF1108" s="15"/>
      <c r="NMI1108" s="15"/>
      <c r="NMJ1108" s="15"/>
      <c r="NMM1108" s="15"/>
      <c r="NMN1108" s="15"/>
      <c r="NMQ1108" s="15"/>
      <c r="NMR1108" s="15"/>
      <c r="NMU1108" s="15"/>
      <c r="NMV1108" s="15"/>
      <c r="NMY1108" s="15"/>
      <c r="NMZ1108" s="15"/>
      <c r="NNC1108" s="15"/>
      <c r="NND1108" s="15"/>
      <c r="NNG1108" s="15"/>
      <c r="NNH1108" s="15"/>
      <c r="NNK1108" s="15"/>
      <c r="NNL1108" s="15"/>
      <c r="NNO1108" s="15"/>
      <c r="NNP1108" s="15"/>
      <c r="NNS1108" s="15"/>
      <c r="NNT1108" s="15"/>
      <c r="NNW1108" s="15"/>
      <c r="NNX1108" s="15"/>
      <c r="NOA1108" s="15"/>
      <c r="NOB1108" s="15"/>
      <c r="NOE1108" s="15"/>
      <c r="NOF1108" s="15"/>
      <c r="NOI1108" s="15"/>
      <c r="NOJ1108" s="15"/>
      <c r="NOM1108" s="15"/>
      <c r="NON1108" s="15"/>
      <c r="NOQ1108" s="15"/>
      <c r="NOR1108" s="15"/>
      <c r="NOU1108" s="15"/>
      <c r="NOV1108" s="15"/>
      <c r="NOY1108" s="15"/>
      <c r="NOZ1108" s="15"/>
      <c r="NPC1108" s="15"/>
      <c r="NPD1108" s="15"/>
      <c r="NPG1108" s="15"/>
      <c r="NPH1108" s="15"/>
      <c r="NPK1108" s="15"/>
      <c r="NPL1108" s="15"/>
      <c r="NPO1108" s="15"/>
      <c r="NPP1108" s="15"/>
      <c r="NPS1108" s="15"/>
      <c r="NPT1108" s="15"/>
      <c r="NPW1108" s="15"/>
      <c r="NPX1108" s="15"/>
      <c r="NQA1108" s="15"/>
      <c r="NQB1108" s="15"/>
      <c r="NQE1108" s="15"/>
      <c r="NQF1108" s="15"/>
      <c r="NQI1108" s="15"/>
      <c r="NQJ1108" s="15"/>
      <c r="NQM1108" s="15"/>
      <c r="NQN1108" s="15"/>
      <c r="NQQ1108" s="15"/>
      <c r="NQR1108" s="15"/>
      <c r="NQU1108" s="15"/>
      <c r="NQV1108" s="15"/>
      <c r="NQY1108" s="15"/>
      <c r="NQZ1108" s="15"/>
      <c r="NRC1108" s="15"/>
      <c r="NRD1108" s="15"/>
      <c r="NRG1108" s="15"/>
      <c r="NRH1108" s="15"/>
      <c r="NRK1108" s="15"/>
      <c r="NRL1108" s="15"/>
      <c r="NRO1108" s="15"/>
      <c r="NRP1108" s="15"/>
      <c r="NRS1108" s="15"/>
      <c r="NRT1108" s="15"/>
      <c r="NRW1108" s="15"/>
      <c r="NRX1108" s="15"/>
      <c r="NSA1108" s="15"/>
      <c r="NSB1108" s="15"/>
      <c r="NSE1108" s="15"/>
      <c r="NSF1108" s="15"/>
      <c r="NSI1108" s="15"/>
      <c r="NSJ1108" s="15"/>
      <c r="NSM1108" s="15"/>
      <c r="NSN1108" s="15"/>
      <c r="NSQ1108" s="15"/>
      <c r="NSR1108" s="15"/>
      <c r="NSU1108" s="15"/>
      <c r="NSV1108" s="15"/>
      <c r="NSY1108" s="15"/>
      <c r="NSZ1108" s="15"/>
      <c r="NTC1108" s="15"/>
      <c r="NTD1108" s="15"/>
      <c r="NTG1108" s="15"/>
      <c r="NTH1108" s="15"/>
      <c r="NTK1108" s="15"/>
      <c r="NTL1108" s="15"/>
      <c r="NTO1108" s="15"/>
      <c r="NTP1108" s="15"/>
      <c r="NTS1108" s="15"/>
      <c r="NTT1108" s="15"/>
      <c r="NTW1108" s="15"/>
      <c r="NTX1108" s="15"/>
      <c r="NUA1108" s="15"/>
      <c r="NUB1108" s="15"/>
      <c r="NUE1108" s="15"/>
      <c r="NUF1108" s="15"/>
      <c r="NUI1108" s="15"/>
      <c r="NUJ1108" s="15"/>
      <c r="NUM1108" s="15"/>
      <c r="NUN1108" s="15"/>
      <c r="NUQ1108" s="15"/>
      <c r="NUR1108" s="15"/>
      <c r="NUU1108" s="15"/>
      <c r="NUV1108" s="15"/>
      <c r="NUY1108" s="15"/>
      <c r="NUZ1108" s="15"/>
      <c r="NVC1108" s="15"/>
      <c r="NVD1108" s="15"/>
      <c r="NVG1108" s="15"/>
      <c r="NVH1108" s="15"/>
      <c r="NVK1108" s="15"/>
      <c r="NVL1108" s="15"/>
      <c r="NVO1108" s="15"/>
      <c r="NVP1108" s="15"/>
      <c r="NVS1108" s="15"/>
      <c r="NVT1108" s="15"/>
      <c r="NVW1108" s="15"/>
      <c r="NVX1108" s="15"/>
      <c r="NWA1108" s="15"/>
      <c r="NWB1108" s="15"/>
      <c r="NWE1108" s="15"/>
      <c r="NWF1108" s="15"/>
      <c r="NWI1108" s="15"/>
      <c r="NWJ1108" s="15"/>
      <c r="NWM1108" s="15"/>
      <c r="NWN1108" s="15"/>
      <c r="NWQ1108" s="15"/>
      <c r="NWR1108" s="15"/>
      <c r="NWU1108" s="15"/>
      <c r="NWV1108" s="15"/>
      <c r="NWY1108" s="15"/>
      <c r="NWZ1108" s="15"/>
      <c r="NXC1108" s="15"/>
      <c r="NXD1108" s="15"/>
      <c r="NXG1108" s="15"/>
      <c r="NXH1108" s="15"/>
      <c r="NXK1108" s="15"/>
      <c r="NXL1108" s="15"/>
      <c r="NXO1108" s="15"/>
      <c r="NXP1108" s="15"/>
      <c r="NXS1108" s="15"/>
      <c r="NXT1108" s="15"/>
      <c r="NXW1108" s="15"/>
      <c r="NXX1108" s="15"/>
      <c r="NYA1108" s="15"/>
      <c r="NYB1108" s="15"/>
      <c r="NYE1108" s="15"/>
      <c r="NYF1108" s="15"/>
      <c r="NYI1108" s="15"/>
      <c r="NYJ1108" s="15"/>
      <c r="NYM1108" s="15"/>
      <c r="NYN1108" s="15"/>
      <c r="NYQ1108" s="15"/>
      <c r="NYR1108" s="15"/>
      <c r="NYU1108" s="15"/>
      <c r="NYV1108" s="15"/>
      <c r="NYY1108" s="15"/>
      <c r="NYZ1108" s="15"/>
      <c r="NZC1108" s="15"/>
      <c r="NZD1108" s="15"/>
      <c r="NZG1108" s="15"/>
      <c r="NZH1108" s="15"/>
      <c r="NZK1108" s="15"/>
      <c r="NZL1108" s="15"/>
      <c r="NZO1108" s="15"/>
      <c r="NZP1108" s="15"/>
      <c r="NZS1108" s="15"/>
      <c r="NZT1108" s="15"/>
      <c r="NZW1108" s="15"/>
      <c r="NZX1108" s="15"/>
      <c r="OAA1108" s="15"/>
      <c r="OAB1108" s="15"/>
      <c r="OAE1108" s="15"/>
      <c r="OAF1108" s="15"/>
      <c r="OAI1108" s="15"/>
      <c r="OAJ1108" s="15"/>
      <c r="OAM1108" s="15"/>
      <c r="OAN1108" s="15"/>
      <c r="OAQ1108" s="15"/>
      <c r="OAR1108" s="15"/>
      <c r="OAU1108" s="15"/>
      <c r="OAV1108" s="15"/>
      <c r="OAY1108" s="15"/>
      <c r="OAZ1108" s="15"/>
      <c r="OBC1108" s="15"/>
      <c r="OBD1108" s="15"/>
      <c r="OBG1108" s="15"/>
      <c r="OBH1108" s="15"/>
      <c r="OBK1108" s="15"/>
      <c r="OBL1108" s="15"/>
      <c r="OBO1108" s="15"/>
      <c r="OBP1108" s="15"/>
      <c r="OBS1108" s="15"/>
      <c r="OBT1108" s="15"/>
      <c r="OBW1108" s="15"/>
      <c r="OBX1108" s="15"/>
      <c r="OCA1108" s="15"/>
      <c r="OCB1108" s="15"/>
      <c r="OCE1108" s="15"/>
      <c r="OCF1108" s="15"/>
      <c r="OCI1108" s="15"/>
      <c r="OCJ1108" s="15"/>
      <c r="OCM1108" s="15"/>
      <c r="OCN1108" s="15"/>
      <c r="OCQ1108" s="15"/>
      <c r="OCR1108" s="15"/>
      <c r="OCU1108" s="15"/>
      <c r="OCV1108" s="15"/>
      <c r="OCY1108" s="15"/>
      <c r="OCZ1108" s="15"/>
      <c r="ODC1108" s="15"/>
      <c r="ODD1108" s="15"/>
      <c r="ODG1108" s="15"/>
      <c r="ODH1108" s="15"/>
      <c r="ODK1108" s="15"/>
      <c r="ODL1108" s="15"/>
      <c r="ODO1108" s="15"/>
      <c r="ODP1108" s="15"/>
      <c r="ODS1108" s="15"/>
      <c r="ODT1108" s="15"/>
      <c r="ODW1108" s="15"/>
      <c r="ODX1108" s="15"/>
      <c r="OEA1108" s="15"/>
      <c r="OEB1108" s="15"/>
      <c r="OEE1108" s="15"/>
      <c r="OEF1108" s="15"/>
      <c r="OEI1108" s="15"/>
      <c r="OEJ1108" s="15"/>
      <c r="OEM1108" s="15"/>
      <c r="OEN1108" s="15"/>
      <c r="OEQ1108" s="15"/>
      <c r="OER1108" s="15"/>
      <c r="OEU1108" s="15"/>
      <c r="OEV1108" s="15"/>
      <c r="OEY1108" s="15"/>
      <c r="OEZ1108" s="15"/>
      <c r="OFC1108" s="15"/>
      <c r="OFD1108" s="15"/>
      <c r="OFG1108" s="15"/>
      <c r="OFH1108" s="15"/>
      <c r="OFK1108" s="15"/>
      <c r="OFL1108" s="15"/>
      <c r="OFO1108" s="15"/>
      <c r="OFP1108" s="15"/>
      <c r="OFS1108" s="15"/>
      <c r="OFT1108" s="15"/>
      <c r="OFW1108" s="15"/>
      <c r="OFX1108" s="15"/>
      <c r="OGA1108" s="15"/>
      <c r="OGB1108" s="15"/>
      <c r="OGE1108" s="15"/>
      <c r="OGF1108" s="15"/>
      <c r="OGI1108" s="15"/>
      <c r="OGJ1108" s="15"/>
      <c r="OGM1108" s="15"/>
      <c r="OGN1108" s="15"/>
      <c r="OGQ1108" s="15"/>
      <c r="OGR1108" s="15"/>
      <c r="OGU1108" s="15"/>
      <c r="OGV1108" s="15"/>
      <c r="OGY1108" s="15"/>
      <c r="OGZ1108" s="15"/>
      <c r="OHC1108" s="15"/>
      <c r="OHD1108" s="15"/>
      <c r="OHG1108" s="15"/>
      <c r="OHH1108" s="15"/>
      <c r="OHK1108" s="15"/>
      <c r="OHL1108" s="15"/>
      <c r="OHO1108" s="15"/>
      <c r="OHP1108" s="15"/>
      <c r="OHS1108" s="15"/>
      <c r="OHT1108" s="15"/>
      <c r="OHW1108" s="15"/>
      <c r="OHX1108" s="15"/>
      <c r="OIA1108" s="15"/>
      <c r="OIB1108" s="15"/>
      <c r="OIE1108" s="15"/>
      <c r="OIF1108" s="15"/>
      <c r="OII1108" s="15"/>
      <c r="OIJ1108" s="15"/>
      <c r="OIM1108" s="15"/>
      <c r="OIN1108" s="15"/>
      <c r="OIQ1108" s="15"/>
      <c r="OIR1108" s="15"/>
      <c r="OIU1108" s="15"/>
      <c r="OIV1108" s="15"/>
      <c r="OIY1108" s="15"/>
      <c r="OIZ1108" s="15"/>
      <c r="OJC1108" s="15"/>
      <c r="OJD1108" s="15"/>
      <c r="OJG1108" s="15"/>
      <c r="OJH1108" s="15"/>
      <c r="OJK1108" s="15"/>
      <c r="OJL1108" s="15"/>
      <c r="OJO1108" s="15"/>
      <c r="OJP1108" s="15"/>
      <c r="OJS1108" s="15"/>
      <c r="OJT1108" s="15"/>
      <c r="OJW1108" s="15"/>
      <c r="OJX1108" s="15"/>
      <c r="OKA1108" s="15"/>
      <c r="OKB1108" s="15"/>
      <c r="OKE1108" s="15"/>
      <c r="OKF1108" s="15"/>
      <c r="OKI1108" s="15"/>
      <c r="OKJ1108" s="15"/>
      <c r="OKM1108" s="15"/>
      <c r="OKN1108" s="15"/>
      <c r="OKQ1108" s="15"/>
      <c r="OKR1108" s="15"/>
      <c r="OKU1108" s="15"/>
      <c r="OKV1108" s="15"/>
      <c r="OKY1108" s="15"/>
      <c r="OKZ1108" s="15"/>
      <c r="OLC1108" s="15"/>
      <c r="OLD1108" s="15"/>
      <c r="OLG1108" s="15"/>
      <c r="OLH1108" s="15"/>
      <c r="OLK1108" s="15"/>
      <c r="OLL1108" s="15"/>
      <c r="OLO1108" s="15"/>
      <c r="OLP1108" s="15"/>
      <c r="OLS1108" s="15"/>
      <c r="OLT1108" s="15"/>
      <c r="OLW1108" s="15"/>
      <c r="OLX1108" s="15"/>
      <c r="OMA1108" s="15"/>
      <c r="OMB1108" s="15"/>
      <c r="OME1108" s="15"/>
      <c r="OMF1108" s="15"/>
      <c r="OMI1108" s="15"/>
      <c r="OMJ1108" s="15"/>
      <c r="OMM1108" s="15"/>
      <c r="OMN1108" s="15"/>
      <c r="OMQ1108" s="15"/>
      <c r="OMR1108" s="15"/>
      <c r="OMU1108" s="15"/>
      <c r="OMV1108" s="15"/>
      <c r="OMY1108" s="15"/>
      <c r="OMZ1108" s="15"/>
      <c r="ONC1108" s="15"/>
      <c r="OND1108" s="15"/>
      <c r="ONG1108" s="15"/>
      <c r="ONH1108" s="15"/>
      <c r="ONK1108" s="15"/>
      <c r="ONL1108" s="15"/>
      <c r="ONO1108" s="15"/>
      <c r="ONP1108" s="15"/>
      <c r="ONS1108" s="15"/>
      <c r="ONT1108" s="15"/>
      <c r="ONW1108" s="15"/>
      <c r="ONX1108" s="15"/>
      <c r="OOA1108" s="15"/>
      <c r="OOB1108" s="15"/>
      <c r="OOE1108" s="15"/>
      <c r="OOF1108" s="15"/>
      <c r="OOI1108" s="15"/>
      <c r="OOJ1108" s="15"/>
      <c r="OOM1108" s="15"/>
      <c r="OON1108" s="15"/>
      <c r="OOQ1108" s="15"/>
      <c r="OOR1108" s="15"/>
      <c r="OOU1108" s="15"/>
      <c r="OOV1108" s="15"/>
      <c r="OOY1108" s="15"/>
      <c r="OOZ1108" s="15"/>
      <c r="OPC1108" s="15"/>
      <c r="OPD1108" s="15"/>
      <c r="OPG1108" s="15"/>
      <c r="OPH1108" s="15"/>
      <c r="OPK1108" s="15"/>
      <c r="OPL1108" s="15"/>
      <c r="OPO1108" s="15"/>
      <c r="OPP1108" s="15"/>
      <c r="OPS1108" s="15"/>
      <c r="OPT1108" s="15"/>
      <c r="OPW1108" s="15"/>
      <c r="OPX1108" s="15"/>
      <c r="OQA1108" s="15"/>
      <c r="OQB1108" s="15"/>
      <c r="OQE1108" s="15"/>
      <c r="OQF1108" s="15"/>
      <c r="OQI1108" s="15"/>
      <c r="OQJ1108" s="15"/>
      <c r="OQM1108" s="15"/>
      <c r="OQN1108" s="15"/>
      <c r="OQQ1108" s="15"/>
      <c r="OQR1108" s="15"/>
      <c r="OQU1108" s="15"/>
      <c r="OQV1108" s="15"/>
      <c r="OQY1108" s="15"/>
      <c r="OQZ1108" s="15"/>
      <c r="ORC1108" s="15"/>
      <c r="ORD1108" s="15"/>
      <c r="ORG1108" s="15"/>
      <c r="ORH1108" s="15"/>
      <c r="ORK1108" s="15"/>
      <c r="ORL1108" s="15"/>
      <c r="ORO1108" s="15"/>
      <c r="ORP1108" s="15"/>
      <c r="ORS1108" s="15"/>
      <c r="ORT1108" s="15"/>
      <c r="ORW1108" s="15"/>
      <c r="ORX1108" s="15"/>
      <c r="OSA1108" s="15"/>
      <c r="OSB1108" s="15"/>
      <c r="OSE1108" s="15"/>
      <c r="OSF1108" s="15"/>
      <c r="OSI1108" s="15"/>
      <c r="OSJ1108" s="15"/>
      <c r="OSM1108" s="15"/>
      <c r="OSN1108" s="15"/>
      <c r="OSQ1108" s="15"/>
      <c r="OSR1108" s="15"/>
      <c r="OSU1108" s="15"/>
      <c r="OSV1108" s="15"/>
      <c r="OSY1108" s="15"/>
      <c r="OSZ1108" s="15"/>
      <c r="OTC1108" s="15"/>
      <c r="OTD1108" s="15"/>
      <c r="OTG1108" s="15"/>
      <c r="OTH1108" s="15"/>
      <c r="OTK1108" s="15"/>
      <c r="OTL1108" s="15"/>
      <c r="OTO1108" s="15"/>
      <c r="OTP1108" s="15"/>
      <c r="OTS1108" s="15"/>
      <c r="OTT1108" s="15"/>
      <c r="OTW1108" s="15"/>
      <c r="OTX1108" s="15"/>
      <c r="OUA1108" s="15"/>
      <c r="OUB1108" s="15"/>
      <c r="OUE1108" s="15"/>
      <c r="OUF1108" s="15"/>
      <c r="OUI1108" s="15"/>
      <c r="OUJ1108" s="15"/>
      <c r="OUM1108" s="15"/>
      <c r="OUN1108" s="15"/>
      <c r="OUQ1108" s="15"/>
      <c r="OUR1108" s="15"/>
      <c r="OUU1108" s="15"/>
      <c r="OUV1108" s="15"/>
      <c r="OUY1108" s="15"/>
      <c r="OUZ1108" s="15"/>
      <c r="OVC1108" s="15"/>
      <c r="OVD1108" s="15"/>
      <c r="OVG1108" s="15"/>
      <c r="OVH1108" s="15"/>
      <c r="OVK1108" s="15"/>
      <c r="OVL1108" s="15"/>
      <c r="OVO1108" s="15"/>
      <c r="OVP1108" s="15"/>
      <c r="OVS1108" s="15"/>
      <c r="OVT1108" s="15"/>
      <c r="OVW1108" s="15"/>
      <c r="OVX1108" s="15"/>
      <c r="OWA1108" s="15"/>
      <c r="OWB1108" s="15"/>
      <c r="OWE1108" s="15"/>
      <c r="OWF1108" s="15"/>
      <c r="OWI1108" s="15"/>
      <c r="OWJ1108" s="15"/>
      <c r="OWM1108" s="15"/>
      <c r="OWN1108" s="15"/>
      <c r="OWQ1108" s="15"/>
      <c r="OWR1108" s="15"/>
      <c r="OWU1108" s="15"/>
      <c r="OWV1108" s="15"/>
      <c r="OWY1108" s="15"/>
      <c r="OWZ1108" s="15"/>
      <c r="OXC1108" s="15"/>
      <c r="OXD1108" s="15"/>
      <c r="OXG1108" s="15"/>
      <c r="OXH1108" s="15"/>
      <c r="OXK1108" s="15"/>
      <c r="OXL1108" s="15"/>
      <c r="OXO1108" s="15"/>
      <c r="OXP1108" s="15"/>
      <c r="OXS1108" s="15"/>
      <c r="OXT1108" s="15"/>
      <c r="OXW1108" s="15"/>
      <c r="OXX1108" s="15"/>
      <c r="OYA1108" s="15"/>
      <c r="OYB1108" s="15"/>
      <c r="OYE1108" s="15"/>
      <c r="OYF1108" s="15"/>
      <c r="OYI1108" s="15"/>
      <c r="OYJ1108" s="15"/>
      <c r="OYM1108" s="15"/>
      <c r="OYN1108" s="15"/>
      <c r="OYQ1108" s="15"/>
      <c r="OYR1108" s="15"/>
      <c r="OYU1108" s="15"/>
      <c r="OYV1108" s="15"/>
      <c r="OYY1108" s="15"/>
      <c r="OYZ1108" s="15"/>
      <c r="OZC1108" s="15"/>
      <c r="OZD1108" s="15"/>
      <c r="OZG1108" s="15"/>
      <c r="OZH1108" s="15"/>
      <c r="OZK1108" s="15"/>
      <c r="OZL1108" s="15"/>
      <c r="OZO1108" s="15"/>
      <c r="OZP1108" s="15"/>
      <c r="OZS1108" s="15"/>
      <c r="OZT1108" s="15"/>
      <c r="OZW1108" s="15"/>
      <c r="OZX1108" s="15"/>
      <c r="PAA1108" s="15"/>
      <c r="PAB1108" s="15"/>
      <c r="PAE1108" s="15"/>
      <c r="PAF1108" s="15"/>
      <c r="PAI1108" s="15"/>
      <c r="PAJ1108" s="15"/>
      <c r="PAM1108" s="15"/>
      <c r="PAN1108" s="15"/>
      <c r="PAQ1108" s="15"/>
      <c r="PAR1108" s="15"/>
      <c r="PAU1108" s="15"/>
      <c r="PAV1108" s="15"/>
      <c r="PAY1108" s="15"/>
      <c r="PAZ1108" s="15"/>
      <c r="PBC1108" s="15"/>
      <c r="PBD1108" s="15"/>
      <c r="PBG1108" s="15"/>
      <c r="PBH1108" s="15"/>
      <c r="PBK1108" s="15"/>
      <c r="PBL1108" s="15"/>
      <c r="PBO1108" s="15"/>
      <c r="PBP1108" s="15"/>
      <c r="PBS1108" s="15"/>
      <c r="PBT1108" s="15"/>
      <c r="PBW1108" s="15"/>
      <c r="PBX1108" s="15"/>
      <c r="PCA1108" s="15"/>
      <c r="PCB1108" s="15"/>
      <c r="PCE1108" s="15"/>
      <c r="PCF1108" s="15"/>
      <c r="PCI1108" s="15"/>
      <c r="PCJ1108" s="15"/>
      <c r="PCM1108" s="15"/>
      <c r="PCN1108" s="15"/>
      <c r="PCQ1108" s="15"/>
      <c r="PCR1108" s="15"/>
      <c r="PCU1108" s="15"/>
      <c r="PCV1108" s="15"/>
      <c r="PCY1108" s="15"/>
      <c r="PCZ1108" s="15"/>
      <c r="PDC1108" s="15"/>
      <c r="PDD1108" s="15"/>
      <c r="PDG1108" s="15"/>
      <c r="PDH1108" s="15"/>
      <c r="PDK1108" s="15"/>
      <c r="PDL1108" s="15"/>
      <c r="PDO1108" s="15"/>
      <c r="PDP1108" s="15"/>
      <c r="PDS1108" s="15"/>
      <c r="PDT1108" s="15"/>
      <c r="PDW1108" s="15"/>
      <c r="PDX1108" s="15"/>
      <c r="PEA1108" s="15"/>
      <c r="PEB1108" s="15"/>
      <c r="PEE1108" s="15"/>
      <c r="PEF1108" s="15"/>
      <c r="PEI1108" s="15"/>
      <c r="PEJ1108" s="15"/>
      <c r="PEM1108" s="15"/>
      <c r="PEN1108" s="15"/>
      <c r="PEQ1108" s="15"/>
      <c r="PER1108" s="15"/>
      <c r="PEU1108" s="15"/>
      <c r="PEV1108" s="15"/>
      <c r="PEY1108" s="15"/>
      <c r="PEZ1108" s="15"/>
      <c r="PFC1108" s="15"/>
      <c r="PFD1108" s="15"/>
      <c r="PFG1108" s="15"/>
      <c r="PFH1108" s="15"/>
      <c r="PFK1108" s="15"/>
      <c r="PFL1108" s="15"/>
      <c r="PFO1108" s="15"/>
      <c r="PFP1108" s="15"/>
      <c r="PFS1108" s="15"/>
      <c r="PFT1108" s="15"/>
      <c r="PFW1108" s="15"/>
      <c r="PFX1108" s="15"/>
      <c r="PGA1108" s="15"/>
      <c r="PGB1108" s="15"/>
      <c r="PGE1108" s="15"/>
      <c r="PGF1108" s="15"/>
      <c r="PGI1108" s="15"/>
      <c r="PGJ1108" s="15"/>
      <c r="PGM1108" s="15"/>
      <c r="PGN1108" s="15"/>
      <c r="PGQ1108" s="15"/>
      <c r="PGR1108" s="15"/>
      <c r="PGU1108" s="15"/>
      <c r="PGV1108" s="15"/>
      <c r="PGY1108" s="15"/>
      <c r="PGZ1108" s="15"/>
      <c r="PHC1108" s="15"/>
      <c r="PHD1108" s="15"/>
      <c r="PHG1108" s="15"/>
      <c r="PHH1108" s="15"/>
      <c r="PHK1108" s="15"/>
      <c r="PHL1108" s="15"/>
      <c r="PHO1108" s="15"/>
      <c r="PHP1108" s="15"/>
      <c r="PHS1108" s="15"/>
      <c r="PHT1108" s="15"/>
      <c r="PHW1108" s="15"/>
      <c r="PHX1108" s="15"/>
      <c r="PIA1108" s="15"/>
      <c r="PIB1108" s="15"/>
      <c r="PIE1108" s="15"/>
      <c r="PIF1108" s="15"/>
      <c r="PII1108" s="15"/>
      <c r="PIJ1108" s="15"/>
      <c r="PIM1108" s="15"/>
      <c r="PIN1108" s="15"/>
      <c r="PIQ1108" s="15"/>
      <c r="PIR1108" s="15"/>
      <c r="PIU1108" s="15"/>
      <c r="PIV1108" s="15"/>
      <c r="PIY1108" s="15"/>
      <c r="PIZ1108" s="15"/>
      <c r="PJC1108" s="15"/>
      <c r="PJD1108" s="15"/>
      <c r="PJG1108" s="15"/>
      <c r="PJH1108" s="15"/>
      <c r="PJK1108" s="15"/>
      <c r="PJL1108" s="15"/>
      <c r="PJO1108" s="15"/>
      <c r="PJP1108" s="15"/>
      <c r="PJS1108" s="15"/>
      <c r="PJT1108" s="15"/>
      <c r="PJW1108" s="15"/>
      <c r="PJX1108" s="15"/>
      <c r="PKA1108" s="15"/>
      <c r="PKB1108" s="15"/>
      <c r="PKE1108" s="15"/>
      <c r="PKF1108" s="15"/>
      <c r="PKI1108" s="15"/>
      <c r="PKJ1108" s="15"/>
      <c r="PKM1108" s="15"/>
      <c r="PKN1108" s="15"/>
      <c r="PKQ1108" s="15"/>
      <c r="PKR1108" s="15"/>
      <c r="PKU1108" s="15"/>
      <c r="PKV1108" s="15"/>
      <c r="PKY1108" s="15"/>
      <c r="PKZ1108" s="15"/>
      <c r="PLC1108" s="15"/>
      <c r="PLD1108" s="15"/>
      <c r="PLG1108" s="15"/>
      <c r="PLH1108" s="15"/>
      <c r="PLK1108" s="15"/>
      <c r="PLL1108" s="15"/>
      <c r="PLO1108" s="15"/>
      <c r="PLP1108" s="15"/>
      <c r="PLS1108" s="15"/>
      <c r="PLT1108" s="15"/>
      <c r="PLW1108" s="15"/>
      <c r="PLX1108" s="15"/>
      <c r="PMA1108" s="15"/>
      <c r="PMB1108" s="15"/>
      <c r="PME1108" s="15"/>
      <c r="PMF1108" s="15"/>
      <c r="PMI1108" s="15"/>
      <c r="PMJ1108" s="15"/>
      <c r="PMM1108" s="15"/>
      <c r="PMN1108" s="15"/>
      <c r="PMQ1108" s="15"/>
      <c r="PMR1108" s="15"/>
      <c r="PMU1108" s="15"/>
      <c r="PMV1108" s="15"/>
      <c r="PMY1108" s="15"/>
      <c r="PMZ1108" s="15"/>
      <c r="PNC1108" s="15"/>
      <c r="PND1108" s="15"/>
      <c r="PNG1108" s="15"/>
      <c r="PNH1108" s="15"/>
      <c r="PNK1108" s="15"/>
      <c r="PNL1108" s="15"/>
      <c r="PNO1108" s="15"/>
      <c r="PNP1108" s="15"/>
      <c r="PNS1108" s="15"/>
      <c r="PNT1108" s="15"/>
      <c r="PNW1108" s="15"/>
      <c r="PNX1108" s="15"/>
      <c r="POA1108" s="15"/>
      <c r="POB1108" s="15"/>
      <c r="POE1108" s="15"/>
      <c r="POF1108" s="15"/>
      <c r="POI1108" s="15"/>
      <c r="POJ1108" s="15"/>
      <c r="POM1108" s="15"/>
      <c r="PON1108" s="15"/>
      <c r="POQ1108" s="15"/>
      <c r="POR1108" s="15"/>
      <c r="POU1108" s="15"/>
      <c r="POV1108" s="15"/>
      <c r="POY1108" s="15"/>
      <c r="POZ1108" s="15"/>
      <c r="PPC1108" s="15"/>
      <c r="PPD1108" s="15"/>
      <c r="PPG1108" s="15"/>
      <c r="PPH1108" s="15"/>
      <c r="PPK1108" s="15"/>
      <c r="PPL1108" s="15"/>
      <c r="PPO1108" s="15"/>
      <c r="PPP1108" s="15"/>
      <c r="PPS1108" s="15"/>
      <c r="PPT1108" s="15"/>
      <c r="PPW1108" s="15"/>
      <c r="PPX1108" s="15"/>
      <c r="PQA1108" s="15"/>
      <c r="PQB1108" s="15"/>
      <c r="PQE1108" s="15"/>
      <c r="PQF1108" s="15"/>
      <c r="PQI1108" s="15"/>
      <c r="PQJ1108" s="15"/>
      <c r="PQM1108" s="15"/>
      <c r="PQN1108" s="15"/>
      <c r="PQQ1108" s="15"/>
      <c r="PQR1108" s="15"/>
      <c r="PQU1108" s="15"/>
      <c r="PQV1108" s="15"/>
      <c r="PQY1108" s="15"/>
      <c r="PQZ1108" s="15"/>
      <c r="PRC1108" s="15"/>
      <c r="PRD1108" s="15"/>
      <c r="PRG1108" s="15"/>
      <c r="PRH1108" s="15"/>
      <c r="PRK1108" s="15"/>
      <c r="PRL1108" s="15"/>
      <c r="PRO1108" s="15"/>
      <c r="PRP1108" s="15"/>
      <c r="PRS1108" s="15"/>
      <c r="PRT1108" s="15"/>
      <c r="PRW1108" s="15"/>
      <c r="PRX1108" s="15"/>
      <c r="PSA1108" s="15"/>
      <c r="PSB1108" s="15"/>
      <c r="PSE1108" s="15"/>
      <c r="PSF1108" s="15"/>
      <c r="PSI1108" s="15"/>
      <c r="PSJ1108" s="15"/>
      <c r="PSM1108" s="15"/>
      <c r="PSN1108" s="15"/>
      <c r="PSQ1108" s="15"/>
      <c r="PSR1108" s="15"/>
      <c r="PSU1108" s="15"/>
      <c r="PSV1108" s="15"/>
      <c r="PSY1108" s="15"/>
      <c r="PSZ1108" s="15"/>
      <c r="PTC1108" s="15"/>
      <c r="PTD1108" s="15"/>
      <c r="PTG1108" s="15"/>
      <c r="PTH1108" s="15"/>
      <c r="PTK1108" s="15"/>
      <c r="PTL1108" s="15"/>
      <c r="PTO1108" s="15"/>
      <c r="PTP1108" s="15"/>
      <c r="PTS1108" s="15"/>
      <c r="PTT1108" s="15"/>
      <c r="PTW1108" s="15"/>
      <c r="PTX1108" s="15"/>
      <c r="PUA1108" s="15"/>
      <c r="PUB1108" s="15"/>
      <c r="PUE1108" s="15"/>
      <c r="PUF1108" s="15"/>
      <c r="PUI1108" s="15"/>
      <c r="PUJ1108" s="15"/>
      <c r="PUM1108" s="15"/>
      <c r="PUN1108" s="15"/>
      <c r="PUQ1108" s="15"/>
      <c r="PUR1108" s="15"/>
      <c r="PUU1108" s="15"/>
      <c r="PUV1108" s="15"/>
      <c r="PUY1108" s="15"/>
      <c r="PUZ1108" s="15"/>
      <c r="PVC1108" s="15"/>
      <c r="PVD1108" s="15"/>
      <c r="PVG1108" s="15"/>
      <c r="PVH1108" s="15"/>
      <c r="PVK1108" s="15"/>
      <c r="PVL1108" s="15"/>
      <c r="PVO1108" s="15"/>
      <c r="PVP1108" s="15"/>
      <c r="PVS1108" s="15"/>
      <c r="PVT1108" s="15"/>
      <c r="PVW1108" s="15"/>
      <c r="PVX1108" s="15"/>
      <c r="PWA1108" s="15"/>
      <c r="PWB1108" s="15"/>
      <c r="PWE1108" s="15"/>
      <c r="PWF1108" s="15"/>
      <c r="PWI1108" s="15"/>
      <c r="PWJ1108" s="15"/>
      <c r="PWM1108" s="15"/>
      <c r="PWN1108" s="15"/>
      <c r="PWQ1108" s="15"/>
      <c r="PWR1108" s="15"/>
      <c r="PWU1108" s="15"/>
      <c r="PWV1108" s="15"/>
      <c r="PWY1108" s="15"/>
      <c r="PWZ1108" s="15"/>
      <c r="PXC1108" s="15"/>
      <c r="PXD1108" s="15"/>
      <c r="PXG1108" s="15"/>
      <c r="PXH1108" s="15"/>
      <c r="PXK1108" s="15"/>
      <c r="PXL1108" s="15"/>
      <c r="PXO1108" s="15"/>
      <c r="PXP1108" s="15"/>
      <c r="PXS1108" s="15"/>
      <c r="PXT1108" s="15"/>
      <c r="PXW1108" s="15"/>
      <c r="PXX1108" s="15"/>
      <c r="PYA1108" s="15"/>
      <c r="PYB1108" s="15"/>
      <c r="PYE1108" s="15"/>
      <c r="PYF1108" s="15"/>
      <c r="PYI1108" s="15"/>
      <c r="PYJ1108" s="15"/>
      <c r="PYM1108" s="15"/>
      <c r="PYN1108" s="15"/>
      <c r="PYQ1108" s="15"/>
      <c r="PYR1108" s="15"/>
      <c r="PYU1108" s="15"/>
      <c r="PYV1108" s="15"/>
      <c r="PYY1108" s="15"/>
      <c r="PYZ1108" s="15"/>
      <c r="PZC1108" s="15"/>
      <c r="PZD1108" s="15"/>
      <c r="PZG1108" s="15"/>
      <c r="PZH1108" s="15"/>
      <c r="PZK1108" s="15"/>
      <c r="PZL1108" s="15"/>
      <c r="PZO1108" s="15"/>
      <c r="PZP1108" s="15"/>
      <c r="PZS1108" s="15"/>
      <c r="PZT1108" s="15"/>
      <c r="PZW1108" s="15"/>
      <c r="PZX1108" s="15"/>
      <c r="QAA1108" s="15"/>
      <c r="QAB1108" s="15"/>
      <c r="QAE1108" s="15"/>
      <c r="QAF1108" s="15"/>
      <c r="QAI1108" s="15"/>
      <c r="QAJ1108" s="15"/>
      <c r="QAM1108" s="15"/>
      <c r="QAN1108" s="15"/>
      <c r="QAQ1108" s="15"/>
      <c r="QAR1108" s="15"/>
      <c r="QAU1108" s="15"/>
      <c r="QAV1108" s="15"/>
      <c r="QAY1108" s="15"/>
      <c r="QAZ1108" s="15"/>
      <c r="QBC1108" s="15"/>
      <c r="QBD1108" s="15"/>
      <c r="QBG1108" s="15"/>
      <c r="QBH1108" s="15"/>
      <c r="QBK1108" s="15"/>
      <c r="QBL1108" s="15"/>
      <c r="QBO1108" s="15"/>
      <c r="QBP1108" s="15"/>
      <c r="QBS1108" s="15"/>
      <c r="QBT1108" s="15"/>
      <c r="QBW1108" s="15"/>
      <c r="QBX1108" s="15"/>
      <c r="QCA1108" s="15"/>
      <c r="QCB1108" s="15"/>
      <c r="QCE1108" s="15"/>
      <c r="QCF1108" s="15"/>
      <c r="QCI1108" s="15"/>
      <c r="QCJ1108" s="15"/>
      <c r="QCM1108" s="15"/>
      <c r="QCN1108" s="15"/>
      <c r="QCQ1108" s="15"/>
      <c r="QCR1108" s="15"/>
      <c r="QCU1108" s="15"/>
      <c r="QCV1108" s="15"/>
      <c r="QCY1108" s="15"/>
      <c r="QCZ1108" s="15"/>
      <c r="QDC1108" s="15"/>
      <c r="QDD1108" s="15"/>
      <c r="QDG1108" s="15"/>
      <c r="QDH1108" s="15"/>
      <c r="QDK1108" s="15"/>
      <c r="QDL1108" s="15"/>
      <c r="QDO1108" s="15"/>
      <c r="QDP1108" s="15"/>
      <c r="QDS1108" s="15"/>
      <c r="QDT1108" s="15"/>
      <c r="QDW1108" s="15"/>
      <c r="QDX1108" s="15"/>
      <c r="QEA1108" s="15"/>
      <c r="QEB1108" s="15"/>
      <c r="QEE1108" s="15"/>
      <c r="QEF1108" s="15"/>
      <c r="QEI1108" s="15"/>
      <c r="QEJ1108" s="15"/>
      <c r="QEM1108" s="15"/>
      <c r="QEN1108" s="15"/>
      <c r="QEQ1108" s="15"/>
      <c r="QER1108" s="15"/>
      <c r="QEU1108" s="15"/>
      <c r="QEV1108" s="15"/>
      <c r="QEY1108" s="15"/>
      <c r="QEZ1108" s="15"/>
      <c r="QFC1108" s="15"/>
      <c r="QFD1108" s="15"/>
      <c r="QFG1108" s="15"/>
      <c r="QFH1108" s="15"/>
      <c r="QFK1108" s="15"/>
      <c r="QFL1108" s="15"/>
      <c r="QFO1108" s="15"/>
      <c r="QFP1108" s="15"/>
      <c r="QFS1108" s="15"/>
      <c r="QFT1108" s="15"/>
      <c r="QFW1108" s="15"/>
      <c r="QFX1108" s="15"/>
      <c r="QGA1108" s="15"/>
      <c r="QGB1108" s="15"/>
      <c r="QGE1108" s="15"/>
      <c r="QGF1108" s="15"/>
      <c r="QGI1108" s="15"/>
      <c r="QGJ1108" s="15"/>
      <c r="QGM1108" s="15"/>
      <c r="QGN1108" s="15"/>
      <c r="QGQ1108" s="15"/>
      <c r="QGR1108" s="15"/>
      <c r="QGU1108" s="15"/>
      <c r="QGV1108" s="15"/>
      <c r="QGY1108" s="15"/>
      <c r="QGZ1108" s="15"/>
      <c r="QHC1108" s="15"/>
      <c r="QHD1108" s="15"/>
      <c r="QHG1108" s="15"/>
      <c r="QHH1108" s="15"/>
      <c r="QHK1108" s="15"/>
      <c r="QHL1108" s="15"/>
      <c r="QHO1108" s="15"/>
      <c r="QHP1108" s="15"/>
      <c r="QHS1108" s="15"/>
      <c r="QHT1108" s="15"/>
      <c r="QHW1108" s="15"/>
      <c r="QHX1108" s="15"/>
      <c r="QIA1108" s="15"/>
      <c r="QIB1108" s="15"/>
      <c r="QIE1108" s="15"/>
      <c r="QIF1108" s="15"/>
      <c r="QII1108" s="15"/>
      <c r="QIJ1108" s="15"/>
      <c r="QIM1108" s="15"/>
      <c r="QIN1108" s="15"/>
      <c r="QIQ1108" s="15"/>
      <c r="QIR1108" s="15"/>
      <c r="QIU1108" s="15"/>
      <c r="QIV1108" s="15"/>
      <c r="QIY1108" s="15"/>
      <c r="QIZ1108" s="15"/>
      <c r="QJC1108" s="15"/>
      <c r="QJD1108" s="15"/>
      <c r="QJG1108" s="15"/>
      <c r="QJH1108" s="15"/>
      <c r="QJK1108" s="15"/>
      <c r="QJL1108" s="15"/>
      <c r="QJO1108" s="15"/>
      <c r="QJP1108" s="15"/>
      <c r="QJS1108" s="15"/>
      <c r="QJT1108" s="15"/>
      <c r="QJW1108" s="15"/>
      <c r="QJX1108" s="15"/>
      <c r="QKA1108" s="15"/>
      <c r="QKB1108" s="15"/>
      <c r="QKE1108" s="15"/>
      <c r="QKF1108" s="15"/>
      <c r="QKI1108" s="15"/>
      <c r="QKJ1108" s="15"/>
      <c r="QKM1108" s="15"/>
      <c r="QKN1108" s="15"/>
      <c r="QKQ1108" s="15"/>
      <c r="QKR1108" s="15"/>
      <c r="QKU1108" s="15"/>
      <c r="QKV1108" s="15"/>
      <c r="QKY1108" s="15"/>
      <c r="QKZ1108" s="15"/>
      <c r="QLC1108" s="15"/>
      <c r="QLD1108" s="15"/>
      <c r="QLG1108" s="15"/>
      <c r="QLH1108" s="15"/>
      <c r="QLK1108" s="15"/>
      <c r="QLL1108" s="15"/>
      <c r="QLO1108" s="15"/>
      <c r="QLP1108" s="15"/>
      <c r="QLS1108" s="15"/>
      <c r="QLT1108" s="15"/>
      <c r="QLW1108" s="15"/>
      <c r="QLX1108" s="15"/>
      <c r="QMA1108" s="15"/>
      <c r="QMB1108" s="15"/>
      <c r="QME1108" s="15"/>
      <c r="QMF1108" s="15"/>
      <c r="QMI1108" s="15"/>
      <c r="QMJ1108" s="15"/>
      <c r="QMM1108" s="15"/>
      <c r="QMN1108" s="15"/>
      <c r="QMQ1108" s="15"/>
      <c r="QMR1108" s="15"/>
      <c r="QMU1108" s="15"/>
      <c r="QMV1108" s="15"/>
      <c r="QMY1108" s="15"/>
      <c r="QMZ1108" s="15"/>
      <c r="QNC1108" s="15"/>
      <c r="QND1108" s="15"/>
      <c r="QNG1108" s="15"/>
      <c r="QNH1108" s="15"/>
      <c r="QNK1108" s="15"/>
      <c r="QNL1108" s="15"/>
      <c r="QNO1108" s="15"/>
      <c r="QNP1108" s="15"/>
      <c r="QNS1108" s="15"/>
      <c r="QNT1108" s="15"/>
      <c r="QNW1108" s="15"/>
      <c r="QNX1108" s="15"/>
      <c r="QOA1108" s="15"/>
      <c r="QOB1108" s="15"/>
      <c r="QOE1108" s="15"/>
      <c r="QOF1108" s="15"/>
      <c r="QOI1108" s="15"/>
      <c r="QOJ1108" s="15"/>
      <c r="QOM1108" s="15"/>
      <c r="QON1108" s="15"/>
      <c r="QOQ1108" s="15"/>
      <c r="QOR1108" s="15"/>
      <c r="QOU1108" s="15"/>
      <c r="QOV1108" s="15"/>
      <c r="QOY1108" s="15"/>
      <c r="QOZ1108" s="15"/>
      <c r="QPC1108" s="15"/>
      <c r="QPD1108" s="15"/>
      <c r="QPG1108" s="15"/>
      <c r="QPH1108" s="15"/>
      <c r="QPK1108" s="15"/>
      <c r="QPL1108" s="15"/>
      <c r="QPO1108" s="15"/>
      <c r="QPP1108" s="15"/>
      <c r="QPS1108" s="15"/>
      <c r="QPT1108" s="15"/>
      <c r="QPW1108" s="15"/>
      <c r="QPX1108" s="15"/>
      <c r="QQA1108" s="15"/>
      <c r="QQB1108" s="15"/>
      <c r="QQE1108" s="15"/>
      <c r="QQF1108" s="15"/>
      <c r="QQI1108" s="15"/>
      <c r="QQJ1108" s="15"/>
      <c r="QQM1108" s="15"/>
      <c r="QQN1108" s="15"/>
      <c r="QQQ1108" s="15"/>
      <c r="QQR1108" s="15"/>
      <c r="QQU1108" s="15"/>
      <c r="QQV1108" s="15"/>
      <c r="QQY1108" s="15"/>
      <c r="QQZ1108" s="15"/>
      <c r="QRC1108" s="15"/>
      <c r="QRD1108" s="15"/>
      <c r="QRG1108" s="15"/>
      <c r="QRH1108" s="15"/>
      <c r="QRK1108" s="15"/>
      <c r="QRL1108" s="15"/>
      <c r="QRO1108" s="15"/>
      <c r="QRP1108" s="15"/>
      <c r="QRS1108" s="15"/>
      <c r="QRT1108" s="15"/>
      <c r="QRW1108" s="15"/>
      <c r="QRX1108" s="15"/>
      <c r="QSA1108" s="15"/>
      <c r="QSB1108" s="15"/>
      <c r="QSE1108" s="15"/>
      <c r="QSF1108" s="15"/>
      <c r="QSI1108" s="15"/>
      <c r="QSJ1108" s="15"/>
      <c r="QSM1108" s="15"/>
      <c r="QSN1108" s="15"/>
      <c r="QSQ1108" s="15"/>
      <c r="QSR1108" s="15"/>
      <c r="QSU1108" s="15"/>
      <c r="QSV1108" s="15"/>
      <c r="QSY1108" s="15"/>
      <c r="QSZ1108" s="15"/>
      <c r="QTC1108" s="15"/>
      <c r="QTD1108" s="15"/>
      <c r="QTG1108" s="15"/>
      <c r="QTH1108" s="15"/>
      <c r="QTK1108" s="15"/>
      <c r="QTL1108" s="15"/>
      <c r="QTO1108" s="15"/>
      <c r="QTP1108" s="15"/>
      <c r="QTS1108" s="15"/>
      <c r="QTT1108" s="15"/>
      <c r="QTW1108" s="15"/>
      <c r="QTX1108" s="15"/>
      <c r="QUA1108" s="15"/>
      <c r="QUB1108" s="15"/>
      <c r="QUE1108" s="15"/>
      <c r="QUF1108" s="15"/>
      <c r="QUI1108" s="15"/>
      <c r="QUJ1108" s="15"/>
      <c r="QUM1108" s="15"/>
      <c r="QUN1108" s="15"/>
      <c r="QUQ1108" s="15"/>
      <c r="QUR1108" s="15"/>
      <c r="QUU1108" s="15"/>
      <c r="QUV1108" s="15"/>
      <c r="QUY1108" s="15"/>
      <c r="QUZ1108" s="15"/>
      <c r="QVC1108" s="15"/>
      <c r="QVD1108" s="15"/>
      <c r="QVG1108" s="15"/>
      <c r="QVH1108" s="15"/>
      <c r="QVK1108" s="15"/>
      <c r="QVL1108" s="15"/>
      <c r="QVO1108" s="15"/>
      <c r="QVP1108" s="15"/>
      <c r="QVS1108" s="15"/>
      <c r="QVT1108" s="15"/>
      <c r="QVW1108" s="15"/>
      <c r="QVX1108" s="15"/>
      <c r="QWA1108" s="15"/>
      <c r="QWB1108" s="15"/>
      <c r="QWE1108" s="15"/>
      <c r="QWF1108" s="15"/>
      <c r="QWI1108" s="15"/>
      <c r="QWJ1108" s="15"/>
      <c r="QWM1108" s="15"/>
      <c r="QWN1108" s="15"/>
      <c r="QWQ1108" s="15"/>
      <c r="QWR1108" s="15"/>
      <c r="QWU1108" s="15"/>
      <c r="QWV1108" s="15"/>
      <c r="QWY1108" s="15"/>
      <c r="QWZ1108" s="15"/>
      <c r="QXC1108" s="15"/>
      <c r="QXD1108" s="15"/>
      <c r="QXG1108" s="15"/>
      <c r="QXH1108" s="15"/>
      <c r="QXK1108" s="15"/>
      <c r="QXL1108" s="15"/>
      <c r="QXO1108" s="15"/>
      <c r="QXP1108" s="15"/>
      <c r="QXS1108" s="15"/>
      <c r="QXT1108" s="15"/>
      <c r="QXW1108" s="15"/>
      <c r="QXX1108" s="15"/>
      <c r="QYA1108" s="15"/>
      <c r="QYB1108" s="15"/>
      <c r="QYE1108" s="15"/>
      <c r="QYF1108" s="15"/>
      <c r="QYI1108" s="15"/>
      <c r="QYJ1108" s="15"/>
      <c r="QYM1108" s="15"/>
      <c r="QYN1108" s="15"/>
      <c r="QYQ1108" s="15"/>
      <c r="QYR1108" s="15"/>
      <c r="QYU1108" s="15"/>
      <c r="QYV1108" s="15"/>
      <c r="QYY1108" s="15"/>
      <c r="QYZ1108" s="15"/>
      <c r="QZC1108" s="15"/>
      <c r="QZD1108" s="15"/>
      <c r="QZG1108" s="15"/>
      <c r="QZH1108" s="15"/>
      <c r="QZK1108" s="15"/>
      <c r="QZL1108" s="15"/>
      <c r="QZO1108" s="15"/>
      <c r="QZP1108" s="15"/>
      <c r="QZS1108" s="15"/>
      <c r="QZT1108" s="15"/>
      <c r="QZW1108" s="15"/>
      <c r="QZX1108" s="15"/>
      <c r="RAA1108" s="15"/>
      <c r="RAB1108" s="15"/>
      <c r="RAE1108" s="15"/>
      <c r="RAF1108" s="15"/>
      <c r="RAI1108" s="15"/>
      <c r="RAJ1108" s="15"/>
      <c r="RAM1108" s="15"/>
      <c r="RAN1108" s="15"/>
      <c r="RAQ1108" s="15"/>
      <c r="RAR1108" s="15"/>
      <c r="RAU1108" s="15"/>
      <c r="RAV1108" s="15"/>
      <c r="RAY1108" s="15"/>
      <c r="RAZ1108" s="15"/>
      <c r="RBC1108" s="15"/>
      <c r="RBD1108" s="15"/>
      <c r="RBG1108" s="15"/>
      <c r="RBH1108" s="15"/>
      <c r="RBK1108" s="15"/>
      <c r="RBL1108" s="15"/>
      <c r="RBO1108" s="15"/>
      <c r="RBP1108" s="15"/>
      <c r="RBS1108" s="15"/>
      <c r="RBT1108" s="15"/>
      <c r="RBW1108" s="15"/>
      <c r="RBX1108" s="15"/>
      <c r="RCA1108" s="15"/>
      <c r="RCB1108" s="15"/>
      <c r="RCE1108" s="15"/>
      <c r="RCF1108" s="15"/>
      <c r="RCI1108" s="15"/>
      <c r="RCJ1108" s="15"/>
      <c r="RCM1108" s="15"/>
      <c r="RCN1108" s="15"/>
      <c r="RCQ1108" s="15"/>
      <c r="RCR1108" s="15"/>
      <c r="RCU1108" s="15"/>
      <c r="RCV1108" s="15"/>
      <c r="RCY1108" s="15"/>
      <c r="RCZ1108" s="15"/>
      <c r="RDC1108" s="15"/>
      <c r="RDD1108" s="15"/>
      <c r="RDG1108" s="15"/>
      <c r="RDH1108" s="15"/>
      <c r="RDK1108" s="15"/>
      <c r="RDL1108" s="15"/>
      <c r="RDO1108" s="15"/>
      <c r="RDP1108" s="15"/>
      <c r="RDS1108" s="15"/>
      <c r="RDT1108" s="15"/>
      <c r="RDW1108" s="15"/>
      <c r="RDX1108" s="15"/>
      <c r="REA1108" s="15"/>
      <c r="REB1108" s="15"/>
      <c r="REE1108" s="15"/>
      <c r="REF1108" s="15"/>
      <c r="REI1108" s="15"/>
      <c r="REJ1108" s="15"/>
      <c r="REM1108" s="15"/>
      <c r="REN1108" s="15"/>
      <c r="REQ1108" s="15"/>
      <c r="RER1108" s="15"/>
      <c r="REU1108" s="15"/>
      <c r="REV1108" s="15"/>
      <c r="REY1108" s="15"/>
      <c r="REZ1108" s="15"/>
      <c r="RFC1108" s="15"/>
      <c r="RFD1108" s="15"/>
      <c r="RFG1108" s="15"/>
      <c r="RFH1108" s="15"/>
      <c r="RFK1108" s="15"/>
      <c r="RFL1108" s="15"/>
      <c r="RFO1108" s="15"/>
      <c r="RFP1108" s="15"/>
      <c r="RFS1108" s="15"/>
      <c r="RFT1108" s="15"/>
      <c r="RFW1108" s="15"/>
      <c r="RFX1108" s="15"/>
      <c r="RGA1108" s="15"/>
      <c r="RGB1108" s="15"/>
      <c r="RGE1108" s="15"/>
      <c r="RGF1108" s="15"/>
      <c r="RGI1108" s="15"/>
      <c r="RGJ1108" s="15"/>
      <c r="RGM1108" s="15"/>
      <c r="RGN1108" s="15"/>
      <c r="RGQ1108" s="15"/>
      <c r="RGR1108" s="15"/>
      <c r="RGU1108" s="15"/>
      <c r="RGV1108" s="15"/>
      <c r="RGY1108" s="15"/>
      <c r="RGZ1108" s="15"/>
      <c r="RHC1108" s="15"/>
      <c r="RHD1108" s="15"/>
      <c r="RHG1108" s="15"/>
      <c r="RHH1108" s="15"/>
      <c r="RHK1108" s="15"/>
      <c r="RHL1108" s="15"/>
      <c r="RHO1108" s="15"/>
      <c r="RHP1108" s="15"/>
      <c r="RHS1108" s="15"/>
      <c r="RHT1108" s="15"/>
      <c r="RHW1108" s="15"/>
      <c r="RHX1108" s="15"/>
      <c r="RIA1108" s="15"/>
      <c r="RIB1108" s="15"/>
      <c r="RIE1108" s="15"/>
      <c r="RIF1108" s="15"/>
      <c r="RII1108" s="15"/>
      <c r="RIJ1108" s="15"/>
      <c r="RIM1108" s="15"/>
      <c r="RIN1108" s="15"/>
      <c r="RIQ1108" s="15"/>
      <c r="RIR1108" s="15"/>
      <c r="RIU1108" s="15"/>
      <c r="RIV1108" s="15"/>
      <c r="RIY1108" s="15"/>
      <c r="RIZ1108" s="15"/>
      <c r="RJC1108" s="15"/>
      <c r="RJD1108" s="15"/>
      <c r="RJG1108" s="15"/>
      <c r="RJH1108" s="15"/>
      <c r="RJK1108" s="15"/>
      <c r="RJL1108" s="15"/>
      <c r="RJO1108" s="15"/>
      <c r="RJP1108" s="15"/>
      <c r="RJS1108" s="15"/>
      <c r="RJT1108" s="15"/>
      <c r="RJW1108" s="15"/>
      <c r="RJX1108" s="15"/>
      <c r="RKA1108" s="15"/>
      <c r="RKB1108" s="15"/>
      <c r="RKE1108" s="15"/>
      <c r="RKF1108" s="15"/>
      <c r="RKI1108" s="15"/>
      <c r="RKJ1108" s="15"/>
      <c r="RKM1108" s="15"/>
      <c r="RKN1108" s="15"/>
      <c r="RKQ1108" s="15"/>
      <c r="RKR1108" s="15"/>
      <c r="RKU1108" s="15"/>
      <c r="RKV1108" s="15"/>
      <c r="RKY1108" s="15"/>
      <c r="RKZ1108" s="15"/>
      <c r="RLC1108" s="15"/>
      <c r="RLD1108" s="15"/>
      <c r="RLG1108" s="15"/>
      <c r="RLH1108" s="15"/>
      <c r="RLK1108" s="15"/>
      <c r="RLL1108" s="15"/>
      <c r="RLO1108" s="15"/>
      <c r="RLP1108" s="15"/>
      <c r="RLS1108" s="15"/>
      <c r="RLT1108" s="15"/>
      <c r="RLW1108" s="15"/>
      <c r="RLX1108" s="15"/>
      <c r="RMA1108" s="15"/>
      <c r="RMB1108" s="15"/>
      <c r="RME1108" s="15"/>
      <c r="RMF1108" s="15"/>
      <c r="RMI1108" s="15"/>
      <c r="RMJ1108" s="15"/>
      <c r="RMM1108" s="15"/>
      <c r="RMN1108" s="15"/>
      <c r="RMQ1108" s="15"/>
      <c r="RMR1108" s="15"/>
      <c r="RMU1108" s="15"/>
      <c r="RMV1108" s="15"/>
      <c r="RMY1108" s="15"/>
      <c r="RMZ1108" s="15"/>
      <c r="RNC1108" s="15"/>
      <c r="RND1108" s="15"/>
      <c r="RNG1108" s="15"/>
      <c r="RNH1108" s="15"/>
      <c r="RNK1108" s="15"/>
      <c r="RNL1108" s="15"/>
      <c r="RNO1108" s="15"/>
      <c r="RNP1108" s="15"/>
      <c r="RNS1108" s="15"/>
      <c r="RNT1108" s="15"/>
      <c r="RNW1108" s="15"/>
      <c r="RNX1108" s="15"/>
      <c r="ROA1108" s="15"/>
      <c r="ROB1108" s="15"/>
      <c r="ROE1108" s="15"/>
      <c r="ROF1108" s="15"/>
      <c r="ROI1108" s="15"/>
      <c r="ROJ1108" s="15"/>
      <c r="ROM1108" s="15"/>
      <c r="RON1108" s="15"/>
      <c r="ROQ1108" s="15"/>
      <c r="ROR1108" s="15"/>
      <c r="ROU1108" s="15"/>
      <c r="ROV1108" s="15"/>
      <c r="ROY1108" s="15"/>
      <c r="ROZ1108" s="15"/>
      <c r="RPC1108" s="15"/>
      <c r="RPD1108" s="15"/>
      <c r="RPG1108" s="15"/>
      <c r="RPH1108" s="15"/>
      <c r="RPK1108" s="15"/>
      <c r="RPL1108" s="15"/>
      <c r="RPO1108" s="15"/>
      <c r="RPP1108" s="15"/>
      <c r="RPS1108" s="15"/>
      <c r="RPT1108" s="15"/>
      <c r="RPW1108" s="15"/>
      <c r="RPX1108" s="15"/>
      <c r="RQA1108" s="15"/>
      <c r="RQB1108" s="15"/>
      <c r="RQE1108" s="15"/>
      <c r="RQF1108" s="15"/>
      <c r="RQI1108" s="15"/>
      <c r="RQJ1108" s="15"/>
      <c r="RQM1108" s="15"/>
      <c r="RQN1108" s="15"/>
      <c r="RQQ1108" s="15"/>
      <c r="RQR1108" s="15"/>
      <c r="RQU1108" s="15"/>
      <c r="RQV1108" s="15"/>
      <c r="RQY1108" s="15"/>
      <c r="RQZ1108" s="15"/>
      <c r="RRC1108" s="15"/>
      <c r="RRD1108" s="15"/>
      <c r="RRG1108" s="15"/>
      <c r="RRH1108" s="15"/>
      <c r="RRK1108" s="15"/>
      <c r="RRL1108" s="15"/>
      <c r="RRO1108" s="15"/>
      <c r="RRP1108" s="15"/>
      <c r="RRS1108" s="15"/>
      <c r="RRT1108" s="15"/>
      <c r="RRW1108" s="15"/>
      <c r="RRX1108" s="15"/>
      <c r="RSA1108" s="15"/>
      <c r="RSB1108" s="15"/>
      <c r="RSE1108" s="15"/>
      <c r="RSF1108" s="15"/>
      <c r="RSI1108" s="15"/>
      <c r="RSJ1108" s="15"/>
      <c r="RSM1108" s="15"/>
      <c r="RSN1108" s="15"/>
      <c r="RSQ1108" s="15"/>
      <c r="RSR1108" s="15"/>
      <c r="RSU1108" s="15"/>
      <c r="RSV1108" s="15"/>
      <c r="RSY1108" s="15"/>
      <c r="RSZ1108" s="15"/>
      <c r="RTC1108" s="15"/>
      <c r="RTD1108" s="15"/>
      <c r="RTG1108" s="15"/>
      <c r="RTH1108" s="15"/>
      <c r="RTK1108" s="15"/>
      <c r="RTL1108" s="15"/>
      <c r="RTO1108" s="15"/>
      <c r="RTP1108" s="15"/>
      <c r="RTS1108" s="15"/>
      <c r="RTT1108" s="15"/>
      <c r="RTW1108" s="15"/>
      <c r="RTX1108" s="15"/>
      <c r="RUA1108" s="15"/>
      <c r="RUB1108" s="15"/>
      <c r="RUE1108" s="15"/>
      <c r="RUF1108" s="15"/>
      <c r="RUI1108" s="15"/>
      <c r="RUJ1108" s="15"/>
      <c r="RUM1108" s="15"/>
      <c r="RUN1108" s="15"/>
      <c r="RUQ1108" s="15"/>
      <c r="RUR1108" s="15"/>
      <c r="RUU1108" s="15"/>
      <c r="RUV1108" s="15"/>
      <c r="RUY1108" s="15"/>
      <c r="RUZ1108" s="15"/>
      <c r="RVC1108" s="15"/>
      <c r="RVD1108" s="15"/>
      <c r="RVG1108" s="15"/>
      <c r="RVH1108" s="15"/>
      <c r="RVK1108" s="15"/>
      <c r="RVL1108" s="15"/>
      <c r="RVO1108" s="15"/>
      <c r="RVP1108" s="15"/>
      <c r="RVS1108" s="15"/>
      <c r="RVT1108" s="15"/>
      <c r="RVW1108" s="15"/>
      <c r="RVX1108" s="15"/>
      <c r="RWA1108" s="15"/>
      <c r="RWB1108" s="15"/>
      <c r="RWE1108" s="15"/>
      <c r="RWF1108" s="15"/>
      <c r="RWI1108" s="15"/>
      <c r="RWJ1108" s="15"/>
      <c r="RWM1108" s="15"/>
      <c r="RWN1108" s="15"/>
      <c r="RWQ1108" s="15"/>
      <c r="RWR1108" s="15"/>
      <c r="RWU1108" s="15"/>
      <c r="RWV1108" s="15"/>
      <c r="RWY1108" s="15"/>
      <c r="RWZ1108" s="15"/>
      <c r="RXC1108" s="15"/>
      <c r="RXD1108" s="15"/>
      <c r="RXG1108" s="15"/>
      <c r="RXH1108" s="15"/>
      <c r="RXK1108" s="15"/>
      <c r="RXL1108" s="15"/>
      <c r="RXO1108" s="15"/>
      <c r="RXP1108" s="15"/>
      <c r="RXS1108" s="15"/>
      <c r="RXT1108" s="15"/>
      <c r="RXW1108" s="15"/>
      <c r="RXX1108" s="15"/>
      <c r="RYA1108" s="15"/>
      <c r="RYB1108" s="15"/>
      <c r="RYE1108" s="15"/>
      <c r="RYF1108" s="15"/>
      <c r="RYI1108" s="15"/>
      <c r="RYJ1108" s="15"/>
      <c r="RYM1108" s="15"/>
      <c r="RYN1108" s="15"/>
      <c r="RYQ1108" s="15"/>
      <c r="RYR1108" s="15"/>
      <c r="RYU1108" s="15"/>
      <c r="RYV1108" s="15"/>
      <c r="RYY1108" s="15"/>
      <c r="RYZ1108" s="15"/>
      <c r="RZC1108" s="15"/>
      <c r="RZD1108" s="15"/>
      <c r="RZG1108" s="15"/>
      <c r="RZH1108" s="15"/>
      <c r="RZK1108" s="15"/>
      <c r="RZL1108" s="15"/>
      <c r="RZO1108" s="15"/>
      <c r="RZP1108" s="15"/>
      <c r="RZS1108" s="15"/>
      <c r="RZT1108" s="15"/>
      <c r="RZW1108" s="15"/>
      <c r="RZX1108" s="15"/>
      <c r="SAA1108" s="15"/>
      <c r="SAB1108" s="15"/>
      <c r="SAE1108" s="15"/>
      <c r="SAF1108" s="15"/>
      <c r="SAI1108" s="15"/>
      <c r="SAJ1108" s="15"/>
      <c r="SAM1108" s="15"/>
      <c r="SAN1108" s="15"/>
      <c r="SAQ1108" s="15"/>
      <c r="SAR1108" s="15"/>
      <c r="SAU1108" s="15"/>
      <c r="SAV1108" s="15"/>
      <c r="SAY1108" s="15"/>
      <c r="SAZ1108" s="15"/>
      <c r="SBC1108" s="15"/>
      <c r="SBD1108" s="15"/>
      <c r="SBG1108" s="15"/>
      <c r="SBH1108" s="15"/>
      <c r="SBK1108" s="15"/>
      <c r="SBL1108" s="15"/>
      <c r="SBO1108" s="15"/>
      <c r="SBP1108" s="15"/>
      <c r="SBS1108" s="15"/>
      <c r="SBT1108" s="15"/>
      <c r="SBW1108" s="15"/>
      <c r="SBX1108" s="15"/>
      <c r="SCA1108" s="15"/>
      <c r="SCB1108" s="15"/>
      <c r="SCE1108" s="15"/>
      <c r="SCF1108" s="15"/>
      <c r="SCI1108" s="15"/>
      <c r="SCJ1108" s="15"/>
      <c r="SCM1108" s="15"/>
      <c r="SCN1108" s="15"/>
      <c r="SCQ1108" s="15"/>
      <c r="SCR1108" s="15"/>
      <c r="SCU1108" s="15"/>
      <c r="SCV1108" s="15"/>
      <c r="SCY1108" s="15"/>
      <c r="SCZ1108" s="15"/>
      <c r="SDC1108" s="15"/>
      <c r="SDD1108" s="15"/>
      <c r="SDG1108" s="15"/>
      <c r="SDH1108" s="15"/>
      <c r="SDK1108" s="15"/>
      <c r="SDL1108" s="15"/>
      <c r="SDO1108" s="15"/>
      <c r="SDP1108" s="15"/>
      <c r="SDS1108" s="15"/>
      <c r="SDT1108" s="15"/>
      <c r="SDW1108" s="15"/>
      <c r="SDX1108" s="15"/>
      <c r="SEA1108" s="15"/>
      <c r="SEB1108" s="15"/>
      <c r="SEE1108" s="15"/>
      <c r="SEF1108" s="15"/>
      <c r="SEI1108" s="15"/>
      <c r="SEJ1108" s="15"/>
      <c r="SEM1108" s="15"/>
      <c r="SEN1108" s="15"/>
      <c r="SEQ1108" s="15"/>
      <c r="SER1108" s="15"/>
      <c r="SEU1108" s="15"/>
      <c r="SEV1108" s="15"/>
      <c r="SEY1108" s="15"/>
      <c r="SEZ1108" s="15"/>
      <c r="SFC1108" s="15"/>
      <c r="SFD1108" s="15"/>
      <c r="SFG1108" s="15"/>
      <c r="SFH1108" s="15"/>
      <c r="SFK1108" s="15"/>
      <c r="SFL1108" s="15"/>
      <c r="SFO1108" s="15"/>
      <c r="SFP1108" s="15"/>
      <c r="SFS1108" s="15"/>
      <c r="SFT1108" s="15"/>
      <c r="SFW1108" s="15"/>
      <c r="SFX1108" s="15"/>
      <c r="SGA1108" s="15"/>
      <c r="SGB1108" s="15"/>
      <c r="SGE1108" s="15"/>
      <c r="SGF1108" s="15"/>
      <c r="SGI1108" s="15"/>
      <c r="SGJ1108" s="15"/>
      <c r="SGM1108" s="15"/>
      <c r="SGN1108" s="15"/>
      <c r="SGQ1108" s="15"/>
      <c r="SGR1108" s="15"/>
      <c r="SGU1108" s="15"/>
      <c r="SGV1108" s="15"/>
      <c r="SGY1108" s="15"/>
      <c r="SGZ1108" s="15"/>
      <c r="SHC1108" s="15"/>
      <c r="SHD1108" s="15"/>
      <c r="SHG1108" s="15"/>
      <c r="SHH1108" s="15"/>
      <c r="SHK1108" s="15"/>
      <c r="SHL1108" s="15"/>
      <c r="SHO1108" s="15"/>
      <c r="SHP1108" s="15"/>
      <c r="SHS1108" s="15"/>
      <c r="SHT1108" s="15"/>
      <c r="SHW1108" s="15"/>
      <c r="SHX1108" s="15"/>
      <c r="SIA1108" s="15"/>
      <c r="SIB1108" s="15"/>
      <c r="SIE1108" s="15"/>
      <c r="SIF1108" s="15"/>
      <c r="SII1108" s="15"/>
      <c r="SIJ1108" s="15"/>
      <c r="SIM1108" s="15"/>
      <c r="SIN1108" s="15"/>
      <c r="SIQ1108" s="15"/>
      <c r="SIR1108" s="15"/>
      <c r="SIU1108" s="15"/>
      <c r="SIV1108" s="15"/>
      <c r="SIY1108" s="15"/>
      <c r="SIZ1108" s="15"/>
      <c r="SJC1108" s="15"/>
      <c r="SJD1108" s="15"/>
      <c r="SJG1108" s="15"/>
      <c r="SJH1108" s="15"/>
      <c r="SJK1108" s="15"/>
      <c r="SJL1108" s="15"/>
      <c r="SJO1108" s="15"/>
      <c r="SJP1108" s="15"/>
      <c r="SJS1108" s="15"/>
      <c r="SJT1108" s="15"/>
      <c r="SJW1108" s="15"/>
      <c r="SJX1108" s="15"/>
      <c r="SKA1108" s="15"/>
      <c r="SKB1108" s="15"/>
      <c r="SKE1108" s="15"/>
      <c r="SKF1108" s="15"/>
      <c r="SKI1108" s="15"/>
      <c r="SKJ1108" s="15"/>
      <c r="SKM1108" s="15"/>
      <c r="SKN1108" s="15"/>
      <c r="SKQ1108" s="15"/>
      <c r="SKR1108" s="15"/>
      <c r="SKU1108" s="15"/>
      <c r="SKV1108" s="15"/>
      <c r="SKY1108" s="15"/>
      <c r="SKZ1108" s="15"/>
      <c r="SLC1108" s="15"/>
      <c r="SLD1108" s="15"/>
      <c r="SLG1108" s="15"/>
      <c r="SLH1108" s="15"/>
      <c r="SLK1108" s="15"/>
      <c r="SLL1108" s="15"/>
      <c r="SLO1108" s="15"/>
      <c r="SLP1108" s="15"/>
      <c r="SLS1108" s="15"/>
      <c r="SLT1108" s="15"/>
      <c r="SLW1108" s="15"/>
      <c r="SLX1108" s="15"/>
      <c r="SMA1108" s="15"/>
      <c r="SMB1108" s="15"/>
      <c r="SME1108" s="15"/>
      <c r="SMF1108" s="15"/>
      <c r="SMI1108" s="15"/>
      <c r="SMJ1108" s="15"/>
      <c r="SMM1108" s="15"/>
      <c r="SMN1108" s="15"/>
      <c r="SMQ1108" s="15"/>
      <c r="SMR1108" s="15"/>
      <c r="SMU1108" s="15"/>
      <c r="SMV1108" s="15"/>
      <c r="SMY1108" s="15"/>
      <c r="SMZ1108" s="15"/>
      <c r="SNC1108" s="15"/>
      <c r="SND1108" s="15"/>
      <c r="SNG1108" s="15"/>
      <c r="SNH1108" s="15"/>
      <c r="SNK1108" s="15"/>
      <c r="SNL1108" s="15"/>
      <c r="SNO1108" s="15"/>
      <c r="SNP1108" s="15"/>
      <c r="SNS1108" s="15"/>
      <c r="SNT1108" s="15"/>
      <c r="SNW1108" s="15"/>
      <c r="SNX1108" s="15"/>
      <c r="SOA1108" s="15"/>
      <c r="SOB1108" s="15"/>
      <c r="SOE1108" s="15"/>
      <c r="SOF1108" s="15"/>
      <c r="SOI1108" s="15"/>
      <c r="SOJ1108" s="15"/>
      <c r="SOM1108" s="15"/>
      <c r="SON1108" s="15"/>
      <c r="SOQ1108" s="15"/>
      <c r="SOR1108" s="15"/>
      <c r="SOU1108" s="15"/>
      <c r="SOV1108" s="15"/>
      <c r="SOY1108" s="15"/>
      <c r="SOZ1108" s="15"/>
      <c r="SPC1108" s="15"/>
      <c r="SPD1108" s="15"/>
      <c r="SPG1108" s="15"/>
      <c r="SPH1108" s="15"/>
      <c r="SPK1108" s="15"/>
      <c r="SPL1108" s="15"/>
      <c r="SPO1108" s="15"/>
      <c r="SPP1108" s="15"/>
      <c r="SPS1108" s="15"/>
      <c r="SPT1108" s="15"/>
      <c r="SPW1108" s="15"/>
      <c r="SPX1108" s="15"/>
      <c r="SQA1108" s="15"/>
      <c r="SQB1108" s="15"/>
      <c r="SQE1108" s="15"/>
      <c r="SQF1108" s="15"/>
      <c r="SQI1108" s="15"/>
      <c r="SQJ1108" s="15"/>
      <c r="SQM1108" s="15"/>
      <c r="SQN1108" s="15"/>
      <c r="SQQ1108" s="15"/>
      <c r="SQR1108" s="15"/>
      <c r="SQU1108" s="15"/>
      <c r="SQV1108" s="15"/>
      <c r="SQY1108" s="15"/>
      <c r="SQZ1108" s="15"/>
      <c r="SRC1108" s="15"/>
      <c r="SRD1108" s="15"/>
      <c r="SRG1108" s="15"/>
      <c r="SRH1108" s="15"/>
      <c r="SRK1108" s="15"/>
      <c r="SRL1108" s="15"/>
      <c r="SRO1108" s="15"/>
      <c r="SRP1108" s="15"/>
      <c r="SRS1108" s="15"/>
      <c r="SRT1108" s="15"/>
      <c r="SRW1108" s="15"/>
      <c r="SRX1108" s="15"/>
      <c r="SSA1108" s="15"/>
      <c r="SSB1108" s="15"/>
      <c r="SSE1108" s="15"/>
      <c r="SSF1108" s="15"/>
      <c r="SSI1108" s="15"/>
      <c r="SSJ1108" s="15"/>
      <c r="SSM1108" s="15"/>
      <c r="SSN1108" s="15"/>
      <c r="SSQ1108" s="15"/>
      <c r="SSR1108" s="15"/>
      <c r="SSU1108" s="15"/>
      <c r="SSV1108" s="15"/>
      <c r="SSY1108" s="15"/>
      <c r="SSZ1108" s="15"/>
      <c r="STC1108" s="15"/>
      <c r="STD1108" s="15"/>
      <c r="STG1108" s="15"/>
      <c r="STH1108" s="15"/>
      <c r="STK1108" s="15"/>
      <c r="STL1108" s="15"/>
      <c r="STO1108" s="15"/>
      <c r="STP1108" s="15"/>
      <c r="STS1108" s="15"/>
      <c r="STT1108" s="15"/>
      <c r="STW1108" s="15"/>
      <c r="STX1108" s="15"/>
      <c r="SUA1108" s="15"/>
      <c r="SUB1108" s="15"/>
      <c r="SUE1108" s="15"/>
      <c r="SUF1108" s="15"/>
      <c r="SUI1108" s="15"/>
      <c r="SUJ1108" s="15"/>
      <c r="SUM1108" s="15"/>
      <c r="SUN1108" s="15"/>
      <c r="SUQ1108" s="15"/>
      <c r="SUR1108" s="15"/>
      <c r="SUU1108" s="15"/>
      <c r="SUV1108" s="15"/>
      <c r="SUY1108" s="15"/>
      <c r="SUZ1108" s="15"/>
      <c r="SVC1108" s="15"/>
      <c r="SVD1108" s="15"/>
      <c r="SVG1108" s="15"/>
      <c r="SVH1108" s="15"/>
      <c r="SVK1108" s="15"/>
      <c r="SVL1108" s="15"/>
      <c r="SVO1108" s="15"/>
      <c r="SVP1108" s="15"/>
      <c r="SVS1108" s="15"/>
      <c r="SVT1108" s="15"/>
      <c r="SVW1108" s="15"/>
      <c r="SVX1108" s="15"/>
      <c r="SWA1108" s="15"/>
      <c r="SWB1108" s="15"/>
      <c r="SWE1108" s="15"/>
      <c r="SWF1108" s="15"/>
      <c r="SWI1108" s="15"/>
      <c r="SWJ1108" s="15"/>
      <c r="SWM1108" s="15"/>
      <c r="SWN1108" s="15"/>
      <c r="SWQ1108" s="15"/>
      <c r="SWR1108" s="15"/>
      <c r="SWU1108" s="15"/>
      <c r="SWV1108" s="15"/>
      <c r="SWY1108" s="15"/>
      <c r="SWZ1108" s="15"/>
      <c r="SXC1108" s="15"/>
      <c r="SXD1108" s="15"/>
      <c r="SXG1108" s="15"/>
      <c r="SXH1108" s="15"/>
      <c r="SXK1108" s="15"/>
      <c r="SXL1108" s="15"/>
      <c r="SXO1108" s="15"/>
      <c r="SXP1108" s="15"/>
      <c r="SXS1108" s="15"/>
      <c r="SXT1108" s="15"/>
      <c r="SXW1108" s="15"/>
      <c r="SXX1108" s="15"/>
      <c r="SYA1108" s="15"/>
      <c r="SYB1108" s="15"/>
      <c r="SYE1108" s="15"/>
      <c r="SYF1108" s="15"/>
      <c r="SYI1108" s="15"/>
      <c r="SYJ1108" s="15"/>
      <c r="SYM1108" s="15"/>
      <c r="SYN1108" s="15"/>
      <c r="SYQ1108" s="15"/>
      <c r="SYR1108" s="15"/>
      <c r="SYU1108" s="15"/>
      <c r="SYV1108" s="15"/>
      <c r="SYY1108" s="15"/>
      <c r="SYZ1108" s="15"/>
      <c r="SZC1108" s="15"/>
      <c r="SZD1108" s="15"/>
      <c r="SZG1108" s="15"/>
      <c r="SZH1108" s="15"/>
      <c r="SZK1108" s="15"/>
      <c r="SZL1108" s="15"/>
      <c r="SZO1108" s="15"/>
      <c r="SZP1108" s="15"/>
      <c r="SZS1108" s="15"/>
      <c r="SZT1108" s="15"/>
      <c r="SZW1108" s="15"/>
      <c r="SZX1108" s="15"/>
      <c r="TAA1108" s="15"/>
      <c r="TAB1108" s="15"/>
      <c r="TAE1108" s="15"/>
      <c r="TAF1108" s="15"/>
      <c r="TAI1108" s="15"/>
      <c r="TAJ1108" s="15"/>
      <c r="TAM1108" s="15"/>
      <c r="TAN1108" s="15"/>
      <c r="TAQ1108" s="15"/>
      <c r="TAR1108" s="15"/>
      <c r="TAU1108" s="15"/>
      <c r="TAV1108" s="15"/>
      <c r="TAY1108" s="15"/>
      <c r="TAZ1108" s="15"/>
      <c r="TBC1108" s="15"/>
      <c r="TBD1108" s="15"/>
      <c r="TBG1108" s="15"/>
      <c r="TBH1108" s="15"/>
      <c r="TBK1108" s="15"/>
      <c r="TBL1108" s="15"/>
      <c r="TBO1108" s="15"/>
      <c r="TBP1108" s="15"/>
      <c r="TBS1108" s="15"/>
      <c r="TBT1108" s="15"/>
      <c r="TBW1108" s="15"/>
      <c r="TBX1108" s="15"/>
      <c r="TCA1108" s="15"/>
      <c r="TCB1108" s="15"/>
      <c r="TCE1108" s="15"/>
      <c r="TCF1108" s="15"/>
      <c r="TCI1108" s="15"/>
      <c r="TCJ1108" s="15"/>
      <c r="TCM1108" s="15"/>
      <c r="TCN1108" s="15"/>
      <c r="TCQ1108" s="15"/>
      <c r="TCR1108" s="15"/>
      <c r="TCU1108" s="15"/>
      <c r="TCV1108" s="15"/>
      <c r="TCY1108" s="15"/>
      <c r="TCZ1108" s="15"/>
      <c r="TDC1108" s="15"/>
      <c r="TDD1108" s="15"/>
      <c r="TDG1108" s="15"/>
      <c r="TDH1108" s="15"/>
      <c r="TDK1108" s="15"/>
      <c r="TDL1108" s="15"/>
      <c r="TDO1108" s="15"/>
      <c r="TDP1108" s="15"/>
      <c r="TDS1108" s="15"/>
      <c r="TDT1108" s="15"/>
      <c r="TDW1108" s="15"/>
      <c r="TDX1108" s="15"/>
      <c r="TEA1108" s="15"/>
      <c r="TEB1108" s="15"/>
      <c r="TEE1108" s="15"/>
      <c r="TEF1108" s="15"/>
      <c r="TEI1108" s="15"/>
      <c r="TEJ1108" s="15"/>
      <c r="TEM1108" s="15"/>
      <c r="TEN1108" s="15"/>
      <c r="TEQ1108" s="15"/>
      <c r="TER1108" s="15"/>
      <c r="TEU1108" s="15"/>
      <c r="TEV1108" s="15"/>
      <c r="TEY1108" s="15"/>
      <c r="TEZ1108" s="15"/>
      <c r="TFC1108" s="15"/>
      <c r="TFD1108" s="15"/>
      <c r="TFG1108" s="15"/>
      <c r="TFH1108" s="15"/>
      <c r="TFK1108" s="15"/>
      <c r="TFL1108" s="15"/>
      <c r="TFO1108" s="15"/>
      <c r="TFP1108" s="15"/>
      <c r="TFS1108" s="15"/>
      <c r="TFT1108" s="15"/>
      <c r="TFW1108" s="15"/>
      <c r="TFX1108" s="15"/>
      <c r="TGA1108" s="15"/>
      <c r="TGB1108" s="15"/>
      <c r="TGE1108" s="15"/>
      <c r="TGF1108" s="15"/>
      <c r="TGI1108" s="15"/>
      <c r="TGJ1108" s="15"/>
      <c r="TGM1108" s="15"/>
      <c r="TGN1108" s="15"/>
      <c r="TGQ1108" s="15"/>
      <c r="TGR1108" s="15"/>
      <c r="TGU1108" s="15"/>
      <c r="TGV1108" s="15"/>
      <c r="TGY1108" s="15"/>
      <c r="TGZ1108" s="15"/>
      <c r="THC1108" s="15"/>
      <c r="THD1108" s="15"/>
      <c r="THG1108" s="15"/>
      <c r="THH1108" s="15"/>
      <c r="THK1108" s="15"/>
      <c r="THL1108" s="15"/>
      <c r="THO1108" s="15"/>
      <c r="THP1108" s="15"/>
      <c r="THS1108" s="15"/>
      <c r="THT1108" s="15"/>
      <c r="THW1108" s="15"/>
      <c r="THX1108" s="15"/>
      <c r="TIA1108" s="15"/>
      <c r="TIB1108" s="15"/>
      <c r="TIE1108" s="15"/>
      <c r="TIF1108" s="15"/>
      <c r="TII1108" s="15"/>
      <c r="TIJ1108" s="15"/>
      <c r="TIM1108" s="15"/>
      <c r="TIN1108" s="15"/>
      <c r="TIQ1108" s="15"/>
      <c r="TIR1108" s="15"/>
      <c r="TIU1108" s="15"/>
      <c r="TIV1108" s="15"/>
      <c r="TIY1108" s="15"/>
      <c r="TIZ1108" s="15"/>
      <c r="TJC1108" s="15"/>
      <c r="TJD1108" s="15"/>
      <c r="TJG1108" s="15"/>
      <c r="TJH1108" s="15"/>
      <c r="TJK1108" s="15"/>
      <c r="TJL1108" s="15"/>
      <c r="TJO1108" s="15"/>
      <c r="TJP1108" s="15"/>
      <c r="TJS1108" s="15"/>
      <c r="TJT1108" s="15"/>
      <c r="TJW1108" s="15"/>
      <c r="TJX1108" s="15"/>
      <c r="TKA1108" s="15"/>
      <c r="TKB1108" s="15"/>
      <c r="TKE1108" s="15"/>
      <c r="TKF1108" s="15"/>
      <c r="TKI1108" s="15"/>
      <c r="TKJ1108" s="15"/>
      <c r="TKM1108" s="15"/>
      <c r="TKN1108" s="15"/>
      <c r="TKQ1108" s="15"/>
      <c r="TKR1108" s="15"/>
      <c r="TKU1108" s="15"/>
      <c r="TKV1108" s="15"/>
      <c r="TKY1108" s="15"/>
      <c r="TKZ1108" s="15"/>
      <c r="TLC1108" s="15"/>
      <c r="TLD1108" s="15"/>
      <c r="TLG1108" s="15"/>
      <c r="TLH1108" s="15"/>
      <c r="TLK1108" s="15"/>
      <c r="TLL1108" s="15"/>
      <c r="TLO1108" s="15"/>
      <c r="TLP1108" s="15"/>
      <c r="TLS1108" s="15"/>
      <c r="TLT1108" s="15"/>
      <c r="TLW1108" s="15"/>
      <c r="TLX1108" s="15"/>
      <c r="TMA1108" s="15"/>
      <c r="TMB1108" s="15"/>
      <c r="TME1108" s="15"/>
      <c r="TMF1108" s="15"/>
      <c r="TMI1108" s="15"/>
      <c r="TMJ1108" s="15"/>
      <c r="TMM1108" s="15"/>
      <c r="TMN1108" s="15"/>
      <c r="TMQ1108" s="15"/>
      <c r="TMR1108" s="15"/>
      <c r="TMU1108" s="15"/>
      <c r="TMV1108" s="15"/>
      <c r="TMY1108" s="15"/>
      <c r="TMZ1108" s="15"/>
      <c r="TNC1108" s="15"/>
      <c r="TND1108" s="15"/>
      <c r="TNG1108" s="15"/>
      <c r="TNH1108" s="15"/>
      <c r="TNK1108" s="15"/>
      <c r="TNL1108" s="15"/>
      <c r="TNO1108" s="15"/>
      <c r="TNP1108" s="15"/>
      <c r="TNS1108" s="15"/>
      <c r="TNT1108" s="15"/>
      <c r="TNW1108" s="15"/>
      <c r="TNX1108" s="15"/>
      <c r="TOA1108" s="15"/>
      <c r="TOB1108" s="15"/>
      <c r="TOE1108" s="15"/>
      <c r="TOF1108" s="15"/>
      <c r="TOI1108" s="15"/>
      <c r="TOJ1108" s="15"/>
      <c r="TOM1108" s="15"/>
      <c r="TON1108" s="15"/>
      <c r="TOQ1108" s="15"/>
      <c r="TOR1108" s="15"/>
      <c r="TOU1108" s="15"/>
      <c r="TOV1108" s="15"/>
      <c r="TOY1108" s="15"/>
      <c r="TOZ1108" s="15"/>
      <c r="TPC1108" s="15"/>
      <c r="TPD1108" s="15"/>
      <c r="TPG1108" s="15"/>
      <c r="TPH1108" s="15"/>
      <c r="TPK1108" s="15"/>
      <c r="TPL1108" s="15"/>
      <c r="TPO1108" s="15"/>
      <c r="TPP1108" s="15"/>
      <c r="TPS1108" s="15"/>
      <c r="TPT1108" s="15"/>
      <c r="TPW1108" s="15"/>
      <c r="TPX1108" s="15"/>
      <c r="TQA1108" s="15"/>
      <c r="TQB1108" s="15"/>
      <c r="TQE1108" s="15"/>
      <c r="TQF1108" s="15"/>
      <c r="TQI1108" s="15"/>
      <c r="TQJ1108" s="15"/>
      <c r="TQM1108" s="15"/>
      <c r="TQN1108" s="15"/>
      <c r="TQQ1108" s="15"/>
      <c r="TQR1108" s="15"/>
      <c r="TQU1108" s="15"/>
      <c r="TQV1108" s="15"/>
      <c r="TQY1108" s="15"/>
      <c r="TQZ1108" s="15"/>
      <c r="TRC1108" s="15"/>
      <c r="TRD1108" s="15"/>
      <c r="TRG1108" s="15"/>
      <c r="TRH1108" s="15"/>
      <c r="TRK1108" s="15"/>
      <c r="TRL1108" s="15"/>
      <c r="TRO1108" s="15"/>
      <c r="TRP1108" s="15"/>
      <c r="TRS1108" s="15"/>
      <c r="TRT1108" s="15"/>
      <c r="TRW1108" s="15"/>
      <c r="TRX1108" s="15"/>
      <c r="TSA1108" s="15"/>
      <c r="TSB1108" s="15"/>
      <c r="TSE1108" s="15"/>
      <c r="TSF1108" s="15"/>
      <c r="TSI1108" s="15"/>
      <c r="TSJ1108" s="15"/>
      <c r="TSM1108" s="15"/>
      <c r="TSN1108" s="15"/>
      <c r="TSQ1108" s="15"/>
      <c r="TSR1108" s="15"/>
      <c r="TSU1108" s="15"/>
      <c r="TSV1108" s="15"/>
      <c r="TSY1108" s="15"/>
      <c r="TSZ1108" s="15"/>
      <c r="TTC1108" s="15"/>
      <c r="TTD1108" s="15"/>
      <c r="TTG1108" s="15"/>
      <c r="TTH1108" s="15"/>
      <c r="TTK1108" s="15"/>
      <c r="TTL1108" s="15"/>
      <c r="TTO1108" s="15"/>
      <c r="TTP1108" s="15"/>
      <c r="TTS1108" s="15"/>
      <c r="TTT1108" s="15"/>
      <c r="TTW1108" s="15"/>
      <c r="TTX1108" s="15"/>
      <c r="TUA1108" s="15"/>
      <c r="TUB1108" s="15"/>
      <c r="TUE1108" s="15"/>
      <c r="TUF1108" s="15"/>
      <c r="TUI1108" s="15"/>
      <c r="TUJ1108" s="15"/>
      <c r="TUM1108" s="15"/>
      <c r="TUN1108" s="15"/>
      <c r="TUQ1108" s="15"/>
      <c r="TUR1108" s="15"/>
      <c r="TUU1108" s="15"/>
      <c r="TUV1108" s="15"/>
      <c r="TUY1108" s="15"/>
      <c r="TUZ1108" s="15"/>
      <c r="TVC1108" s="15"/>
      <c r="TVD1108" s="15"/>
      <c r="TVG1108" s="15"/>
      <c r="TVH1108" s="15"/>
      <c r="TVK1108" s="15"/>
      <c r="TVL1108" s="15"/>
      <c r="TVO1108" s="15"/>
      <c r="TVP1108" s="15"/>
      <c r="TVS1108" s="15"/>
      <c r="TVT1108" s="15"/>
      <c r="TVW1108" s="15"/>
      <c r="TVX1108" s="15"/>
      <c r="TWA1108" s="15"/>
      <c r="TWB1108" s="15"/>
      <c r="TWE1108" s="15"/>
      <c r="TWF1108" s="15"/>
      <c r="TWI1108" s="15"/>
      <c r="TWJ1108" s="15"/>
      <c r="TWM1108" s="15"/>
      <c r="TWN1108" s="15"/>
      <c r="TWQ1108" s="15"/>
      <c r="TWR1108" s="15"/>
      <c r="TWU1108" s="15"/>
      <c r="TWV1108" s="15"/>
      <c r="TWY1108" s="15"/>
      <c r="TWZ1108" s="15"/>
      <c r="TXC1108" s="15"/>
      <c r="TXD1108" s="15"/>
      <c r="TXG1108" s="15"/>
      <c r="TXH1108" s="15"/>
      <c r="TXK1108" s="15"/>
      <c r="TXL1108" s="15"/>
      <c r="TXO1108" s="15"/>
      <c r="TXP1108" s="15"/>
      <c r="TXS1108" s="15"/>
      <c r="TXT1108" s="15"/>
      <c r="TXW1108" s="15"/>
      <c r="TXX1108" s="15"/>
      <c r="TYA1108" s="15"/>
      <c r="TYB1108" s="15"/>
      <c r="TYE1108" s="15"/>
      <c r="TYF1108" s="15"/>
      <c r="TYI1108" s="15"/>
      <c r="TYJ1108" s="15"/>
      <c r="TYM1108" s="15"/>
      <c r="TYN1108" s="15"/>
      <c r="TYQ1108" s="15"/>
      <c r="TYR1108" s="15"/>
      <c r="TYU1108" s="15"/>
      <c r="TYV1108" s="15"/>
      <c r="TYY1108" s="15"/>
      <c r="TYZ1108" s="15"/>
      <c r="TZC1108" s="15"/>
      <c r="TZD1108" s="15"/>
      <c r="TZG1108" s="15"/>
      <c r="TZH1108" s="15"/>
      <c r="TZK1108" s="15"/>
      <c r="TZL1108" s="15"/>
      <c r="TZO1108" s="15"/>
      <c r="TZP1108" s="15"/>
      <c r="TZS1108" s="15"/>
      <c r="TZT1108" s="15"/>
      <c r="TZW1108" s="15"/>
      <c r="TZX1108" s="15"/>
      <c r="UAA1108" s="15"/>
      <c r="UAB1108" s="15"/>
      <c r="UAE1108" s="15"/>
      <c r="UAF1108" s="15"/>
      <c r="UAI1108" s="15"/>
      <c r="UAJ1108" s="15"/>
      <c r="UAM1108" s="15"/>
      <c r="UAN1108" s="15"/>
      <c r="UAQ1108" s="15"/>
      <c r="UAR1108" s="15"/>
      <c r="UAU1108" s="15"/>
      <c r="UAV1108" s="15"/>
      <c r="UAY1108" s="15"/>
      <c r="UAZ1108" s="15"/>
      <c r="UBC1108" s="15"/>
      <c r="UBD1108" s="15"/>
      <c r="UBG1108" s="15"/>
      <c r="UBH1108" s="15"/>
      <c r="UBK1108" s="15"/>
      <c r="UBL1108" s="15"/>
      <c r="UBO1108" s="15"/>
      <c r="UBP1108" s="15"/>
      <c r="UBS1108" s="15"/>
      <c r="UBT1108" s="15"/>
      <c r="UBW1108" s="15"/>
      <c r="UBX1108" s="15"/>
      <c r="UCA1108" s="15"/>
      <c r="UCB1108" s="15"/>
      <c r="UCE1108" s="15"/>
      <c r="UCF1108" s="15"/>
      <c r="UCI1108" s="15"/>
      <c r="UCJ1108" s="15"/>
      <c r="UCM1108" s="15"/>
      <c r="UCN1108" s="15"/>
      <c r="UCQ1108" s="15"/>
      <c r="UCR1108" s="15"/>
      <c r="UCU1108" s="15"/>
      <c r="UCV1108" s="15"/>
      <c r="UCY1108" s="15"/>
      <c r="UCZ1108" s="15"/>
      <c r="UDC1108" s="15"/>
      <c r="UDD1108" s="15"/>
      <c r="UDG1108" s="15"/>
      <c r="UDH1108" s="15"/>
      <c r="UDK1108" s="15"/>
      <c r="UDL1108" s="15"/>
      <c r="UDO1108" s="15"/>
      <c r="UDP1108" s="15"/>
      <c r="UDS1108" s="15"/>
      <c r="UDT1108" s="15"/>
      <c r="UDW1108" s="15"/>
      <c r="UDX1108" s="15"/>
      <c r="UEA1108" s="15"/>
      <c r="UEB1108" s="15"/>
      <c r="UEE1108" s="15"/>
      <c r="UEF1108" s="15"/>
      <c r="UEI1108" s="15"/>
      <c r="UEJ1108" s="15"/>
      <c r="UEM1108" s="15"/>
      <c r="UEN1108" s="15"/>
      <c r="UEQ1108" s="15"/>
      <c r="UER1108" s="15"/>
      <c r="UEU1108" s="15"/>
      <c r="UEV1108" s="15"/>
      <c r="UEY1108" s="15"/>
      <c r="UEZ1108" s="15"/>
      <c r="UFC1108" s="15"/>
      <c r="UFD1108" s="15"/>
      <c r="UFG1108" s="15"/>
      <c r="UFH1108" s="15"/>
      <c r="UFK1108" s="15"/>
      <c r="UFL1108" s="15"/>
      <c r="UFO1108" s="15"/>
      <c r="UFP1108" s="15"/>
      <c r="UFS1108" s="15"/>
      <c r="UFT1108" s="15"/>
      <c r="UFW1108" s="15"/>
      <c r="UFX1108" s="15"/>
      <c r="UGA1108" s="15"/>
      <c r="UGB1108" s="15"/>
      <c r="UGE1108" s="15"/>
      <c r="UGF1108" s="15"/>
      <c r="UGI1108" s="15"/>
      <c r="UGJ1108" s="15"/>
      <c r="UGM1108" s="15"/>
      <c r="UGN1108" s="15"/>
      <c r="UGQ1108" s="15"/>
      <c r="UGR1108" s="15"/>
      <c r="UGU1108" s="15"/>
      <c r="UGV1108" s="15"/>
      <c r="UGY1108" s="15"/>
      <c r="UGZ1108" s="15"/>
      <c r="UHC1108" s="15"/>
      <c r="UHD1108" s="15"/>
      <c r="UHG1108" s="15"/>
      <c r="UHH1108" s="15"/>
      <c r="UHK1108" s="15"/>
      <c r="UHL1108" s="15"/>
      <c r="UHO1108" s="15"/>
      <c r="UHP1108" s="15"/>
      <c r="UHS1108" s="15"/>
      <c r="UHT1108" s="15"/>
      <c r="UHW1108" s="15"/>
      <c r="UHX1108" s="15"/>
      <c r="UIA1108" s="15"/>
      <c r="UIB1108" s="15"/>
      <c r="UIE1108" s="15"/>
      <c r="UIF1108" s="15"/>
      <c r="UII1108" s="15"/>
      <c r="UIJ1108" s="15"/>
      <c r="UIM1108" s="15"/>
      <c r="UIN1108" s="15"/>
      <c r="UIQ1108" s="15"/>
      <c r="UIR1108" s="15"/>
      <c r="UIU1108" s="15"/>
      <c r="UIV1108" s="15"/>
      <c r="UIY1108" s="15"/>
      <c r="UIZ1108" s="15"/>
      <c r="UJC1108" s="15"/>
      <c r="UJD1108" s="15"/>
      <c r="UJG1108" s="15"/>
      <c r="UJH1108" s="15"/>
      <c r="UJK1108" s="15"/>
      <c r="UJL1108" s="15"/>
      <c r="UJO1108" s="15"/>
      <c r="UJP1108" s="15"/>
      <c r="UJS1108" s="15"/>
      <c r="UJT1108" s="15"/>
      <c r="UJW1108" s="15"/>
      <c r="UJX1108" s="15"/>
      <c r="UKA1108" s="15"/>
      <c r="UKB1108" s="15"/>
      <c r="UKE1108" s="15"/>
      <c r="UKF1108" s="15"/>
      <c r="UKI1108" s="15"/>
      <c r="UKJ1108" s="15"/>
      <c r="UKM1108" s="15"/>
      <c r="UKN1108" s="15"/>
      <c r="UKQ1108" s="15"/>
      <c r="UKR1108" s="15"/>
      <c r="UKU1108" s="15"/>
      <c r="UKV1108" s="15"/>
      <c r="UKY1108" s="15"/>
      <c r="UKZ1108" s="15"/>
      <c r="ULC1108" s="15"/>
      <c r="ULD1108" s="15"/>
      <c r="ULG1108" s="15"/>
      <c r="ULH1108" s="15"/>
      <c r="ULK1108" s="15"/>
      <c r="ULL1108" s="15"/>
      <c r="ULO1108" s="15"/>
      <c r="ULP1108" s="15"/>
      <c r="ULS1108" s="15"/>
      <c r="ULT1108" s="15"/>
      <c r="ULW1108" s="15"/>
      <c r="ULX1108" s="15"/>
      <c r="UMA1108" s="15"/>
      <c r="UMB1108" s="15"/>
      <c r="UME1108" s="15"/>
      <c r="UMF1108" s="15"/>
      <c r="UMI1108" s="15"/>
      <c r="UMJ1108" s="15"/>
      <c r="UMM1108" s="15"/>
      <c r="UMN1108" s="15"/>
      <c r="UMQ1108" s="15"/>
      <c r="UMR1108" s="15"/>
      <c r="UMU1108" s="15"/>
      <c r="UMV1108" s="15"/>
      <c r="UMY1108" s="15"/>
      <c r="UMZ1108" s="15"/>
      <c r="UNC1108" s="15"/>
      <c r="UND1108" s="15"/>
      <c r="UNG1108" s="15"/>
      <c r="UNH1108" s="15"/>
      <c r="UNK1108" s="15"/>
      <c r="UNL1108" s="15"/>
      <c r="UNO1108" s="15"/>
      <c r="UNP1108" s="15"/>
      <c r="UNS1108" s="15"/>
      <c r="UNT1108" s="15"/>
      <c r="UNW1108" s="15"/>
      <c r="UNX1108" s="15"/>
      <c r="UOA1108" s="15"/>
      <c r="UOB1108" s="15"/>
      <c r="UOE1108" s="15"/>
      <c r="UOF1108" s="15"/>
      <c r="UOI1108" s="15"/>
      <c r="UOJ1108" s="15"/>
      <c r="UOM1108" s="15"/>
      <c r="UON1108" s="15"/>
      <c r="UOQ1108" s="15"/>
      <c r="UOR1108" s="15"/>
      <c r="UOU1108" s="15"/>
      <c r="UOV1108" s="15"/>
      <c r="UOY1108" s="15"/>
      <c r="UOZ1108" s="15"/>
      <c r="UPC1108" s="15"/>
      <c r="UPD1108" s="15"/>
      <c r="UPG1108" s="15"/>
      <c r="UPH1108" s="15"/>
      <c r="UPK1108" s="15"/>
      <c r="UPL1108" s="15"/>
      <c r="UPO1108" s="15"/>
      <c r="UPP1108" s="15"/>
      <c r="UPS1108" s="15"/>
      <c r="UPT1108" s="15"/>
      <c r="UPW1108" s="15"/>
      <c r="UPX1108" s="15"/>
      <c r="UQA1108" s="15"/>
      <c r="UQB1108" s="15"/>
      <c r="UQE1108" s="15"/>
      <c r="UQF1108" s="15"/>
      <c r="UQI1108" s="15"/>
      <c r="UQJ1108" s="15"/>
      <c r="UQM1108" s="15"/>
      <c r="UQN1108" s="15"/>
      <c r="UQQ1108" s="15"/>
      <c r="UQR1108" s="15"/>
      <c r="UQU1108" s="15"/>
      <c r="UQV1108" s="15"/>
      <c r="UQY1108" s="15"/>
      <c r="UQZ1108" s="15"/>
      <c r="URC1108" s="15"/>
      <c r="URD1108" s="15"/>
      <c r="URG1108" s="15"/>
      <c r="URH1108" s="15"/>
      <c r="URK1108" s="15"/>
      <c r="URL1108" s="15"/>
      <c r="URO1108" s="15"/>
      <c r="URP1108" s="15"/>
      <c r="URS1108" s="15"/>
      <c r="URT1108" s="15"/>
      <c r="URW1108" s="15"/>
      <c r="URX1108" s="15"/>
      <c r="USA1108" s="15"/>
      <c r="USB1108" s="15"/>
      <c r="USE1108" s="15"/>
      <c r="USF1108" s="15"/>
      <c r="USI1108" s="15"/>
      <c r="USJ1108" s="15"/>
      <c r="USM1108" s="15"/>
      <c r="USN1108" s="15"/>
      <c r="USQ1108" s="15"/>
      <c r="USR1108" s="15"/>
      <c r="USU1108" s="15"/>
      <c r="USV1108" s="15"/>
      <c r="USY1108" s="15"/>
      <c r="USZ1108" s="15"/>
      <c r="UTC1108" s="15"/>
      <c r="UTD1108" s="15"/>
      <c r="UTG1108" s="15"/>
      <c r="UTH1108" s="15"/>
      <c r="UTK1108" s="15"/>
      <c r="UTL1108" s="15"/>
      <c r="UTO1108" s="15"/>
      <c r="UTP1108" s="15"/>
      <c r="UTS1108" s="15"/>
      <c r="UTT1108" s="15"/>
      <c r="UTW1108" s="15"/>
      <c r="UTX1108" s="15"/>
      <c r="UUA1108" s="15"/>
      <c r="UUB1108" s="15"/>
      <c r="UUE1108" s="15"/>
      <c r="UUF1108" s="15"/>
      <c r="UUI1108" s="15"/>
      <c r="UUJ1108" s="15"/>
      <c r="UUM1108" s="15"/>
      <c r="UUN1108" s="15"/>
      <c r="UUQ1108" s="15"/>
      <c r="UUR1108" s="15"/>
      <c r="UUU1108" s="15"/>
      <c r="UUV1108" s="15"/>
      <c r="UUY1108" s="15"/>
      <c r="UUZ1108" s="15"/>
      <c r="UVC1108" s="15"/>
      <c r="UVD1108" s="15"/>
      <c r="UVG1108" s="15"/>
      <c r="UVH1108" s="15"/>
      <c r="UVK1108" s="15"/>
      <c r="UVL1108" s="15"/>
      <c r="UVO1108" s="15"/>
      <c r="UVP1108" s="15"/>
      <c r="UVS1108" s="15"/>
      <c r="UVT1108" s="15"/>
      <c r="UVW1108" s="15"/>
      <c r="UVX1108" s="15"/>
      <c r="UWA1108" s="15"/>
      <c r="UWB1108" s="15"/>
      <c r="UWE1108" s="15"/>
      <c r="UWF1108" s="15"/>
      <c r="UWI1108" s="15"/>
      <c r="UWJ1108" s="15"/>
      <c r="UWM1108" s="15"/>
      <c r="UWN1108" s="15"/>
      <c r="UWQ1108" s="15"/>
      <c r="UWR1108" s="15"/>
      <c r="UWU1108" s="15"/>
      <c r="UWV1108" s="15"/>
      <c r="UWY1108" s="15"/>
      <c r="UWZ1108" s="15"/>
      <c r="UXC1108" s="15"/>
      <c r="UXD1108" s="15"/>
      <c r="UXG1108" s="15"/>
      <c r="UXH1108" s="15"/>
      <c r="UXK1108" s="15"/>
      <c r="UXL1108" s="15"/>
      <c r="UXO1108" s="15"/>
      <c r="UXP1108" s="15"/>
      <c r="UXS1108" s="15"/>
      <c r="UXT1108" s="15"/>
      <c r="UXW1108" s="15"/>
      <c r="UXX1108" s="15"/>
      <c r="UYA1108" s="15"/>
      <c r="UYB1108" s="15"/>
      <c r="UYE1108" s="15"/>
      <c r="UYF1108" s="15"/>
      <c r="UYI1108" s="15"/>
      <c r="UYJ1108" s="15"/>
      <c r="UYM1108" s="15"/>
      <c r="UYN1108" s="15"/>
      <c r="UYQ1108" s="15"/>
      <c r="UYR1108" s="15"/>
      <c r="UYU1108" s="15"/>
      <c r="UYV1108" s="15"/>
      <c r="UYY1108" s="15"/>
      <c r="UYZ1108" s="15"/>
      <c r="UZC1108" s="15"/>
      <c r="UZD1108" s="15"/>
      <c r="UZG1108" s="15"/>
      <c r="UZH1108" s="15"/>
      <c r="UZK1108" s="15"/>
      <c r="UZL1108" s="15"/>
      <c r="UZO1108" s="15"/>
      <c r="UZP1108" s="15"/>
      <c r="UZS1108" s="15"/>
      <c r="UZT1108" s="15"/>
      <c r="UZW1108" s="15"/>
      <c r="UZX1108" s="15"/>
      <c r="VAA1108" s="15"/>
      <c r="VAB1108" s="15"/>
      <c r="VAE1108" s="15"/>
      <c r="VAF1108" s="15"/>
      <c r="VAI1108" s="15"/>
      <c r="VAJ1108" s="15"/>
      <c r="VAM1108" s="15"/>
      <c r="VAN1108" s="15"/>
      <c r="VAQ1108" s="15"/>
      <c r="VAR1108" s="15"/>
      <c r="VAU1108" s="15"/>
      <c r="VAV1108" s="15"/>
      <c r="VAY1108" s="15"/>
      <c r="VAZ1108" s="15"/>
      <c r="VBC1108" s="15"/>
      <c r="VBD1108" s="15"/>
      <c r="VBG1108" s="15"/>
      <c r="VBH1108" s="15"/>
      <c r="VBK1108" s="15"/>
      <c r="VBL1108" s="15"/>
      <c r="VBO1108" s="15"/>
      <c r="VBP1108" s="15"/>
      <c r="VBS1108" s="15"/>
      <c r="VBT1108" s="15"/>
      <c r="VBW1108" s="15"/>
      <c r="VBX1108" s="15"/>
      <c r="VCA1108" s="15"/>
      <c r="VCB1108" s="15"/>
      <c r="VCE1108" s="15"/>
      <c r="VCF1108" s="15"/>
      <c r="VCI1108" s="15"/>
      <c r="VCJ1108" s="15"/>
      <c r="VCM1108" s="15"/>
      <c r="VCN1108" s="15"/>
      <c r="VCQ1108" s="15"/>
      <c r="VCR1108" s="15"/>
      <c r="VCU1108" s="15"/>
      <c r="VCV1108" s="15"/>
      <c r="VCY1108" s="15"/>
      <c r="VCZ1108" s="15"/>
      <c r="VDC1108" s="15"/>
      <c r="VDD1108" s="15"/>
      <c r="VDG1108" s="15"/>
      <c r="VDH1108" s="15"/>
      <c r="VDK1108" s="15"/>
      <c r="VDL1108" s="15"/>
      <c r="VDO1108" s="15"/>
      <c r="VDP1108" s="15"/>
      <c r="VDS1108" s="15"/>
      <c r="VDT1108" s="15"/>
      <c r="VDW1108" s="15"/>
      <c r="VDX1108" s="15"/>
      <c r="VEA1108" s="15"/>
      <c r="VEB1108" s="15"/>
      <c r="VEE1108" s="15"/>
      <c r="VEF1108" s="15"/>
      <c r="VEI1108" s="15"/>
      <c r="VEJ1108" s="15"/>
      <c r="VEM1108" s="15"/>
      <c r="VEN1108" s="15"/>
      <c r="VEQ1108" s="15"/>
      <c r="VER1108" s="15"/>
      <c r="VEU1108" s="15"/>
      <c r="VEV1108" s="15"/>
      <c r="VEY1108" s="15"/>
      <c r="VEZ1108" s="15"/>
      <c r="VFC1108" s="15"/>
      <c r="VFD1108" s="15"/>
      <c r="VFG1108" s="15"/>
      <c r="VFH1108" s="15"/>
      <c r="VFK1108" s="15"/>
      <c r="VFL1108" s="15"/>
      <c r="VFO1108" s="15"/>
      <c r="VFP1108" s="15"/>
      <c r="VFS1108" s="15"/>
      <c r="VFT1108" s="15"/>
      <c r="VFW1108" s="15"/>
      <c r="VFX1108" s="15"/>
      <c r="VGA1108" s="15"/>
      <c r="VGB1108" s="15"/>
      <c r="VGE1108" s="15"/>
      <c r="VGF1108" s="15"/>
      <c r="VGI1108" s="15"/>
      <c r="VGJ1108" s="15"/>
      <c r="VGM1108" s="15"/>
      <c r="VGN1108" s="15"/>
      <c r="VGQ1108" s="15"/>
      <c r="VGR1108" s="15"/>
      <c r="VGU1108" s="15"/>
      <c r="VGV1108" s="15"/>
      <c r="VGY1108" s="15"/>
      <c r="VGZ1108" s="15"/>
      <c r="VHC1108" s="15"/>
      <c r="VHD1108" s="15"/>
      <c r="VHG1108" s="15"/>
      <c r="VHH1108" s="15"/>
      <c r="VHK1108" s="15"/>
      <c r="VHL1108" s="15"/>
      <c r="VHO1108" s="15"/>
      <c r="VHP1108" s="15"/>
      <c r="VHS1108" s="15"/>
      <c r="VHT1108" s="15"/>
      <c r="VHW1108" s="15"/>
      <c r="VHX1108" s="15"/>
      <c r="VIA1108" s="15"/>
      <c r="VIB1108" s="15"/>
      <c r="VIE1108" s="15"/>
      <c r="VIF1108" s="15"/>
      <c r="VII1108" s="15"/>
      <c r="VIJ1108" s="15"/>
      <c r="VIM1108" s="15"/>
      <c r="VIN1108" s="15"/>
      <c r="VIQ1108" s="15"/>
      <c r="VIR1108" s="15"/>
      <c r="VIU1108" s="15"/>
      <c r="VIV1108" s="15"/>
      <c r="VIY1108" s="15"/>
      <c r="VIZ1108" s="15"/>
      <c r="VJC1108" s="15"/>
      <c r="VJD1108" s="15"/>
      <c r="VJG1108" s="15"/>
      <c r="VJH1108" s="15"/>
      <c r="VJK1108" s="15"/>
      <c r="VJL1108" s="15"/>
      <c r="VJO1108" s="15"/>
      <c r="VJP1108" s="15"/>
      <c r="VJS1108" s="15"/>
      <c r="VJT1108" s="15"/>
      <c r="VJW1108" s="15"/>
      <c r="VJX1108" s="15"/>
      <c r="VKA1108" s="15"/>
      <c r="VKB1108" s="15"/>
      <c r="VKE1108" s="15"/>
      <c r="VKF1108" s="15"/>
      <c r="VKI1108" s="15"/>
      <c r="VKJ1108" s="15"/>
      <c r="VKM1108" s="15"/>
      <c r="VKN1108" s="15"/>
      <c r="VKQ1108" s="15"/>
      <c r="VKR1108" s="15"/>
      <c r="VKU1108" s="15"/>
      <c r="VKV1108" s="15"/>
      <c r="VKY1108" s="15"/>
      <c r="VKZ1108" s="15"/>
      <c r="VLC1108" s="15"/>
      <c r="VLD1108" s="15"/>
      <c r="VLG1108" s="15"/>
      <c r="VLH1108" s="15"/>
      <c r="VLK1108" s="15"/>
      <c r="VLL1108" s="15"/>
      <c r="VLO1108" s="15"/>
      <c r="VLP1108" s="15"/>
      <c r="VLS1108" s="15"/>
      <c r="VLT1108" s="15"/>
      <c r="VLW1108" s="15"/>
      <c r="VLX1108" s="15"/>
      <c r="VMA1108" s="15"/>
      <c r="VMB1108" s="15"/>
      <c r="VME1108" s="15"/>
      <c r="VMF1108" s="15"/>
      <c r="VMI1108" s="15"/>
      <c r="VMJ1108" s="15"/>
      <c r="VMM1108" s="15"/>
      <c r="VMN1108" s="15"/>
      <c r="VMQ1108" s="15"/>
      <c r="VMR1108" s="15"/>
      <c r="VMU1108" s="15"/>
      <c r="VMV1108" s="15"/>
      <c r="VMY1108" s="15"/>
      <c r="VMZ1108" s="15"/>
      <c r="VNC1108" s="15"/>
      <c r="VND1108" s="15"/>
      <c r="VNG1108" s="15"/>
      <c r="VNH1108" s="15"/>
      <c r="VNK1108" s="15"/>
      <c r="VNL1108" s="15"/>
      <c r="VNO1108" s="15"/>
      <c r="VNP1108" s="15"/>
      <c r="VNS1108" s="15"/>
      <c r="VNT1108" s="15"/>
      <c r="VNW1108" s="15"/>
      <c r="VNX1108" s="15"/>
      <c r="VOA1108" s="15"/>
      <c r="VOB1108" s="15"/>
      <c r="VOE1108" s="15"/>
      <c r="VOF1108" s="15"/>
      <c r="VOI1108" s="15"/>
      <c r="VOJ1108" s="15"/>
      <c r="VOM1108" s="15"/>
      <c r="VON1108" s="15"/>
      <c r="VOQ1108" s="15"/>
      <c r="VOR1108" s="15"/>
      <c r="VOU1108" s="15"/>
      <c r="VOV1108" s="15"/>
      <c r="VOY1108" s="15"/>
      <c r="VOZ1108" s="15"/>
      <c r="VPC1108" s="15"/>
      <c r="VPD1108" s="15"/>
      <c r="VPG1108" s="15"/>
      <c r="VPH1108" s="15"/>
      <c r="VPK1108" s="15"/>
      <c r="VPL1108" s="15"/>
      <c r="VPO1108" s="15"/>
      <c r="VPP1108" s="15"/>
      <c r="VPS1108" s="15"/>
      <c r="VPT1108" s="15"/>
      <c r="VPW1108" s="15"/>
      <c r="VPX1108" s="15"/>
      <c r="VQA1108" s="15"/>
      <c r="VQB1108" s="15"/>
      <c r="VQE1108" s="15"/>
      <c r="VQF1108" s="15"/>
      <c r="VQI1108" s="15"/>
      <c r="VQJ1108" s="15"/>
      <c r="VQM1108" s="15"/>
      <c r="VQN1108" s="15"/>
      <c r="VQQ1108" s="15"/>
      <c r="VQR1108" s="15"/>
      <c r="VQU1108" s="15"/>
      <c r="VQV1108" s="15"/>
      <c r="VQY1108" s="15"/>
      <c r="VQZ1108" s="15"/>
      <c r="VRC1108" s="15"/>
      <c r="VRD1108" s="15"/>
      <c r="VRG1108" s="15"/>
      <c r="VRH1108" s="15"/>
      <c r="VRK1108" s="15"/>
      <c r="VRL1108" s="15"/>
      <c r="VRO1108" s="15"/>
      <c r="VRP1108" s="15"/>
      <c r="VRS1108" s="15"/>
      <c r="VRT1108" s="15"/>
      <c r="VRW1108" s="15"/>
      <c r="VRX1108" s="15"/>
      <c r="VSA1108" s="15"/>
      <c r="VSB1108" s="15"/>
      <c r="VSE1108" s="15"/>
      <c r="VSF1108" s="15"/>
      <c r="VSI1108" s="15"/>
      <c r="VSJ1108" s="15"/>
      <c r="VSM1108" s="15"/>
      <c r="VSN1108" s="15"/>
      <c r="VSQ1108" s="15"/>
      <c r="VSR1108" s="15"/>
      <c r="VSU1108" s="15"/>
      <c r="VSV1108" s="15"/>
      <c r="VSY1108" s="15"/>
      <c r="VSZ1108" s="15"/>
      <c r="VTC1108" s="15"/>
      <c r="VTD1108" s="15"/>
      <c r="VTG1108" s="15"/>
      <c r="VTH1108" s="15"/>
      <c r="VTK1108" s="15"/>
      <c r="VTL1108" s="15"/>
      <c r="VTO1108" s="15"/>
      <c r="VTP1108" s="15"/>
      <c r="VTS1108" s="15"/>
      <c r="VTT1108" s="15"/>
      <c r="VTW1108" s="15"/>
      <c r="VTX1108" s="15"/>
      <c r="VUA1108" s="15"/>
      <c r="VUB1108" s="15"/>
      <c r="VUE1108" s="15"/>
      <c r="VUF1108" s="15"/>
      <c r="VUI1108" s="15"/>
      <c r="VUJ1108" s="15"/>
      <c r="VUM1108" s="15"/>
      <c r="VUN1108" s="15"/>
      <c r="VUQ1108" s="15"/>
      <c r="VUR1108" s="15"/>
      <c r="VUU1108" s="15"/>
      <c r="VUV1108" s="15"/>
      <c r="VUY1108" s="15"/>
      <c r="VUZ1108" s="15"/>
      <c r="VVC1108" s="15"/>
      <c r="VVD1108" s="15"/>
      <c r="VVG1108" s="15"/>
      <c r="VVH1108" s="15"/>
      <c r="VVK1108" s="15"/>
      <c r="VVL1108" s="15"/>
      <c r="VVO1108" s="15"/>
      <c r="VVP1108" s="15"/>
      <c r="VVS1108" s="15"/>
      <c r="VVT1108" s="15"/>
      <c r="VVW1108" s="15"/>
      <c r="VVX1108" s="15"/>
      <c r="VWA1108" s="15"/>
      <c r="VWB1108" s="15"/>
      <c r="VWE1108" s="15"/>
      <c r="VWF1108" s="15"/>
      <c r="VWI1108" s="15"/>
      <c r="VWJ1108" s="15"/>
      <c r="VWM1108" s="15"/>
      <c r="VWN1108" s="15"/>
      <c r="VWQ1108" s="15"/>
      <c r="VWR1108" s="15"/>
      <c r="VWU1108" s="15"/>
      <c r="VWV1108" s="15"/>
      <c r="VWY1108" s="15"/>
      <c r="VWZ1108" s="15"/>
      <c r="VXC1108" s="15"/>
      <c r="VXD1108" s="15"/>
      <c r="VXG1108" s="15"/>
      <c r="VXH1108" s="15"/>
      <c r="VXK1108" s="15"/>
      <c r="VXL1108" s="15"/>
      <c r="VXO1108" s="15"/>
      <c r="VXP1108" s="15"/>
      <c r="VXS1108" s="15"/>
      <c r="VXT1108" s="15"/>
      <c r="VXW1108" s="15"/>
      <c r="VXX1108" s="15"/>
      <c r="VYA1108" s="15"/>
      <c r="VYB1108" s="15"/>
      <c r="VYE1108" s="15"/>
      <c r="VYF1108" s="15"/>
      <c r="VYI1108" s="15"/>
      <c r="VYJ1108" s="15"/>
      <c r="VYM1108" s="15"/>
      <c r="VYN1108" s="15"/>
      <c r="VYQ1108" s="15"/>
      <c r="VYR1108" s="15"/>
      <c r="VYU1108" s="15"/>
      <c r="VYV1108" s="15"/>
      <c r="VYY1108" s="15"/>
      <c r="VYZ1108" s="15"/>
      <c r="VZC1108" s="15"/>
      <c r="VZD1108" s="15"/>
      <c r="VZG1108" s="15"/>
      <c r="VZH1108" s="15"/>
      <c r="VZK1108" s="15"/>
      <c r="VZL1108" s="15"/>
      <c r="VZO1108" s="15"/>
      <c r="VZP1108" s="15"/>
      <c r="VZS1108" s="15"/>
      <c r="VZT1108" s="15"/>
      <c r="VZW1108" s="15"/>
      <c r="VZX1108" s="15"/>
      <c r="WAA1108" s="15"/>
      <c r="WAB1108" s="15"/>
      <c r="WAE1108" s="15"/>
      <c r="WAF1108" s="15"/>
      <c r="WAI1108" s="15"/>
      <c r="WAJ1108" s="15"/>
      <c r="WAM1108" s="15"/>
      <c r="WAN1108" s="15"/>
      <c r="WAQ1108" s="15"/>
      <c r="WAR1108" s="15"/>
      <c r="WAU1108" s="15"/>
      <c r="WAV1108" s="15"/>
      <c r="WAY1108" s="15"/>
      <c r="WAZ1108" s="15"/>
      <c r="WBC1108" s="15"/>
      <c r="WBD1108" s="15"/>
      <c r="WBG1108" s="15"/>
      <c r="WBH1108" s="15"/>
      <c r="WBK1108" s="15"/>
      <c r="WBL1108" s="15"/>
      <c r="WBO1108" s="15"/>
      <c r="WBP1108" s="15"/>
      <c r="WBS1108" s="15"/>
      <c r="WBT1108" s="15"/>
      <c r="WBW1108" s="15"/>
      <c r="WBX1108" s="15"/>
      <c r="WCA1108" s="15"/>
      <c r="WCB1108" s="15"/>
      <c r="WCE1108" s="15"/>
      <c r="WCF1108" s="15"/>
      <c r="WCI1108" s="15"/>
      <c r="WCJ1108" s="15"/>
      <c r="WCM1108" s="15"/>
      <c r="WCN1108" s="15"/>
      <c r="WCQ1108" s="15"/>
      <c r="WCR1108" s="15"/>
      <c r="WCU1108" s="15"/>
      <c r="WCV1108" s="15"/>
      <c r="WCY1108" s="15"/>
      <c r="WCZ1108" s="15"/>
      <c r="WDC1108" s="15"/>
      <c r="WDD1108" s="15"/>
      <c r="WDG1108" s="15"/>
      <c r="WDH1108" s="15"/>
      <c r="WDK1108" s="15"/>
      <c r="WDL1108" s="15"/>
      <c r="WDO1108" s="15"/>
      <c r="WDP1108" s="15"/>
      <c r="WDS1108" s="15"/>
      <c r="WDT1108" s="15"/>
      <c r="WDW1108" s="15"/>
      <c r="WDX1108" s="15"/>
      <c r="WEA1108" s="15"/>
      <c r="WEB1108" s="15"/>
      <c r="WEE1108" s="15"/>
      <c r="WEF1108" s="15"/>
      <c r="WEI1108" s="15"/>
      <c r="WEJ1108" s="15"/>
      <c r="WEM1108" s="15"/>
      <c r="WEN1108" s="15"/>
      <c r="WEQ1108" s="15"/>
      <c r="WER1108" s="15"/>
      <c r="WEU1108" s="15"/>
      <c r="WEV1108" s="15"/>
      <c r="WEY1108" s="15"/>
      <c r="WEZ1108" s="15"/>
      <c r="WFC1108" s="15"/>
      <c r="WFD1108" s="15"/>
      <c r="WFG1108" s="15"/>
      <c r="WFH1108" s="15"/>
      <c r="WFK1108" s="15"/>
      <c r="WFL1108" s="15"/>
      <c r="WFO1108" s="15"/>
      <c r="WFP1108" s="15"/>
      <c r="WFS1108" s="15"/>
      <c r="WFT1108" s="15"/>
      <c r="WFW1108" s="15"/>
      <c r="WFX1108" s="15"/>
      <c r="WGA1108" s="15"/>
      <c r="WGB1108" s="15"/>
      <c r="WGE1108" s="15"/>
      <c r="WGF1108" s="15"/>
      <c r="WGI1108" s="15"/>
      <c r="WGJ1108" s="15"/>
      <c r="WGM1108" s="15"/>
      <c r="WGN1108" s="15"/>
      <c r="WGQ1108" s="15"/>
      <c r="WGR1108" s="15"/>
      <c r="WGU1108" s="15"/>
      <c r="WGV1108" s="15"/>
      <c r="WGY1108" s="15"/>
      <c r="WGZ1108" s="15"/>
      <c r="WHC1108" s="15"/>
      <c r="WHD1108" s="15"/>
      <c r="WHG1108" s="15"/>
      <c r="WHH1108" s="15"/>
      <c r="WHK1108" s="15"/>
      <c r="WHL1108" s="15"/>
      <c r="WHO1108" s="15"/>
      <c r="WHP1108" s="15"/>
      <c r="WHS1108" s="15"/>
      <c r="WHT1108" s="15"/>
      <c r="WHW1108" s="15"/>
      <c r="WHX1108" s="15"/>
      <c r="WIA1108" s="15"/>
      <c r="WIB1108" s="15"/>
      <c r="WIE1108" s="15"/>
      <c r="WIF1108" s="15"/>
      <c r="WII1108" s="15"/>
      <c r="WIJ1108" s="15"/>
      <c r="WIM1108" s="15"/>
      <c r="WIN1108" s="15"/>
      <c r="WIQ1108" s="15"/>
      <c r="WIR1108" s="15"/>
      <c r="WIU1108" s="15"/>
      <c r="WIV1108" s="15"/>
      <c r="WIY1108" s="15"/>
      <c r="WIZ1108" s="15"/>
      <c r="WJC1108" s="15"/>
      <c r="WJD1108" s="15"/>
      <c r="WJG1108" s="15"/>
      <c r="WJH1108" s="15"/>
      <c r="WJK1108" s="15"/>
      <c r="WJL1108" s="15"/>
      <c r="WJO1108" s="15"/>
      <c r="WJP1108" s="15"/>
      <c r="WJS1108" s="15"/>
      <c r="WJT1108" s="15"/>
      <c r="WJW1108" s="15"/>
      <c r="WJX1108" s="15"/>
      <c r="WKA1108" s="15"/>
      <c r="WKB1108" s="15"/>
      <c r="WKE1108" s="15"/>
      <c r="WKF1108" s="15"/>
      <c r="WKI1108" s="15"/>
      <c r="WKJ1108" s="15"/>
      <c r="WKM1108" s="15"/>
      <c r="WKN1108" s="15"/>
      <c r="WKQ1108" s="15"/>
      <c r="WKR1108" s="15"/>
      <c r="WKU1108" s="15"/>
      <c r="WKV1108" s="15"/>
      <c r="WKY1108" s="15"/>
      <c r="WKZ1108" s="15"/>
      <c r="WLC1108" s="15"/>
      <c r="WLD1108" s="15"/>
      <c r="WLG1108" s="15"/>
      <c r="WLH1108" s="15"/>
      <c r="WLK1108" s="15"/>
      <c r="WLL1108" s="15"/>
      <c r="WLO1108" s="15"/>
      <c r="WLP1108" s="15"/>
      <c r="WLS1108" s="15"/>
      <c r="WLT1108" s="15"/>
      <c r="WLW1108" s="15"/>
      <c r="WLX1108" s="15"/>
      <c r="WMA1108" s="15"/>
      <c r="WMB1108" s="15"/>
      <c r="WME1108" s="15"/>
      <c r="WMF1108" s="15"/>
      <c r="WMI1108" s="15"/>
      <c r="WMJ1108" s="15"/>
      <c r="WMM1108" s="15"/>
      <c r="WMN1108" s="15"/>
      <c r="WMQ1108" s="15"/>
      <c r="WMR1108" s="15"/>
      <c r="WMU1108" s="15"/>
      <c r="WMV1108" s="15"/>
      <c r="WMY1108" s="15"/>
      <c r="WMZ1108" s="15"/>
      <c r="WNC1108" s="15"/>
      <c r="WND1108" s="15"/>
      <c r="WNG1108" s="15"/>
      <c r="WNH1108" s="15"/>
      <c r="WNK1108" s="15"/>
      <c r="WNL1108" s="15"/>
      <c r="WNO1108" s="15"/>
      <c r="WNP1108" s="15"/>
      <c r="WNS1108" s="15"/>
      <c r="WNT1108" s="15"/>
      <c r="WNW1108" s="15"/>
      <c r="WNX1108" s="15"/>
      <c r="WOA1108" s="15"/>
      <c r="WOB1108" s="15"/>
      <c r="WOE1108" s="15"/>
      <c r="WOF1108" s="15"/>
      <c r="WOI1108" s="15"/>
      <c r="WOJ1108" s="15"/>
      <c r="WOM1108" s="15"/>
      <c r="WON1108" s="15"/>
      <c r="WOQ1108" s="15"/>
      <c r="WOR1108" s="15"/>
      <c r="WOU1108" s="15"/>
      <c r="WOV1108" s="15"/>
      <c r="WOY1108" s="15"/>
      <c r="WOZ1108" s="15"/>
      <c r="WPC1108" s="15"/>
      <c r="WPD1108" s="15"/>
      <c r="WPG1108" s="15"/>
      <c r="WPH1108" s="15"/>
      <c r="WPK1108" s="15"/>
      <c r="WPL1108" s="15"/>
      <c r="WPO1108" s="15"/>
      <c r="WPP1108" s="15"/>
      <c r="WPS1108" s="15"/>
      <c r="WPT1108" s="15"/>
      <c r="WPW1108" s="15"/>
      <c r="WPX1108" s="15"/>
      <c r="WQA1108" s="15"/>
      <c r="WQB1108" s="15"/>
      <c r="WQE1108" s="15"/>
      <c r="WQF1108" s="15"/>
      <c r="WQI1108" s="15"/>
      <c r="WQJ1108" s="15"/>
      <c r="WQM1108" s="15"/>
      <c r="WQN1108" s="15"/>
      <c r="WQQ1108" s="15"/>
      <c r="WQR1108" s="15"/>
      <c r="WQU1108" s="15"/>
      <c r="WQV1108" s="15"/>
      <c r="WQY1108" s="15"/>
      <c r="WQZ1108" s="15"/>
      <c r="WRC1108" s="15"/>
      <c r="WRD1108" s="15"/>
      <c r="WRG1108" s="15"/>
      <c r="WRH1108" s="15"/>
      <c r="WRK1108" s="15"/>
      <c r="WRL1108" s="15"/>
      <c r="WRO1108" s="15"/>
      <c r="WRP1108" s="15"/>
      <c r="WRS1108" s="15"/>
      <c r="WRT1108" s="15"/>
      <c r="WRW1108" s="15"/>
      <c r="WRX1108" s="15"/>
      <c r="WSA1108" s="15"/>
      <c r="WSB1108" s="15"/>
      <c r="WSE1108" s="15"/>
      <c r="WSF1108" s="15"/>
      <c r="WSI1108" s="15"/>
      <c r="WSJ1108" s="15"/>
      <c r="WSM1108" s="15"/>
      <c r="WSN1108" s="15"/>
      <c r="WSQ1108" s="15"/>
      <c r="WSR1108" s="15"/>
      <c r="WSU1108" s="15"/>
      <c r="WSV1108" s="15"/>
      <c r="WSY1108" s="15"/>
      <c r="WSZ1108" s="15"/>
      <c r="WTC1108" s="15"/>
      <c r="WTD1108" s="15"/>
      <c r="WTG1108" s="15"/>
      <c r="WTH1108" s="15"/>
      <c r="WTK1108" s="15"/>
      <c r="WTL1108" s="15"/>
      <c r="WTO1108" s="15"/>
      <c r="WTP1108" s="15"/>
      <c r="WTS1108" s="15"/>
      <c r="WTT1108" s="15"/>
      <c r="WTW1108" s="15"/>
      <c r="WTX1108" s="15"/>
      <c r="WUA1108" s="15"/>
      <c r="WUB1108" s="15"/>
      <c r="WUE1108" s="15"/>
      <c r="WUF1108" s="15"/>
      <c r="WUI1108" s="15"/>
      <c r="WUJ1108" s="15"/>
      <c r="WUM1108" s="15"/>
      <c r="WUN1108" s="15"/>
      <c r="WUQ1108" s="15"/>
      <c r="WUR1108" s="15"/>
      <c r="WUU1108" s="15"/>
      <c r="WUV1108" s="15"/>
      <c r="WUY1108" s="15"/>
      <c r="WUZ1108" s="15"/>
      <c r="WVC1108" s="15"/>
      <c r="WVD1108" s="15"/>
      <c r="WVG1108" s="15"/>
      <c r="WVH1108" s="15"/>
      <c r="WVK1108" s="15"/>
      <c r="WVL1108" s="15"/>
      <c r="WVO1108" s="15"/>
      <c r="WVP1108" s="15"/>
      <c r="WVS1108" s="15"/>
      <c r="WVT1108" s="15"/>
      <c r="WVW1108" s="15"/>
      <c r="WVX1108" s="15"/>
      <c r="WWA1108" s="15"/>
      <c r="WWB1108" s="15"/>
      <c r="WWE1108" s="15"/>
      <c r="WWF1108" s="15"/>
      <c r="WWI1108" s="15"/>
      <c r="WWJ1108" s="15"/>
      <c r="WWM1108" s="15"/>
      <c r="WWN1108" s="15"/>
      <c r="WWQ1108" s="15"/>
      <c r="WWR1108" s="15"/>
      <c r="WWU1108" s="15"/>
      <c r="WWV1108" s="15"/>
      <c r="WWY1108" s="15"/>
      <c r="WWZ1108" s="15"/>
      <c r="WXC1108" s="15"/>
      <c r="WXD1108" s="15"/>
      <c r="WXG1108" s="15"/>
      <c r="WXH1108" s="15"/>
      <c r="WXK1108" s="15"/>
      <c r="WXL1108" s="15"/>
      <c r="WXO1108" s="15"/>
      <c r="WXP1108" s="15"/>
      <c r="WXS1108" s="15"/>
      <c r="WXT1108" s="15"/>
      <c r="WXW1108" s="15"/>
      <c r="WXX1108" s="15"/>
      <c r="WYA1108" s="15"/>
      <c r="WYB1108" s="15"/>
      <c r="WYE1108" s="15"/>
      <c r="WYF1108" s="15"/>
      <c r="WYI1108" s="15"/>
      <c r="WYJ1108" s="15"/>
      <c r="WYM1108" s="15"/>
      <c r="WYN1108" s="15"/>
      <c r="WYQ1108" s="15"/>
      <c r="WYR1108" s="15"/>
      <c r="WYU1108" s="15"/>
      <c r="WYV1108" s="15"/>
      <c r="WYY1108" s="15"/>
      <c r="WYZ1108" s="15"/>
      <c r="WZC1108" s="15"/>
      <c r="WZD1108" s="15"/>
      <c r="WZG1108" s="15"/>
      <c r="WZH1108" s="15"/>
      <c r="WZK1108" s="15"/>
      <c r="WZL1108" s="15"/>
      <c r="WZO1108" s="15"/>
      <c r="WZP1108" s="15"/>
      <c r="WZS1108" s="15"/>
      <c r="WZT1108" s="15"/>
      <c r="WZW1108" s="15"/>
      <c r="WZX1108" s="15"/>
      <c r="XAA1108" s="15"/>
      <c r="XAB1108" s="15"/>
      <c r="XAE1108" s="15"/>
      <c r="XAF1108" s="15"/>
      <c r="XAI1108" s="15"/>
      <c r="XAJ1108" s="15"/>
      <c r="XAM1108" s="15"/>
      <c r="XAN1108" s="15"/>
      <c r="XAQ1108" s="15"/>
      <c r="XAR1108" s="15"/>
      <c r="XAU1108" s="15"/>
      <c r="XAV1108" s="15"/>
      <c r="XAY1108" s="15"/>
      <c r="XAZ1108" s="15"/>
      <c r="XBC1108" s="15"/>
      <c r="XBD1108" s="15"/>
      <c r="XBG1108" s="15"/>
      <c r="XBH1108" s="15"/>
      <c r="XBK1108" s="15"/>
      <c r="XBL1108" s="15"/>
      <c r="XBO1108" s="15"/>
      <c r="XBP1108" s="15"/>
      <c r="XBS1108" s="15"/>
      <c r="XBT1108" s="15"/>
      <c r="XBW1108" s="15"/>
      <c r="XBX1108" s="15"/>
      <c r="XCA1108" s="15"/>
      <c r="XCB1108" s="15"/>
      <c r="XCE1108" s="15"/>
      <c r="XCF1108" s="15"/>
      <c r="XCI1108" s="15"/>
      <c r="XCJ1108" s="15"/>
      <c r="XCM1108" s="15"/>
      <c r="XCN1108" s="15"/>
      <c r="XCQ1108" s="15"/>
      <c r="XCR1108" s="15"/>
      <c r="XCU1108" s="15"/>
      <c r="XCV1108" s="15"/>
      <c r="XCY1108" s="15"/>
      <c r="XCZ1108" s="15"/>
      <c r="XDC1108" s="15"/>
      <c r="XDD1108" s="15"/>
      <c r="XDG1108" s="15"/>
      <c r="XDH1108" s="15"/>
      <c r="XDK1108" s="15"/>
      <c r="XDL1108" s="15"/>
      <c r="XDO1108" s="15"/>
      <c r="XDP1108" s="15"/>
      <c r="XDS1108" s="15"/>
      <c r="XDT1108" s="15"/>
      <c r="XDW1108" s="15"/>
      <c r="XDX1108" s="15"/>
      <c r="XEA1108" s="15"/>
      <c r="XEB1108" s="15"/>
      <c r="XEE1108" s="15"/>
      <c r="XEF1108" s="15"/>
      <c r="XEI1108" s="15"/>
      <c r="XEJ1108" s="15"/>
      <c r="XEM1108" s="15"/>
      <c r="XEN1108" s="15"/>
      <c r="XEQ1108" s="15"/>
      <c r="XER1108" s="15"/>
      <c r="XEU1108" s="15"/>
      <c r="XEV1108" s="15"/>
      <c r="XEY1108" s="15"/>
      <c r="XEZ1108" s="15"/>
      <c r="XFC1108" s="15"/>
      <c r="XFD1108" s="15"/>
    </row>
    <row r="1109" spans="1:1024 1027:2048 2051:3072 3075:4096 4099:5120 5123:6144 6147:7168 7171:8192 8195:9216 9219:10240 10243:11264 11267:12288 12291:13312 13315:14336 14339:15360 15363:16384" outlineLevel="1" x14ac:dyDescent="0.3">
      <c r="A1109" t="s">
        <v>1839</v>
      </c>
      <c r="B1109" t="s">
        <v>269</v>
      </c>
      <c r="C1109" s="15" t="s">
        <v>8</v>
      </c>
      <c r="D1109" s="15" t="s">
        <v>1840</v>
      </c>
      <c r="E1109" t="s">
        <v>8494</v>
      </c>
      <c r="G1109" s="15"/>
      <c r="H1109" s="15"/>
      <c r="K1109" s="15"/>
      <c r="L1109" s="15"/>
      <c r="O1109" s="15"/>
      <c r="P1109" s="15"/>
      <c r="S1109" s="15"/>
      <c r="T1109" s="15"/>
      <c r="W1109" s="15"/>
      <c r="X1109" s="15"/>
      <c r="AA1109" s="15"/>
      <c r="AB1109" s="15"/>
      <c r="AE1109" s="15"/>
      <c r="AF1109" s="15"/>
      <c r="AI1109" s="15"/>
      <c r="AJ1109" s="15"/>
      <c r="AM1109" s="15"/>
      <c r="AN1109" s="15"/>
      <c r="AQ1109" s="15"/>
      <c r="AR1109" s="15"/>
      <c r="AU1109" s="15"/>
      <c r="AV1109" s="15"/>
      <c r="AY1109" s="15"/>
      <c r="AZ1109" s="15"/>
      <c r="BC1109" s="15"/>
      <c r="BD1109" s="15"/>
      <c r="BG1109" s="15"/>
      <c r="BH1109" s="15"/>
      <c r="BK1109" s="15"/>
      <c r="BL1109" s="15"/>
      <c r="BO1109" s="15"/>
      <c r="BP1109" s="15"/>
      <c r="BS1109" s="15"/>
      <c r="BT1109" s="15"/>
      <c r="BW1109" s="15"/>
      <c r="BX1109" s="15"/>
      <c r="CA1109" s="15"/>
      <c r="CB1109" s="15"/>
      <c r="CE1109" s="15"/>
      <c r="CF1109" s="15"/>
      <c r="CI1109" s="15"/>
      <c r="CJ1109" s="15"/>
      <c r="CM1109" s="15"/>
      <c r="CN1109" s="15"/>
      <c r="CQ1109" s="15"/>
      <c r="CR1109" s="15"/>
      <c r="CU1109" s="15"/>
      <c r="CV1109" s="15"/>
      <c r="CY1109" s="15"/>
      <c r="CZ1109" s="15"/>
      <c r="DC1109" s="15"/>
      <c r="DD1109" s="15"/>
      <c r="DG1109" s="15"/>
      <c r="DH1109" s="15"/>
      <c r="DK1109" s="15"/>
      <c r="DL1109" s="15"/>
      <c r="DO1109" s="15"/>
      <c r="DP1109" s="15"/>
      <c r="DS1109" s="15"/>
      <c r="DT1109" s="15"/>
      <c r="DW1109" s="15"/>
      <c r="DX1109" s="15"/>
      <c r="EA1109" s="15"/>
      <c r="EB1109" s="15"/>
      <c r="EE1109" s="15"/>
      <c r="EF1109" s="15"/>
      <c r="EI1109" s="15"/>
      <c r="EJ1109" s="15"/>
      <c r="EM1109" s="15"/>
      <c r="EN1109" s="15"/>
      <c r="EQ1109" s="15"/>
      <c r="ER1109" s="15"/>
      <c r="EU1109" s="15"/>
      <c r="EV1109" s="15"/>
      <c r="EY1109" s="15"/>
      <c r="EZ1109" s="15"/>
      <c r="FC1109" s="15"/>
      <c r="FD1109" s="15"/>
      <c r="FG1109" s="15"/>
      <c r="FH1109" s="15"/>
      <c r="FK1109" s="15"/>
      <c r="FL1109" s="15"/>
      <c r="FO1109" s="15"/>
      <c r="FP1109" s="15"/>
      <c r="FS1109" s="15"/>
      <c r="FT1109" s="15"/>
      <c r="FW1109" s="15"/>
      <c r="FX1109" s="15"/>
      <c r="GA1109" s="15"/>
      <c r="GB1109" s="15"/>
      <c r="GE1109" s="15"/>
      <c r="GF1109" s="15"/>
      <c r="GI1109" s="15"/>
      <c r="GJ1109" s="15"/>
      <c r="GM1109" s="15"/>
      <c r="GN1109" s="15"/>
      <c r="GQ1109" s="15"/>
      <c r="GR1109" s="15"/>
      <c r="GU1109" s="15"/>
      <c r="GV1109" s="15"/>
      <c r="GY1109" s="15"/>
      <c r="GZ1109" s="15"/>
      <c r="HC1109" s="15"/>
      <c r="HD1109" s="15"/>
      <c r="HG1109" s="15"/>
      <c r="HH1109" s="15"/>
      <c r="HK1109" s="15"/>
      <c r="HL1109" s="15"/>
      <c r="HO1109" s="15"/>
      <c r="HP1109" s="15"/>
      <c r="HS1109" s="15"/>
      <c r="HT1109" s="15"/>
      <c r="HW1109" s="15"/>
      <c r="HX1109" s="15"/>
      <c r="IA1109" s="15"/>
      <c r="IB1109" s="15"/>
      <c r="IE1109" s="15"/>
      <c r="IF1109" s="15"/>
      <c r="II1109" s="15"/>
      <c r="IJ1109" s="15"/>
      <c r="IM1109" s="15"/>
      <c r="IN1109" s="15"/>
      <c r="IQ1109" s="15"/>
      <c r="IR1109" s="15"/>
      <c r="IU1109" s="15"/>
      <c r="IV1109" s="15"/>
      <c r="IY1109" s="15"/>
      <c r="IZ1109" s="15"/>
      <c r="JC1109" s="15"/>
      <c r="JD1109" s="15"/>
      <c r="JG1109" s="15"/>
      <c r="JH1109" s="15"/>
      <c r="JK1109" s="15"/>
      <c r="JL1109" s="15"/>
      <c r="JO1109" s="15"/>
      <c r="JP1109" s="15"/>
      <c r="JS1109" s="15"/>
      <c r="JT1109" s="15"/>
      <c r="JW1109" s="15"/>
      <c r="JX1109" s="15"/>
      <c r="KA1109" s="15"/>
      <c r="KB1109" s="15"/>
      <c r="KE1109" s="15"/>
      <c r="KF1109" s="15"/>
      <c r="KI1109" s="15"/>
      <c r="KJ1109" s="15"/>
      <c r="KM1109" s="15"/>
      <c r="KN1109" s="15"/>
      <c r="KQ1109" s="15"/>
      <c r="KR1109" s="15"/>
      <c r="KU1109" s="15"/>
      <c r="KV1109" s="15"/>
      <c r="KY1109" s="15"/>
      <c r="KZ1109" s="15"/>
      <c r="LC1109" s="15"/>
      <c r="LD1109" s="15"/>
      <c r="LG1109" s="15"/>
      <c r="LH1109" s="15"/>
      <c r="LK1109" s="15"/>
      <c r="LL1109" s="15"/>
      <c r="LO1109" s="15"/>
      <c r="LP1109" s="15"/>
      <c r="LS1109" s="15"/>
      <c r="LT1109" s="15"/>
      <c r="LW1109" s="15"/>
      <c r="LX1109" s="15"/>
      <c r="MA1109" s="15"/>
      <c r="MB1109" s="15"/>
      <c r="ME1109" s="15"/>
      <c r="MF1109" s="15"/>
      <c r="MI1109" s="15"/>
      <c r="MJ1109" s="15"/>
      <c r="MM1109" s="15"/>
      <c r="MN1109" s="15"/>
      <c r="MQ1109" s="15"/>
      <c r="MR1109" s="15"/>
      <c r="MU1109" s="15"/>
      <c r="MV1109" s="15"/>
      <c r="MY1109" s="15"/>
      <c r="MZ1109" s="15"/>
      <c r="NC1109" s="15"/>
      <c r="ND1109" s="15"/>
      <c r="NG1109" s="15"/>
      <c r="NH1109" s="15"/>
      <c r="NK1109" s="15"/>
      <c r="NL1109" s="15"/>
      <c r="NO1109" s="15"/>
      <c r="NP1109" s="15"/>
      <c r="NS1109" s="15"/>
      <c r="NT1109" s="15"/>
      <c r="NW1109" s="15"/>
      <c r="NX1109" s="15"/>
      <c r="OA1109" s="15"/>
      <c r="OB1109" s="15"/>
      <c r="OE1109" s="15"/>
      <c r="OF1109" s="15"/>
      <c r="OI1109" s="15"/>
      <c r="OJ1109" s="15"/>
      <c r="OM1109" s="15"/>
      <c r="ON1109" s="15"/>
      <c r="OQ1109" s="15"/>
      <c r="OR1109" s="15"/>
      <c r="OU1109" s="15"/>
      <c r="OV1109" s="15"/>
      <c r="OY1109" s="15"/>
      <c r="OZ1109" s="15"/>
      <c r="PC1109" s="15"/>
      <c r="PD1109" s="15"/>
      <c r="PG1109" s="15"/>
      <c r="PH1109" s="15"/>
      <c r="PK1109" s="15"/>
      <c r="PL1109" s="15"/>
      <c r="PO1109" s="15"/>
      <c r="PP1109" s="15"/>
      <c r="PS1109" s="15"/>
      <c r="PT1109" s="15"/>
      <c r="PW1109" s="15"/>
      <c r="PX1109" s="15"/>
      <c r="QA1109" s="15"/>
      <c r="QB1109" s="15"/>
      <c r="QE1109" s="15"/>
      <c r="QF1109" s="15"/>
      <c r="QI1109" s="15"/>
      <c r="QJ1109" s="15"/>
      <c r="QM1109" s="15"/>
      <c r="QN1109" s="15"/>
      <c r="QQ1109" s="15"/>
      <c r="QR1109" s="15"/>
      <c r="QU1109" s="15"/>
      <c r="QV1109" s="15"/>
      <c r="QY1109" s="15"/>
      <c r="QZ1109" s="15"/>
      <c r="RC1109" s="15"/>
      <c r="RD1109" s="15"/>
      <c r="RG1109" s="15"/>
      <c r="RH1109" s="15"/>
      <c r="RK1109" s="15"/>
      <c r="RL1109" s="15"/>
      <c r="RO1109" s="15"/>
      <c r="RP1109" s="15"/>
      <c r="RS1109" s="15"/>
      <c r="RT1109" s="15"/>
      <c r="RW1109" s="15"/>
      <c r="RX1109" s="15"/>
      <c r="SA1109" s="15"/>
      <c r="SB1109" s="15"/>
      <c r="SE1109" s="15"/>
      <c r="SF1109" s="15"/>
      <c r="SI1109" s="15"/>
      <c r="SJ1109" s="15"/>
      <c r="SM1109" s="15"/>
      <c r="SN1109" s="15"/>
      <c r="SQ1109" s="15"/>
      <c r="SR1109" s="15"/>
      <c r="SU1109" s="15"/>
      <c r="SV1109" s="15"/>
      <c r="SY1109" s="15"/>
      <c r="SZ1109" s="15"/>
      <c r="TC1109" s="15"/>
      <c r="TD1109" s="15"/>
      <c r="TG1109" s="15"/>
      <c r="TH1109" s="15"/>
      <c r="TK1109" s="15"/>
      <c r="TL1109" s="15"/>
      <c r="TO1109" s="15"/>
      <c r="TP1109" s="15"/>
      <c r="TS1109" s="15"/>
      <c r="TT1109" s="15"/>
      <c r="TW1109" s="15"/>
      <c r="TX1109" s="15"/>
      <c r="UA1109" s="15"/>
      <c r="UB1109" s="15"/>
      <c r="UE1109" s="15"/>
      <c r="UF1109" s="15"/>
      <c r="UI1109" s="15"/>
      <c r="UJ1109" s="15"/>
      <c r="UM1109" s="15"/>
      <c r="UN1109" s="15"/>
      <c r="UQ1109" s="15"/>
      <c r="UR1109" s="15"/>
      <c r="UU1109" s="15"/>
      <c r="UV1109" s="15"/>
      <c r="UY1109" s="15"/>
      <c r="UZ1109" s="15"/>
      <c r="VC1109" s="15"/>
      <c r="VD1109" s="15"/>
      <c r="VG1109" s="15"/>
      <c r="VH1109" s="15"/>
      <c r="VK1109" s="15"/>
      <c r="VL1109" s="15"/>
      <c r="VO1109" s="15"/>
      <c r="VP1109" s="15"/>
      <c r="VS1109" s="15"/>
      <c r="VT1109" s="15"/>
      <c r="VW1109" s="15"/>
      <c r="VX1109" s="15"/>
      <c r="WA1109" s="15"/>
      <c r="WB1109" s="15"/>
      <c r="WE1109" s="15"/>
      <c r="WF1109" s="15"/>
      <c r="WI1109" s="15"/>
      <c r="WJ1109" s="15"/>
      <c r="WM1109" s="15"/>
      <c r="WN1109" s="15"/>
      <c r="WQ1109" s="15"/>
      <c r="WR1109" s="15"/>
      <c r="WU1109" s="15"/>
      <c r="WV1109" s="15"/>
      <c r="WY1109" s="15"/>
      <c r="WZ1109" s="15"/>
      <c r="XC1109" s="15"/>
      <c r="XD1109" s="15"/>
      <c r="XG1109" s="15"/>
      <c r="XH1109" s="15"/>
      <c r="XK1109" s="15"/>
      <c r="XL1109" s="15"/>
      <c r="XO1109" s="15"/>
      <c r="XP1109" s="15"/>
      <c r="XS1109" s="15"/>
      <c r="XT1109" s="15"/>
      <c r="XW1109" s="15"/>
      <c r="XX1109" s="15"/>
      <c r="YA1109" s="15"/>
      <c r="YB1109" s="15"/>
      <c r="YE1109" s="15"/>
      <c r="YF1109" s="15"/>
      <c r="YI1109" s="15"/>
      <c r="YJ1109" s="15"/>
      <c r="YM1109" s="15"/>
      <c r="YN1109" s="15"/>
      <c r="YQ1109" s="15"/>
      <c r="YR1109" s="15"/>
      <c r="YU1109" s="15"/>
      <c r="YV1109" s="15"/>
      <c r="YY1109" s="15"/>
      <c r="YZ1109" s="15"/>
      <c r="ZC1109" s="15"/>
      <c r="ZD1109" s="15"/>
      <c r="ZG1109" s="15"/>
      <c r="ZH1109" s="15"/>
      <c r="ZK1109" s="15"/>
      <c r="ZL1109" s="15"/>
      <c r="ZO1109" s="15"/>
      <c r="ZP1109" s="15"/>
      <c r="ZS1109" s="15"/>
      <c r="ZT1109" s="15"/>
      <c r="ZW1109" s="15"/>
      <c r="ZX1109" s="15"/>
      <c r="AAA1109" s="15"/>
      <c r="AAB1109" s="15"/>
      <c r="AAE1109" s="15"/>
      <c r="AAF1109" s="15"/>
      <c r="AAI1109" s="15"/>
      <c r="AAJ1109" s="15"/>
      <c r="AAM1109" s="15"/>
      <c r="AAN1109" s="15"/>
      <c r="AAQ1109" s="15"/>
      <c r="AAR1109" s="15"/>
      <c r="AAU1109" s="15"/>
      <c r="AAV1109" s="15"/>
      <c r="AAY1109" s="15"/>
      <c r="AAZ1109" s="15"/>
      <c r="ABC1109" s="15"/>
      <c r="ABD1109" s="15"/>
      <c r="ABG1109" s="15"/>
      <c r="ABH1109" s="15"/>
      <c r="ABK1109" s="15"/>
      <c r="ABL1109" s="15"/>
      <c r="ABO1109" s="15"/>
      <c r="ABP1109" s="15"/>
      <c r="ABS1109" s="15"/>
      <c r="ABT1109" s="15"/>
      <c r="ABW1109" s="15"/>
      <c r="ABX1109" s="15"/>
      <c r="ACA1109" s="15"/>
      <c r="ACB1109" s="15"/>
      <c r="ACE1109" s="15"/>
      <c r="ACF1109" s="15"/>
      <c r="ACI1109" s="15"/>
      <c r="ACJ1109" s="15"/>
      <c r="ACM1109" s="15"/>
      <c r="ACN1109" s="15"/>
      <c r="ACQ1109" s="15"/>
      <c r="ACR1109" s="15"/>
      <c r="ACU1109" s="15"/>
      <c r="ACV1109" s="15"/>
      <c r="ACY1109" s="15"/>
      <c r="ACZ1109" s="15"/>
      <c r="ADC1109" s="15"/>
      <c r="ADD1109" s="15"/>
      <c r="ADG1109" s="15"/>
      <c r="ADH1109" s="15"/>
      <c r="ADK1109" s="15"/>
      <c r="ADL1109" s="15"/>
      <c r="ADO1109" s="15"/>
      <c r="ADP1109" s="15"/>
      <c r="ADS1109" s="15"/>
      <c r="ADT1109" s="15"/>
      <c r="ADW1109" s="15"/>
      <c r="ADX1109" s="15"/>
      <c r="AEA1109" s="15"/>
      <c r="AEB1109" s="15"/>
      <c r="AEE1109" s="15"/>
      <c r="AEF1109" s="15"/>
      <c r="AEI1109" s="15"/>
      <c r="AEJ1109" s="15"/>
      <c r="AEM1109" s="15"/>
      <c r="AEN1109" s="15"/>
      <c r="AEQ1109" s="15"/>
      <c r="AER1109" s="15"/>
      <c r="AEU1109" s="15"/>
      <c r="AEV1109" s="15"/>
      <c r="AEY1109" s="15"/>
      <c r="AEZ1109" s="15"/>
      <c r="AFC1109" s="15"/>
      <c r="AFD1109" s="15"/>
      <c r="AFG1109" s="15"/>
      <c r="AFH1109" s="15"/>
      <c r="AFK1109" s="15"/>
      <c r="AFL1109" s="15"/>
      <c r="AFO1109" s="15"/>
      <c r="AFP1109" s="15"/>
      <c r="AFS1109" s="15"/>
      <c r="AFT1109" s="15"/>
      <c r="AFW1109" s="15"/>
      <c r="AFX1109" s="15"/>
      <c r="AGA1109" s="15"/>
      <c r="AGB1109" s="15"/>
      <c r="AGE1109" s="15"/>
      <c r="AGF1109" s="15"/>
      <c r="AGI1109" s="15"/>
      <c r="AGJ1109" s="15"/>
      <c r="AGM1109" s="15"/>
      <c r="AGN1109" s="15"/>
      <c r="AGQ1109" s="15"/>
      <c r="AGR1109" s="15"/>
      <c r="AGU1109" s="15"/>
      <c r="AGV1109" s="15"/>
      <c r="AGY1109" s="15"/>
      <c r="AGZ1109" s="15"/>
      <c r="AHC1109" s="15"/>
      <c r="AHD1109" s="15"/>
      <c r="AHG1109" s="15"/>
      <c r="AHH1109" s="15"/>
      <c r="AHK1109" s="15"/>
      <c r="AHL1109" s="15"/>
      <c r="AHO1109" s="15"/>
      <c r="AHP1109" s="15"/>
      <c r="AHS1109" s="15"/>
      <c r="AHT1109" s="15"/>
      <c r="AHW1109" s="15"/>
      <c r="AHX1109" s="15"/>
      <c r="AIA1109" s="15"/>
      <c r="AIB1109" s="15"/>
      <c r="AIE1109" s="15"/>
      <c r="AIF1109" s="15"/>
      <c r="AII1109" s="15"/>
      <c r="AIJ1109" s="15"/>
      <c r="AIM1109" s="15"/>
      <c r="AIN1109" s="15"/>
      <c r="AIQ1109" s="15"/>
      <c r="AIR1109" s="15"/>
      <c r="AIU1109" s="15"/>
      <c r="AIV1109" s="15"/>
      <c r="AIY1109" s="15"/>
      <c r="AIZ1109" s="15"/>
      <c r="AJC1109" s="15"/>
      <c r="AJD1109" s="15"/>
      <c r="AJG1109" s="15"/>
      <c r="AJH1109" s="15"/>
      <c r="AJK1109" s="15"/>
      <c r="AJL1109" s="15"/>
      <c r="AJO1109" s="15"/>
      <c r="AJP1109" s="15"/>
      <c r="AJS1109" s="15"/>
      <c r="AJT1109" s="15"/>
      <c r="AJW1109" s="15"/>
      <c r="AJX1109" s="15"/>
      <c r="AKA1109" s="15"/>
      <c r="AKB1109" s="15"/>
      <c r="AKE1109" s="15"/>
      <c r="AKF1109" s="15"/>
      <c r="AKI1109" s="15"/>
      <c r="AKJ1109" s="15"/>
      <c r="AKM1109" s="15"/>
      <c r="AKN1109" s="15"/>
      <c r="AKQ1109" s="15"/>
      <c r="AKR1109" s="15"/>
      <c r="AKU1109" s="15"/>
      <c r="AKV1109" s="15"/>
      <c r="AKY1109" s="15"/>
      <c r="AKZ1109" s="15"/>
      <c r="ALC1109" s="15"/>
      <c r="ALD1109" s="15"/>
      <c r="ALG1109" s="15"/>
      <c r="ALH1109" s="15"/>
      <c r="ALK1109" s="15"/>
      <c r="ALL1109" s="15"/>
      <c r="ALO1109" s="15"/>
      <c r="ALP1109" s="15"/>
      <c r="ALS1109" s="15"/>
      <c r="ALT1109" s="15"/>
      <c r="ALW1109" s="15"/>
      <c r="ALX1109" s="15"/>
      <c r="AMA1109" s="15"/>
      <c r="AMB1109" s="15"/>
      <c r="AME1109" s="15"/>
      <c r="AMF1109" s="15"/>
      <c r="AMI1109" s="15"/>
      <c r="AMJ1109" s="15"/>
      <c r="AMM1109" s="15"/>
      <c r="AMN1109" s="15"/>
      <c r="AMQ1109" s="15"/>
      <c r="AMR1109" s="15"/>
      <c r="AMU1109" s="15"/>
      <c r="AMV1109" s="15"/>
      <c r="AMY1109" s="15"/>
      <c r="AMZ1109" s="15"/>
      <c r="ANC1109" s="15"/>
      <c r="AND1109" s="15"/>
      <c r="ANG1109" s="15"/>
      <c r="ANH1109" s="15"/>
      <c r="ANK1109" s="15"/>
      <c r="ANL1109" s="15"/>
      <c r="ANO1109" s="15"/>
      <c r="ANP1109" s="15"/>
      <c r="ANS1109" s="15"/>
      <c r="ANT1109" s="15"/>
      <c r="ANW1109" s="15"/>
      <c r="ANX1109" s="15"/>
      <c r="AOA1109" s="15"/>
      <c r="AOB1109" s="15"/>
      <c r="AOE1109" s="15"/>
      <c r="AOF1109" s="15"/>
      <c r="AOI1109" s="15"/>
      <c r="AOJ1109" s="15"/>
      <c r="AOM1109" s="15"/>
      <c r="AON1109" s="15"/>
      <c r="AOQ1109" s="15"/>
      <c r="AOR1109" s="15"/>
      <c r="AOU1109" s="15"/>
      <c r="AOV1109" s="15"/>
      <c r="AOY1109" s="15"/>
      <c r="AOZ1109" s="15"/>
      <c r="APC1109" s="15"/>
      <c r="APD1109" s="15"/>
      <c r="APG1109" s="15"/>
      <c r="APH1109" s="15"/>
      <c r="APK1109" s="15"/>
      <c r="APL1109" s="15"/>
      <c r="APO1109" s="15"/>
      <c r="APP1109" s="15"/>
      <c r="APS1109" s="15"/>
      <c r="APT1109" s="15"/>
      <c r="APW1109" s="15"/>
      <c r="APX1109" s="15"/>
      <c r="AQA1109" s="15"/>
      <c r="AQB1109" s="15"/>
      <c r="AQE1109" s="15"/>
      <c r="AQF1109" s="15"/>
      <c r="AQI1109" s="15"/>
      <c r="AQJ1109" s="15"/>
      <c r="AQM1109" s="15"/>
      <c r="AQN1109" s="15"/>
      <c r="AQQ1109" s="15"/>
      <c r="AQR1109" s="15"/>
      <c r="AQU1109" s="15"/>
      <c r="AQV1109" s="15"/>
      <c r="AQY1109" s="15"/>
      <c r="AQZ1109" s="15"/>
      <c r="ARC1109" s="15"/>
      <c r="ARD1109" s="15"/>
      <c r="ARG1109" s="15"/>
      <c r="ARH1109" s="15"/>
      <c r="ARK1109" s="15"/>
      <c r="ARL1109" s="15"/>
      <c r="ARO1109" s="15"/>
      <c r="ARP1109" s="15"/>
      <c r="ARS1109" s="15"/>
      <c r="ART1109" s="15"/>
      <c r="ARW1109" s="15"/>
      <c r="ARX1109" s="15"/>
      <c r="ASA1109" s="15"/>
      <c r="ASB1109" s="15"/>
      <c r="ASE1109" s="15"/>
      <c r="ASF1109" s="15"/>
      <c r="ASI1109" s="15"/>
      <c r="ASJ1109" s="15"/>
      <c r="ASM1109" s="15"/>
      <c r="ASN1109" s="15"/>
      <c r="ASQ1109" s="15"/>
      <c r="ASR1109" s="15"/>
      <c r="ASU1109" s="15"/>
      <c r="ASV1109" s="15"/>
      <c r="ASY1109" s="15"/>
      <c r="ASZ1109" s="15"/>
      <c r="ATC1109" s="15"/>
      <c r="ATD1109" s="15"/>
      <c r="ATG1109" s="15"/>
      <c r="ATH1109" s="15"/>
      <c r="ATK1109" s="15"/>
      <c r="ATL1109" s="15"/>
      <c r="ATO1109" s="15"/>
      <c r="ATP1109" s="15"/>
      <c r="ATS1109" s="15"/>
      <c r="ATT1109" s="15"/>
      <c r="ATW1109" s="15"/>
      <c r="ATX1109" s="15"/>
      <c r="AUA1109" s="15"/>
      <c r="AUB1109" s="15"/>
      <c r="AUE1109" s="15"/>
      <c r="AUF1109" s="15"/>
      <c r="AUI1109" s="15"/>
      <c r="AUJ1109" s="15"/>
      <c r="AUM1109" s="15"/>
      <c r="AUN1109" s="15"/>
      <c r="AUQ1109" s="15"/>
      <c r="AUR1109" s="15"/>
      <c r="AUU1109" s="15"/>
      <c r="AUV1109" s="15"/>
      <c r="AUY1109" s="15"/>
      <c r="AUZ1109" s="15"/>
      <c r="AVC1109" s="15"/>
      <c r="AVD1109" s="15"/>
      <c r="AVG1109" s="15"/>
      <c r="AVH1109" s="15"/>
      <c r="AVK1109" s="15"/>
      <c r="AVL1109" s="15"/>
      <c r="AVO1109" s="15"/>
      <c r="AVP1109" s="15"/>
      <c r="AVS1109" s="15"/>
      <c r="AVT1109" s="15"/>
      <c r="AVW1109" s="15"/>
      <c r="AVX1109" s="15"/>
      <c r="AWA1109" s="15"/>
      <c r="AWB1109" s="15"/>
      <c r="AWE1109" s="15"/>
      <c r="AWF1109" s="15"/>
      <c r="AWI1109" s="15"/>
      <c r="AWJ1109" s="15"/>
      <c r="AWM1109" s="15"/>
      <c r="AWN1109" s="15"/>
      <c r="AWQ1109" s="15"/>
      <c r="AWR1109" s="15"/>
      <c r="AWU1109" s="15"/>
      <c r="AWV1109" s="15"/>
      <c r="AWY1109" s="15"/>
      <c r="AWZ1109" s="15"/>
      <c r="AXC1109" s="15"/>
      <c r="AXD1109" s="15"/>
      <c r="AXG1109" s="15"/>
      <c r="AXH1109" s="15"/>
      <c r="AXK1109" s="15"/>
      <c r="AXL1109" s="15"/>
      <c r="AXO1109" s="15"/>
      <c r="AXP1109" s="15"/>
      <c r="AXS1109" s="15"/>
      <c r="AXT1109" s="15"/>
      <c r="AXW1109" s="15"/>
      <c r="AXX1109" s="15"/>
      <c r="AYA1109" s="15"/>
      <c r="AYB1109" s="15"/>
      <c r="AYE1109" s="15"/>
      <c r="AYF1109" s="15"/>
      <c r="AYI1109" s="15"/>
      <c r="AYJ1109" s="15"/>
      <c r="AYM1109" s="15"/>
      <c r="AYN1109" s="15"/>
      <c r="AYQ1109" s="15"/>
      <c r="AYR1109" s="15"/>
      <c r="AYU1109" s="15"/>
      <c r="AYV1109" s="15"/>
      <c r="AYY1109" s="15"/>
      <c r="AYZ1109" s="15"/>
      <c r="AZC1109" s="15"/>
      <c r="AZD1109" s="15"/>
      <c r="AZG1109" s="15"/>
      <c r="AZH1109" s="15"/>
      <c r="AZK1109" s="15"/>
      <c r="AZL1109" s="15"/>
      <c r="AZO1109" s="15"/>
      <c r="AZP1109" s="15"/>
      <c r="AZS1109" s="15"/>
      <c r="AZT1109" s="15"/>
      <c r="AZW1109" s="15"/>
      <c r="AZX1109" s="15"/>
      <c r="BAA1109" s="15"/>
      <c r="BAB1109" s="15"/>
      <c r="BAE1109" s="15"/>
      <c r="BAF1109" s="15"/>
      <c r="BAI1109" s="15"/>
      <c r="BAJ1109" s="15"/>
      <c r="BAM1109" s="15"/>
      <c r="BAN1109" s="15"/>
      <c r="BAQ1109" s="15"/>
      <c r="BAR1109" s="15"/>
      <c r="BAU1109" s="15"/>
      <c r="BAV1109" s="15"/>
      <c r="BAY1109" s="15"/>
      <c r="BAZ1109" s="15"/>
      <c r="BBC1109" s="15"/>
      <c r="BBD1109" s="15"/>
      <c r="BBG1109" s="15"/>
      <c r="BBH1109" s="15"/>
      <c r="BBK1109" s="15"/>
      <c r="BBL1109" s="15"/>
      <c r="BBO1109" s="15"/>
      <c r="BBP1109" s="15"/>
      <c r="BBS1109" s="15"/>
      <c r="BBT1109" s="15"/>
      <c r="BBW1109" s="15"/>
      <c r="BBX1109" s="15"/>
      <c r="BCA1109" s="15"/>
      <c r="BCB1109" s="15"/>
      <c r="BCE1109" s="15"/>
      <c r="BCF1109" s="15"/>
      <c r="BCI1109" s="15"/>
      <c r="BCJ1109" s="15"/>
      <c r="BCM1109" s="15"/>
      <c r="BCN1109" s="15"/>
      <c r="BCQ1109" s="15"/>
      <c r="BCR1109" s="15"/>
      <c r="BCU1109" s="15"/>
      <c r="BCV1109" s="15"/>
      <c r="BCY1109" s="15"/>
      <c r="BCZ1109" s="15"/>
      <c r="BDC1109" s="15"/>
      <c r="BDD1109" s="15"/>
      <c r="BDG1109" s="15"/>
      <c r="BDH1109" s="15"/>
      <c r="BDK1109" s="15"/>
      <c r="BDL1109" s="15"/>
      <c r="BDO1109" s="15"/>
      <c r="BDP1109" s="15"/>
      <c r="BDS1109" s="15"/>
      <c r="BDT1109" s="15"/>
      <c r="BDW1109" s="15"/>
      <c r="BDX1109" s="15"/>
      <c r="BEA1109" s="15"/>
      <c r="BEB1109" s="15"/>
      <c r="BEE1109" s="15"/>
      <c r="BEF1109" s="15"/>
      <c r="BEI1109" s="15"/>
      <c r="BEJ1109" s="15"/>
      <c r="BEM1109" s="15"/>
      <c r="BEN1109" s="15"/>
      <c r="BEQ1109" s="15"/>
      <c r="BER1109" s="15"/>
      <c r="BEU1109" s="15"/>
      <c r="BEV1109" s="15"/>
      <c r="BEY1109" s="15"/>
      <c r="BEZ1109" s="15"/>
      <c r="BFC1109" s="15"/>
      <c r="BFD1109" s="15"/>
      <c r="BFG1109" s="15"/>
      <c r="BFH1109" s="15"/>
      <c r="BFK1109" s="15"/>
      <c r="BFL1109" s="15"/>
      <c r="BFO1109" s="15"/>
      <c r="BFP1109" s="15"/>
      <c r="BFS1109" s="15"/>
      <c r="BFT1109" s="15"/>
      <c r="BFW1109" s="15"/>
      <c r="BFX1109" s="15"/>
      <c r="BGA1109" s="15"/>
      <c r="BGB1109" s="15"/>
      <c r="BGE1109" s="15"/>
      <c r="BGF1109" s="15"/>
      <c r="BGI1109" s="15"/>
      <c r="BGJ1109" s="15"/>
      <c r="BGM1109" s="15"/>
      <c r="BGN1109" s="15"/>
      <c r="BGQ1109" s="15"/>
      <c r="BGR1109" s="15"/>
      <c r="BGU1109" s="15"/>
      <c r="BGV1109" s="15"/>
      <c r="BGY1109" s="15"/>
      <c r="BGZ1109" s="15"/>
      <c r="BHC1109" s="15"/>
      <c r="BHD1109" s="15"/>
      <c r="BHG1109" s="15"/>
      <c r="BHH1109" s="15"/>
      <c r="BHK1109" s="15"/>
      <c r="BHL1109" s="15"/>
      <c r="BHO1109" s="15"/>
      <c r="BHP1109" s="15"/>
      <c r="BHS1109" s="15"/>
      <c r="BHT1109" s="15"/>
      <c r="BHW1109" s="15"/>
      <c r="BHX1109" s="15"/>
      <c r="BIA1109" s="15"/>
      <c r="BIB1109" s="15"/>
      <c r="BIE1109" s="15"/>
      <c r="BIF1109" s="15"/>
      <c r="BII1109" s="15"/>
      <c r="BIJ1109" s="15"/>
      <c r="BIM1109" s="15"/>
      <c r="BIN1109" s="15"/>
      <c r="BIQ1109" s="15"/>
      <c r="BIR1109" s="15"/>
      <c r="BIU1109" s="15"/>
      <c r="BIV1109" s="15"/>
      <c r="BIY1109" s="15"/>
      <c r="BIZ1109" s="15"/>
      <c r="BJC1109" s="15"/>
      <c r="BJD1109" s="15"/>
      <c r="BJG1109" s="15"/>
      <c r="BJH1109" s="15"/>
      <c r="BJK1109" s="15"/>
      <c r="BJL1109" s="15"/>
      <c r="BJO1109" s="15"/>
      <c r="BJP1109" s="15"/>
      <c r="BJS1109" s="15"/>
      <c r="BJT1109" s="15"/>
      <c r="BJW1109" s="15"/>
      <c r="BJX1109" s="15"/>
      <c r="BKA1109" s="15"/>
      <c r="BKB1109" s="15"/>
      <c r="BKE1109" s="15"/>
      <c r="BKF1109" s="15"/>
      <c r="BKI1109" s="15"/>
      <c r="BKJ1109" s="15"/>
      <c r="BKM1109" s="15"/>
      <c r="BKN1109" s="15"/>
      <c r="BKQ1109" s="15"/>
      <c r="BKR1109" s="15"/>
      <c r="BKU1109" s="15"/>
      <c r="BKV1109" s="15"/>
      <c r="BKY1109" s="15"/>
      <c r="BKZ1109" s="15"/>
      <c r="BLC1109" s="15"/>
      <c r="BLD1109" s="15"/>
      <c r="BLG1109" s="15"/>
      <c r="BLH1109" s="15"/>
      <c r="BLK1109" s="15"/>
      <c r="BLL1109" s="15"/>
      <c r="BLO1109" s="15"/>
      <c r="BLP1109" s="15"/>
      <c r="BLS1109" s="15"/>
      <c r="BLT1109" s="15"/>
      <c r="BLW1109" s="15"/>
      <c r="BLX1109" s="15"/>
      <c r="BMA1109" s="15"/>
      <c r="BMB1109" s="15"/>
      <c r="BME1109" s="15"/>
      <c r="BMF1109" s="15"/>
      <c r="BMI1109" s="15"/>
      <c r="BMJ1109" s="15"/>
      <c r="BMM1109" s="15"/>
      <c r="BMN1109" s="15"/>
      <c r="BMQ1109" s="15"/>
      <c r="BMR1109" s="15"/>
      <c r="BMU1109" s="15"/>
      <c r="BMV1109" s="15"/>
      <c r="BMY1109" s="15"/>
      <c r="BMZ1109" s="15"/>
      <c r="BNC1109" s="15"/>
      <c r="BND1109" s="15"/>
      <c r="BNG1109" s="15"/>
      <c r="BNH1109" s="15"/>
      <c r="BNK1109" s="15"/>
      <c r="BNL1109" s="15"/>
      <c r="BNO1109" s="15"/>
      <c r="BNP1109" s="15"/>
      <c r="BNS1109" s="15"/>
      <c r="BNT1109" s="15"/>
      <c r="BNW1109" s="15"/>
      <c r="BNX1109" s="15"/>
      <c r="BOA1109" s="15"/>
      <c r="BOB1109" s="15"/>
      <c r="BOE1109" s="15"/>
      <c r="BOF1109" s="15"/>
      <c r="BOI1109" s="15"/>
      <c r="BOJ1109" s="15"/>
      <c r="BOM1109" s="15"/>
      <c r="BON1109" s="15"/>
      <c r="BOQ1109" s="15"/>
      <c r="BOR1109" s="15"/>
      <c r="BOU1109" s="15"/>
      <c r="BOV1109" s="15"/>
      <c r="BOY1109" s="15"/>
      <c r="BOZ1109" s="15"/>
      <c r="BPC1109" s="15"/>
      <c r="BPD1109" s="15"/>
      <c r="BPG1109" s="15"/>
      <c r="BPH1109" s="15"/>
      <c r="BPK1109" s="15"/>
      <c r="BPL1109" s="15"/>
      <c r="BPO1109" s="15"/>
      <c r="BPP1109" s="15"/>
      <c r="BPS1109" s="15"/>
      <c r="BPT1109" s="15"/>
      <c r="BPW1109" s="15"/>
      <c r="BPX1109" s="15"/>
      <c r="BQA1109" s="15"/>
      <c r="BQB1109" s="15"/>
      <c r="BQE1109" s="15"/>
      <c r="BQF1109" s="15"/>
      <c r="BQI1109" s="15"/>
      <c r="BQJ1109" s="15"/>
      <c r="BQM1109" s="15"/>
      <c r="BQN1109" s="15"/>
      <c r="BQQ1109" s="15"/>
      <c r="BQR1109" s="15"/>
      <c r="BQU1109" s="15"/>
      <c r="BQV1109" s="15"/>
      <c r="BQY1109" s="15"/>
      <c r="BQZ1109" s="15"/>
      <c r="BRC1109" s="15"/>
      <c r="BRD1109" s="15"/>
      <c r="BRG1109" s="15"/>
      <c r="BRH1109" s="15"/>
      <c r="BRK1109" s="15"/>
      <c r="BRL1109" s="15"/>
      <c r="BRO1109" s="15"/>
      <c r="BRP1109" s="15"/>
      <c r="BRS1109" s="15"/>
      <c r="BRT1109" s="15"/>
      <c r="BRW1109" s="15"/>
      <c r="BRX1109" s="15"/>
      <c r="BSA1109" s="15"/>
      <c r="BSB1109" s="15"/>
      <c r="BSE1109" s="15"/>
      <c r="BSF1109" s="15"/>
      <c r="BSI1109" s="15"/>
      <c r="BSJ1109" s="15"/>
      <c r="BSM1109" s="15"/>
      <c r="BSN1109" s="15"/>
      <c r="BSQ1109" s="15"/>
      <c r="BSR1109" s="15"/>
      <c r="BSU1109" s="15"/>
      <c r="BSV1109" s="15"/>
      <c r="BSY1109" s="15"/>
      <c r="BSZ1109" s="15"/>
      <c r="BTC1109" s="15"/>
      <c r="BTD1109" s="15"/>
      <c r="BTG1109" s="15"/>
      <c r="BTH1109" s="15"/>
      <c r="BTK1109" s="15"/>
      <c r="BTL1109" s="15"/>
      <c r="BTO1109" s="15"/>
      <c r="BTP1109" s="15"/>
      <c r="BTS1109" s="15"/>
      <c r="BTT1109" s="15"/>
      <c r="BTW1109" s="15"/>
      <c r="BTX1109" s="15"/>
      <c r="BUA1109" s="15"/>
      <c r="BUB1109" s="15"/>
      <c r="BUE1109" s="15"/>
      <c r="BUF1109" s="15"/>
      <c r="BUI1109" s="15"/>
      <c r="BUJ1109" s="15"/>
      <c r="BUM1109" s="15"/>
      <c r="BUN1109" s="15"/>
      <c r="BUQ1109" s="15"/>
      <c r="BUR1109" s="15"/>
      <c r="BUU1109" s="15"/>
      <c r="BUV1109" s="15"/>
      <c r="BUY1109" s="15"/>
      <c r="BUZ1109" s="15"/>
      <c r="BVC1109" s="15"/>
      <c r="BVD1109" s="15"/>
      <c r="BVG1109" s="15"/>
      <c r="BVH1109" s="15"/>
      <c r="BVK1109" s="15"/>
      <c r="BVL1109" s="15"/>
      <c r="BVO1109" s="15"/>
      <c r="BVP1109" s="15"/>
      <c r="BVS1109" s="15"/>
      <c r="BVT1109" s="15"/>
      <c r="BVW1109" s="15"/>
      <c r="BVX1109" s="15"/>
      <c r="BWA1109" s="15"/>
      <c r="BWB1109" s="15"/>
      <c r="BWE1109" s="15"/>
      <c r="BWF1109" s="15"/>
      <c r="BWI1109" s="15"/>
      <c r="BWJ1109" s="15"/>
      <c r="BWM1109" s="15"/>
      <c r="BWN1109" s="15"/>
      <c r="BWQ1109" s="15"/>
      <c r="BWR1109" s="15"/>
      <c r="BWU1109" s="15"/>
      <c r="BWV1109" s="15"/>
      <c r="BWY1109" s="15"/>
      <c r="BWZ1109" s="15"/>
      <c r="BXC1109" s="15"/>
      <c r="BXD1109" s="15"/>
      <c r="BXG1109" s="15"/>
      <c r="BXH1109" s="15"/>
      <c r="BXK1109" s="15"/>
      <c r="BXL1109" s="15"/>
      <c r="BXO1109" s="15"/>
      <c r="BXP1109" s="15"/>
      <c r="BXS1109" s="15"/>
      <c r="BXT1109" s="15"/>
      <c r="BXW1109" s="15"/>
      <c r="BXX1109" s="15"/>
      <c r="BYA1109" s="15"/>
      <c r="BYB1109" s="15"/>
      <c r="BYE1109" s="15"/>
      <c r="BYF1109" s="15"/>
      <c r="BYI1109" s="15"/>
      <c r="BYJ1109" s="15"/>
      <c r="BYM1109" s="15"/>
      <c r="BYN1109" s="15"/>
      <c r="BYQ1109" s="15"/>
      <c r="BYR1109" s="15"/>
      <c r="BYU1109" s="15"/>
      <c r="BYV1109" s="15"/>
      <c r="BYY1109" s="15"/>
      <c r="BYZ1109" s="15"/>
      <c r="BZC1109" s="15"/>
      <c r="BZD1109" s="15"/>
      <c r="BZG1109" s="15"/>
      <c r="BZH1109" s="15"/>
      <c r="BZK1109" s="15"/>
      <c r="BZL1109" s="15"/>
      <c r="BZO1109" s="15"/>
      <c r="BZP1109" s="15"/>
      <c r="BZS1109" s="15"/>
      <c r="BZT1109" s="15"/>
      <c r="BZW1109" s="15"/>
      <c r="BZX1109" s="15"/>
      <c r="CAA1109" s="15"/>
      <c r="CAB1109" s="15"/>
      <c r="CAE1109" s="15"/>
      <c r="CAF1109" s="15"/>
      <c r="CAI1109" s="15"/>
      <c r="CAJ1109" s="15"/>
      <c r="CAM1109" s="15"/>
      <c r="CAN1109" s="15"/>
      <c r="CAQ1109" s="15"/>
      <c r="CAR1109" s="15"/>
      <c r="CAU1109" s="15"/>
      <c r="CAV1109" s="15"/>
      <c r="CAY1109" s="15"/>
      <c r="CAZ1109" s="15"/>
      <c r="CBC1109" s="15"/>
      <c r="CBD1109" s="15"/>
      <c r="CBG1109" s="15"/>
      <c r="CBH1109" s="15"/>
      <c r="CBK1109" s="15"/>
      <c r="CBL1109" s="15"/>
      <c r="CBO1109" s="15"/>
      <c r="CBP1109" s="15"/>
      <c r="CBS1109" s="15"/>
      <c r="CBT1109" s="15"/>
      <c r="CBW1109" s="15"/>
      <c r="CBX1109" s="15"/>
      <c r="CCA1109" s="15"/>
      <c r="CCB1109" s="15"/>
      <c r="CCE1109" s="15"/>
      <c r="CCF1109" s="15"/>
      <c r="CCI1109" s="15"/>
      <c r="CCJ1109" s="15"/>
      <c r="CCM1109" s="15"/>
      <c r="CCN1109" s="15"/>
      <c r="CCQ1109" s="15"/>
      <c r="CCR1109" s="15"/>
      <c r="CCU1109" s="15"/>
      <c r="CCV1109" s="15"/>
      <c r="CCY1109" s="15"/>
      <c r="CCZ1109" s="15"/>
      <c r="CDC1109" s="15"/>
      <c r="CDD1109" s="15"/>
      <c r="CDG1109" s="15"/>
      <c r="CDH1109" s="15"/>
      <c r="CDK1109" s="15"/>
      <c r="CDL1109" s="15"/>
      <c r="CDO1109" s="15"/>
      <c r="CDP1109" s="15"/>
      <c r="CDS1109" s="15"/>
      <c r="CDT1109" s="15"/>
      <c r="CDW1109" s="15"/>
      <c r="CDX1109" s="15"/>
      <c r="CEA1109" s="15"/>
      <c r="CEB1109" s="15"/>
      <c r="CEE1109" s="15"/>
      <c r="CEF1109" s="15"/>
      <c r="CEI1109" s="15"/>
      <c r="CEJ1109" s="15"/>
      <c r="CEM1109" s="15"/>
      <c r="CEN1109" s="15"/>
      <c r="CEQ1109" s="15"/>
      <c r="CER1109" s="15"/>
      <c r="CEU1109" s="15"/>
      <c r="CEV1109" s="15"/>
      <c r="CEY1109" s="15"/>
      <c r="CEZ1109" s="15"/>
      <c r="CFC1109" s="15"/>
      <c r="CFD1109" s="15"/>
      <c r="CFG1109" s="15"/>
      <c r="CFH1109" s="15"/>
      <c r="CFK1109" s="15"/>
      <c r="CFL1109" s="15"/>
      <c r="CFO1109" s="15"/>
      <c r="CFP1109" s="15"/>
      <c r="CFS1109" s="15"/>
      <c r="CFT1109" s="15"/>
      <c r="CFW1109" s="15"/>
      <c r="CFX1109" s="15"/>
      <c r="CGA1109" s="15"/>
      <c r="CGB1109" s="15"/>
      <c r="CGE1109" s="15"/>
      <c r="CGF1109" s="15"/>
      <c r="CGI1109" s="15"/>
      <c r="CGJ1109" s="15"/>
      <c r="CGM1109" s="15"/>
      <c r="CGN1109" s="15"/>
      <c r="CGQ1109" s="15"/>
      <c r="CGR1109" s="15"/>
      <c r="CGU1109" s="15"/>
      <c r="CGV1109" s="15"/>
      <c r="CGY1109" s="15"/>
      <c r="CGZ1109" s="15"/>
      <c r="CHC1109" s="15"/>
      <c r="CHD1109" s="15"/>
      <c r="CHG1109" s="15"/>
      <c r="CHH1109" s="15"/>
      <c r="CHK1109" s="15"/>
      <c r="CHL1109" s="15"/>
      <c r="CHO1109" s="15"/>
      <c r="CHP1109" s="15"/>
      <c r="CHS1109" s="15"/>
      <c r="CHT1109" s="15"/>
      <c r="CHW1109" s="15"/>
      <c r="CHX1109" s="15"/>
      <c r="CIA1109" s="15"/>
      <c r="CIB1109" s="15"/>
      <c r="CIE1109" s="15"/>
      <c r="CIF1109" s="15"/>
      <c r="CII1109" s="15"/>
      <c r="CIJ1109" s="15"/>
      <c r="CIM1109" s="15"/>
      <c r="CIN1109" s="15"/>
      <c r="CIQ1109" s="15"/>
      <c r="CIR1109" s="15"/>
      <c r="CIU1109" s="15"/>
      <c r="CIV1109" s="15"/>
      <c r="CIY1109" s="15"/>
      <c r="CIZ1109" s="15"/>
      <c r="CJC1109" s="15"/>
      <c r="CJD1109" s="15"/>
      <c r="CJG1109" s="15"/>
      <c r="CJH1109" s="15"/>
      <c r="CJK1109" s="15"/>
      <c r="CJL1109" s="15"/>
      <c r="CJO1109" s="15"/>
      <c r="CJP1109" s="15"/>
      <c r="CJS1109" s="15"/>
      <c r="CJT1109" s="15"/>
      <c r="CJW1109" s="15"/>
      <c r="CJX1109" s="15"/>
      <c r="CKA1109" s="15"/>
      <c r="CKB1109" s="15"/>
      <c r="CKE1109" s="15"/>
      <c r="CKF1109" s="15"/>
      <c r="CKI1109" s="15"/>
      <c r="CKJ1109" s="15"/>
      <c r="CKM1109" s="15"/>
      <c r="CKN1109" s="15"/>
      <c r="CKQ1109" s="15"/>
      <c r="CKR1109" s="15"/>
      <c r="CKU1109" s="15"/>
      <c r="CKV1109" s="15"/>
      <c r="CKY1109" s="15"/>
      <c r="CKZ1109" s="15"/>
      <c r="CLC1109" s="15"/>
      <c r="CLD1109" s="15"/>
      <c r="CLG1109" s="15"/>
      <c r="CLH1109" s="15"/>
      <c r="CLK1109" s="15"/>
      <c r="CLL1109" s="15"/>
      <c r="CLO1109" s="15"/>
      <c r="CLP1109" s="15"/>
      <c r="CLS1109" s="15"/>
      <c r="CLT1109" s="15"/>
      <c r="CLW1109" s="15"/>
      <c r="CLX1109" s="15"/>
      <c r="CMA1109" s="15"/>
      <c r="CMB1109" s="15"/>
      <c r="CME1109" s="15"/>
      <c r="CMF1109" s="15"/>
      <c r="CMI1109" s="15"/>
      <c r="CMJ1109" s="15"/>
      <c r="CMM1109" s="15"/>
      <c r="CMN1109" s="15"/>
      <c r="CMQ1109" s="15"/>
      <c r="CMR1109" s="15"/>
      <c r="CMU1109" s="15"/>
      <c r="CMV1109" s="15"/>
      <c r="CMY1109" s="15"/>
      <c r="CMZ1109" s="15"/>
      <c r="CNC1109" s="15"/>
      <c r="CND1109" s="15"/>
      <c r="CNG1109" s="15"/>
      <c r="CNH1109" s="15"/>
      <c r="CNK1109" s="15"/>
      <c r="CNL1109" s="15"/>
      <c r="CNO1109" s="15"/>
      <c r="CNP1109" s="15"/>
      <c r="CNS1109" s="15"/>
      <c r="CNT1109" s="15"/>
      <c r="CNW1109" s="15"/>
      <c r="CNX1109" s="15"/>
      <c r="COA1109" s="15"/>
      <c r="COB1109" s="15"/>
      <c r="COE1109" s="15"/>
      <c r="COF1109" s="15"/>
      <c r="COI1109" s="15"/>
      <c r="COJ1109" s="15"/>
      <c r="COM1109" s="15"/>
      <c r="CON1109" s="15"/>
      <c r="COQ1109" s="15"/>
      <c r="COR1109" s="15"/>
      <c r="COU1109" s="15"/>
      <c r="COV1109" s="15"/>
      <c r="COY1109" s="15"/>
      <c r="COZ1109" s="15"/>
      <c r="CPC1109" s="15"/>
      <c r="CPD1109" s="15"/>
      <c r="CPG1109" s="15"/>
      <c r="CPH1109" s="15"/>
      <c r="CPK1109" s="15"/>
      <c r="CPL1109" s="15"/>
      <c r="CPO1109" s="15"/>
      <c r="CPP1109" s="15"/>
      <c r="CPS1109" s="15"/>
      <c r="CPT1109" s="15"/>
      <c r="CPW1109" s="15"/>
      <c r="CPX1109" s="15"/>
      <c r="CQA1109" s="15"/>
      <c r="CQB1109" s="15"/>
      <c r="CQE1109" s="15"/>
      <c r="CQF1109" s="15"/>
      <c r="CQI1109" s="15"/>
      <c r="CQJ1109" s="15"/>
      <c r="CQM1109" s="15"/>
      <c r="CQN1109" s="15"/>
      <c r="CQQ1109" s="15"/>
      <c r="CQR1109" s="15"/>
      <c r="CQU1109" s="15"/>
      <c r="CQV1109" s="15"/>
      <c r="CQY1109" s="15"/>
      <c r="CQZ1109" s="15"/>
      <c r="CRC1109" s="15"/>
      <c r="CRD1109" s="15"/>
      <c r="CRG1109" s="15"/>
      <c r="CRH1109" s="15"/>
      <c r="CRK1109" s="15"/>
      <c r="CRL1109" s="15"/>
      <c r="CRO1109" s="15"/>
      <c r="CRP1109" s="15"/>
      <c r="CRS1109" s="15"/>
      <c r="CRT1109" s="15"/>
      <c r="CRW1109" s="15"/>
      <c r="CRX1109" s="15"/>
      <c r="CSA1109" s="15"/>
      <c r="CSB1109" s="15"/>
      <c r="CSE1109" s="15"/>
      <c r="CSF1109" s="15"/>
      <c r="CSI1109" s="15"/>
      <c r="CSJ1109" s="15"/>
      <c r="CSM1109" s="15"/>
      <c r="CSN1109" s="15"/>
      <c r="CSQ1109" s="15"/>
      <c r="CSR1109" s="15"/>
      <c r="CSU1109" s="15"/>
      <c r="CSV1109" s="15"/>
      <c r="CSY1109" s="15"/>
      <c r="CSZ1109" s="15"/>
      <c r="CTC1109" s="15"/>
      <c r="CTD1109" s="15"/>
      <c r="CTG1109" s="15"/>
      <c r="CTH1109" s="15"/>
      <c r="CTK1109" s="15"/>
      <c r="CTL1109" s="15"/>
      <c r="CTO1109" s="15"/>
      <c r="CTP1109" s="15"/>
      <c r="CTS1109" s="15"/>
      <c r="CTT1109" s="15"/>
      <c r="CTW1109" s="15"/>
      <c r="CTX1109" s="15"/>
      <c r="CUA1109" s="15"/>
      <c r="CUB1109" s="15"/>
      <c r="CUE1109" s="15"/>
      <c r="CUF1109" s="15"/>
      <c r="CUI1109" s="15"/>
      <c r="CUJ1109" s="15"/>
      <c r="CUM1109" s="15"/>
      <c r="CUN1109" s="15"/>
      <c r="CUQ1109" s="15"/>
      <c r="CUR1109" s="15"/>
      <c r="CUU1109" s="15"/>
      <c r="CUV1109" s="15"/>
      <c r="CUY1109" s="15"/>
      <c r="CUZ1109" s="15"/>
      <c r="CVC1109" s="15"/>
      <c r="CVD1109" s="15"/>
      <c r="CVG1109" s="15"/>
      <c r="CVH1109" s="15"/>
      <c r="CVK1109" s="15"/>
      <c r="CVL1109" s="15"/>
      <c r="CVO1109" s="15"/>
      <c r="CVP1109" s="15"/>
      <c r="CVS1109" s="15"/>
      <c r="CVT1109" s="15"/>
      <c r="CVW1109" s="15"/>
      <c r="CVX1109" s="15"/>
      <c r="CWA1109" s="15"/>
      <c r="CWB1109" s="15"/>
      <c r="CWE1109" s="15"/>
      <c r="CWF1109" s="15"/>
      <c r="CWI1109" s="15"/>
      <c r="CWJ1109" s="15"/>
      <c r="CWM1109" s="15"/>
      <c r="CWN1109" s="15"/>
      <c r="CWQ1109" s="15"/>
      <c r="CWR1109" s="15"/>
      <c r="CWU1109" s="15"/>
      <c r="CWV1109" s="15"/>
      <c r="CWY1109" s="15"/>
      <c r="CWZ1109" s="15"/>
      <c r="CXC1109" s="15"/>
      <c r="CXD1109" s="15"/>
      <c r="CXG1109" s="15"/>
      <c r="CXH1109" s="15"/>
      <c r="CXK1109" s="15"/>
      <c r="CXL1109" s="15"/>
      <c r="CXO1109" s="15"/>
      <c r="CXP1109" s="15"/>
      <c r="CXS1109" s="15"/>
      <c r="CXT1109" s="15"/>
      <c r="CXW1109" s="15"/>
      <c r="CXX1109" s="15"/>
      <c r="CYA1109" s="15"/>
      <c r="CYB1109" s="15"/>
      <c r="CYE1109" s="15"/>
      <c r="CYF1109" s="15"/>
      <c r="CYI1109" s="15"/>
      <c r="CYJ1109" s="15"/>
      <c r="CYM1109" s="15"/>
      <c r="CYN1109" s="15"/>
      <c r="CYQ1109" s="15"/>
      <c r="CYR1109" s="15"/>
      <c r="CYU1109" s="15"/>
      <c r="CYV1109" s="15"/>
      <c r="CYY1109" s="15"/>
      <c r="CYZ1109" s="15"/>
      <c r="CZC1109" s="15"/>
      <c r="CZD1109" s="15"/>
      <c r="CZG1109" s="15"/>
      <c r="CZH1109" s="15"/>
      <c r="CZK1109" s="15"/>
      <c r="CZL1109" s="15"/>
      <c r="CZO1109" s="15"/>
      <c r="CZP1109" s="15"/>
      <c r="CZS1109" s="15"/>
      <c r="CZT1109" s="15"/>
      <c r="CZW1109" s="15"/>
      <c r="CZX1109" s="15"/>
      <c r="DAA1109" s="15"/>
      <c r="DAB1109" s="15"/>
      <c r="DAE1109" s="15"/>
      <c r="DAF1109" s="15"/>
      <c r="DAI1109" s="15"/>
      <c r="DAJ1109" s="15"/>
      <c r="DAM1109" s="15"/>
      <c r="DAN1109" s="15"/>
      <c r="DAQ1109" s="15"/>
      <c r="DAR1109" s="15"/>
      <c r="DAU1109" s="15"/>
      <c r="DAV1109" s="15"/>
      <c r="DAY1109" s="15"/>
      <c r="DAZ1109" s="15"/>
      <c r="DBC1109" s="15"/>
      <c r="DBD1109" s="15"/>
      <c r="DBG1109" s="15"/>
      <c r="DBH1109" s="15"/>
      <c r="DBK1109" s="15"/>
      <c r="DBL1109" s="15"/>
      <c r="DBO1109" s="15"/>
      <c r="DBP1109" s="15"/>
      <c r="DBS1109" s="15"/>
      <c r="DBT1109" s="15"/>
      <c r="DBW1109" s="15"/>
      <c r="DBX1109" s="15"/>
      <c r="DCA1109" s="15"/>
      <c r="DCB1109" s="15"/>
      <c r="DCE1109" s="15"/>
      <c r="DCF1109" s="15"/>
      <c r="DCI1109" s="15"/>
      <c r="DCJ1109" s="15"/>
      <c r="DCM1109" s="15"/>
      <c r="DCN1109" s="15"/>
      <c r="DCQ1109" s="15"/>
      <c r="DCR1109" s="15"/>
      <c r="DCU1109" s="15"/>
      <c r="DCV1109" s="15"/>
      <c r="DCY1109" s="15"/>
      <c r="DCZ1109" s="15"/>
      <c r="DDC1109" s="15"/>
      <c r="DDD1109" s="15"/>
      <c r="DDG1109" s="15"/>
      <c r="DDH1109" s="15"/>
      <c r="DDK1109" s="15"/>
      <c r="DDL1109" s="15"/>
      <c r="DDO1109" s="15"/>
      <c r="DDP1109" s="15"/>
      <c r="DDS1109" s="15"/>
      <c r="DDT1109" s="15"/>
      <c r="DDW1109" s="15"/>
      <c r="DDX1109" s="15"/>
      <c r="DEA1109" s="15"/>
      <c r="DEB1109" s="15"/>
      <c r="DEE1109" s="15"/>
      <c r="DEF1109" s="15"/>
      <c r="DEI1109" s="15"/>
      <c r="DEJ1109" s="15"/>
      <c r="DEM1109" s="15"/>
      <c r="DEN1109" s="15"/>
      <c r="DEQ1109" s="15"/>
      <c r="DER1109" s="15"/>
      <c r="DEU1109" s="15"/>
      <c r="DEV1109" s="15"/>
      <c r="DEY1109" s="15"/>
      <c r="DEZ1109" s="15"/>
      <c r="DFC1109" s="15"/>
      <c r="DFD1109" s="15"/>
      <c r="DFG1109" s="15"/>
      <c r="DFH1109" s="15"/>
      <c r="DFK1109" s="15"/>
      <c r="DFL1109" s="15"/>
      <c r="DFO1109" s="15"/>
      <c r="DFP1109" s="15"/>
      <c r="DFS1109" s="15"/>
      <c r="DFT1109" s="15"/>
      <c r="DFW1109" s="15"/>
      <c r="DFX1109" s="15"/>
      <c r="DGA1109" s="15"/>
      <c r="DGB1109" s="15"/>
      <c r="DGE1109" s="15"/>
      <c r="DGF1109" s="15"/>
      <c r="DGI1109" s="15"/>
      <c r="DGJ1109" s="15"/>
      <c r="DGM1109" s="15"/>
      <c r="DGN1109" s="15"/>
      <c r="DGQ1109" s="15"/>
      <c r="DGR1109" s="15"/>
      <c r="DGU1109" s="15"/>
      <c r="DGV1109" s="15"/>
      <c r="DGY1109" s="15"/>
      <c r="DGZ1109" s="15"/>
      <c r="DHC1109" s="15"/>
      <c r="DHD1109" s="15"/>
      <c r="DHG1109" s="15"/>
      <c r="DHH1109" s="15"/>
      <c r="DHK1109" s="15"/>
      <c r="DHL1109" s="15"/>
      <c r="DHO1109" s="15"/>
      <c r="DHP1109" s="15"/>
      <c r="DHS1109" s="15"/>
      <c r="DHT1109" s="15"/>
      <c r="DHW1109" s="15"/>
      <c r="DHX1109" s="15"/>
      <c r="DIA1109" s="15"/>
      <c r="DIB1109" s="15"/>
      <c r="DIE1109" s="15"/>
      <c r="DIF1109" s="15"/>
      <c r="DII1109" s="15"/>
      <c r="DIJ1109" s="15"/>
      <c r="DIM1109" s="15"/>
      <c r="DIN1109" s="15"/>
      <c r="DIQ1109" s="15"/>
      <c r="DIR1109" s="15"/>
      <c r="DIU1109" s="15"/>
      <c r="DIV1109" s="15"/>
      <c r="DIY1109" s="15"/>
      <c r="DIZ1109" s="15"/>
      <c r="DJC1109" s="15"/>
      <c r="DJD1109" s="15"/>
      <c r="DJG1109" s="15"/>
      <c r="DJH1109" s="15"/>
      <c r="DJK1109" s="15"/>
      <c r="DJL1109" s="15"/>
      <c r="DJO1109" s="15"/>
      <c r="DJP1109" s="15"/>
      <c r="DJS1109" s="15"/>
      <c r="DJT1109" s="15"/>
      <c r="DJW1109" s="15"/>
      <c r="DJX1109" s="15"/>
      <c r="DKA1109" s="15"/>
      <c r="DKB1109" s="15"/>
      <c r="DKE1109" s="15"/>
      <c r="DKF1109" s="15"/>
      <c r="DKI1109" s="15"/>
      <c r="DKJ1109" s="15"/>
      <c r="DKM1109" s="15"/>
      <c r="DKN1109" s="15"/>
      <c r="DKQ1109" s="15"/>
      <c r="DKR1109" s="15"/>
      <c r="DKU1109" s="15"/>
      <c r="DKV1109" s="15"/>
      <c r="DKY1109" s="15"/>
      <c r="DKZ1109" s="15"/>
      <c r="DLC1109" s="15"/>
      <c r="DLD1109" s="15"/>
      <c r="DLG1109" s="15"/>
      <c r="DLH1109" s="15"/>
      <c r="DLK1109" s="15"/>
      <c r="DLL1109" s="15"/>
      <c r="DLO1109" s="15"/>
      <c r="DLP1109" s="15"/>
      <c r="DLS1109" s="15"/>
      <c r="DLT1109" s="15"/>
      <c r="DLW1109" s="15"/>
      <c r="DLX1109" s="15"/>
      <c r="DMA1109" s="15"/>
      <c r="DMB1109" s="15"/>
      <c r="DME1109" s="15"/>
      <c r="DMF1109" s="15"/>
      <c r="DMI1109" s="15"/>
      <c r="DMJ1109" s="15"/>
      <c r="DMM1109" s="15"/>
      <c r="DMN1109" s="15"/>
      <c r="DMQ1109" s="15"/>
      <c r="DMR1109" s="15"/>
      <c r="DMU1109" s="15"/>
      <c r="DMV1109" s="15"/>
      <c r="DMY1109" s="15"/>
      <c r="DMZ1109" s="15"/>
      <c r="DNC1109" s="15"/>
      <c r="DND1109" s="15"/>
      <c r="DNG1109" s="15"/>
      <c r="DNH1109" s="15"/>
      <c r="DNK1109" s="15"/>
      <c r="DNL1109" s="15"/>
      <c r="DNO1109" s="15"/>
      <c r="DNP1109" s="15"/>
      <c r="DNS1109" s="15"/>
      <c r="DNT1109" s="15"/>
      <c r="DNW1109" s="15"/>
      <c r="DNX1109" s="15"/>
      <c r="DOA1109" s="15"/>
      <c r="DOB1109" s="15"/>
      <c r="DOE1109" s="15"/>
      <c r="DOF1109" s="15"/>
      <c r="DOI1109" s="15"/>
      <c r="DOJ1109" s="15"/>
      <c r="DOM1109" s="15"/>
      <c r="DON1109" s="15"/>
      <c r="DOQ1109" s="15"/>
      <c r="DOR1109" s="15"/>
      <c r="DOU1109" s="15"/>
      <c r="DOV1109" s="15"/>
      <c r="DOY1109" s="15"/>
      <c r="DOZ1109" s="15"/>
      <c r="DPC1109" s="15"/>
      <c r="DPD1109" s="15"/>
      <c r="DPG1109" s="15"/>
      <c r="DPH1109" s="15"/>
      <c r="DPK1109" s="15"/>
      <c r="DPL1109" s="15"/>
      <c r="DPO1109" s="15"/>
      <c r="DPP1109" s="15"/>
      <c r="DPS1109" s="15"/>
      <c r="DPT1109" s="15"/>
      <c r="DPW1109" s="15"/>
      <c r="DPX1109" s="15"/>
      <c r="DQA1109" s="15"/>
      <c r="DQB1109" s="15"/>
      <c r="DQE1109" s="15"/>
      <c r="DQF1109" s="15"/>
      <c r="DQI1109" s="15"/>
      <c r="DQJ1109" s="15"/>
      <c r="DQM1109" s="15"/>
      <c r="DQN1109" s="15"/>
      <c r="DQQ1109" s="15"/>
      <c r="DQR1109" s="15"/>
      <c r="DQU1109" s="15"/>
      <c r="DQV1109" s="15"/>
      <c r="DQY1109" s="15"/>
      <c r="DQZ1109" s="15"/>
      <c r="DRC1109" s="15"/>
      <c r="DRD1109" s="15"/>
      <c r="DRG1109" s="15"/>
      <c r="DRH1109" s="15"/>
      <c r="DRK1109" s="15"/>
      <c r="DRL1109" s="15"/>
      <c r="DRO1109" s="15"/>
      <c r="DRP1109" s="15"/>
      <c r="DRS1109" s="15"/>
      <c r="DRT1109" s="15"/>
      <c r="DRW1109" s="15"/>
      <c r="DRX1109" s="15"/>
      <c r="DSA1109" s="15"/>
      <c r="DSB1109" s="15"/>
      <c r="DSE1109" s="15"/>
      <c r="DSF1109" s="15"/>
      <c r="DSI1109" s="15"/>
      <c r="DSJ1109" s="15"/>
      <c r="DSM1109" s="15"/>
      <c r="DSN1109" s="15"/>
      <c r="DSQ1109" s="15"/>
      <c r="DSR1109" s="15"/>
      <c r="DSU1109" s="15"/>
      <c r="DSV1109" s="15"/>
      <c r="DSY1109" s="15"/>
      <c r="DSZ1109" s="15"/>
      <c r="DTC1109" s="15"/>
      <c r="DTD1109" s="15"/>
      <c r="DTG1109" s="15"/>
      <c r="DTH1109" s="15"/>
      <c r="DTK1109" s="15"/>
      <c r="DTL1109" s="15"/>
      <c r="DTO1109" s="15"/>
      <c r="DTP1109" s="15"/>
      <c r="DTS1109" s="15"/>
      <c r="DTT1109" s="15"/>
      <c r="DTW1109" s="15"/>
      <c r="DTX1109" s="15"/>
      <c r="DUA1109" s="15"/>
      <c r="DUB1109" s="15"/>
      <c r="DUE1109" s="15"/>
      <c r="DUF1109" s="15"/>
      <c r="DUI1109" s="15"/>
      <c r="DUJ1109" s="15"/>
      <c r="DUM1109" s="15"/>
      <c r="DUN1109" s="15"/>
      <c r="DUQ1109" s="15"/>
      <c r="DUR1109" s="15"/>
      <c r="DUU1109" s="15"/>
      <c r="DUV1109" s="15"/>
      <c r="DUY1109" s="15"/>
      <c r="DUZ1109" s="15"/>
      <c r="DVC1109" s="15"/>
      <c r="DVD1109" s="15"/>
      <c r="DVG1109" s="15"/>
      <c r="DVH1109" s="15"/>
      <c r="DVK1109" s="15"/>
      <c r="DVL1109" s="15"/>
      <c r="DVO1109" s="15"/>
      <c r="DVP1109" s="15"/>
      <c r="DVS1109" s="15"/>
      <c r="DVT1109" s="15"/>
      <c r="DVW1109" s="15"/>
      <c r="DVX1109" s="15"/>
      <c r="DWA1109" s="15"/>
      <c r="DWB1109" s="15"/>
      <c r="DWE1109" s="15"/>
      <c r="DWF1109" s="15"/>
      <c r="DWI1109" s="15"/>
      <c r="DWJ1109" s="15"/>
      <c r="DWM1109" s="15"/>
      <c r="DWN1109" s="15"/>
      <c r="DWQ1109" s="15"/>
      <c r="DWR1109" s="15"/>
      <c r="DWU1109" s="15"/>
      <c r="DWV1109" s="15"/>
      <c r="DWY1109" s="15"/>
      <c r="DWZ1109" s="15"/>
      <c r="DXC1109" s="15"/>
      <c r="DXD1109" s="15"/>
      <c r="DXG1109" s="15"/>
      <c r="DXH1109" s="15"/>
      <c r="DXK1109" s="15"/>
      <c r="DXL1109" s="15"/>
      <c r="DXO1109" s="15"/>
      <c r="DXP1109" s="15"/>
      <c r="DXS1109" s="15"/>
      <c r="DXT1109" s="15"/>
      <c r="DXW1109" s="15"/>
      <c r="DXX1109" s="15"/>
      <c r="DYA1109" s="15"/>
      <c r="DYB1109" s="15"/>
      <c r="DYE1109" s="15"/>
      <c r="DYF1109" s="15"/>
      <c r="DYI1109" s="15"/>
      <c r="DYJ1109" s="15"/>
      <c r="DYM1109" s="15"/>
      <c r="DYN1109" s="15"/>
      <c r="DYQ1109" s="15"/>
      <c r="DYR1109" s="15"/>
      <c r="DYU1109" s="15"/>
      <c r="DYV1109" s="15"/>
      <c r="DYY1109" s="15"/>
      <c r="DYZ1109" s="15"/>
      <c r="DZC1109" s="15"/>
      <c r="DZD1109" s="15"/>
      <c r="DZG1109" s="15"/>
      <c r="DZH1109" s="15"/>
      <c r="DZK1109" s="15"/>
      <c r="DZL1109" s="15"/>
      <c r="DZO1109" s="15"/>
      <c r="DZP1109" s="15"/>
      <c r="DZS1109" s="15"/>
      <c r="DZT1109" s="15"/>
      <c r="DZW1109" s="15"/>
      <c r="DZX1109" s="15"/>
      <c r="EAA1109" s="15"/>
      <c r="EAB1109" s="15"/>
      <c r="EAE1109" s="15"/>
      <c r="EAF1109" s="15"/>
      <c r="EAI1109" s="15"/>
      <c r="EAJ1109" s="15"/>
      <c r="EAM1109" s="15"/>
      <c r="EAN1109" s="15"/>
      <c r="EAQ1109" s="15"/>
      <c r="EAR1109" s="15"/>
      <c r="EAU1109" s="15"/>
      <c r="EAV1109" s="15"/>
      <c r="EAY1109" s="15"/>
      <c r="EAZ1109" s="15"/>
      <c r="EBC1109" s="15"/>
      <c r="EBD1109" s="15"/>
      <c r="EBG1109" s="15"/>
      <c r="EBH1109" s="15"/>
      <c r="EBK1109" s="15"/>
      <c r="EBL1109" s="15"/>
      <c r="EBO1109" s="15"/>
      <c r="EBP1109" s="15"/>
      <c r="EBS1109" s="15"/>
      <c r="EBT1109" s="15"/>
      <c r="EBW1109" s="15"/>
      <c r="EBX1109" s="15"/>
      <c r="ECA1109" s="15"/>
      <c r="ECB1109" s="15"/>
      <c r="ECE1109" s="15"/>
      <c r="ECF1109" s="15"/>
      <c r="ECI1109" s="15"/>
      <c r="ECJ1109" s="15"/>
      <c r="ECM1109" s="15"/>
      <c r="ECN1109" s="15"/>
      <c r="ECQ1109" s="15"/>
      <c r="ECR1109" s="15"/>
      <c r="ECU1109" s="15"/>
      <c r="ECV1109" s="15"/>
      <c r="ECY1109" s="15"/>
      <c r="ECZ1109" s="15"/>
      <c r="EDC1109" s="15"/>
      <c r="EDD1109" s="15"/>
      <c r="EDG1109" s="15"/>
      <c r="EDH1109" s="15"/>
      <c r="EDK1109" s="15"/>
      <c r="EDL1109" s="15"/>
      <c r="EDO1109" s="15"/>
      <c r="EDP1109" s="15"/>
      <c r="EDS1109" s="15"/>
      <c r="EDT1109" s="15"/>
      <c r="EDW1109" s="15"/>
      <c r="EDX1109" s="15"/>
      <c r="EEA1109" s="15"/>
      <c r="EEB1109" s="15"/>
      <c r="EEE1109" s="15"/>
      <c r="EEF1109" s="15"/>
      <c r="EEI1109" s="15"/>
      <c r="EEJ1109" s="15"/>
      <c r="EEM1109" s="15"/>
      <c r="EEN1109" s="15"/>
      <c r="EEQ1109" s="15"/>
      <c r="EER1109" s="15"/>
      <c r="EEU1109" s="15"/>
      <c r="EEV1109" s="15"/>
      <c r="EEY1109" s="15"/>
      <c r="EEZ1109" s="15"/>
      <c r="EFC1109" s="15"/>
      <c r="EFD1109" s="15"/>
      <c r="EFG1109" s="15"/>
      <c r="EFH1109" s="15"/>
      <c r="EFK1109" s="15"/>
      <c r="EFL1109" s="15"/>
      <c r="EFO1109" s="15"/>
      <c r="EFP1109" s="15"/>
      <c r="EFS1109" s="15"/>
      <c r="EFT1109" s="15"/>
      <c r="EFW1109" s="15"/>
      <c r="EFX1109" s="15"/>
      <c r="EGA1109" s="15"/>
      <c r="EGB1109" s="15"/>
      <c r="EGE1109" s="15"/>
      <c r="EGF1109" s="15"/>
      <c r="EGI1109" s="15"/>
      <c r="EGJ1109" s="15"/>
      <c r="EGM1109" s="15"/>
      <c r="EGN1109" s="15"/>
      <c r="EGQ1109" s="15"/>
      <c r="EGR1109" s="15"/>
      <c r="EGU1109" s="15"/>
      <c r="EGV1109" s="15"/>
      <c r="EGY1109" s="15"/>
      <c r="EGZ1109" s="15"/>
      <c r="EHC1109" s="15"/>
      <c r="EHD1109" s="15"/>
      <c r="EHG1109" s="15"/>
      <c r="EHH1109" s="15"/>
      <c r="EHK1109" s="15"/>
      <c r="EHL1109" s="15"/>
      <c r="EHO1109" s="15"/>
      <c r="EHP1109" s="15"/>
      <c r="EHS1109" s="15"/>
      <c r="EHT1109" s="15"/>
      <c r="EHW1109" s="15"/>
      <c r="EHX1109" s="15"/>
      <c r="EIA1109" s="15"/>
      <c r="EIB1109" s="15"/>
      <c r="EIE1109" s="15"/>
      <c r="EIF1109" s="15"/>
      <c r="EII1109" s="15"/>
      <c r="EIJ1109" s="15"/>
      <c r="EIM1109" s="15"/>
      <c r="EIN1109" s="15"/>
      <c r="EIQ1109" s="15"/>
      <c r="EIR1109" s="15"/>
      <c r="EIU1109" s="15"/>
      <c r="EIV1109" s="15"/>
      <c r="EIY1109" s="15"/>
      <c r="EIZ1109" s="15"/>
      <c r="EJC1109" s="15"/>
      <c r="EJD1109" s="15"/>
      <c r="EJG1109" s="15"/>
      <c r="EJH1109" s="15"/>
      <c r="EJK1109" s="15"/>
      <c r="EJL1109" s="15"/>
      <c r="EJO1109" s="15"/>
      <c r="EJP1109" s="15"/>
      <c r="EJS1109" s="15"/>
      <c r="EJT1109" s="15"/>
      <c r="EJW1109" s="15"/>
      <c r="EJX1109" s="15"/>
      <c r="EKA1109" s="15"/>
      <c r="EKB1109" s="15"/>
      <c r="EKE1109" s="15"/>
      <c r="EKF1109" s="15"/>
      <c r="EKI1109" s="15"/>
      <c r="EKJ1109" s="15"/>
      <c r="EKM1109" s="15"/>
      <c r="EKN1109" s="15"/>
      <c r="EKQ1109" s="15"/>
      <c r="EKR1109" s="15"/>
      <c r="EKU1109" s="15"/>
      <c r="EKV1109" s="15"/>
      <c r="EKY1109" s="15"/>
      <c r="EKZ1109" s="15"/>
      <c r="ELC1109" s="15"/>
      <c r="ELD1109" s="15"/>
      <c r="ELG1109" s="15"/>
      <c r="ELH1109" s="15"/>
      <c r="ELK1109" s="15"/>
      <c r="ELL1109" s="15"/>
      <c r="ELO1109" s="15"/>
      <c r="ELP1109" s="15"/>
      <c r="ELS1109" s="15"/>
      <c r="ELT1109" s="15"/>
      <c r="ELW1109" s="15"/>
      <c r="ELX1109" s="15"/>
      <c r="EMA1109" s="15"/>
      <c r="EMB1109" s="15"/>
      <c r="EME1109" s="15"/>
      <c r="EMF1109" s="15"/>
      <c r="EMI1109" s="15"/>
      <c r="EMJ1109" s="15"/>
      <c r="EMM1109" s="15"/>
      <c r="EMN1109" s="15"/>
      <c r="EMQ1109" s="15"/>
      <c r="EMR1109" s="15"/>
      <c r="EMU1109" s="15"/>
      <c r="EMV1109" s="15"/>
      <c r="EMY1109" s="15"/>
      <c r="EMZ1109" s="15"/>
      <c r="ENC1109" s="15"/>
      <c r="END1109" s="15"/>
      <c r="ENG1109" s="15"/>
      <c r="ENH1109" s="15"/>
      <c r="ENK1109" s="15"/>
      <c r="ENL1109" s="15"/>
      <c r="ENO1109" s="15"/>
      <c r="ENP1109" s="15"/>
      <c r="ENS1109" s="15"/>
      <c r="ENT1109" s="15"/>
      <c r="ENW1109" s="15"/>
      <c r="ENX1109" s="15"/>
      <c r="EOA1109" s="15"/>
      <c r="EOB1109" s="15"/>
      <c r="EOE1109" s="15"/>
      <c r="EOF1109" s="15"/>
      <c r="EOI1109" s="15"/>
      <c r="EOJ1109" s="15"/>
      <c r="EOM1109" s="15"/>
      <c r="EON1109" s="15"/>
      <c r="EOQ1109" s="15"/>
      <c r="EOR1109" s="15"/>
      <c r="EOU1109" s="15"/>
      <c r="EOV1109" s="15"/>
      <c r="EOY1109" s="15"/>
      <c r="EOZ1109" s="15"/>
      <c r="EPC1109" s="15"/>
      <c r="EPD1109" s="15"/>
      <c r="EPG1109" s="15"/>
      <c r="EPH1109" s="15"/>
      <c r="EPK1109" s="15"/>
      <c r="EPL1109" s="15"/>
      <c r="EPO1109" s="15"/>
      <c r="EPP1109" s="15"/>
      <c r="EPS1109" s="15"/>
      <c r="EPT1109" s="15"/>
      <c r="EPW1109" s="15"/>
      <c r="EPX1109" s="15"/>
      <c r="EQA1109" s="15"/>
      <c r="EQB1109" s="15"/>
      <c r="EQE1109" s="15"/>
      <c r="EQF1109" s="15"/>
      <c r="EQI1109" s="15"/>
      <c r="EQJ1109" s="15"/>
      <c r="EQM1109" s="15"/>
      <c r="EQN1109" s="15"/>
      <c r="EQQ1109" s="15"/>
      <c r="EQR1109" s="15"/>
      <c r="EQU1109" s="15"/>
      <c r="EQV1109" s="15"/>
      <c r="EQY1109" s="15"/>
      <c r="EQZ1109" s="15"/>
      <c r="ERC1109" s="15"/>
      <c r="ERD1109" s="15"/>
      <c r="ERG1109" s="15"/>
      <c r="ERH1109" s="15"/>
      <c r="ERK1109" s="15"/>
      <c r="ERL1109" s="15"/>
      <c r="ERO1109" s="15"/>
      <c r="ERP1109" s="15"/>
      <c r="ERS1109" s="15"/>
      <c r="ERT1109" s="15"/>
      <c r="ERW1109" s="15"/>
      <c r="ERX1109" s="15"/>
      <c r="ESA1109" s="15"/>
      <c r="ESB1109" s="15"/>
      <c r="ESE1109" s="15"/>
      <c r="ESF1109" s="15"/>
      <c r="ESI1109" s="15"/>
      <c r="ESJ1109" s="15"/>
      <c r="ESM1109" s="15"/>
      <c r="ESN1109" s="15"/>
      <c r="ESQ1109" s="15"/>
      <c r="ESR1109" s="15"/>
      <c r="ESU1109" s="15"/>
      <c r="ESV1109" s="15"/>
      <c r="ESY1109" s="15"/>
      <c r="ESZ1109" s="15"/>
      <c r="ETC1109" s="15"/>
      <c r="ETD1109" s="15"/>
      <c r="ETG1109" s="15"/>
      <c r="ETH1109" s="15"/>
      <c r="ETK1109" s="15"/>
      <c r="ETL1109" s="15"/>
      <c r="ETO1109" s="15"/>
      <c r="ETP1109" s="15"/>
      <c r="ETS1109" s="15"/>
      <c r="ETT1109" s="15"/>
      <c r="ETW1109" s="15"/>
      <c r="ETX1109" s="15"/>
      <c r="EUA1109" s="15"/>
      <c r="EUB1109" s="15"/>
      <c r="EUE1109" s="15"/>
      <c r="EUF1109" s="15"/>
      <c r="EUI1109" s="15"/>
      <c r="EUJ1109" s="15"/>
      <c r="EUM1109" s="15"/>
      <c r="EUN1109" s="15"/>
      <c r="EUQ1109" s="15"/>
      <c r="EUR1109" s="15"/>
      <c r="EUU1109" s="15"/>
      <c r="EUV1109" s="15"/>
      <c r="EUY1109" s="15"/>
      <c r="EUZ1109" s="15"/>
      <c r="EVC1109" s="15"/>
      <c r="EVD1109" s="15"/>
      <c r="EVG1109" s="15"/>
      <c r="EVH1109" s="15"/>
      <c r="EVK1109" s="15"/>
      <c r="EVL1109" s="15"/>
      <c r="EVO1109" s="15"/>
      <c r="EVP1109" s="15"/>
      <c r="EVS1109" s="15"/>
      <c r="EVT1109" s="15"/>
      <c r="EVW1109" s="15"/>
      <c r="EVX1109" s="15"/>
      <c r="EWA1109" s="15"/>
      <c r="EWB1109" s="15"/>
      <c r="EWE1109" s="15"/>
      <c r="EWF1109" s="15"/>
      <c r="EWI1109" s="15"/>
      <c r="EWJ1109" s="15"/>
      <c r="EWM1109" s="15"/>
      <c r="EWN1109" s="15"/>
      <c r="EWQ1109" s="15"/>
      <c r="EWR1109" s="15"/>
      <c r="EWU1109" s="15"/>
      <c r="EWV1109" s="15"/>
      <c r="EWY1109" s="15"/>
      <c r="EWZ1109" s="15"/>
      <c r="EXC1109" s="15"/>
      <c r="EXD1109" s="15"/>
      <c r="EXG1109" s="15"/>
      <c r="EXH1109" s="15"/>
      <c r="EXK1109" s="15"/>
      <c r="EXL1109" s="15"/>
      <c r="EXO1109" s="15"/>
      <c r="EXP1109" s="15"/>
      <c r="EXS1109" s="15"/>
      <c r="EXT1109" s="15"/>
      <c r="EXW1109" s="15"/>
      <c r="EXX1109" s="15"/>
      <c r="EYA1109" s="15"/>
      <c r="EYB1109" s="15"/>
      <c r="EYE1109" s="15"/>
      <c r="EYF1109" s="15"/>
      <c r="EYI1109" s="15"/>
      <c r="EYJ1109" s="15"/>
      <c r="EYM1109" s="15"/>
      <c r="EYN1109" s="15"/>
      <c r="EYQ1109" s="15"/>
      <c r="EYR1109" s="15"/>
      <c r="EYU1109" s="15"/>
      <c r="EYV1109" s="15"/>
      <c r="EYY1109" s="15"/>
      <c r="EYZ1109" s="15"/>
      <c r="EZC1109" s="15"/>
      <c r="EZD1109" s="15"/>
      <c r="EZG1109" s="15"/>
      <c r="EZH1109" s="15"/>
      <c r="EZK1109" s="15"/>
      <c r="EZL1109" s="15"/>
      <c r="EZO1109" s="15"/>
      <c r="EZP1109" s="15"/>
      <c r="EZS1109" s="15"/>
      <c r="EZT1109" s="15"/>
      <c r="EZW1109" s="15"/>
      <c r="EZX1109" s="15"/>
      <c r="FAA1109" s="15"/>
      <c r="FAB1109" s="15"/>
      <c r="FAE1109" s="15"/>
      <c r="FAF1109" s="15"/>
      <c r="FAI1109" s="15"/>
      <c r="FAJ1109" s="15"/>
      <c r="FAM1109" s="15"/>
      <c r="FAN1109" s="15"/>
      <c r="FAQ1109" s="15"/>
      <c r="FAR1109" s="15"/>
      <c r="FAU1109" s="15"/>
      <c r="FAV1109" s="15"/>
      <c r="FAY1109" s="15"/>
      <c r="FAZ1109" s="15"/>
      <c r="FBC1109" s="15"/>
      <c r="FBD1109" s="15"/>
      <c r="FBG1109" s="15"/>
      <c r="FBH1109" s="15"/>
      <c r="FBK1109" s="15"/>
      <c r="FBL1109" s="15"/>
      <c r="FBO1109" s="15"/>
      <c r="FBP1109" s="15"/>
      <c r="FBS1109" s="15"/>
      <c r="FBT1109" s="15"/>
      <c r="FBW1109" s="15"/>
      <c r="FBX1109" s="15"/>
      <c r="FCA1109" s="15"/>
      <c r="FCB1109" s="15"/>
      <c r="FCE1109" s="15"/>
      <c r="FCF1109" s="15"/>
      <c r="FCI1109" s="15"/>
      <c r="FCJ1109" s="15"/>
      <c r="FCM1109" s="15"/>
      <c r="FCN1109" s="15"/>
      <c r="FCQ1109" s="15"/>
      <c r="FCR1109" s="15"/>
      <c r="FCU1109" s="15"/>
      <c r="FCV1109" s="15"/>
      <c r="FCY1109" s="15"/>
      <c r="FCZ1109" s="15"/>
      <c r="FDC1109" s="15"/>
      <c r="FDD1109" s="15"/>
      <c r="FDG1109" s="15"/>
      <c r="FDH1109" s="15"/>
      <c r="FDK1109" s="15"/>
      <c r="FDL1109" s="15"/>
      <c r="FDO1109" s="15"/>
      <c r="FDP1109" s="15"/>
      <c r="FDS1109" s="15"/>
      <c r="FDT1109" s="15"/>
      <c r="FDW1109" s="15"/>
      <c r="FDX1109" s="15"/>
      <c r="FEA1109" s="15"/>
      <c r="FEB1109" s="15"/>
      <c r="FEE1109" s="15"/>
      <c r="FEF1109" s="15"/>
      <c r="FEI1109" s="15"/>
      <c r="FEJ1109" s="15"/>
      <c r="FEM1109" s="15"/>
      <c r="FEN1109" s="15"/>
      <c r="FEQ1109" s="15"/>
      <c r="FER1109" s="15"/>
      <c r="FEU1109" s="15"/>
      <c r="FEV1109" s="15"/>
      <c r="FEY1109" s="15"/>
      <c r="FEZ1109" s="15"/>
      <c r="FFC1109" s="15"/>
      <c r="FFD1109" s="15"/>
      <c r="FFG1109" s="15"/>
      <c r="FFH1109" s="15"/>
      <c r="FFK1109" s="15"/>
      <c r="FFL1109" s="15"/>
      <c r="FFO1109" s="15"/>
      <c r="FFP1109" s="15"/>
      <c r="FFS1109" s="15"/>
      <c r="FFT1109" s="15"/>
      <c r="FFW1109" s="15"/>
      <c r="FFX1109" s="15"/>
      <c r="FGA1109" s="15"/>
      <c r="FGB1109" s="15"/>
      <c r="FGE1109" s="15"/>
      <c r="FGF1109" s="15"/>
      <c r="FGI1109" s="15"/>
      <c r="FGJ1109" s="15"/>
      <c r="FGM1109" s="15"/>
      <c r="FGN1109" s="15"/>
      <c r="FGQ1109" s="15"/>
      <c r="FGR1109" s="15"/>
      <c r="FGU1109" s="15"/>
      <c r="FGV1109" s="15"/>
      <c r="FGY1109" s="15"/>
      <c r="FGZ1109" s="15"/>
      <c r="FHC1109" s="15"/>
      <c r="FHD1109" s="15"/>
      <c r="FHG1109" s="15"/>
      <c r="FHH1109" s="15"/>
      <c r="FHK1109" s="15"/>
      <c r="FHL1109" s="15"/>
      <c r="FHO1109" s="15"/>
      <c r="FHP1109" s="15"/>
      <c r="FHS1109" s="15"/>
      <c r="FHT1109" s="15"/>
      <c r="FHW1109" s="15"/>
      <c r="FHX1109" s="15"/>
      <c r="FIA1109" s="15"/>
      <c r="FIB1109" s="15"/>
      <c r="FIE1109" s="15"/>
      <c r="FIF1109" s="15"/>
      <c r="FII1109" s="15"/>
      <c r="FIJ1109" s="15"/>
      <c r="FIM1109" s="15"/>
      <c r="FIN1109" s="15"/>
      <c r="FIQ1109" s="15"/>
      <c r="FIR1109" s="15"/>
      <c r="FIU1109" s="15"/>
      <c r="FIV1109" s="15"/>
      <c r="FIY1109" s="15"/>
      <c r="FIZ1109" s="15"/>
      <c r="FJC1109" s="15"/>
      <c r="FJD1109" s="15"/>
      <c r="FJG1109" s="15"/>
      <c r="FJH1109" s="15"/>
      <c r="FJK1109" s="15"/>
      <c r="FJL1109" s="15"/>
      <c r="FJO1109" s="15"/>
      <c r="FJP1109" s="15"/>
      <c r="FJS1109" s="15"/>
      <c r="FJT1109" s="15"/>
      <c r="FJW1109" s="15"/>
      <c r="FJX1109" s="15"/>
      <c r="FKA1109" s="15"/>
      <c r="FKB1109" s="15"/>
      <c r="FKE1109" s="15"/>
      <c r="FKF1109" s="15"/>
      <c r="FKI1109" s="15"/>
      <c r="FKJ1109" s="15"/>
      <c r="FKM1109" s="15"/>
      <c r="FKN1109" s="15"/>
      <c r="FKQ1109" s="15"/>
      <c r="FKR1109" s="15"/>
      <c r="FKU1109" s="15"/>
      <c r="FKV1109" s="15"/>
      <c r="FKY1109" s="15"/>
      <c r="FKZ1109" s="15"/>
      <c r="FLC1109" s="15"/>
      <c r="FLD1109" s="15"/>
      <c r="FLG1109" s="15"/>
      <c r="FLH1109" s="15"/>
      <c r="FLK1109" s="15"/>
      <c r="FLL1109" s="15"/>
      <c r="FLO1109" s="15"/>
      <c r="FLP1109" s="15"/>
      <c r="FLS1109" s="15"/>
      <c r="FLT1109" s="15"/>
      <c r="FLW1109" s="15"/>
      <c r="FLX1109" s="15"/>
      <c r="FMA1109" s="15"/>
      <c r="FMB1109" s="15"/>
      <c r="FME1109" s="15"/>
      <c r="FMF1109" s="15"/>
      <c r="FMI1109" s="15"/>
      <c r="FMJ1109" s="15"/>
      <c r="FMM1109" s="15"/>
      <c r="FMN1109" s="15"/>
      <c r="FMQ1109" s="15"/>
      <c r="FMR1109" s="15"/>
      <c r="FMU1109" s="15"/>
      <c r="FMV1109" s="15"/>
      <c r="FMY1109" s="15"/>
      <c r="FMZ1109" s="15"/>
      <c r="FNC1109" s="15"/>
      <c r="FND1109" s="15"/>
      <c r="FNG1109" s="15"/>
      <c r="FNH1109" s="15"/>
      <c r="FNK1109" s="15"/>
      <c r="FNL1109" s="15"/>
      <c r="FNO1109" s="15"/>
      <c r="FNP1109" s="15"/>
      <c r="FNS1109" s="15"/>
      <c r="FNT1109" s="15"/>
      <c r="FNW1109" s="15"/>
      <c r="FNX1109" s="15"/>
      <c r="FOA1109" s="15"/>
      <c r="FOB1109" s="15"/>
      <c r="FOE1109" s="15"/>
      <c r="FOF1109" s="15"/>
      <c r="FOI1109" s="15"/>
      <c r="FOJ1109" s="15"/>
      <c r="FOM1109" s="15"/>
      <c r="FON1109" s="15"/>
      <c r="FOQ1109" s="15"/>
      <c r="FOR1109" s="15"/>
      <c r="FOU1109" s="15"/>
      <c r="FOV1109" s="15"/>
      <c r="FOY1109" s="15"/>
      <c r="FOZ1109" s="15"/>
      <c r="FPC1109" s="15"/>
      <c r="FPD1109" s="15"/>
      <c r="FPG1109" s="15"/>
      <c r="FPH1109" s="15"/>
      <c r="FPK1109" s="15"/>
      <c r="FPL1109" s="15"/>
      <c r="FPO1109" s="15"/>
      <c r="FPP1109" s="15"/>
      <c r="FPS1109" s="15"/>
      <c r="FPT1109" s="15"/>
      <c r="FPW1109" s="15"/>
      <c r="FPX1109" s="15"/>
      <c r="FQA1109" s="15"/>
      <c r="FQB1109" s="15"/>
      <c r="FQE1109" s="15"/>
      <c r="FQF1109" s="15"/>
      <c r="FQI1109" s="15"/>
      <c r="FQJ1109" s="15"/>
      <c r="FQM1109" s="15"/>
      <c r="FQN1109" s="15"/>
      <c r="FQQ1109" s="15"/>
      <c r="FQR1109" s="15"/>
      <c r="FQU1109" s="15"/>
      <c r="FQV1109" s="15"/>
      <c r="FQY1109" s="15"/>
      <c r="FQZ1109" s="15"/>
      <c r="FRC1109" s="15"/>
      <c r="FRD1109" s="15"/>
      <c r="FRG1109" s="15"/>
      <c r="FRH1109" s="15"/>
      <c r="FRK1109" s="15"/>
      <c r="FRL1109" s="15"/>
      <c r="FRO1109" s="15"/>
      <c r="FRP1109" s="15"/>
      <c r="FRS1109" s="15"/>
      <c r="FRT1109" s="15"/>
      <c r="FRW1109" s="15"/>
      <c r="FRX1109" s="15"/>
      <c r="FSA1109" s="15"/>
      <c r="FSB1109" s="15"/>
      <c r="FSE1109" s="15"/>
      <c r="FSF1109" s="15"/>
      <c r="FSI1109" s="15"/>
      <c r="FSJ1109" s="15"/>
      <c r="FSM1109" s="15"/>
      <c r="FSN1109" s="15"/>
      <c r="FSQ1109" s="15"/>
      <c r="FSR1109" s="15"/>
      <c r="FSU1109" s="15"/>
      <c r="FSV1109" s="15"/>
      <c r="FSY1109" s="15"/>
      <c r="FSZ1109" s="15"/>
      <c r="FTC1109" s="15"/>
      <c r="FTD1109" s="15"/>
      <c r="FTG1109" s="15"/>
      <c r="FTH1109" s="15"/>
      <c r="FTK1109" s="15"/>
      <c r="FTL1109" s="15"/>
      <c r="FTO1109" s="15"/>
      <c r="FTP1109" s="15"/>
      <c r="FTS1109" s="15"/>
      <c r="FTT1109" s="15"/>
      <c r="FTW1109" s="15"/>
      <c r="FTX1109" s="15"/>
      <c r="FUA1109" s="15"/>
      <c r="FUB1109" s="15"/>
      <c r="FUE1109" s="15"/>
      <c r="FUF1109" s="15"/>
      <c r="FUI1109" s="15"/>
      <c r="FUJ1109" s="15"/>
      <c r="FUM1109" s="15"/>
      <c r="FUN1109" s="15"/>
      <c r="FUQ1109" s="15"/>
      <c r="FUR1109" s="15"/>
      <c r="FUU1109" s="15"/>
      <c r="FUV1109" s="15"/>
      <c r="FUY1109" s="15"/>
      <c r="FUZ1109" s="15"/>
      <c r="FVC1109" s="15"/>
      <c r="FVD1109" s="15"/>
      <c r="FVG1109" s="15"/>
      <c r="FVH1109" s="15"/>
      <c r="FVK1109" s="15"/>
      <c r="FVL1109" s="15"/>
      <c r="FVO1109" s="15"/>
      <c r="FVP1109" s="15"/>
      <c r="FVS1109" s="15"/>
      <c r="FVT1109" s="15"/>
      <c r="FVW1109" s="15"/>
      <c r="FVX1109" s="15"/>
      <c r="FWA1109" s="15"/>
      <c r="FWB1109" s="15"/>
      <c r="FWE1109" s="15"/>
      <c r="FWF1109" s="15"/>
      <c r="FWI1109" s="15"/>
      <c r="FWJ1109" s="15"/>
      <c r="FWM1109" s="15"/>
      <c r="FWN1109" s="15"/>
      <c r="FWQ1109" s="15"/>
      <c r="FWR1109" s="15"/>
      <c r="FWU1109" s="15"/>
      <c r="FWV1109" s="15"/>
      <c r="FWY1109" s="15"/>
      <c r="FWZ1109" s="15"/>
      <c r="FXC1109" s="15"/>
      <c r="FXD1109" s="15"/>
      <c r="FXG1109" s="15"/>
      <c r="FXH1109" s="15"/>
      <c r="FXK1109" s="15"/>
      <c r="FXL1109" s="15"/>
      <c r="FXO1109" s="15"/>
      <c r="FXP1109" s="15"/>
      <c r="FXS1109" s="15"/>
      <c r="FXT1109" s="15"/>
      <c r="FXW1109" s="15"/>
      <c r="FXX1109" s="15"/>
      <c r="FYA1109" s="15"/>
      <c r="FYB1109" s="15"/>
      <c r="FYE1109" s="15"/>
      <c r="FYF1109" s="15"/>
      <c r="FYI1109" s="15"/>
      <c r="FYJ1109" s="15"/>
      <c r="FYM1109" s="15"/>
      <c r="FYN1109" s="15"/>
      <c r="FYQ1109" s="15"/>
      <c r="FYR1109" s="15"/>
      <c r="FYU1109" s="15"/>
      <c r="FYV1109" s="15"/>
      <c r="FYY1109" s="15"/>
      <c r="FYZ1109" s="15"/>
      <c r="FZC1109" s="15"/>
      <c r="FZD1109" s="15"/>
      <c r="FZG1109" s="15"/>
      <c r="FZH1109" s="15"/>
      <c r="FZK1109" s="15"/>
      <c r="FZL1109" s="15"/>
      <c r="FZO1109" s="15"/>
      <c r="FZP1109" s="15"/>
      <c r="FZS1109" s="15"/>
      <c r="FZT1109" s="15"/>
      <c r="FZW1109" s="15"/>
      <c r="FZX1109" s="15"/>
      <c r="GAA1109" s="15"/>
      <c r="GAB1109" s="15"/>
      <c r="GAE1109" s="15"/>
      <c r="GAF1109" s="15"/>
      <c r="GAI1109" s="15"/>
      <c r="GAJ1109" s="15"/>
      <c r="GAM1109" s="15"/>
      <c r="GAN1109" s="15"/>
      <c r="GAQ1109" s="15"/>
      <c r="GAR1109" s="15"/>
      <c r="GAU1109" s="15"/>
      <c r="GAV1109" s="15"/>
      <c r="GAY1109" s="15"/>
      <c r="GAZ1109" s="15"/>
      <c r="GBC1109" s="15"/>
      <c r="GBD1109" s="15"/>
      <c r="GBG1109" s="15"/>
      <c r="GBH1109" s="15"/>
      <c r="GBK1109" s="15"/>
      <c r="GBL1109" s="15"/>
      <c r="GBO1109" s="15"/>
      <c r="GBP1109" s="15"/>
      <c r="GBS1109" s="15"/>
      <c r="GBT1109" s="15"/>
      <c r="GBW1109" s="15"/>
      <c r="GBX1109" s="15"/>
      <c r="GCA1109" s="15"/>
      <c r="GCB1109" s="15"/>
      <c r="GCE1109" s="15"/>
      <c r="GCF1109" s="15"/>
      <c r="GCI1109" s="15"/>
      <c r="GCJ1109" s="15"/>
      <c r="GCM1109" s="15"/>
      <c r="GCN1109" s="15"/>
      <c r="GCQ1109" s="15"/>
      <c r="GCR1109" s="15"/>
      <c r="GCU1109" s="15"/>
      <c r="GCV1109" s="15"/>
      <c r="GCY1109" s="15"/>
      <c r="GCZ1109" s="15"/>
      <c r="GDC1109" s="15"/>
      <c r="GDD1109" s="15"/>
      <c r="GDG1109" s="15"/>
      <c r="GDH1109" s="15"/>
      <c r="GDK1109" s="15"/>
      <c r="GDL1109" s="15"/>
      <c r="GDO1109" s="15"/>
      <c r="GDP1109" s="15"/>
      <c r="GDS1109" s="15"/>
      <c r="GDT1109" s="15"/>
      <c r="GDW1109" s="15"/>
      <c r="GDX1109" s="15"/>
      <c r="GEA1109" s="15"/>
      <c r="GEB1109" s="15"/>
      <c r="GEE1109" s="15"/>
      <c r="GEF1109" s="15"/>
      <c r="GEI1109" s="15"/>
      <c r="GEJ1109" s="15"/>
      <c r="GEM1109" s="15"/>
      <c r="GEN1109" s="15"/>
      <c r="GEQ1109" s="15"/>
      <c r="GER1109" s="15"/>
      <c r="GEU1109" s="15"/>
      <c r="GEV1109" s="15"/>
      <c r="GEY1109" s="15"/>
      <c r="GEZ1109" s="15"/>
      <c r="GFC1109" s="15"/>
      <c r="GFD1109" s="15"/>
      <c r="GFG1109" s="15"/>
      <c r="GFH1109" s="15"/>
      <c r="GFK1109" s="15"/>
      <c r="GFL1109" s="15"/>
      <c r="GFO1109" s="15"/>
      <c r="GFP1109" s="15"/>
      <c r="GFS1109" s="15"/>
      <c r="GFT1109" s="15"/>
      <c r="GFW1109" s="15"/>
      <c r="GFX1109" s="15"/>
      <c r="GGA1109" s="15"/>
      <c r="GGB1109" s="15"/>
      <c r="GGE1109" s="15"/>
      <c r="GGF1109" s="15"/>
      <c r="GGI1109" s="15"/>
      <c r="GGJ1109" s="15"/>
      <c r="GGM1109" s="15"/>
      <c r="GGN1109" s="15"/>
      <c r="GGQ1109" s="15"/>
      <c r="GGR1109" s="15"/>
      <c r="GGU1109" s="15"/>
      <c r="GGV1109" s="15"/>
      <c r="GGY1109" s="15"/>
      <c r="GGZ1109" s="15"/>
      <c r="GHC1109" s="15"/>
      <c r="GHD1109" s="15"/>
      <c r="GHG1109" s="15"/>
      <c r="GHH1109" s="15"/>
      <c r="GHK1109" s="15"/>
      <c r="GHL1109" s="15"/>
      <c r="GHO1109" s="15"/>
      <c r="GHP1109" s="15"/>
      <c r="GHS1109" s="15"/>
      <c r="GHT1109" s="15"/>
      <c r="GHW1109" s="15"/>
      <c r="GHX1109" s="15"/>
      <c r="GIA1109" s="15"/>
      <c r="GIB1109" s="15"/>
      <c r="GIE1109" s="15"/>
      <c r="GIF1109" s="15"/>
      <c r="GII1109" s="15"/>
      <c r="GIJ1109" s="15"/>
      <c r="GIM1109" s="15"/>
      <c r="GIN1109" s="15"/>
      <c r="GIQ1109" s="15"/>
      <c r="GIR1109" s="15"/>
      <c r="GIU1109" s="15"/>
      <c r="GIV1109" s="15"/>
      <c r="GIY1109" s="15"/>
      <c r="GIZ1109" s="15"/>
      <c r="GJC1109" s="15"/>
      <c r="GJD1109" s="15"/>
      <c r="GJG1109" s="15"/>
      <c r="GJH1109" s="15"/>
      <c r="GJK1109" s="15"/>
      <c r="GJL1109" s="15"/>
      <c r="GJO1109" s="15"/>
      <c r="GJP1109" s="15"/>
      <c r="GJS1109" s="15"/>
      <c r="GJT1109" s="15"/>
      <c r="GJW1109" s="15"/>
      <c r="GJX1109" s="15"/>
      <c r="GKA1109" s="15"/>
      <c r="GKB1109" s="15"/>
      <c r="GKE1109" s="15"/>
      <c r="GKF1109" s="15"/>
      <c r="GKI1109" s="15"/>
      <c r="GKJ1109" s="15"/>
      <c r="GKM1109" s="15"/>
      <c r="GKN1109" s="15"/>
      <c r="GKQ1109" s="15"/>
      <c r="GKR1109" s="15"/>
      <c r="GKU1109" s="15"/>
      <c r="GKV1109" s="15"/>
      <c r="GKY1109" s="15"/>
      <c r="GKZ1109" s="15"/>
      <c r="GLC1109" s="15"/>
      <c r="GLD1109" s="15"/>
      <c r="GLG1109" s="15"/>
      <c r="GLH1109" s="15"/>
      <c r="GLK1109" s="15"/>
      <c r="GLL1109" s="15"/>
      <c r="GLO1109" s="15"/>
      <c r="GLP1109" s="15"/>
      <c r="GLS1109" s="15"/>
      <c r="GLT1109" s="15"/>
      <c r="GLW1109" s="15"/>
      <c r="GLX1109" s="15"/>
      <c r="GMA1109" s="15"/>
      <c r="GMB1109" s="15"/>
      <c r="GME1109" s="15"/>
      <c r="GMF1109" s="15"/>
      <c r="GMI1109" s="15"/>
      <c r="GMJ1109" s="15"/>
      <c r="GMM1109" s="15"/>
      <c r="GMN1109" s="15"/>
      <c r="GMQ1109" s="15"/>
      <c r="GMR1109" s="15"/>
      <c r="GMU1109" s="15"/>
      <c r="GMV1109" s="15"/>
      <c r="GMY1109" s="15"/>
      <c r="GMZ1109" s="15"/>
      <c r="GNC1109" s="15"/>
      <c r="GND1109" s="15"/>
      <c r="GNG1109" s="15"/>
      <c r="GNH1109" s="15"/>
      <c r="GNK1109" s="15"/>
      <c r="GNL1109" s="15"/>
      <c r="GNO1109" s="15"/>
      <c r="GNP1109" s="15"/>
      <c r="GNS1109" s="15"/>
      <c r="GNT1109" s="15"/>
      <c r="GNW1109" s="15"/>
      <c r="GNX1109" s="15"/>
      <c r="GOA1109" s="15"/>
      <c r="GOB1109" s="15"/>
      <c r="GOE1109" s="15"/>
      <c r="GOF1109" s="15"/>
      <c r="GOI1109" s="15"/>
      <c r="GOJ1109" s="15"/>
      <c r="GOM1109" s="15"/>
      <c r="GON1109" s="15"/>
      <c r="GOQ1109" s="15"/>
      <c r="GOR1109" s="15"/>
      <c r="GOU1109" s="15"/>
      <c r="GOV1109" s="15"/>
      <c r="GOY1109" s="15"/>
      <c r="GOZ1109" s="15"/>
      <c r="GPC1109" s="15"/>
      <c r="GPD1109" s="15"/>
      <c r="GPG1109" s="15"/>
      <c r="GPH1109" s="15"/>
      <c r="GPK1109" s="15"/>
      <c r="GPL1109" s="15"/>
      <c r="GPO1109" s="15"/>
      <c r="GPP1109" s="15"/>
      <c r="GPS1109" s="15"/>
      <c r="GPT1109" s="15"/>
      <c r="GPW1109" s="15"/>
      <c r="GPX1109" s="15"/>
      <c r="GQA1109" s="15"/>
      <c r="GQB1109" s="15"/>
      <c r="GQE1109" s="15"/>
      <c r="GQF1109" s="15"/>
      <c r="GQI1109" s="15"/>
      <c r="GQJ1109" s="15"/>
      <c r="GQM1109" s="15"/>
      <c r="GQN1109" s="15"/>
      <c r="GQQ1109" s="15"/>
      <c r="GQR1109" s="15"/>
      <c r="GQU1109" s="15"/>
      <c r="GQV1109" s="15"/>
      <c r="GQY1109" s="15"/>
      <c r="GQZ1109" s="15"/>
      <c r="GRC1109" s="15"/>
      <c r="GRD1109" s="15"/>
      <c r="GRG1109" s="15"/>
      <c r="GRH1109" s="15"/>
      <c r="GRK1109" s="15"/>
      <c r="GRL1109" s="15"/>
      <c r="GRO1109" s="15"/>
      <c r="GRP1109" s="15"/>
      <c r="GRS1109" s="15"/>
      <c r="GRT1109" s="15"/>
      <c r="GRW1109" s="15"/>
      <c r="GRX1109" s="15"/>
      <c r="GSA1109" s="15"/>
      <c r="GSB1109" s="15"/>
      <c r="GSE1109" s="15"/>
      <c r="GSF1109" s="15"/>
      <c r="GSI1109" s="15"/>
      <c r="GSJ1109" s="15"/>
      <c r="GSM1109" s="15"/>
      <c r="GSN1109" s="15"/>
      <c r="GSQ1109" s="15"/>
      <c r="GSR1109" s="15"/>
      <c r="GSU1109" s="15"/>
      <c r="GSV1109" s="15"/>
      <c r="GSY1109" s="15"/>
      <c r="GSZ1109" s="15"/>
      <c r="GTC1109" s="15"/>
      <c r="GTD1109" s="15"/>
      <c r="GTG1109" s="15"/>
      <c r="GTH1109" s="15"/>
      <c r="GTK1109" s="15"/>
      <c r="GTL1109" s="15"/>
      <c r="GTO1109" s="15"/>
      <c r="GTP1109" s="15"/>
      <c r="GTS1109" s="15"/>
      <c r="GTT1109" s="15"/>
      <c r="GTW1109" s="15"/>
      <c r="GTX1109" s="15"/>
      <c r="GUA1109" s="15"/>
      <c r="GUB1109" s="15"/>
      <c r="GUE1109" s="15"/>
      <c r="GUF1109" s="15"/>
      <c r="GUI1109" s="15"/>
      <c r="GUJ1109" s="15"/>
      <c r="GUM1109" s="15"/>
      <c r="GUN1109" s="15"/>
      <c r="GUQ1109" s="15"/>
      <c r="GUR1109" s="15"/>
      <c r="GUU1109" s="15"/>
      <c r="GUV1109" s="15"/>
      <c r="GUY1109" s="15"/>
      <c r="GUZ1109" s="15"/>
      <c r="GVC1109" s="15"/>
      <c r="GVD1109" s="15"/>
      <c r="GVG1109" s="15"/>
      <c r="GVH1109" s="15"/>
      <c r="GVK1109" s="15"/>
      <c r="GVL1109" s="15"/>
      <c r="GVO1109" s="15"/>
      <c r="GVP1109" s="15"/>
      <c r="GVS1109" s="15"/>
      <c r="GVT1109" s="15"/>
      <c r="GVW1109" s="15"/>
      <c r="GVX1109" s="15"/>
      <c r="GWA1109" s="15"/>
      <c r="GWB1109" s="15"/>
      <c r="GWE1109" s="15"/>
      <c r="GWF1109" s="15"/>
      <c r="GWI1109" s="15"/>
      <c r="GWJ1109" s="15"/>
      <c r="GWM1109" s="15"/>
      <c r="GWN1109" s="15"/>
      <c r="GWQ1109" s="15"/>
      <c r="GWR1109" s="15"/>
      <c r="GWU1109" s="15"/>
      <c r="GWV1109" s="15"/>
      <c r="GWY1109" s="15"/>
      <c r="GWZ1109" s="15"/>
      <c r="GXC1109" s="15"/>
      <c r="GXD1109" s="15"/>
      <c r="GXG1109" s="15"/>
      <c r="GXH1109" s="15"/>
      <c r="GXK1109" s="15"/>
      <c r="GXL1109" s="15"/>
      <c r="GXO1109" s="15"/>
      <c r="GXP1109" s="15"/>
      <c r="GXS1109" s="15"/>
      <c r="GXT1109" s="15"/>
      <c r="GXW1109" s="15"/>
      <c r="GXX1109" s="15"/>
      <c r="GYA1109" s="15"/>
      <c r="GYB1109" s="15"/>
      <c r="GYE1109" s="15"/>
      <c r="GYF1109" s="15"/>
      <c r="GYI1109" s="15"/>
      <c r="GYJ1109" s="15"/>
      <c r="GYM1109" s="15"/>
      <c r="GYN1109" s="15"/>
      <c r="GYQ1109" s="15"/>
      <c r="GYR1109" s="15"/>
      <c r="GYU1109" s="15"/>
      <c r="GYV1109" s="15"/>
      <c r="GYY1109" s="15"/>
      <c r="GYZ1109" s="15"/>
      <c r="GZC1109" s="15"/>
      <c r="GZD1109" s="15"/>
      <c r="GZG1109" s="15"/>
      <c r="GZH1109" s="15"/>
      <c r="GZK1109" s="15"/>
      <c r="GZL1109" s="15"/>
      <c r="GZO1109" s="15"/>
      <c r="GZP1109" s="15"/>
      <c r="GZS1109" s="15"/>
      <c r="GZT1109" s="15"/>
      <c r="GZW1109" s="15"/>
      <c r="GZX1109" s="15"/>
      <c r="HAA1109" s="15"/>
      <c r="HAB1109" s="15"/>
      <c r="HAE1109" s="15"/>
      <c r="HAF1109" s="15"/>
      <c r="HAI1109" s="15"/>
      <c r="HAJ1109" s="15"/>
      <c r="HAM1109" s="15"/>
      <c r="HAN1109" s="15"/>
      <c r="HAQ1109" s="15"/>
      <c r="HAR1109" s="15"/>
      <c r="HAU1109" s="15"/>
      <c r="HAV1109" s="15"/>
      <c r="HAY1109" s="15"/>
      <c r="HAZ1109" s="15"/>
      <c r="HBC1109" s="15"/>
      <c r="HBD1109" s="15"/>
      <c r="HBG1109" s="15"/>
      <c r="HBH1109" s="15"/>
      <c r="HBK1109" s="15"/>
      <c r="HBL1109" s="15"/>
      <c r="HBO1109" s="15"/>
      <c r="HBP1109" s="15"/>
      <c r="HBS1109" s="15"/>
      <c r="HBT1109" s="15"/>
      <c r="HBW1109" s="15"/>
      <c r="HBX1109" s="15"/>
      <c r="HCA1109" s="15"/>
      <c r="HCB1109" s="15"/>
      <c r="HCE1109" s="15"/>
      <c r="HCF1109" s="15"/>
      <c r="HCI1109" s="15"/>
      <c r="HCJ1109" s="15"/>
      <c r="HCM1109" s="15"/>
      <c r="HCN1109" s="15"/>
      <c r="HCQ1109" s="15"/>
      <c r="HCR1109" s="15"/>
      <c r="HCU1109" s="15"/>
      <c r="HCV1109" s="15"/>
      <c r="HCY1109" s="15"/>
      <c r="HCZ1109" s="15"/>
      <c r="HDC1109" s="15"/>
      <c r="HDD1109" s="15"/>
      <c r="HDG1109" s="15"/>
      <c r="HDH1109" s="15"/>
      <c r="HDK1109" s="15"/>
      <c r="HDL1109" s="15"/>
      <c r="HDO1109" s="15"/>
      <c r="HDP1109" s="15"/>
      <c r="HDS1109" s="15"/>
      <c r="HDT1109" s="15"/>
      <c r="HDW1109" s="15"/>
      <c r="HDX1109" s="15"/>
      <c r="HEA1109" s="15"/>
      <c r="HEB1109" s="15"/>
      <c r="HEE1109" s="15"/>
      <c r="HEF1109" s="15"/>
      <c r="HEI1109" s="15"/>
      <c r="HEJ1109" s="15"/>
      <c r="HEM1109" s="15"/>
      <c r="HEN1109" s="15"/>
      <c r="HEQ1109" s="15"/>
      <c r="HER1109" s="15"/>
      <c r="HEU1109" s="15"/>
      <c r="HEV1109" s="15"/>
      <c r="HEY1109" s="15"/>
      <c r="HEZ1109" s="15"/>
      <c r="HFC1109" s="15"/>
      <c r="HFD1109" s="15"/>
      <c r="HFG1109" s="15"/>
      <c r="HFH1109" s="15"/>
      <c r="HFK1109" s="15"/>
      <c r="HFL1109" s="15"/>
      <c r="HFO1109" s="15"/>
      <c r="HFP1109" s="15"/>
      <c r="HFS1109" s="15"/>
      <c r="HFT1109" s="15"/>
      <c r="HFW1109" s="15"/>
      <c r="HFX1109" s="15"/>
      <c r="HGA1109" s="15"/>
      <c r="HGB1109" s="15"/>
      <c r="HGE1109" s="15"/>
      <c r="HGF1109" s="15"/>
      <c r="HGI1109" s="15"/>
      <c r="HGJ1109" s="15"/>
      <c r="HGM1109" s="15"/>
      <c r="HGN1109" s="15"/>
      <c r="HGQ1109" s="15"/>
      <c r="HGR1109" s="15"/>
      <c r="HGU1109" s="15"/>
      <c r="HGV1109" s="15"/>
      <c r="HGY1109" s="15"/>
      <c r="HGZ1109" s="15"/>
      <c r="HHC1109" s="15"/>
      <c r="HHD1109" s="15"/>
      <c r="HHG1109" s="15"/>
      <c r="HHH1109" s="15"/>
      <c r="HHK1109" s="15"/>
      <c r="HHL1109" s="15"/>
      <c r="HHO1109" s="15"/>
      <c r="HHP1109" s="15"/>
      <c r="HHS1109" s="15"/>
      <c r="HHT1109" s="15"/>
      <c r="HHW1109" s="15"/>
      <c r="HHX1109" s="15"/>
      <c r="HIA1109" s="15"/>
      <c r="HIB1109" s="15"/>
      <c r="HIE1109" s="15"/>
      <c r="HIF1109" s="15"/>
      <c r="HII1109" s="15"/>
      <c r="HIJ1109" s="15"/>
      <c r="HIM1109" s="15"/>
      <c r="HIN1109" s="15"/>
      <c r="HIQ1109" s="15"/>
      <c r="HIR1109" s="15"/>
      <c r="HIU1109" s="15"/>
      <c r="HIV1109" s="15"/>
      <c r="HIY1109" s="15"/>
      <c r="HIZ1109" s="15"/>
      <c r="HJC1109" s="15"/>
      <c r="HJD1109" s="15"/>
      <c r="HJG1109" s="15"/>
      <c r="HJH1109" s="15"/>
      <c r="HJK1109" s="15"/>
      <c r="HJL1109" s="15"/>
      <c r="HJO1109" s="15"/>
      <c r="HJP1109" s="15"/>
      <c r="HJS1109" s="15"/>
      <c r="HJT1109" s="15"/>
      <c r="HJW1109" s="15"/>
      <c r="HJX1109" s="15"/>
      <c r="HKA1109" s="15"/>
      <c r="HKB1109" s="15"/>
      <c r="HKE1109" s="15"/>
      <c r="HKF1109" s="15"/>
      <c r="HKI1109" s="15"/>
      <c r="HKJ1109" s="15"/>
      <c r="HKM1109" s="15"/>
      <c r="HKN1109" s="15"/>
      <c r="HKQ1109" s="15"/>
      <c r="HKR1109" s="15"/>
      <c r="HKU1109" s="15"/>
      <c r="HKV1109" s="15"/>
      <c r="HKY1109" s="15"/>
      <c r="HKZ1109" s="15"/>
      <c r="HLC1109" s="15"/>
      <c r="HLD1109" s="15"/>
      <c r="HLG1109" s="15"/>
      <c r="HLH1109" s="15"/>
      <c r="HLK1109" s="15"/>
      <c r="HLL1109" s="15"/>
      <c r="HLO1109" s="15"/>
      <c r="HLP1109" s="15"/>
      <c r="HLS1109" s="15"/>
      <c r="HLT1109" s="15"/>
      <c r="HLW1109" s="15"/>
      <c r="HLX1109" s="15"/>
      <c r="HMA1109" s="15"/>
      <c r="HMB1109" s="15"/>
      <c r="HME1109" s="15"/>
      <c r="HMF1109" s="15"/>
      <c r="HMI1109" s="15"/>
      <c r="HMJ1109" s="15"/>
      <c r="HMM1109" s="15"/>
      <c r="HMN1109" s="15"/>
      <c r="HMQ1109" s="15"/>
      <c r="HMR1109" s="15"/>
      <c r="HMU1109" s="15"/>
      <c r="HMV1109" s="15"/>
      <c r="HMY1109" s="15"/>
      <c r="HMZ1109" s="15"/>
      <c r="HNC1109" s="15"/>
      <c r="HND1109" s="15"/>
      <c r="HNG1109" s="15"/>
      <c r="HNH1109" s="15"/>
      <c r="HNK1109" s="15"/>
      <c r="HNL1109" s="15"/>
      <c r="HNO1109" s="15"/>
      <c r="HNP1109" s="15"/>
      <c r="HNS1109" s="15"/>
      <c r="HNT1109" s="15"/>
      <c r="HNW1109" s="15"/>
      <c r="HNX1109" s="15"/>
      <c r="HOA1109" s="15"/>
      <c r="HOB1109" s="15"/>
      <c r="HOE1109" s="15"/>
      <c r="HOF1109" s="15"/>
      <c r="HOI1109" s="15"/>
      <c r="HOJ1109" s="15"/>
      <c r="HOM1109" s="15"/>
      <c r="HON1109" s="15"/>
      <c r="HOQ1109" s="15"/>
      <c r="HOR1109" s="15"/>
      <c r="HOU1109" s="15"/>
      <c r="HOV1109" s="15"/>
      <c r="HOY1109" s="15"/>
      <c r="HOZ1109" s="15"/>
      <c r="HPC1109" s="15"/>
      <c r="HPD1109" s="15"/>
      <c r="HPG1109" s="15"/>
      <c r="HPH1109" s="15"/>
      <c r="HPK1109" s="15"/>
      <c r="HPL1109" s="15"/>
      <c r="HPO1109" s="15"/>
      <c r="HPP1109" s="15"/>
      <c r="HPS1109" s="15"/>
      <c r="HPT1109" s="15"/>
      <c r="HPW1109" s="15"/>
      <c r="HPX1109" s="15"/>
      <c r="HQA1109" s="15"/>
      <c r="HQB1109" s="15"/>
      <c r="HQE1109" s="15"/>
      <c r="HQF1109" s="15"/>
      <c r="HQI1109" s="15"/>
      <c r="HQJ1109" s="15"/>
      <c r="HQM1109" s="15"/>
      <c r="HQN1109" s="15"/>
      <c r="HQQ1109" s="15"/>
      <c r="HQR1109" s="15"/>
      <c r="HQU1109" s="15"/>
      <c r="HQV1109" s="15"/>
      <c r="HQY1109" s="15"/>
      <c r="HQZ1109" s="15"/>
      <c r="HRC1109" s="15"/>
      <c r="HRD1109" s="15"/>
      <c r="HRG1109" s="15"/>
      <c r="HRH1109" s="15"/>
      <c r="HRK1109" s="15"/>
      <c r="HRL1109" s="15"/>
      <c r="HRO1109" s="15"/>
      <c r="HRP1109" s="15"/>
      <c r="HRS1109" s="15"/>
      <c r="HRT1109" s="15"/>
      <c r="HRW1109" s="15"/>
      <c r="HRX1109" s="15"/>
      <c r="HSA1109" s="15"/>
      <c r="HSB1109" s="15"/>
      <c r="HSE1109" s="15"/>
      <c r="HSF1109" s="15"/>
      <c r="HSI1109" s="15"/>
      <c r="HSJ1109" s="15"/>
      <c r="HSM1109" s="15"/>
      <c r="HSN1109" s="15"/>
      <c r="HSQ1109" s="15"/>
      <c r="HSR1109" s="15"/>
      <c r="HSU1109" s="15"/>
      <c r="HSV1109" s="15"/>
      <c r="HSY1109" s="15"/>
      <c r="HSZ1109" s="15"/>
      <c r="HTC1109" s="15"/>
      <c r="HTD1109" s="15"/>
      <c r="HTG1109" s="15"/>
      <c r="HTH1109" s="15"/>
      <c r="HTK1109" s="15"/>
      <c r="HTL1109" s="15"/>
      <c r="HTO1109" s="15"/>
      <c r="HTP1109" s="15"/>
      <c r="HTS1109" s="15"/>
      <c r="HTT1109" s="15"/>
      <c r="HTW1109" s="15"/>
      <c r="HTX1109" s="15"/>
      <c r="HUA1109" s="15"/>
      <c r="HUB1109" s="15"/>
      <c r="HUE1109" s="15"/>
      <c r="HUF1109" s="15"/>
      <c r="HUI1109" s="15"/>
      <c r="HUJ1109" s="15"/>
      <c r="HUM1109" s="15"/>
      <c r="HUN1109" s="15"/>
      <c r="HUQ1109" s="15"/>
      <c r="HUR1109" s="15"/>
      <c r="HUU1109" s="15"/>
      <c r="HUV1109" s="15"/>
      <c r="HUY1109" s="15"/>
      <c r="HUZ1109" s="15"/>
      <c r="HVC1109" s="15"/>
      <c r="HVD1109" s="15"/>
      <c r="HVG1109" s="15"/>
      <c r="HVH1109" s="15"/>
      <c r="HVK1109" s="15"/>
      <c r="HVL1109" s="15"/>
      <c r="HVO1109" s="15"/>
      <c r="HVP1109" s="15"/>
      <c r="HVS1109" s="15"/>
      <c r="HVT1109" s="15"/>
      <c r="HVW1109" s="15"/>
      <c r="HVX1109" s="15"/>
      <c r="HWA1109" s="15"/>
      <c r="HWB1109" s="15"/>
      <c r="HWE1109" s="15"/>
      <c r="HWF1109" s="15"/>
      <c r="HWI1109" s="15"/>
      <c r="HWJ1109" s="15"/>
      <c r="HWM1109" s="15"/>
      <c r="HWN1109" s="15"/>
      <c r="HWQ1109" s="15"/>
      <c r="HWR1109" s="15"/>
      <c r="HWU1109" s="15"/>
      <c r="HWV1109" s="15"/>
      <c r="HWY1109" s="15"/>
      <c r="HWZ1109" s="15"/>
      <c r="HXC1109" s="15"/>
      <c r="HXD1109" s="15"/>
      <c r="HXG1109" s="15"/>
      <c r="HXH1109" s="15"/>
      <c r="HXK1109" s="15"/>
      <c r="HXL1109" s="15"/>
      <c r="HXO1109" s="15"/>
      <c r="HXP1109" s="15"/>
      <c r="HXS1109" s="15"/>
      <c r="HXT1109" s="15"/>
      <c r="HXW1109" s="15"/>
      <c r="HXX1109" s="15"/>
      <c r="HYA1109" s="15"/>
      <c r="HYB1109" s="15"/>
      <c r="HYE1109" s="15"/>
      <c r="HYF1109" s="15"/>
      <c r="HYI1109" s="15"/>
      <c r="HYJ1109" s="15"/>
      <c r="HYM1109" s="15"/>
      <c r="HYN1109" s="15"/>
      <c r="HYQ1109" s="15"/>
      <c r="HYR1109" s="15"/>
      <c r="HYU1109" s="15"/>
      <c r="HYV1109" s="15"/>
      <c r="HYY1109" s="15"/>
      <c r="HYZ1109" s="15"/>
      <c r="HZC1109" s="15"/>
      <c r="HZD1109" s="15"/>
      <c r="HZG1109" s="15"/>
      <c r="HZH1109" s="15"/>
      <c r="HZK1109" s="15"/>
      <c r="HZL1109" s="15"/>
      <c r="HZO1109" s="15"/>
      <c r="HZP1109" s="15"/>
      <c r="HZS1109" s="15"/>
      <c r="HZT1109" s="15"/>
      <c r="HZW1109" s="15"/>
      <c r="HZX1109" s="15"/>
      <c r="IAA1109" s="15"/>
      <c r="IAB1109" s="15"/>
      <c r="IAE1109" s="15"/>
      <c r="IAF1109" s="15"/>
      <c r="IAI1109" s="15"/>
      <c r="IAJ1109" s="15"/>
      <c r="IAM1109" s="15"/>
      <c r="IAN1109" s="15"/>
      <c r="IAQ1109" s="15"/>
      <c r="IAR1109" s="15"/>
      <c r="IAU1109" s="15"/>
      <c r="IAV1109" s="15"/>
      <c r="IAY1109" s="15"/>
      <c r="IAZ1109" s="15"/>
      <c r="IBC1109" s="15"/>
      <c r="IBD1109" s="15"/>
      <c r="IBG1109" s="15"/>
      <c r="IBH1109" s="15"/>
      <c r="IBK1109" s="15"/>
      <c r="IBL1109" s="15"/>
      <c r="IBO1109" s="15"/>
      <c r="IBP1109" s="15"/>
      <c r="IBS1109" s="15"/>
      <c r="IBT1109" s="15"/>
      <c r="IBW1109" s="15"/>
      <c r="IBX1109" s="15"/>
      <c r="ICA1109" s="15"/>
      <c r="ICB1109" s="15"/>
      <c r="ICE1109" s="15"/>
      <c r="ICF1109" s="15"/>
      <c r="ICI1109" s="15"/>
      <c r="ICJ1109" s="15"/>
      <c r="ICM1109" s="15"/>
      <c r="ICN1109" s="15"/>
      <c r="ICQ1109" s="15"/>
      <c r="ICR1109" s="15"/>
      <c r="ICU1109" s="15"/>
      <c r="ICV1109" s="15"/>
      <c r="ICY1109" s="15"/>
      <c r="ICZ1109" s="15"/>
      <c r="IDC1109" s="15"/>
      <c r="IDD1109" s="15"/>
      <c r="IDG1109" s="15"/>
      <c r="IDH1109" s="15"/>
      <c r="IDK1109" s="15"/>
      <c r="IDL1109" s="15"/>
      <c r="IDO1109" s="15"/>
      <c r="IDP1109" s="15"/>
      <c r="IDS1109" s="15"/>
      <c r="IDT1109" s="15"/>
      <c r="IDW1109" s="15"/>
      <c r="IDX1109" s="15"/>
      <c r="IEA1109" s="15"/>
      <c r="IEB1109" s="15"/>
      <c r="IEE1109" s="15"/>
      <c r="IEF1109" s="15"/>
      <c r="IEI1109" s="15"/>
      <c r="IEJ1109" s="15"/>
      <c r="IEM1109" s="15"/>
      <c r="IEN1109" s="15"/>
      <c r="IEQ1109" s="15"/>
      <c r="IER1109" s="15"/>
      <c r="IEU1109" s="15"/>
      <c r="IEV1109" s="15"/>
      <c r="IEY1109" s="15"/>
      <c r="IEZ1109" s="15"/>
      <c r="IFC1109" s="15"/>
      <c r="IFD1109" s="15"/>
      <c r="IFG1109" s="15"/>
      <c r="IFH1109" s="15"/>
      <c r="IFK1109" s="15"/>
      <c r="IFL1109" s="15"/>
      <c r="IFO1109" s="15"/>
      <c r="IFP1109" s="15"/>
      <c r="IFS1109" s="15"/>
      <c r="IFT1109" s="15"/>
      <c r="IFW1109" s="15"/>
      <c r="IFX1109" s="15"/>
      <c r="IGA1109" s="15"/>
      <c r="IGB1109" s="15"/>
      <c r="IGE1109" s="15"/>
      <c r="IGF1109" s="15"/>
      <c r="IGI1109" s="15"/>
      <c r="IGJ1109" s="15"/>
      <c r="IGM1109" s="15"/>
      <c r="IGN1109" s="15"/>
      <c r="IGQ1109" s="15"/>
      <c r="IGR1109" s="15"/>
      <c r="IGU1109" s="15"/>
      <c r="IGV1109" s="15"/>
      <c r="IGY1109" s="15"/>
      <c r="IGZ1109" s="15"/>
      <c r="IHC1109" s="15"/>
      <c r="IHD1109" s="15"/>
      <c r="IHG1109" s="15"/>
      <c r="IHH1109" s="15"/>
      <c r="IHK1109" s="15"/>
      <c r="IHL1109" s="15"/>
      <c r="IHO1109" s="15"/>
      <c r="IHP1109" s="15"/>
      <c r="IHS1109" s="15"/>
      <c r="IHT1109" s="15"/>
      <c r="IHW1109" s="15"/>
      <c r="IHX1109" s="15"/>
      <c r="IIA1109" s="15"/>
      <c r="IIB1109" s="15"/>
      <c r="IIE1109" s="15"/>
      <c r="IIF1109" s="15"/>
      <c r="III1109" s="15"/>
      <c r="IIJ1109" s="15"/>
      <c r="IIM1109" s="15"/>
      <c r="IIN1109" s="15"/>
      <c r="IIQ1109" s="15"/>
      <c r="IIR1109" s="15"/>
      <c r="IIU1109" s="15"/>
      <c r="IIV1109" s="15"/>
      <c r="IIY1109" s="15"/>
      <c r="IIZ1109" s="15"/>
      <c r="IJC1109" s="15"/>
      <c r="IJD1109" s="15"/>
      <c r="IJG1109" s="15"/>
      <c r="IJH1109" s="15"/>
      <c r="IJK1109" s="15"/>
      <c r="IJL1109" s="15"/>
      <c r="IJO1109" s="15"/>
      <c r="IJP1109" s="15"/>
      <c r="IJS1109" s="15"/>
      <c r="IJT1109" s="15"/>
      <c r="IJW1109" s="15"/>
      <c r="IJX1109" s="15"/>
      <c r="IKA1109" s="15"/>
      <c r="IKB1109" s="15"/>
      <c r="IKE1109" s="15"/>
      <c r="IKF1109" s="15"/>
      <c r="IKI1109" s="15"/>
      <c r="IKJ1109" s="15"/>
      <c r="IKM1109" s="15"/>
      <c r="IKN1109" s="15"/>
      <c r="IKQ1109" s="15"/>
      <c r="IKR1109" s="15"/>
      <c r="IKU1109" s="15"/>
      <c r="IKV1109" s="15"/>
      <c r="IKY1109" s="15"/>
      <c r="IKZ1109" s="15"/>
      <c r="ILC1109" s="15"/>
      <c r="ILD1109" s="15"/>
      <c r="ILG1109" s="15"/>
      <c r="ILH1109" s="15"/>
      <c r="ILK1109" s="15"/>
      <c r="ILL1109" s="15"/>
      <c r="ILO1109" s="15"/>
      <c r="ILP1109" s="15"/>
      <c r="ILS1109" s="15"/>
      <c r="ILT1109" s="15"/>
      <c r="ILW1109" s="15"/>
      <c r="ILX1109" s="15"/>
      <c r="IMA1109" s="15"/>
      <c r="IMB1109" s="15"/>
      <c r="IME1109" s="15"/>
      <c r="IMF1109" s="15"/>
      <c r="IMI1109" s="15"/>
      <c r="IMJ1109" s="15"/>
      <c r="IMM1109" s="15"/>
      <c r="IMN1109" s="15"/>
      <c r="IMQ1109" s="15"/>
      <c r="IMR1109" s="15"/>
      <c r="IMU1109" s="15"/>
      <c r="IMV1109" s="15"/>
      <c r="IMY1109" s="15"/>
      <c r="IMZ1109" s="15"/>
      <c r="INC1109" s="15"/>
      <c r="IND1109" s="15"/>
      <c r="ING1109" s="15"/>
      <c r="INH1109" s="15"/>
      <c r="INK1109" s="15"/>
      <c r="INL1109" s="15"/>
      <c r="INO1109" s="15"/>
      <c r="INP1109" s="15"/>
      <c r="INS1109" s="15"/>
      <c r="INT1109" s="15"/>
      <c r="INW1109" s="15"/>
      <c r="INX1109" s="15"/>
      <c r="IOA1109" s="15"/>
      <c r="IOB1109" s="15"/>
      <c r="IOE1109" s="15"/>
      <c r="IOF1109" s="15"/>
      <c r="IOI1109" s="15"/>
      <c r="IOJ1109" s="15"/>
      <c r="IOM1109" s="15"/>
      <c r="ION1109" s="15"/>
      <c r="IOQ1109" s="15"/>
      <c r="IOR1109" s="15"/>
      <c r="IOU1109" s="15"/>
      <c r="IOV1109" s="15"/>
      <c r="IOY1109" s="15"/>
      <c r="IOZ1109" s="15"/>
      <c r="IPC1109" s="15"/>
      <c r="IPD1109" s="15"/>
      <c r="IPG1109" s="15"/>
      <c r="IPH1109" s="15"/>
      <c r="IPK1109" s="15"/>
      <c r="IPL1109" s="15"/>
      <c r="IPO1109" s="15"/>
      <c r="IPP1109" s="15"/>
      <c r="IPS1109" s="15"/>
      <c r="IPT1109" s="15"/>
      <c r="IPW1109" s="15"/>
      <c r="IPX1109" s="15"/>
      <c r="IQA1109" s="15"/>
      <c r="IQB1109" s="15"/>
      <c r="IQE1109" s="15"/>
      <c r="IQF1109" s="15"/>
      <c r="IQI1109" s="15"/>
      <c r="IQJ1109" s="15"/>
      <c r="IQM1109" s="15"/>
      <c r="IQN1109" s="15"/>
      <c r="IQQ1109" s="15"/>
      <c r="IQR1109" s="15"/>
      <c r="IQU1109" s="15"/>
      <c r="IQV1109" s="15"/>
      <c r="IQY1109" s="15"/>
      <c r="IQZ1109" s="15"/>
      <c r="IRC1109" s="15"/>
      <c r="IRD1109" s="15"/>
      <c r="IRG1109" s="15"/>
      <c r="IRH1109" s="15"/>
      <c r="IRK1109" s="15"/>
      <c r="IRL1109" s="15"/>
      <c r="IRO1109" s="15"/>
      <c r="IRP1109" s="15"/>
      <c r="IRS1109" s="15"/>
      <c r="IRT1109" s="15"/>
      <c r="IRW1109" s="15"/>
      <c r="IRX1109" s="15"/>
      <c r="ISA1109" s="15"/>
      <c r="ISB1109" s="15"/>
      <c r="ISE1109" s="15"/>
      <c r="ISF1109" s="15"/>
      <c r="ISI1109" s="15"/>
      <c r="ISJ1109" s="15"/>
      <c r="ISM1109" s="15"/>
      <c r="ISN1109" s="15"/>
      <c r="ISQ1109" s="15"/>
      <c r="ISR1109" s="15"/>
      <c r="ISU1109" s="15"/>
      <c r="ISV1109" s="15"/>
      <c r="ISY1109" s="15"/>
      <c r="ISZ1109" s="15"/>
      <c r="ITC1109" s="15"/>
      <c r="ITD1109" s="15"/>
      <c r="ITG1109" s="15"/>
      <c r="ITH1109" s="15"/>
      <c r="ITK1109" s="15"/>
      <c r="ITL1109" s="15"/>
      <c r="ITO1109" s="15"/>
      <c r="ITP1109" s="15"/>
      <c r="ITS1109" s="15"/>
      <c r="ITT1109" s="15"/>
      <c r="ITW1109" s="15"/>
      <c r="ITX1109" s="15"/>
      <c r="IUA1109" s="15"/>
      <c r="IUB1109" s="15"/>
      <c r="IUE1109" s="15"/>
      <c r="IUF1109" s="15"/>
      <c r="IUI1109" s="15"/>
      <c r="IUJ1109" s="15"/>
      <c r="IUM1109" s="15"/>
      <c r="IUN1109" s="15"/>
      <c r="IUQ1109" s="15"/>
      <c r="IUR1109" s="15"/>
      <c r="IUU1109" s="15"/>
      <c r="IUV1109" s="15"/>
      <c r="IUY1109" s="15"/>
      <c r="IUZ1109" s="15"/>
      <c r="IVC1109" s="15"/>
      <c r="IVD1109" s="15"/>
      <c r="IVG1109" s="15"/>
      <c r="IVH1109" s="15"/>
      <c r="IVK1109" s="15"/>
      <c r="IVL1109" s="15"/>
      <c r="IVO1109" s="15"/>
      <c r="IVP1109" s="15"/>
      <c r="IVS1109" s="15"/>
      <c r="IVT1109" s="15"/>
      <c r="IVW1109" s="15"/>
      <c r="IVX1109" s="15"/>
      <c r="IWA1109" s="15"/>
      <c r="IWB1109" s="15"/>
      <c r="IWE1109" s="15"/>
      <c r="IWF1109" s="15"/>
      <c r="IWI1109" s="15"/>
      <c r="IWJ1109" s="15"/>
      <c r="IWM1109" s="15"/>
      <c r="IWN1109" s="15"/>
      <c r="IWQ1109" s="15"/>
      <c r="IWR1109" s="15"/>
      <c r="IWU1109" s="15"/>
      <c r="IWV1109" s="15"/>
      <c r="IWY1109" s="15"/>
      <c r="IWZ1109" s="15"/>
      <c r="IXC1109" s="15"/>
      <c r="IXD1109" s="15"/>
      <c r="IXG1109" s="15"/>
      <c r="IXH1109" s="15"/>
      <c r="IXK1109" s="15"/>
      <c r="IXL1109" s="15"/>
      <c r="IXO1109" s="15"/>
      <c r="IXP1109" s="15"/>
      <c r="IXS1109" s="15"/>
      <c r="IXT1109" s="15"/>
      <c r="IXW1109" s="15"/>
      <c r="IXX1109" s="15"/>
      <c r="IYA1109" s="15"/>
      <c r="IYB1109" s="15"/>
      <c r="IYE1109" s="15"/>
      <c r="IYF1109" s="15"/>
      <c r="IYI1109" s="15"/>
      <c r="IYJ1109" s="15"/>
      <c r="IYM1109" s="15"/>
      <c r="IYN1109" s="15"/>
      <c r="IYQ1109" s="15"/>
      <c r="IYR1109" s="15"/>
      <c r="IYU1109" s="15"/>
      <c r="IYV1109" s="15"/>
      <c r="IYY1109" s="15"/>
      <c r="IYZ1109" s="15"/>
      <c r="IZC1109" s="15"/>
      <c r="IZD1109" s="15"/>
      <c r="IZG1109" s="15"/>
      <c r="IZH1109" s="15"/>
      <c r="IZK1109" s="15"/>
      <c r="IZL1109" s="15"/>
      <c r="IZO1109" s="15"/>
      <c r="IZP1109" s="15"/>
      <c r="IZS1109" s="15"/>
      <c r="IZT1109" s="15"/>
      <c r="IZW1109" s="15"/>
      <c r="IZX1109" s="15"/>
      <c r="JAA1109" s="15"/>
      <c r="JAB1109" s="15"/>
      <c r="JAE1109" s="15"/>
      <c r="JAF1109" s="15"/>
      <c r="JAI1109" s="15"/>
      <c r="JAJ1109" s="15"/>
      <c r="JAM1109" s="15"/>
      <c r="JAN1109" s="15"/>
      <c r="JAQ1109" s="15"/>
      <c r="JAR1109" s="15"/>
      <c r="JAU1109" s="15"/>
      <c r="JAV1109" s="15"/>
      <c r="JAY1109" s="15"/>
      <c r="JAZ1109" s="15"/>
      <c r="JBC1109" s="15"/>
      <c r="JBD1109" s="15"/>
      <c r="JBG1109" s="15"/>
      <c r="JBH1109" s="15"/>
      <c r="JBK1109" s="15"/>
      <c r="JBL1109" s="15"/>
      <c r="JBO1109" s="15"/>
      <c r="JBP1109" s="15"/>
      <c r="JBS1109" s="15"/>
      <c r="JBT1109" s="15"/>
      <c r="JBW1109" s="15"/>
      <c r="JBX1109" s="15"/>
      <c r="JCA1109" s="15"/>
      <c r="JCB1109" s="15"/>
      <c r="JCE1109" s="15"/>
      <c r="JCF1109" s="15"/>
      <c r="JCI1109" s="15"/>
      <c r="JCJ1109" s="15"/>
      <c r="JCM1109" s="15"/>
      <c r="JCN1109" s="15"/>
      <c r="JCQ1109" s="15"/>
      <c r="JCR1109" s="15"/>
      <c r="JCU1109" s="15"/>
      <c r="JCV1109" s="15"/>
      <c r="JCY1109" s="15"/>
      <c r="JCZ1109" s="15"/>
      <c r="JDC1109" s="15"/>
      <c r="JDD1109" s="15"/>
      <c r="JDG1109" s="15"/>
      <c r="JDH1109" s="15"/>
      <c r="JDK1109" s="15"/>
      <c r="JDL1109" s="15"/>
      <c r="JDO1109" s="15"/>
      <c r="JDP1109" s="15"/>
      <c r="JDS1109" s="15"/>
      <c r="JDT1109" s="15"/>
      <c r="JDW1109" s="15"/>
      <c r="JDX1109" s="15"/>
      <c r="JEA1109" s="15"/>
      <c r="JEB1109" s="15"/>
      <c r="JEE1109" s="15"/>
      <c r="JEF1109" s="15"/>
      <c r="JEI1109" s="15"/>
      <c r="JEJ1109" s="15"/>
      <c r="JEM1109" s="15"/>
      <c r="JEN1109" s="15"/>
      <c r="JEQ1109" s="15"/>
      <c r="JER1109" s="15"/>
      <c r="JEU1109" s="15"/>
      <c r="JEV1109" s="15"/>
      <c r="JEY1109" s="15"/>
      <c r="JEZ1109" s="15"/>
      <c r="JFC1109" s="15"/>
      <c r="JFD1109" s="15"/>
      <c r="JFG1109" s="15"/>
      <c r="JFH1109" s="15"/>
      <c r="JFK1109" s="15"/>
      <c r="JFL1109" s="15"/>
      <c r="JFO1109" s="15"/>
      <c r="JFP1109" s="15"/>
      <c r="JFS1109" s="15"/>
      <c r="JFT1109" s="15"/>
      <c r="JFW1109" s="15"/>
      <c r="JFX1109" s="15"/>
      <c r="JGA1109" s="15"/>
      <c r="JGB1109" s="15"/>
      <c r="JGE1109" s="15"/>
      <c r="JGF1109" s="15"/>
      <c r="JGI1109" s="15"/>
      <c r="JGJ1109" s="15"/>
      <c r="JGM1109" s="15"/>
      <c r="JGN1109" s="15"/>
      <c r="JGQ1109" s="15"/>
      <c r="JGR1109" s="15"/>
      <c r="JGU1109" s="15"/>
      <c r="JGV1109" s="15"/>
      <c r="JGY1109" s="15"/>
      <c r="JGZ1109" s="15"/>
      <c r="JHC1109" s="15"/>
      <c r="JHD1109" s="15"/>
      <c r="JHG1109" s="15"/>
      <c r="JHH1109" s="15"/>
      <c r="JHK1109" s="15"/>
      <c r="JHL1109" s="15"/>
      <c r="JHO1109" s="15"/>
      <c r="JHP1109" s="15"/>
      <c r="JHS1109" s="15"/>
      <c r="JHT1109" s="15"/>
      <c r="JHW1109" s="15"/>
      <c r="JHX1109" s="15"/>
      <c r="JIA1109" s="15"/>
      <c r="JIB1109" s="15"/>
      <c r="JIE1109" s="15"/>
      <c r="JIF1109" s="15"/>
      <c r="JII1109" s="15"/>
      <c r="JIJ1109" s="15"/>
      <c r="JIM1109" s="15"/>
      <c r="JIN1109" s="15"/>
      <c r="JIQ1109" s="15"/>
      <c r="JIR1109" s="15"/>
      <c r="JIU1109" s="15"/>
      <c r="JIV1109" s="15"/>
      <c r="JIY1109" s="15"/>
      <c r="JIZ1109" s="15"/>
      <c r="JJC1109" s="15"/>
      <c r="JJD1109" s="15"/>
      <c r="JJG1109" s="15"/>
      <c r="JJH1109" s="15"/>
      <c r="JJK1109" s="15"/>
      <c r="JJL1109" s="15"/>
      <c r="JJO1109" s="15"/>
      <c r="JJP1109" s="15"/>
      <c r="JJS1109" s="15"/>
      <c r="JJT1109" s="15"/>
      <c r="JJW1109" s="15"/>
      <c r="JJX1109" s="15"/>
      <c r="JKA1109" s="15"/>
      <c r="JKB1109" s="15"/>
      <c r="JKE1109" s="15"/>
      <c r="JKF1109" s="15"/>
      <c r="JKI1109" s="15"/>
      <c r="JKJ1109" s="15"/>
      <c r="JKM1109" s="15"/>
      <c r="JKN1109" s="15"/>
      <c r="JKQ1109" s="15"/>
      <c r="JKR1109" s="15"/>
      <c r="JKU1109" s="15"/>
      <c r="JKV1109" s="15"/>
      <c r="JKY1109" s="15"/>
      <c r="JKZ1109" s="15"/>
      <c r="JLC1109" s="15"/>
      <c r="JLD1109" s="15"/>
      <c r="JLG1109" s="15"/>
      <c r="JLH1109" s="15"/>
      <c r="JLK1109" s="15"/>
      <c r="JLL1109" s="15"/>
      <c r="JLO1109" s="15"/>
      <c r="JLP1109" s="15"/>
      <c r="JLS1109" s="15"/>
      <c r="JLT1109" s="15"/>
      <c r="JLW1109" s="15"/>
      <c r="JLX1109" s="15"/>
      <c r="JMA1109" s="15"/>
      <c r="JMB1109" s="15"/>
      <c r="JME1109" s="15"/>
      <c r="JMF1109" s="15"/>
      <c r="JMI1109" s="15"/>
      <c r="JMJ1109" s="15"/>
      <c r="JMM1109" s="15"/>
      <c r="JMN1109" s="15"/>
      <c r="JMQ1109" s="15"/>
      <c r="JMR1109" s="15"/>
      <c r="JMU1109" s="15"/>
      <c r="JMV1109" s="15"/>
      <c r="JMY1109" s="15"/>
      <c r="JMZ1109" s="15"/>
      <c r="JNC1109" s="15"/>
      <c r="JND1109" s="15"/>
      <c r="JNG1109" s="15"/>
      <c r="JNH1109" s="15"/>
      <c r="JNK1109" s="15"/>
      <c r="JNL1109" s="15"/>
      <c r="JNO1109" s="15"/>
      <c r="JNP1109" s="15"/>
      <c r="JNS1109" s="15"/>
      <c r="JNT1109" s="15"/>
      <c r="JNW1109" s="15"/>
      <c r="JNX1109" s="15"/>
      <c r="JOA1109" s="15"/>
      <c r="JOB1109" s="15"/>
      <c r="JOE1109" s="15"/>
      <c r="JOF1109" s="15"/>
      <c r="JOI1109" s="15"/>
      <c r="JOJ1109" s="15"/>
      <c r="JOM1109" s="15"/>
      <c r="JON1109" s="15"/>
      <c r="JOQ1109" s="15"/>
      <c r="JOR1109" s="15"/>
      <c r="JOU1109" s="15"/>
      <c r="JOV1109" s="15"/>
      <c r="JOY1109" s="15"/>
      <c r="JOZ1109" s="15"/>
      <c r="JPC1109" s="15"/>
      <c r="JPD1109" s="15"/>
      <c r="JPG1109" s="15"/>
      <c r="JPH1109" s="15"/>
      <c r="JPK1109" s="15"/>
      <c r="JPL1109" s="15"/>
      <c r="JPO1109" s="15"/>
      <c r="JPP1109" s="15"/>
      <c r="JPS1109" s="15"/>
      <c r="JPT1109" s="15"/>
      <c r="JPW1109" s="15"/>
      <c r="JPX1109" s="15"/>
      <c r="JQA1109" s="15"/>
      <c r="JQB1109" s="15"/>
      <c r="JQE1109" s="15"/>
      <c r="JQF1109" s="15"/>
      <c r="JQI1109" s="15"/>
      <c r="JQJ1109" s="15"/>
      <c r="JQM1109" s="15"/>
      <c r="JQN1109" s="15"/>
      <c r="JQQ1109" s="15"/>
      <c r="JQR1109" s="15"/>
      <c r="JQU1109" s="15"/>
      <c r="JQV1109" s="15"/>
      <c r="JQY1109" s="15"/>
      <c r="JQZ1109" s="15"/>
      <c r="JRC1109" s="15"/>
      <c r="JRD1109" s="15"/>
      <c r="JRG1109" s="15"/>
      <c r="JRH1109" s="15"/>
      <c r="JRK1109" s="15"/>
      <c r="JRL1109" s="15"/>
      <c r="JRO1109" s="15"/>
      <c r="JRP1109" s="15"/>
      <c r="JRS1109" s="15"/>
      <c r="JRT1109" s="15"/>
      <c r="JRW1109" s="15"/>
      <c r="JRX1109" s="15"/>
      <c r="JSA1109" s="15"/>
      <c r="JSB1109" s="15"/>
      <c r="JSE1109" s="15"/>
      <c r="JSF1109" s="15"/>
      <c r="JSI1109" s="15"/>
      <c r="JSJ1109" s="15"/>
      <c r="JSM1109" s="15"/>
      <c r="JSN1109" s="15"/>
      <c r="JSQ1109" s="15"/>
      <c r="JSR1109" s="15"/>
      <c r="JSU1109" s="15"/>
      <c r="JSV1109" s="15"/>
      <c r="JSY1109" s="15"/>
      <c r="JSZ1109" s="15"/>
      <c r="JTC1109" s="15"/>
      <c r="JTD1109" s="15"/>
      <c r="JTG1109" s="15"/>
      <c r="JTH1109" s="15"/>
      <c r="JTK1109" s="15"/>
      <c r="JTL1109" s="15"/>
      <c r="JTO1109" s="15"/>
      <c r="JTP1109" s="15"/>
      <c r="JTS1109" s="15"/>
      <c r="JTT1109" s="15"/>
      <c r="JTW1109" s="15"/>
      <c r="JTX1109" s="15"/>
      <c r="JUA1109" s="15"/>
      <c r="JUB1109" s="15"/>
      <c r="JUE1109" s="15"/>
      <c r="JUF1109" s="15"/>
      <c r="JUI1109" s="15"/>
      <c r="JUJ1109" s="15"/>
      <c r="JUM1109" s="15"/>
      <c r="JUN1109" s="15"/>
      <c r="JUQ1109" s="15"/>
      <c r="JUR1109" s="15"/>
      <c r="JUU1109" s="15"/>
      <c r="JUV1109" s="15"/>
      <c r="JUY1109" s="15"/>
      <c r="JUZ1109" s="15"/>
      <c r="JVC1109" s="15"/>
      <c r="JVD1109" s="15"/>
      <c r="JVG1109" s="15"/>
      <c r="JVH1109" s="15"/>
      <c r="JVK1109" s="15"/>
      <c r="JVL1109" s="15"/>
      <c r="JVO1109" s="15"/>
      <c r="JVP1109" s="15"/>
      <c r="JVS1109" s="15"/>
      <c r="JVT1109" s="15"/>
      <c r="JVW1109" s="15"/>
      <c r="JVX1109" s="15"/>
      <c r="JWA1109" s="15"/>
      <c r="JWB1109" s="15"/>
      <c r="JWE1109" s="15"/>
      <c r="JWF1109" s="15"/>
      <c r="JWI1109" s="15"/>
      <c r="JWJ1109" s="15"/>
      <c r="JWM1109" s="15"/>
      <c r="JWN1109" s="15"/>
      <c r="JWQ1109" s="15"/>
      <c r="JWR1109" s="15"/>
      <c r="JWU1109" s="15"/>
      <c r="JWV1109" s="15"/>
      <c r="JWY1109" s="15"/>
      <c r="JWZ1109" s="15"/>
      <c r="JXC1109" s="15"/>
      <c r="JXD1109" s="15"/>
      <c r="JXG1109" s="15"/>
      <c r="JXH1109" s="15"/>
      <c r="JXK1109" s="15"/>
      <c r="JXL1109" s="15"/>
      <c r="JXO1109" s="15"/>
      <c r="JXP1109" s="15"/>
      <c r="JXS1109" s="15"/>
      <c r="JXT1109" s="15"/>
      <c r="JXW1109" s="15"/>
      <c r="JXX1109" s="15"/>
      <c r="JYA1109" s="15"/>
      <c r="JYB1109" s="15"/>
      <c r="JYE1109" s="15"/>
      <c r="JYF1109" s="15"/>
      <c r="JYI1109" s="15"/>
      <c r="JYJ1109" s="15"/>
      <c r="JYM1109" s="15"/>
      <c r="JYN1109" s="15"/>
      <c r="JYQ1109" s="15"/>
      <c r="JYR1109" s="15"/>
      <c r="JYU1109" s="15"/>
      <c r="JYV1109" s="15"/>
      <c r="JYY1109" s="15"/>
      <c r="JYZ1109" s="15"/>
      <c r="JZC1109" s="15"/>
      <c r="JZD1109" s="15"/>
      <c r="JZG1109" s="15"/>
      <c r="JZH1109" s="15"/>
      <c r="JZK1109" s="15"/>
      <c r="JZL1109" s="15"/>
      <c r="JZO1109" s="15"/>
      <c r="JZP1109" s="15"/>
      <c r="JZS1109" s="15"/>
      <c r="JZT1109" s="15"/>
      <c r="JZW1109" s="15"/>
      <c r="JZX1109" s="15"/>
      <c r="KAA1109" s="15"/>
      <c r="KAB1109" s="15"/>
      <c r="KAE1109" s="15"/>
      <c r="KAF1109" s="15"/>
      <c r="KAI1109" s="15"/>
      <c r="KAJ1109" s="15"/>
      <c r="KAM1109" s="15"/>
      <c r="KAN1109" s="15"/>
      <c r="KAQ1109" s="15"/>
      <c r="KAR1109" s="15"/>
      <c r="KAU1109" s="15"/>
      <c r="KAV1109" s="15"/>
      <c r="KAY1109" s="15"/>
      <c r="KAZ1109" s="15"/>
      <c r="KBC1109" s="15"/>
      <c r="KBD1109" s="15"/>
      <c r="KBG1109" s="15"/>
      <c r="KBH1109" s="15"/>
      <c r="KBK1109" s="15"/>
      <c r="KBL1109" s="15"/>
      <c r="KBO1109" s="15"/>
      <c r="KBP1109" s="15"/>
      <c r="KBS1109" s="15"/>
      <c r="KBT1109" s="15"/>
      <c r="KBW1109" s="15"/>
      <c r="KBX1109" s="15"/>
      <c r="KCA1109" s="15"/>
      <c r="KCB1109" s="15"/>
      <c r="KCE1109" s="15"/>
      <c r="KCF1109" s="15"/>
      <c r="KCI1109" s="15"/>
      <c r="KCJ1109" s="15"/>
      <c r="KCM1109" s="15"/>
      <c r="KCN1109" s="15"/>
      <c r="KCQ1109" s="15"/>
      <c r="KCR1109" s="15"/>
      <c r="KCU1109" s="15"/>
      <c r="KCV1109" s="15"/>
      <c r="KCY1109" s="15"/>
      <c r="KCZ1109" s="15"/>
      <c r="KDC1109" s="15"/>
      <c r="KDD1109" s="15"/>
      <c r="KDG1109" s="15"/>
      <c r="KDH1109" s="15"/>
      <c r="KDK1109" s="15"/>
      <c r="KDL1109" s="15"/>
      <c r="KDO1109" s="15"/>
      <c r="KDP1109" s="15"/>
      <c r="KDS1109" s="15"/>
      <c r="KDT1109" s="15"/>
      <c r="KDW1109" s="15"/>
      <c r="KDX1109" s="15"/>
      <c r="KEA1109" s="15"/>
      <c r="KEB1109" s="15"/>
      <c r="KEE1109" s="15"/>
      <c r="KEF1109" s="15"/>
      <c r="KEI1109" s="15"/>
      <c r="KEJ1109" s="15"/>
      <c r="KEM1109" s="15"/>
      <c r="KEN1109" s="15"/>
      <c r="KEQ1109" s="15"/>
      <c r="KER1109" s="15"/>
      <c r="KEU1109" s="15"/>
      <c r="KEV1109" s="15"/>
      <c r="KEY1109" s="15"/>
      <c r="KEZ1109" s="15"/>
      <c r="KFC1109" s="15"/>
      <c r="KFD1109" s="15"/>
      <c r="KFG1109" s="15"/>
      <c r="KFH1109" s="15"/>
      <c r="KFK1109" s="15"/>
      <c r="KFL1109" s="15"/>
      <c r="KFO1109" s="15"/>
      <c r="KFP1109" s="15"/>
      <c r="KFS1109" s="15"/>
      <c r="KFT1109" s="15"/>
      <c r="KFW1109" s="15"/>
      <c r="KFX1109" s="15"/>
      <c r="KGA1109" s="15"/>
      <c r="KGB1109" s="15"/>
      <c r="KGE1109" s="15"/>
      <c r="KGF1109" s="15"/>
      <c r="KGI1109" s="15"/>
      <c r="KGJ1109" s="15"/>
      <c r="KGM1109" s="15"/>
      <c r="KGN1109" s="15"/>
      <c r="KGQ1109" s="15"/>
      <c r="KGR1109" s="15"/>
      <c r="KGU1109" s="15"/>
      <c r="KGV1109" s="15"/>
      <c r="KGY1109" s="15"/>
      <c r="KGZ1109" s="15"/>
      <c r="KHC1109" s="15"/>
      <c r="KHD1109" s="15"/>
      <c r="KHG1109" s="15"/>
      <c r="KHH1109" s="15"/>
      <c r="KHK1109" s="15"/>
      <c r="KHL1109" s="15"/>
      <c r="KHO1109" s="15"/>
      <c r="KHP1109" s="15"/>
      <c r="KHS1109" s="15"/>
      <c r="KHT1109" s="15"/>
      <c r="KHW1109" s="15"/>
      <c r="KHX1109" s="15"/>
      <c r="KIA1109" s="15"/>
      <c r="KIB1109" s="15"/>
      <c r="KIE1109" s="15"/>
      <c r="KIF1109" s="15"/>
      <c r="KII1109" s="15"/>
      <c r="KIJ1109" s="15"/>
      <c r="KIM1109" s="15"/>
      <c r="KIN1109" s="15"/>
      <c r="KIQ1109" s="15"/>
      <c r="KIR1109" s="15"/>
      <c r="KIU1109" s="15"/>
      <c r="KIV1109" s="15"/>
      <c r="KIY1109" s="15"/>
      <c r="KIZ1109" s="15"/>
      <c r="KJC1109" s="15"/>
      <c r="KJD1109" s="15"/>
      <c r="KJG1109" s="15"/>
      <c r="KJH1109" s="15"/>
      <c r="KJK1109" s="15"/>
      <c r="KJL1109" s="15"/>
      <c r="KJO1109" s="15"/>
      <c r="KJP1109" s="15"/>
      <c r="KJS1109" s="15"/>
      <c r="KJT1109" s="15"/>
      <c r="KJW1109" s="15"/>
      <c r="KJX1109" s="15"/>
      <c r="KKA1109" s="15"/>
      <c r="KKB1109" s="15"/>
      <c r="KKE1109" s="15"/>
      <c r="KKF1109" s="15"/>
      <c r="KKI1109" s="15"/>
      <c r="KKJ1109" s="15"/>
      <c r="KKM1109" s="15"/>
      <c r="KKN1109" s="15"/>
      <c r="KKQ1109" s="15"/>
      <c r="KKR1109" s="15"/>
      <c r="KKU1109" s="15"/>
      <c r="KKV1109" s="15"/>
      <c r="KKY1109" s="15"/>
      <c r="KKZ1109" s="15"/>
      <c r="KLC1109" s="15"/>
      <c r="KLD1109" s="15"/>
      <c r="KLG1109" s="15"/>
      <c r="KLH1109" s="15"/>
      <c r="KLK1109" s="15"/>
      <c r="KLL1109" s="15"/>
      <c r="KLO1109" s="15"/>
      <c r="KLP1109" s="15"/>
      <c r="KLS1109" s="15"/>
      <c r="KLT1109" s="15"/>
      <c r="KLW1109" s="15"/>
      <c r="KLX1109" s="15"/>
      <c r="KMA1109" s="15"/>
      <c r="KMB1109" s="15"/>
      <c r="KME1109" s="15"/>
      <c r="KMF1109" s="15"/>
      <c r="KMI1109" s="15"/>
      <c r="KMJ1109" s="15"/>
      <c r="KMM1109" s="15"/>
      <c r="KMN1109" s="15"/>
      <c r="KMQ1109" s="15"/>
      <c r="KMR1109" s="15"/>
      <c r="KMU1109" s="15"/>
      <c r="KMV1109" s="15"/>
      <c r="KMY1109" s="15"/>
      <c r="KMZ1109" s="15"/>
      <c r="KNC1109" s="15"/>
      <c r="KND1109" s="15"/>
      <c r="KNG1109" s="15"/>
      <c r="KNH1109" s="15"/>
      <c r="KNK1109" s="15"/>
      <c r="KNL1109" s="15"/>
      <c r="KNO1109" s="15"/>
      <c r="KNP1109" s="15"/>
      <c r="KNS1109" s="15"/>
      <c r="KNT1109" s="15"/>
      <c r="KNW1109" s="15"/>
      <c r="KNX1109" s="15"/>
      <c r="KOA1109" s="15"/>
      <c r="KOB1109" s="15"/>
      <c r="KOE1109" s="15"/>
      <c r="KOF1109" s="15"/>
      <c r="KOI1109" s="15"/>
      <c r="KOJ1109" s="15"/>
      <c r="KOM1109" s="15"/>
      <c r="KON1109" s="15"/>
      <c r="KOQ1109" s="15"/>
      <c r="KOR1109" s="15"/>
      <c r="KOU1109" s="15"/>
      <c r="KOV1109" s="15"/>
      <c r="KOY1109" s="15"/>
      <c r="KOZ1109" s="15"/>
      <c r="KPC1109" s="15"/>
      <c r="KPD1109" s="15"/>
      <c r="KPG1109" s="15"/>
      <c r="KPH1109" s="15"/>
      <c r="KPK1109" s="15"/>
      <c r="KPL1109" s="15"/>
      <c r="KPO1109" s="15"/>
      <c r="KPP1109" s="15"/>
      <c r="KPS1109" s="15"/>
      <c r="KPT1109" s="15"/>
      <c r="KPW1109" s="15"/>
      <c r="KPX1109" s="15"/>
      <c r="KQA1109" s="15"/>
      <c r="KQB1109" s="15"/>
      <c r="KQE1109" s="15"/>
      <c r="KQF1109" s="15"/>
      <c r="KQI1109" s="15"/>
      <c r="KQJ1109" s="15"/>
      <c r="KQM1109" s="15"/>
      <c r="KQN1109" s="15"/>
      <c r="KQQ1109" s="15"/>
      <c r="KQR1109" s="15"/>
      <c r="KQU1109" s="15"/>
      <c r="KQV1109" s="15"/>
      <c r="KQY1109" s="15"/>
      <c r="KQZ1109" s="15"/>
      <c r="KRC1109" s="15"/>
      <c r="KRD1109" s="15"/>
      <c r="KRG1109" s="15"/>
      <c r="KRH1109" s="15"/>
      <c r="KRK1109" s="15"/>
      <c r="KRL1109" s="15"/>
      <c r="KRO1109" s="15"/>
      <c r="KRP1109" s="15"/>
      <c r="KRS1109" s="15"/>
      <c r="KRT1109" s="15"/>
      <c r="KRW1109" s="15"/>
      <c r="KRX1109" s="15"/>
      <c r="KSA1109" s="15"/>
      <c r="KSB1109" s="15"/>
      <c r="KSE1109" s="15"/>
      <c r="KSF1109" s="15"/>
      <c r="KSI1109" s="15"/>
      <c r="KSJ1109" s="15"/>
      <c r="KSM1109" s="15"/>
      <c r="KSN1109" s="15"/>
      <c r="KSQ1109" s="15"/>
      <c r="KSR1109" s="15"/>
      <c r="KSU1109" s="15"/>
      <c r="KSV1109" s="15"/>
      <c r="KSY1109" s="15"/>
      <c r="KSZ1109" s="15"/>
      <c r="KTC1109" s="15"/>
      <c r="KTD1109" s="15"/>
      <c r="KTG1109" s="15"/>
      <c r="KTH1109" s="15"/>
      <c r="KTK1109" s="15"/>
      <c r="KTL1109" s="15"/>
      <c r="KTO1109" s="15"/>
      <c r="KTP1109" s="15"/>
      <c r="KTS1109" s="15"/>
      <c r="KTT1109" s="15"/>
      <c r="KTW1109" s="15"/>
      <c r="KTX1109" s="15"/>
      <c r="KUA1109" s="15"/>
      <c r="KUB1109" s="15"/>
      <c r="KUE1109" s="15"/>
      <c r="KUF1109" s="15"/>
      <c r="KUI1109" s="15"/>
      <c r="KUJ1109" s="15"/>
      <c r="KUM1109" s="15"/>
      <c r="KUN1109" s="15"/>
      <c r="KUQ1109" s="15"/>
      <c r="KUR1109" s="15"/>
      <c r="KUU1109" s="15"/>
      <c r="KUV1109" s="15"/>
      <c r="KUY1109" s="15"/>
      <c r="KUZ1109" s="15"/>
      <c r="KVC1109" s="15"/>
      <c r="KVD1109" s="15"/>
      <c r="KVG1109" s="15"/>
      <c r="KVH1109" s="15"/>
      <c r="KVK1109" s="15"/>
      <c r="KVL1109" s="15"/>
      <c r="KVO1109" s="15"/>
      <c r="KVP1109" s="15"/>
      <c r="KVS1109" s="15"/>
      <c r="KVT1109" s="15"/>
      <c r="KVW1109" s="15"/>
      <c r="KVX1109" s="15"/>
      <c r="KWA1109" s="15"/>
      <c r="KWB1109" s="15"/>
      <c r="KWE1109" s="15"/>
      <c r="KWF1109" s="15"/>
      <c r="KWI1109" s="15"/>
      <c r="KWJ1109" s="15"/>
      <c r="KWM1109" s="15"/>
      <c r="KWN1109" s="15"/>
      <c r="KWQ1109" s="15"/>
      <c r="KWR1109" s="15"/>
      <c r="KWU1109" s="15"/>
      <c r="KWV1109" s="15"/>
      <c r="KWY1109" s="15"/>
      <c r="KWZ1109" s="15"/>
      <c r="KXC1109" s="15"/>
      <c r="KXD1109" s="15"/>
      <c r="KXG1109" s="15"/>
      <c r="KXH1109" s="15"/>
      <c r="KXK1109" s="15"/>
      <c r="KXL1109" s="15"/>
      <c r="KXO1109" s="15"/>
      <c r="KXP1109" s="15"/>
      <c r="KXS1109" s="15"/>
      <c r="KXT1109" s="15"/>
      <c r="KXW1109" s="15"/>
      <c r="KXX1109" s="15"/>
      <c r="KYA1109" s="15"/>
      <c r="KYB1109" s="15"/>
      <c r="KYE1109" s="15"/>
      <c r="KYF1109" s="15"/>
      <c r="KYI1109" s="15"/>
      <c r="KYJ1109" s="15"/>
      <c r="KYM1109" s="15"/>
      <c r="KYN1109" s="15"/>
      <c r="KYQ1109" s="15"/>
      <c r="KYR1109" s="15"/>
      <c r="KYU1109" s="15"/>
      <c r="KYV1109" s="15"/>
      <c r="KYY1109" s="15"/>
      <c r="KYZ1109" s="15"/>
      <c r="KZC1109" s="15"/>
      <c r="KZD1109" s="15"/>
      <c r="KZG1109" s="15"/>
      <c r="KZH1109" s="15"/>
      <c r="KZK1109" s="15"/>
      <c r="KZL1109" s="15"/>
      <c r="KZO1109" s="15"/>
      <c r="KZP1109" s="15"/>
      <c r="KZS1109" s="15"/>
      <c r="KZT1109" s="15"/>
      <c r="KZW1109" s="15"/>
      <c r="KZX1109" s="15"/>
      <c r="LAA1109" s="15"/>
      <c r="LAB1109" s="15"/>
      <c r="LAE1109" s="15"/>
      <c r="LAF1109" s="15"/>
      <c r="LAI1109" s="15"/>
      <c r="LAJ1109" s="15"/>
      <c r="LAM1109" s="15"/>
      <c r="LAN1109" s="15"/>
      <c r="LAQ1109" s="15"/>
      <c r="LAR1109" s="15"/>
      <c r="LAU1109" s="15"/>
      <c r="LAV1109" s="15"/>
      <c r="LAY1109" s="15"/>
      <c r="LAZ1109" s="15"/>
      <c r="LBC1109" s="15"/>
      <c r="LBD1109" s="15"/>
      <c r="LBG1109" s="15"/>
      <c r="LBH1109" s="15"/>
      <c r="LBK1109" s="15"/>
      <c r="LBL1109" s="15"/>
      <c r="LBO1109" s="15"/>
      <c r="LBP1109" s="15"/>
      <c r="LBS1109" s="15"/>
      <c r="LBT1109" s="15"/>
      <c r="LBW1109" s="15"/>
      <c r="LBX1109" s="15"/>
      <c r="LCA1109" s="15"/>
      <c r="LCB1109" s="15"/>
      <c r="LCE1109" s="15"/>
      <c r="LCF1109" s="15"/>
      <c r="LCI1109" s="15"/>
      <c r="LCJ1109" s="15"/>
      <c r="LCM1109" s="15"/>
      <c r="LCN1109" s="15"/>
      <c r="LCQ1109" s="15"/>
      <c r="LCR1109" s="15"/>
      <c r="LCU1109" s="15"/>
      <c r="LCV1109" s="15"/>
      <c r="LCY1109" s="15"/>
      <c r="LCZ1109" s="15"/>
      <c r="LDC1109" s="15"/>
      <c r="LDD1109" s="15"/>
      <c r="LDG1109" s="15"/>
      <c r="LDH1109" s="15"/>
      <c r="LDK1109" s="15"/>
      <c r="LDL1109" s="15"/>
      <c r="LDO1109" s="15"/>
      <c r="LDP1109" s="15"/>
      <c r="LDS1109" s="15"/>
      <c r="LDT1109" s="15"/>
      <c r="LDW1109" s="15"/>
      <c r="LDX1109" s="15"/>
      <c r="LEA1109" s="15"/>
      <c r="LEB1109" s="15"/>
      <c r="LEE1109" s="15"/>
      <c r="LEF1109" s="15"/>
      <c r="LEI1109" s="15"/>
      <c r="LEJ1109" s="15"/>
      <c r="LEM1109" s="15"/>
      <c r="LEN1109" s="15"/>
      <c r="LEQ1109" s="15"/>
      <c r="LER1109" s="15"/>
      <c r="LEU1109" s="15"/>
      <c r="LEV1109" s="15"/>
      <c r="LEY1109" s="15"/>
      <c r="LEZ1109" s="15"/>
      <c r="LFC1109" s="15"/>
      <c r="LFD1109" s="15"/>
      <c r="LFG1109" s="15"/>
      <c r="LFH1109" s="15"/>
      <c r="LFK1109" s="15"/>
      <c r="LFL1109" s="15"/>
      <c r="LFO1109" s="15"/>
      <c r="LFP1109" s="15"/>
      <c r="LFS1109" s="15"/>
      <c r="LFT1109" s="15"/>
      <c r="LFW1109" s="15"/>
      <c r="LFX1109" s="15"/>
      <c r="LGA1109" s="15"/>
      <c r="LGB1109" s="15"/>
      <c r="LGE1109" s="15"/>
      <c r="LGF1109" s="15"/>
      <c r="LGI1109" s="15"/>
      <c r="LGJ1109" s="15"/>
      <c r="LGM1109" s="15"/>
      <c r="LGN1109" s="15"/>
      <c r="LGQ1109" s="15"/>
      <c r="LGR1109" s="15"/>
      <c r="LGU1109" s="15"/>
      <c r="LGV1109" s="15"/>
      <c r="LGY1109" s="15"/>
      <c r="LGZ1109" s="15"/>
      <c r="LHC1109" s="15"/>
      <c r="LHD1109" s="15"/>
      <c r="LHG1109" s="15"/>
      <c r="LHH1109" s="15"/>
      <c r="LHK1109" s="15"/>
      <c r="LHL1109" s="15"/>
      <c r="LHO1109" s="15"/>
      <c r="LHP1109" s="15"/>
      <c r="LHS1109" s="15"/>
      <c r="LHT1109" s="15"/>
      <c r="LHW1109" s="15"/>
      <c r="LHX1109" s="15"/>
      <c r="LIA1109" s="15"/>
      <c r="LIB1109" s="15"/>
      <c r="LIE1109" s="15"/>
      <c r="LIF1109" s="15"/>
      <c r="LII1109" s="15"/>
      <c r="LIJ1109" s="15"/>
      <c r="LIM1109" s="15"/>
      <c r="LIN1109" s="15"/>
      <c r="LIQ1109" s="15"/>
      <c r="LIR1109" s="15"/>
      <c r="LIU1109" s="15"/>
      <c r="LIV1109" s="15"/>
      <c r="LIY1109" s="15"/>
      <c r="LIZ1109" s="15"/>
      <c r="LJC1109" s="15"/>
      <c r="LJD1109" s="15"/>
      <c r="LJG1109" s="15"/>
      <c r="LJH1109" s="15"/>
      <c r="LJK1109" s="15"/>
      <c r="LJL1109" s="15"/>
      <c r="LJO1109" s="15"/>
      <c r="LJP1109" s="15"/>
      <c r="LJS1109" s="15"/>
      <c r="LJT1109" s="15"/>
      <c r="LJW1109" s="15"/>
      <c r="LJX1109" s="15"/>
      <c r="LKA1109" s="15"/>
      <c r="LKB1109" s="15"/>
      <c r="LKE1109" s="15"/>
      <c r="LKF1109" s="15"/>
      <c r="LKI1109" s="15"/>
      <c r="LKJ1109" s="15"/>
      <c r="LKM1109" s="15"/>
      <c r="LKN1109" s="15"/>
      <c r="LKQ1109" s="15"/>
      <c r="LKR1109" s="15"/>
      <c r="LKU1109" s="15"/>
      <c r="LKV1109" s="15"/>
      <c r="LKY1109" s="15"/>
      <c r="LKZ1109" s="15"/>
      <c r="LLC1109" s="15"/>
      <c r="LLD1109" s="15"/>
      <c r="LLG1109" s="15"/>
      <c r="LLH1109" s="15"/>
      <c r="LLK1109" s="15"/>
      <c r="LLL1109" s="15"/>
      <c r="LLO1109" s="15"/>
      <c r="LLP1109" s="15"/>
      <c r="LLS1109" s="15"/>
      <c r="LLT1109" s="15"/>
      <c r="LLW1109" s="15"/>
      <c r="LLX1109" s="15"/>
      <c r="LMA1109" s="15"/>
      <c r="LMB1109" s="15"/>
      <c r="LME1109" s="15"/>
      <c r="LMF1109" s="15"/>
      <c r="LMI1109" s="15"/>
      <c r="LMJ1109" s="15"/>
      <c r="LMM1109" s="15"/>
      <c r="LMN1109" s="15"/>
      <c r="LMQ1109" s="15"/>
      <c r="LMR1109" s="15"/>
      <c r="LMU1109" s="15"/>
      <c r="LMV1109" s="15"/>
      <c r="LMY1109" s="15"/>
      <c r="LMZ1109" s="15"/>
      <c r="LNC1109" s="15"/>
      <c r="LND1109" s="15"/>
      <c r="LNG1109" s="15"/>
      <c r="LNH1109" s="15"/>
      <c r="LNK1109" s="15"/>
      <c r="LNL1109" s="15"/>
      <c r="LNO1109" s="15"/>
      <c r="LNP1109" s="15"/>
      <c r="LNS1109" s="15"/>
      <c r="LNT1109" s="15"/>
      <c r="LNW1109" s="15"/>
      <c r="LNX1109" s="15"/>
      <c r="LOA1109" s="15"/>
      <c r="LOB1109" s="15"/>
      <c r="LOE1109" s="15"/>
      <c r="LOF1109" s="15"/>
      <c r="LOI1109" s="15"/>
      <c r="LOJ1109" s="15"/>
      <c r="LOM1109" s="15"/>
      <c r="LON1109" s="15"/>
      <c r="LOQ1109" s="15"/>
      <c r="LOR1109" s="15"/>
      <c r="LOU1109" s="15"/>
      <c r="LOV1109" s="15"/>
      <c r="LOY1109" s="15"/>
      <c r="LOZ1109" s="15"/>
      <c r="LPC1109" s="15"/>
      <c r="LPD1109" s="15"/>
      <c r="LPG1109" s="15"/>
      <c r="LPH1109" s="15"/>
      <c r="LPK1109" s="15"/>
      <c r="LPL1109" s="15"/>
      <c r="LPO1109" s="15"/>
      <c r="LPP1109" s="15"/>
      <c r="LPS1109" s="15"/>
      <c r="LPT1109" s="15"/>
      <c r="LPW1109" s="15"/>
      <c r="LPX1109" s="15"/>
      <c r="LQA1109" s="15"/>
      <c r="LQB1109" s="15"/>
      <c r="LQE1109" s="15"/>
      <c r="LQF1109" s="15"/>
      <c r="LQI1109" s="15"/>
      <c r="LQJ1109" s="15"/>
      <c r="LQM1109" s="15"/>
      <c r="LQN1109" s="15"/>
      <c r="LQQ1109" s="15"/>
      <c r="LQR1109" s="15"/>
      <c r="LQU1109" s="15"/>
      <c r="LQV1109" s="15"/>
      <c r="LQY1109" s="15"/>
      <c r="LQZ1109" s="15"/>
      <c r="LRC1109" s="15"/>
      <c r="LRD1109" s="15"/>
      <c r="LRG1109" s="15"/>
      <c r="LRH1109" s="15"/>
      <c r="LRK1109" s="15"/>
      <c r="LRL1109" s="15"/>
      <c r="LRO1109" s="15"/>
      <c r="LRP1109" s="15"/>
      <c r="LRS1109" s="15"/>
      <c r="LRT1109" s="15"/>
      <c r="LRW1109" s="15"/>
      <c r="LRX1109" s="15"/>
      <c r="LSA1109" s="15"/>
      <c r="LSB1109" s="15"/>
      <c r="LSE1109" s="15"/>
      <c r="LSF1109" s="15"/>
      <c r="LSI1109" s="15"/>
      <c r="LSJ1109" s="15"/>
      <c r="LSM1109" s="15"/>
      <c r="LSN1109" s="15"/>
      <c r="LSQ1109" s="15"/>
      <c r="LSR1109" s="15"/>
      <c r="LSU1109" s="15"/>
      <c r="LSV1109" s="15"/>
      <c r="LSY1109" s="15"/>
      <c r="LSZ1109" s="15"/>
      <c r="LTC1109" s="15"/>
      <c r="LTD1109" s="15"/>
      <c r="LTG1109" s="15"/>
      <c r="LTH1109" s="15"/>
      <c r="LTK1109" s="15"/>
      <c r="LTL1109" s="15"/>
      <c r="LTO1109" s="15"/>
      <c r="LTP1109" s="15"/>
      <c r="LTS1109" s="15"/>
      <c r="LTT1109" s="15"/>
      <c r="LTW1109" s="15"/>
      <c r="LTX1109" s="15"/>
      <c r="LUA1109" s="15"/>
      <c r="LUB1109" s="15"/>
      <c r="LUE1109" s="15"/>
      <c r="LUF1109" s="15"/>
      <c r="LUI1109" s="15"/>
      <c r="LUJ1109" s="15"/>
      <c r="LUM1109" s="15"/>
      <c r="LUN1109" s="15"/>
      <c r="LUQ1109" s="15"/>
      <c r="LUR1109" s="15"/>
      <c r="LUU1109" s="15"/>
      <c r="LUV1109" s="15"/>
      <c r="LUY1109" s="15"/>
      <c r="LUZ1109" s="15"/>
      <c r="LVC1109" s="15"/>
      <c r="LVD1109" s="15"/>
      <c r="LVG1109" s="15"/>
      <c r="LVH1109" s="15"/>
      <c r="LVK1109" s="15"/>
      <c r="LVL1109" s="15"/>
      <c r="LVO1109" s="15"/>
      <c r="LVP1109" s="15"/>
      <c r="LVS1109" s="15"/>
      <c r="LVT1109" s="15"/>
      <c r="LVW1109" s="15"/>
      <c r="LVX1109" s="15"/>
      <c r="LWA1109" s="15"/>
      <c r="LWB1109" s="15"/>
      <c r="LWE1109" s="15"/>
      <c r="LWF1109" s="15"/>
      <c r="LWI1109" s="15"/>
      <c r="LWJ1109" s="15"/>
      <c r="LWM1109" s="15"/>
      <c r="LWN1109" s="15"/>
      <c r="LWQ1109" s="15"/>
      <c r="LWR1109" s="15"/>
      <c r="LWU1109" s="15"/>
      <c r="LWV1109" s="15"/>
      <c r="LWY1109" s="15"/>
      <c r="LWZ1109" s="15"/>
      <c r="LXC1109" s="15"/>
      <c r="LXD1109" s="15"/>
      <c r="LXG1109" s="15"/>
      <c r="LXH1109" s="15"/>
      <c r="LXK1109" s="15"/>
      <c r="LXL1109" s="15"/>
      <c r="LXO1109" s="15"/>
      <c r="LXP1109" s="15"/>
      <c r="LXS1109" s="15"/>
      <c r="LXT1109" s="15"/>
      <c r="LXW1109" s="15"/>
      <c r="LXX1109" s="15"/>
      <c r="LYA1109" s="15"/>
      <c r="LYB1109" s="15"/>
      <c r="LYE1109" s="15"/>
      <c r="LYF1109" s="15"/>
      <c r="LYI1109" s="15"/>
      <c r="LYJ1109" s="15"/>
      <c r="LYM1109" s="15"/>
      <c r="LYN1109" s="15"/>
      <c r="LYQ1109" s="15"/>
      <c r="LYR1109" s="15"/>
      <c r="LYU1109" s="15"/>
      <c r="LYV1109" s="15"/>
      <c r="LYY1109" s="15"/>
      <c r="LYZ1109" s="15"/>
      <c r="LZC1109" s="15"/>
      <c r="LZD1109" s="15"/>
      <c r="LZG1109" s="15"/>
      <c r="LZH1109" s="15"/>
      <c r="LZK1109" s="15"/>
      <c r="LZL1109" s="15"/>
      <c r="LZO1109" s="15"/>
      <c r="LZP1109" s="15"/>
      <c r="LZS1109" s="15"/>
      <c r="LZT1109" s="15"/>
      <c r="LZW1109" s="15"/>
      <c r="LZX1109" s="15"/>
      <c r="MAA1109" s="15"/>
      <c r="MAB1109" s="15"/>
      <c r="MAE1109" s="15"/>
      <c r="MAF1109" s="15"/>
      <c r="MAI1109" s="15"/>
      <c r="MAJ1109" s="15"/>
      <c r="MAM1109" s="15"/>
      <c r="MAN1109" s="15"/>
      <c r="MAQ1109" s="15"/>
      <c r="MAR1109" s="15"/>
      <c r="MAU1109" s="15"/>
      <c r="MAV1109" s="15"/>
      <c r="MAY1109" s="15"/>
      <c r="MAZ1109" s="15"/>
      <c r="MBC1109" s="15"/>
      <c r="MBD1109" s="15"/>
      <c r="MBG1109" s="15"/>
      <c r="MBH1109" s="15"/>
      <c r="MBK1109" s="15"/>
      <c r="MBL1109" s="15"/>
      <c r="MBO1109" s="15"/>
      <c r="MBP1109" s="15"/>
      <c r="MBS1109" s="15"/>
      <c r="MBT1109" s="15"/>
      <c r="MBW1109" s="15"/>
      <c r="MBX1109" s="15"/>
      <c r="MCA1109" s="15"/>
      <c r="MCB1109" s="15"/>
      <c r="MCE1109" s="15"/>
      <c r="MCF1109" s="15"/>
      <c r="MCI1109" s="15"/>
      <c r="MCJ1109" s="15"/>
      <c r="MCM1109" s="15"/>
      <c r="MCN1109" s="15"/>
      <c r="MCQ1109" s="15"/>
      <c r="MCR1109" s="15"/>
      <c r="MCU1109" s="15"/>
      <c r="MCV1109" s="15"/>
      <c r="MCY1109" s="15"/>
      <c r="MCZ1109" s="15"/>
      <c r="MDC1109" s="15"/>
      <c r="MDD1109" s="15"/>
      <c r="MDG1109" s="15"/>
      <c r="MDH1109" s="15"/>
      <c r="MDK1109" s="15"/>
      <c r="MDL1109" s="15"/>
      <c r="MDO1109" s="15"/>
      <c r="MDP1109" s="15"/>
      <c r="MDS1109" s="15"/>
      <c r="MDT1109" s="15"/>
      <c r="MDW1109" s="15"/>
      <c r="MDX1109" s="15"/>
      <c r="MEA1109" s="15"/>
      <c r="MEB1109" s="15"/>
      <c r="MEE1109" s="15"/>
      <c r="MEF1109" s="15"/>
      <c r="MEI1109" s="15"/>
      <c r="MEJ1109" s="15"/>
      <c r="MEM1109" s="15"/>
      <c r="MEN1109" s="15"/>
      <c r="MEQ1109" s="15"/>
      <c r="MER1109" s="15"/>
      <c r="MEU1109" s="15"/>
      <c r="MEV1109" s="15"/>
      <c r="MEY1109" s="15"/>
      <c r="MEZ1109" s="15"/>
      <c r="MFC1109" s="15"/>
      <c r="MFD1109" s="15"/>
      <c r="MFG1109" s="15"/>
      <c r="MFH1109" s="15"/>
      <c r="MFK1109" s="15"/>
      <c r="MFL1109" s="15"/>
      <c r="MFO1109" s="15"/>
      <c r="MFP1109" s="15"/>
      <c r="MFS1109" s="15"/>
      <c r="MFT1109" s="15"/>
      <c r="MFW1109" s="15"/>
      <c r="MFX1109" s="15"/>
      <c r="MGA1109" s="15"/>
      <c r="MGB1109" s="15"/>
      <c r="MGE1109" s="15"/>
      <c r="MGF1109" s="15"/>
      <c r="MGI1109" s="15"/>
      <c r="MGJ1109" s="15"/>
      <c r="MGM1109" s="15"/>
      <c r="MGN1109" s="15"/>
      <c r="MGQ1109" s="15"/>
      <c r="MGR1109" s="15"/>
      <c r="MGU1109" s="15"/>
      <c r="MGV1109" s="15"/>
      <c r="MGY1109" s="15"/>
      <c r="MGZ1109" s="15"/>
      <c r="MHC1109" s="15"/>
      <c r="MHD1109" s="15"/>
      <c r="MHG1109" s="15"/>
      <c r="MHH1109" s="15"/>
      <c r="MHK1109" s="15"/>
      <c r="MHL1109" s="15"/>
      <c r="MHO1109" s="15"/>
      <c r="MHP1109" s="15"/>
      <c r="MHS1109" s="15"/>
      <c r="MHT1109" s="15"/>
      <c r="MHW1109" s="15"/>
      <c r="MHX1109" s="15"/>
      <c r="MIA1109" s="15"/>
      <c r="MIB1109" s="15"/>
      <c r="MIE1109" s="15"/>
      <c r="MIF1109" s="15"/>
      <c r="MII1109" s="15"/>
      <c r="MIJ1109" s="15"/>
      <c r="MIM1109" s="15"/>
      <c r="MIN1109" s="15"/>
      <c r="MIQ1109" s="15"/>
      <c r="MIR1109" s="15"/>
      <c r="MIU1109" s="15"/>
      <c r="MIV1109" s="15"/>
      <c r="MIY1109" s="15"/>
      <c r="MIZ1109" s="15"/>
      <c r="MJC1109" s="15"/>
      <c r="MJD1109" s="15"/>
      <c r="MJG1109" s="15"/>
      <c r="MJH1109" s="15"/>
      <c r="MJK1109" s="15"/>
      <c r="MJL1109" s="15"/>
      <c r="MJO1109" s="15"/>
      <c r="MJP1109" s="15"/>
      <c r="MJS1109" s="15"/>
      <c r="MJT1109" s="15"/>
      <c r="MJW1109" s="15"/>
      <c r="MJX1109" s="15"/>
      <c r="MKA1109" s="15"/>
      <c r="MKB1109" s="15"/>
      <c r="MKE1109" s="15"/>
      <c r="MKF1109" s="15"/>
      <c r="MKI1109" s="15"/>
      <c r="MKJ1109" s="15"/>
      <c r="MKM1109" s="15"/>
      <c r="MKN1109" s="15"/>
      <c r="MKQ1109" s="15"/>
      <c r="MKR1109" s="15"/>
      <c r="MKU1109" s="15"/>
      <c r="MKV1109" s="15"/>
      <c r="MKY1109" s="15"/>
      <c r="MKZ1109" s="15"/>
      <c r="MLC1109" s="15"/>
      <c r="MLD1109" s="15"/>
      <c r="MLG1109" s="15"/>
      <c r="MLH1109" s="15"/>
      <c r="MLK1109" s="15"/>
      <c r="MLL1109" s="15"/>
      <c r="MLO1109" s="15"/>
      <c r="MLP1109" s="15"/>
      <c r="MLS1109" s="15"/>
      <c r="MLT1109" s="15"/>
      <c r="MLW1109" s="15"/>
      <c r="MLX1109" s="15"/>
      <c r="MMA1109" s="15"/>
      <c r="MMB1109" s="15"/>
      <c r="MME1109" s="15"/>
      <c r="MMF1109" s="15"/>
      <c r="MMI1109" s="15"/>
      <c r="MMJ1109" s="15"/>
      <c r="MMM1109" s="15"/>
      <c r="MMN1109" s="15"/>
      <c r="MMQ1109" s="15"/>
      <c r="MMR1109" s="15"/>
      <c r="MMU1109" s="15"/>
      <c r="MMV1109" s="15"/>
      <c r="MMY1109" s="15"/>
      <c r="MMZ1109" s="15"/>
      <c r="MNC1109" s="15"/>
      <c r="MND1109" s="15"/>
      <c r="MNG1109" s="15"/>
      <c r="MNH1109" s="15"/>
      <c r="MNK1109" s="15"/>
      <c r="MNL1109" s="15"/>
      <c r="MNO1109" s="15"/>
      <c r="MNP1109" s="15"/>
      <c r="MNS1109" s="15"/>
      <c r="MNT1109" s="15"/>
      <c r="MNW1109" s="15"/>
      <c r="MNX1109" s="15"/>
      <c r="MOA1109" s="15"/>
      <c r="MOB1109" s="15"/>
      <c r="MOE1109" s="15"/>
      <c r="MOF1109" s="15"/>
      <c r="MOI1109" s="15"/>
      <c r="MOJ1109" s="15"/>
      <c r="MOM1109" s="15"/>
      <c r="MON1109" s="15"/>
      <c r="MOQ1109" s="15"/>
      <c r="MOR1109" s="15"/>
      <c r="MOU1109" s="15"/>
      <c r="MOV1109" s="15"/>
      <c r="MOY1109" s="15"/>
      <c r="MOZ1109" s="15"/>
      <c r="MPC1109" s="15"/>
      <c r="MPD1109" s="15"/>
      <c r="MPG1109" s="15"/>
      <c r="MPH1109" s="15"/>
      <c r="MPK1109" s="15"/>
      <c r="MPL1109" s="15"/>
      <c r="MPO1109" s="15"/>
      <c r="MPP1109" s="15"/>
      <c r="MPS1109" s="15"/>
      <c r="MPT1109" s="15"/>
      <c r="MPW1109" s="15"/>
      <c r="MPX1109" s="15"/>
      <c r="MQA1109" s="15"/>
      <c r="MQB1109" s="15"/>
      <c r="MQE1109" s="15"/>
      <c r="MQF1109" s="15"/>
      <c r="MQI1109" s="15"/>
      <c r="MQJ1109" s="15"/>
      <c r="MQM1109" s="15"/>
      <c r="MQN1109" s="15"/>
      <c r="MQQ1109" s="15"/>
      <c r="MQR1109" s="15"/>
      <c r="MQU1109" s="15"/>
      <c r="MQV1109" s="15"/>
      <c r="MQY1109" s="15"/>
      <c r="MQZ1109" s="15"/>
      <c r="MRC1109" s="15"/>
      <c r="MRD1109" s="15"/>
      <c r="MRG1109" s="15"/>
      <c r="MRH1109" s="15"/>
      <c r="MRK1109" s="15"/>
      <c r="MRL1109" s="15"/>
      <c r="MRO1109" s="15"/>
      <c r="MRP1109" s="15"/>
      <c r="MRS1109" s="15"/>
      <c r="MRT1109" s="15"/>
      <c r="MRW1109" s="15"/>
      <c r="MRX1109" s="15"/>
      <c r="MSA1109" s="15"/>
      <c r="MSB1109" s="15"/>
      <c r="MSE1109" s="15"/>
      <c r="MSF1109" s="15"/>
      <c r="MSI1109" s="15"/>
      <c r="MSJ1109" s="15"/>
      <c r="MSM1109" s="15"/>
      <c r="MSN1109" s="15"/>
      <c r="MSQ1109" s="15"/>
      <c r="MSR1109" s="15"/>
      <c r="MSU1109" s="15"/>
      <c r="MSV1109" s="15"/>
      <c r="MSY1109" s="15"/>
      <c r="MSZ1109" s="15"/>
      <c r="MTC1109" s="15"/>
      <c r="MTD1109" s="15"/>
      <c r="MTG1109" s="15"/>
      <c r="MTH1109" s="15"/>
      <c r="MTK1109" s="15"/>
      <c r="MTL1109" s="15"/>
      <c r="MTO1109" s="15"/>
      <c r="MTP1109" s="15"/>
      <c r="MTS1109" s="15"/>
      <c r="MTT1109" s="15"/>
      <c r="MTW1109" s="15"/>
      <c r="MTX1109" s="15"/>
      <c r="MUA1109" s="15"/>
      <c r="MUB1109" s="15"/>
      <c r="MUE1109" s="15"/>
      <c r="MUF1109" s="15"/>
      <c r="MUI1109" s="15"/>
      <c r="MUJ1109" s="15"/>
      <c r="MUM1109" s="15"/>
      <c r="MUN1109" s="15"/>
      <c r="MUQ1109" s="15"/>
      <c r="MUR1109" s="15"/>
      <c r="MUU1109" s="15"/>
      <c r="MUV1109" s="15"/>
      <c r="MUY1109" s="15"/>
      <c r="MUZ1109" s="15"/>
      <c r="MVC1109" s="15"/>
      <c r="MVD1109" s="15"/>
      <c r="MVG1109" s="15"/>
      <c r="MVH1109" s="15"/>
      <c r="MVK1109" s="15"/>
      <c r="MVL1109" s="15"/>
      <c r="MVO1109" s="15"/>
      <c r="MVP1109" s="15"/>
      <c r="MVS1109" s="15"/>
      <c r="MVT1109" s="15"/>
      <c r="MVW1109" s="15"/>
      <c r="MVX1109" s="15"/>
      <c r="MWA1109" s="15"/>
      <c r="MWB1109" s="15"/>
      <c r="MWE1109" s="15"/>
      <c r="MWF1109" s="15"/>
      <c r="MWI1109" s="15"/>
      <c r="MWJ1109" s="15"/>
      <c r="MWM1109" s="15"/>
      <c r="MWN1109" s="15"/>
      <c r="MWQ1109" s="15"/>
      <c r="MWR1109" s="15"/>
      <c r="MWU1109" s="15"/>
      <c r="MWV1109" s="15"/>
      <c r="MWY1109" s="15"/>
      <c r="MWZ1109" s="15"/>
      <c r="MXC1109" s="15"/>
      <c r="MXD1109" s="15"/>
      <c r="MXG1109" s="15"/>
      <c r="MXH1109" s="15"/>
      <c r="MXK1109" s="15"/>
      <c r="MXL1109" s="15"/>
      <c r="MXO1109" s="15"/>
      <c r="MXP1109" s="15"/>
      <c r="MXS1109" s="15"/>
      <c r="MXT1109" s="15"/>
      <c r="MXW1109" s="15"/>
      <c r="MXX1109" s="15"/>
      <c r="MYA1109" s="15"/>
      <c r="MYB1109" s="15"/>
      <c r="MYE1109" s="15"/>
      <c r="MYF1109" s="15"/>
      <c r="MYI1109" s="15"/>
      <c r="MYJ1109" s="15"/>
      <c r="MYM1109" s="15"/>
      <c r="MYN1109" s="15"/>
      <c r="MYQ1109" s="15"/>
      <c r="MYR1109" s="15"/>
      <c r="MYU1109" s="15"/>
      <c r="MYV1109" s="15"/>
      <c r="MYY1109" s="15"/>
      <c r="MYZ1109" s="15"/>
      <c r="MZC1109" s="15"/>
      <c r="MZD1109" s="15"/>
      <c r="MZG1109" s="15"/>
      <c r="MZH1109" s="15"/>
      <c r="MZK1109" s="15"/>
      <c r="MZL1109" s="15"/>
      <c r="MZO1109" s="15"/>
      <c r="MZP1109" s="15"/>
      <c r="MZS1109" s="15"/>
      <c r="MZT1109" s="15"/>
      <c r="MZW1109" s="15"/>
      <c r="MZX1109" s="15"/>
      <c r="NAA1109" s="15"/>
      <c r="NAB1109" s="15"/>
      <c r="NAE1109" s="15"/>
      <c r="NAF1109" s="15"/>
      <c r="NAI1109" s="15"/>
      <c r="NAJ1109" s="15"/>
      <c r="NAM1109" s="15"/>
      <c r="NAN1109" s="15"/>
      <c r="NAQ1109" s="15"/>
      <c r="NAR1109" s="15"/>
      <c r="NAU1109" s="15"/>
      <c r="NAV1109" s="15"/>
      <c r="NAY1109" s="15"/>
      <c r="NAZ1109" s="15"/>
      <c r="NBC1109" s="15"/>
      <c r="NBD1109" s="15"/>
      <c r="NBG1109" s="15"/>
      <c r="NBH1109" s="15"/>
      <c r="NBK1109" s="15"/>
      <c r="NBL1109" s="15"/>
      <c r="NBO1109" s="15"/>
      <c r="NBP1109" s="15"/>
      <c r="NBS1109" s="15"/>
      <c r="NBT1109" s="15"/>
      <c r="NBW1109" s="15"/>
      <c r="NBX1109" s="15"/>
      <c r="NCA1109" s="15"/>
      <c r="NCB1109" s="15"/>
      <c r="NCE1109" s="15"/>
      <c r="NCF1109" s="15"/>
      <c r="NCI1109" s="15"/>
      <c r="NCJ1109" s="15"/>
      <c r="NCM1109" s="15"/>
      <c r="NCN1109" s="15"/>
      <c r="NCQ1109" s="15"/>
      <c r="NCR1109" s="15"/>
      <c r="NCU1109" s="15"/>
      <c r="NCV1109" s="15"/>
      <c r="NCY1109" s="15"/>
      <c r="NCZ1109" s="15"/>
      <c r="NDC1109" s="15"/>
      <c r="NDD1109" s="15"/>
      <c r="NDG1109" s="15"/>
      <c r="NDH1109" s="15"/>
      <c r="NDK1109" s="15"/>
      <c r="NDL1109" s="15"/>
      <c r="NDO1109" s="15"/>
      <c r="NDP1109" s="15"/>
      <c r="NDS1109" s="15"/>
      <c r="NDT1109" s="15"/>
      <c r="NDW1109" s="15"/>
      <c r="NDX1109" s="15"/>
      <c r="NEA1109" s="15"/>
      <c r="NEB1109" s="15"/>
      <c r="NEE1109" s="15"/>
      <c r="NEF1109" s="15"/>
      <c r="NEI1109" s="15"/>
      <c r="NEJ1109" s="15"/>
      <c r="NEM1109" s="15"/>
      <c r="NEN1109" s="15"/>
      <c r="NEQ1109" s="15"/>
      <c r="NER1109" s="15"/>
      <c r="NEU1109" s="15"/>
      <c r="NEV1109" s="15"/>
      <c r="NEY1109" s="15"/>
      <c r="NEZ1109" s="15"/>
      <c r="NFC1109" s="15"/>
      <c r="NFD1109" s="15"/>
      <c r="NFG1109" s="15"/>
      <c r="NFH1109" s="15"/>
      <c r="NFK1109" s="15"/>
      <c r="NFL1109" s="15"/>
      <c r="NFO1109" s="15"/>
      <c r="NFP1109" s="15"/>
      <c r="NFS1109" s="15"/>
      <c r="NFT1109" s="15"/>
      <c r="NFW1109" s="15"/>
      <c r="NFX1109" s="15"/>
      <c r="NGA1109" s="15"/>
      <c r="NGB1109" s="15"/>
      <c r="NGE1109" s="15"/>
      <c r="NGF1109" s="15"/>
      <c r="NGI1109" s="15"/>
      <c r="NGJ1109" s="15"/>
      <c r="NGM1109" s="15"/>
      <c r="NGN1109" s="15"/>
      <c r="NGQ1109" s="15"/>
      <c r="NGR1109" s="15"/>
      <c r="NGU1109" s="15"/>
      <c r="NGV1109" s="15"/>
      <c r="NGY1109" s="15"/>
      <c r="NGZ1109" s="15"/>
      <c r="NHC1109" s="15"/>
      <c r="NHD1109" s="15"/>
      <c r="NHG1109" s="15"/>
      <c r="NHH1109" s="15"/>
      <c r="NHK1109" s="15"/>
      <c r="NHL1109" s="15"/>
      <c r="NHO1109" s="15"/>
      <c r="NHP1109" s="15"/>
      <c r="NHS1109" s="15"/>
      <c r="NHT1109" s="15"/>
      <c r="NHW1109" s="15"/>
      <c r="NHX1109" s="15"/>
      <c r="NIA1109" s="15"/>
      <c r="NIB1109" s="15"/>
      <c r="NIE1109" s="15"/>
      <c r="NIF1109" s="15"/>
      <c r="NII1109" s="15"/>
      <c r="NIJ1109" s="15"/>
      <c r="NIM1109" s="15"/>
      <c r="NIN1109" s="15"/>
      <c r="NIQ1109" s="15"/>
      <c r="NIR1109" s="15"/>
      <c r="NIU1109" s="15"/>
      <c r="NIV1109" s="15"/>
      <c r="NIY1109" s="15"/>
      <c r="NIZ1109" s="15"/>
      <c r="NJC1109" s="15"/>
      <c r="NJD1109" s="15"/>
      <c r="NJG1109" s="15"/>
      <c r="NJH1109" s="15"/>
      <c r="NJK1109" s="15"/>
      <c r="NJL1109" s="15"/>
      <c r="NJO1109" s="15"/>
      <c r="NJP1109" s="15"/>
      <c r="NJS1109" s="15"/>
      <c r="NJT1109" s="15"/>
      <c r="NJW1109" s="15"/>
      <c r="NJX1109" s="15"/>
      <c r="NKA1109" s="15"/>
      <c r="NKB1109" s="15"/>
      <c r="NKE1109" s="15"/>
      <c r="NKF1109" s="15"/>
      <c r="NKI1109" s="15"/>
      <c r="NKJ1109" s="15"/>
      <c r="NKM1109" s="15"/>
      <c r="NKN1109" s="15"/>
      <c r="NKQ1109" s="15"/>
      <c r="NKR1109" s="15"/>
      <c r="NKU1109" s="15"/>
      <c r="NKV1109" s="15"/>
      <c r="NKY1109" s="15"/>
      <c r="NKZ1109" s="15"/>
      <c r="NLC1109" s="15"/>
      <c r="NLD1109" s="15"/>
      <c r="NLG1109" s="15"/>
      <c r="NLH1109" s="15"/>
      <c r="NLK1109" s="15"/>
      <c r="NLL1109" s="15"/>
      <c r="NLO1109" s="15"/>
      <c r="NLP1109" s="15"/>
      <c r="NLS1109" s="15"/>
      <c r="NLT1109" s="15"/>
      <c r="NLW1109" s="15"/>
      <c r="NLX1109" s="15"/>
      <c r="NMA1109" s="15"/>
      <c r="NMB1109" s="15"/>
      <c r="NME1109" s="15"/>
      <c r="NMF1109" s="15"/>
      <c r="NMI1109" s="15"/>
      <c r="NMJ1109" s="15"/>
      <c r="NMM1109" s="15"/>
      <c r="NMN1109" s="15"/>
      <c r="NMQ1109" s="15"/>
      <c r="NMR1109" s="15"/>
      <c r="NMU1109" s="15"/>
      <c r="NMV1109" s="15"/>
      <c r="NMY1109" s="15"/>
      <c r="NMZ1109" s="15"/>
      <c r="NNC1109" s="15"/>
      <c r="NND1109" s="15"/>
      <c r="NNG1109" s="15"/>
      <c r="NNH1109" s="15"/>
      <c r="NNK1109" s="15"/>
      <c r="NNL1109" s="15"/>
      <c r="NNO1109" s="15"/>
      <c r="NNP1109" s="15"/>
      <c r="NNS1109" s="15"/>
      <c r="NNT1109" s="15"/>
      <c r="NNW1109" s="15"/>
      <c r="NNX1109" s="15"/>
      <c r="NOA1109" s="15"/>
      <c r="NOB1109" s="15"/>
      <c r="NOE1109" s="15"/>
      <c r="NOF1109" s="15"/>
      <c r="NOI1109" s="15"/>
      <c r="NOJ1109" s="15"/>
      <c r="NOM1109" s="15"/>
      <c r="NON1109" s="15"/>
      <c r="NOQ1109" s="15"/>
      <c r="NOR1109" s="15"/>
      <c r="NOU1109" s="15"/>
      <c r="NOV1109" s="15"/>
      <c r="NOY1109" s="15"/>
      <c r="NOZ1109" s="15"/>
      <c r="NPC1109" s="15"/>
      <c r="NPD1109" s="15"/>
      <c r="NPG1109" s="15"/>
      <c r="NPH1109" s="15"/>
      <c r="NPK1109" s="15"/>
      <c r="NPL1109" s="15"/>
      <c r="NPO1109" s="15"/>
      <c r="NPP1109" s="15"/>
      <c r="NPS1109" s="15"/>
      <c r="NPT1109" s="15"/>
      <c r="NPW1109" s="15"/>
      <c r="NPX1109" s="15"/>
      <c r="NQA1109" s="15"/>
      <c r="NQB1109" s="15"/>
      <c r="NQE1109" s="15"/>
      <c r="NQF1109" s="15"/>
      <c r="NQI1109" s="15"/>
      <c r="NQJ1109" s="15"/>
      <c r="NQM1109" s="15"/>
      <c r="NQN1109" s="15"/>
      <c r="NQQ1109" s="15"/>
      <c r="NQR1109" s="15"/>
      <c r="NQU1109" s="15"/>
      <c r="NQV1109" s="15"/>
      <c r="NQY1109" s="15"/>
      <c r="NQZ1109" s="15"/>
      <c r="NRC1109" s="15"/>
      <c r="NRD1109" s="15"/>
      <c r="NRG1109" s="15"/>
      <c r="NRH1109" s="15"/>
      <c r="NRK1109" s="15"/>
      <c r="NRL1109" s="15"/>
      <c r="NRO1109" s="15"/>
      <c r="NRP1109" s="15"/>
      <c r="NRS1109" s="15"/>
      <c r="NRT1109" s="15"/>
      <c r="NRW1109" s="15"/>
      <c r="NRX1109" s="15"/>
      <c r="NSA1109" s="15"/>
      <c r="NSB1109" s="15"/>
      <c r="NSE1109" s="15"/>
      <c r="NSF1109" s="15"/>
      <c r="NSI1109" s="15"/>
      <c r="NSJ1109" s="15"/>
      <c r="NSM1109" s="15"/>
      <c r="NSN1109" s="15"/>
      <c r="NSQ1109" s="15"/>
      <c r="NSR1109" s="15"/>
      <c r="NSU1109" s="15"/>
      <c r="NSV1109" s="15"/>
      <c r="NSY1109" s="15"/>
      <c r="NSZ1109" s="15"/>
      <c r="NTC1109" s="15"/>
      <c r="NTD1109" s="15"/>
      <c r="NTG1109" s="15"/>
      <c r="NTH1109" s="15"/>
      <c r="NTK1109" s="15"/>
      <c r="NTL1109" s="15"/>
      <c r="NTO1109" s="15"/>
      <c r="NTP1109" s="15"/>
      <c r="NTS1109" s="15"/>
      <c r="NTT1109" s="15"/>
      <c r="NTW1109" s="15"/>
      <c r="NTX1109" s="15"/>
      <c r="NUA1109" s="15"/>
      <c r="NUB1109" s="15"/>
      <c r="NUE1109" s="15"/>
      <c r="NUF1109" s="15"/>
      <c r="NUI1109" s="15"/>
      <c r="NUJ1109" s="15"/>
      <c r="NUM1109" s="15"/>
      <c r="NUN1109" s="15"/>
      <c r="NUQ1109" s="15"/>
      <c r="NUR1109" s="15"/>
      <c r="NUU1109" s="15"/>
      <c r="NUV1109" s="15"/>
      <c r="NUY1109" s="15"/>
      <c r="NUZ1109" s="15"/>
      <c r="NVC1109" s="15"/>
      <c r="NVD1109" s="15"/>
      <c r="NVG1109" s="15"/>
      <c r="NVH1109" s="15"/>
      <c r="NVK1109" s="15"/>
      <c r="NVL1109" s="15"/>
      <c r="NVO1109" s="15"/>
      <c r="NVP1109" s="15"/>
      <c r="NVS1109" s="15"/>
      <c r="NVT1109" s="15"/>
      <c r="NVW1109" s="15"/>
      <c r="NVX1109" s="15"/>
      <c r="NWA1109" s="15"/>
      <c r="NWB1109" s="15"/>
      <c r="NWE1109" s="15"/>
      <c r="NWF1109" s="15"/>
      <c r="NWI1109" s="15"/>
      <c r="NWJ1109" s="15"/>
      <c r="NWM1109" s="15"/>
      <c r="NWN1109" s="15"/>
      <c r="NWQ1109" s="15"/>
      <c r="NWR1109" s="15"/>
      <c r="NWU1109" s="15"/>
      <c r="NWV1109" s="15"/>
      <c r="NWY1109" s="15"/>
      <c r="NWZ1109" s="15"/>
      <c r="NXC1109" s="15"/>
      <c r="NXD1109" s="15"/>
      <c r="NXG1109" s="15"/>
      <c r="NXH1109" s="15"/>
      <c r="NXK1109" s="15"/>
      <c r="NXL1109" s="15"/>
      <c r="NXO1109" s="15"/>
      <c r="NXP1109" s="15"/>
      <c r="NXS1109" s="15"/>
      <c r="NXT1109" s="15"/>
      <c r="NXW1109" s="15"/>
      <c r="NXX1109" s="15"/>
      <c r="NYA1109" s="15"/>
      <c r="NYB1109" s="15"/>
      <c r="NYE1109" s="15"/>
      <c r="NYF1109" s="15"/>
      <c r="NYI1109" s="15"/>
      <c r="NYJ1109" s="15"/>
      <c r="NYM1109" s="15"/>
      <c r="NYN1109" s="15"/>
      <c r="NYQ1109" s="15"/>
      <c r="NYR1109" s="15"/>
      <c r="NYU1109" s="15"/>
      <c r="NYV1109" s="15"/>
      <c r="NYY1109" s="15"/>
      <c r="NYZ1109" s="15"/>
      <c r="NZC1109" s="15"/>
      <c r="NZD1109" s="15"/>
      <c r="NZG1109" s="15"/>
      <c r="NZH1109" s="15"/>
      <c r="NZK1109" s="15"/>
      <c r="NZL1109" s="15"/>
      <c r="NZO1109" s="15"/>
      <c r="NZP1109" s="15"/>
      <c r="NZS1109" s="15"/>
      <c r="NZT1109" s="15"/>
      <c r="NZW1109" s="15"/>
      <c r="NZX1109" s="15"/>
      <c r="OAA1109" s="15"/>
      <c r="OAB1109" s="15"/>
      <c r="OAE1109" s="15"/>
      <c r="OAF1109" s="15"/>
      <c r="OAI1109" s="15"/>
      <c r="OAJ1109" s="15"/>
      <c r="OAM1109" s="15"/>
      <c r="OAN1109" s="15"/>
      <c r="OAQ1109" s="15"/>
      <c r="OAR1109" s="15"/>
      <c r="OAU1109" s="15"/>
      <c r="OAV1109" s="15"/>
      <c r="OAY1109" s="15"/>
      <c r="OAZ1109" s="15"/>
      <c r="OBC1109" s="15"/>
      <c r="OBD1109" s="15"/>
      <c r="OBG1109" s="15"/>
      <c r="OBH1109" s="15"/>
      <c r="OBK1109" s="15"/>
      <c r="OBL1109" s="15"/>
      <c r="OBO1109" s="15"/>
      <c r="OBP1109" s="15"/>
      <c r="OBS1109" s="15"/>
      <c r="OBT1109" s="15"/>
      <c r="OBW1109" s="15"/>
      <c r="OBX1109" s="15"/>
      <c r="OCA1109" s="15"/>
      <c r="OCB1109" s="15"/>
      <c r="OCE1109" s="15"/>
      <c r="OCF1109" s="15"/>
      <c r="OCI1109" s="15"/>
      <c r="OCJ1109" s="15"/>
      <c r="OCM1109" s="15"/>
      <c r="OCN1109" s="15"/>
      <c r="OCQ1109" s="15"/>
      <c r="OCR1109" s="15"/>
      <c r="OCU1109" s="15"/>
      <c r="OCV1109" s="15"/>
      <c r="OCY1109" s="15"/>
      <c r="OCZ1109" s="15"/>
      <c r="ODC1109" s="15"/>
      <c r="ODD1109" s="15"/>
      <c r="ODG1109" s="15"/>
      <c r="ODH1109" s="15"/>
      <c r="ODK1109" s="15"/>
      <c r="ODL1109" s="15"/>
      <c r="ODO1109" s="15"/>
      <c r="ODP1109" s="15"/>
      <c r="ODS1109" s="15"/>
      <c r="ODT1109" s="15"/>
      <c r="ODW1109" s="15"/>
      <c r="ODX1109" s="15"/>
      <c r="OEA1109" s="15"/>
      <c r="OEB1109" s="15"/>
      <c r="OEE1109" s="15"/>
      <c r="OEF1109" s="15"/>
      <c r="OEI1109" s="15"/>
      <c r="OEJ1109" s="15"/>
      <c r="OEM1109" s="15"/>
      <c r="OEN1109" s="15"/>
      <c r="OEQ1109" s="15"/>
      <c r="OER1109" s="15"/>
      <c r="OEU1109" s="15"/>
      <c r="OEV1109" s="15"/>
      <c r="OEY1109" s="15"/>
      <c r="OEZ1109" s="15"/>
      <c r="OFC1109" s="15"/>
      <c r="OFD1109" s="15"/>
      <c r="OFG1109" s="15"/>
      <c r="OFH1109" s="15"/>
      <c r="OFK1109" s="15"/>
      <c r="OFL1109" s="15"/>
      <c r="OFO1109" s="15"/>
      <c r="OFP1109" s="15"/>
      <c r="OFS1109" s="15"/>
      <c r="OFT1109" s="15"/>
      <c r="OFW1109" s="15"/>
      <c r="OFX1109" s="15"/>
      <c r="OGA1109" s="15"/>
      <c r="OGB1109" s="15"/>
      <c r="OGE1109" s="15"/>
      <c r="OGF1109" s="15"/>
      <c r="OGI1109" s="15"/>
      <c r="OGJ1109" s="15"/>
      <c r="OGM1109" s="15"/>
      <c r="OGN1109" s="15"/>
      <c r="OGQ1109" s="15"/>
      <c r="OGR1109" s="15"/>
      <c r="OGU1109" s="15"/>
      <c r="OGV1109" s="15"/>
      <c r="OGY1109" s="15"/>
      <c r="OGZ1109" s="15"/>
      <c r="OHC1109" s="15"/>
      <c r="OHD1109" s="15"/>
      <c r="OHG1109" s="15"/>
      <c r="OHH1109" s="15"/>
      <c r="OHK1109" s="15"/>
      <c r="OHL1109" s="15"/>
      <c r="OHO1109" s="15"/>
      <c r="OHP1109" s="15"/>
      <c r="OHS1109" s="15"/>
      <c r="OHT1109" s="15"/>
      <c r="OHW1109" s="15"/>
      <c r="OHX1109" s="15"/>
      <c r="OIA1109" s="15"/>
      <c r="OIB1109" s="15"/>
      <c r="OIE1109" s="15"/>
      <c r="OIF1109" s="15"/>
      <c r="OII1109" s="15"/>
      <c r="OIJ1109" s="15"/>
      <c r="OIM1109" s="15"/>
      <c r="OIN1109" s="15"/>
      <c r="OIQ1109" s="15"/>
      <c r="OIR1109" s="15"/>
      <c r="OIU1109" s="15"/>
      <c r="OIV1109" s="15"/>
      <c r="OIY1109" s="15"/>
      <c r="OIZ1109" s="15"/>
      <c r="OJC1109" s="15"/>
      <c r="OJD1109" s="15"/>
      <c r="OJG1109" s="15"/>
      <c r="OJH1109" s="15"/>
      <c r="OJK1109" s="15"/>
      <c r="OJL1109" s="15"/>
      <c r="OJO1109" s="15"/>
      <c r="OJP1109" s="15"/>
      <c r="OJS1109" s="15"/>
      <c r="OJT1109" s="15"/>
      <c r="OJW1109" s="15"/>
      <c r="OJX1109" s="15"/>
      <c r="OKA1109" s="15"/>
      <c r="OKB1109" s="15"/>
      <c r="OKE1109" s="15"/>
      <c r="OKF1109" s="15"/>
      <c r="OKI1109" s="15"/>
      <c r="OKJ1109" s="15"/>
      <c r="OKM1109" s="15"/>
      <c r="OKN1109" s="15"/>
      <c r="OKQ1109" s="15"/>
      <c r="OKR1109" s="15"/>
      <c r="OKU1109" s="15"/>
      <c r="OKV1109" s="15"/>
      <c r="OKY1109" s="15"/>
      <c r="OKZ1109" s="15"/>
      <c r="OLC1109" s="15"/>
      <c r="OLD1109" s="15"/>
      <c r="OLG1109" s="15"/>
      <c r="OLH1109" s="15"/>
      <c r="OLK1109" s="15"/>
      <c r="OLL1109" s="15"/>
      <c r="OLO1109" s="15"/>
      <c r="OLP1109" s="15"/>
      <c r="OLS1109" s="15"/>
      <c r="OLT1109" s="15"/>
      <c r="OLW1109" s="15"/>
      <c r="OLX1109" s="15"/>
      <c r="OMA1109" s="15"/>
      <c r="OMB1109" s="15"/>
      <c r="OME1109" s="15"/>
      <c r="OMF1109" s="15"/>
      <c r="OMI1109" s="15"/>
      <c r="OMJ1109" s="15"/>
      <c r="OMM1109" s="15"/>
      <c r="OMN1109" s="15"/>
      <c r="OMQ1109" s="15"/>
      <c r="OMR1109" s="15"/>
      <c r="OMU1109" s="15"/>
      <c r="OMV1109" s="15"/>
      <c r="OMY1109" s="15"/>
      <c r="OMZ1109" s="15"/>
      <c r="ONC1109" s="15"/>
      <c r="OND1109" s="15"/>
      <c r="ONG1109" s="15"/>
      <c r="ONH1109" s="15"/>
      <c r="ONK1109" s="15"/>
      <c r="ONL1109" s="15"/>
      <c r="ONO1109" s="15"/>
      <c r="ONP1109" s="15"/>
      <c r="ONS1109" s="15"/>
      <c r="ONT1109" s="15"/>
      <c r="ONW1109" s="15"/>
      <c r="ONX1109" s="15"/>
      <c r="OOA1109" s="15"/>
      <c r="OOB1109" s="15"/>
      <c r="OOE1109" s="15"/>
      <c r="OOF1109" s="15"/>
      <c r="OOI1109" s="15"/>
      <c r="OOJ1109" s="15"/>
      <c r="OOM1109" s="15"/>
      <c r="OON1109" s="15"/>
      <c r="OOQ1109" s="15"/>
      <c r="OOR1109" s="15"/>
      <c r="OOU1109" s="15"/>
      <c r="OOV1109" s="15"/>
      <c r="OOY1109" s="15"/>
      <c r="OOZ1109" s="15"/>
      <c r="OPC1109" s="15"/>
      <c r="OPD1109" s="15"/>
      <c r="OPG1109" s="15"/>
      <c r="OPH1109" s="15"/>
      <c r="OPK1109" s="15"/>
      <c r="OPL1109" s="15"/>
      <c r="OPO1109" s="15"/>
      <c r="OPP1109" s="15"/>
      <c r="OPS1109" s="15"/>
      <c r="OPT1109" s="15"/>
      <c r="OPW1109" s="15"/>
      <c r="OPX1109" s="15"/>
      <c r="OQA1109" s="15"/>
      <c r="OQB1109" s="15"/>
      <c r="OQE1109" s="15"/>
      <c r="OQF1109" s="15"/>
      <c r="OQI1109" s="15"/>
      <c r="OQJ1109" s="15"/>
      <c r="OQM1109" s="15"/>
      <c r="OQN1109" s="15"/>
      <c r="OQQ1109" s="15"/>
      <c r="OQR1109" s="15"/>
      <c r="OQU1109" s="15"/>
      <c r="OQV1109" s="15"/>
      <c r="OQY1109" s="15"/>
      <c r="OQZ1109" s="15"/>
      <c r="ORC1109" s="15"/>
      <c r="ORD1109" s="15"/>
      <c r="ORG1109" s="15"/>
      <c r="ORH1109" s="15"/>
      <c r="ORK1109" s="15"/>
      <c r="ORL1109" s="15"/>
      <c r="ORO1109" s="15"/>
      <c r="ORP1109" s="15"/>
      <c r="ORS1109" s="15"/>
      <c r="ORT1109" s="15"/>
      <c r="ORW1109" s="15"/>
      <c r="ORX1109" s="15"/>
      <c r="OSA1109" s="15"/>
      <c r="OSB1109" s="15"/>
      <c r="OSE1109" s="15"/>
      <c r="OSF1109" s="15"/>
      <c r="OSI1109" s="15"/>
      <c r="OSJ1109" s="15"/>
      <c r="OSM1109" s="15"/>
      <c r="OSN1109" s="15"/>
      <c r="OSQ1109" s="15"/>
      <c r="OSR1109" s="15"/>
      <c r="OSU1109" s="15"/>
      <c r="OSV1109" s="15"/>
      <c r="OSY1109" s="15"/>
      <c r="OSZ1109" s="15"/>
      <c r="OTC1109" s="15"/>
      <c r="OTD1109" s="15"/>
      <c r="OTG1109" s="15"/>
      <c r="OTH1109" s="15"/>
      <c r="OTK1109" s="15"/>
      <c r="OTL1109" s="15"/>
      <c r="OTO1109" s="15"/>
      <c r="OTP1109" s="15"/>
      <c r="OTS1109" s="15"/>
      <c r="OTT1109" s="15"/>
      <c r="OTW1109" s="15"/>
      <c r="OTX1109" s="15"/>
      <c r="OUA1109" s="15"/>
      <c r="OUB1109" s="15"/>
      <c r="OUE1109" s="15"/>
      <c r="OUF1109" s="15"/>
      <c r="OUI1109" s="15"/>
      <c r="OUJ1109" s="15"/>
      <c r="OUM1109" s="15"/>
      <c r="OUN1109" s="15"/>
      <c r="OUQ1109" s="15"/>
      <c r="OUR1109" s="15"/>
      <c r="OUU1109" s="15"/>
      <c r="OUV1109" s="15"/>
      <c r="OUY1109" s="15"/>
      <c r="OUZ1109" s="15"/>
      <c r="OVC1109" s="15"/>
      <c r="OVD1109" s="15"/>
      <c r="OVG1109" s="15"/>
      <c r="OVH1109" s="15"/>
      <c r="OVK1109" s="15"/>
      <c r="OVL1109" s="15"/>
      <c r="OVO1109" s="15"/>
      <c r="OVP1109" s="15"/>
      <c r="OVS1109" s="15"/>
      <c r="OVT1109" s="15"/>
      <c r="OVW1109" s="15"/>
      <c r="OVX1109" s="15"/>
      <c r="OWA1109" s="15"/>
      <c r="OWB1109" s="15"/>
      <c r="OWE1109" s="15"/>
      <c r="OWF1109" s="15"/>
      <c r="OWI1109" s="15"/>
      <c r="OWJ1109" s="15"/>
      <c r="OWM1109" s="15"/>
      <c r="OWN1109" s="15"/>
      <c r="OWQ1109" s="15"/>
      <c r="OWR1109" s="15"/>
      <c r="OWU1109" s="15"/>
      <c r="OWV1109" s="15"/>
      <c r="OWY1109" s="15"/>
      <c r="OWZ1109" s="15"/>
      <c r="OXC1109" s="15"/>
      <c r="OXD1109" s="15"/>
      <c r="OXG1109" s="15"/>
      <c r="OXH1109" s="15"/>
      <c r="OXK1109" s="15"/>
      <c r="OXL1109" s="15"/>
      <c r="OXO1109" s="15"/>
      <c r="OXP1109" s="15"/>
      <c r="OXS1109" s="15"/>
      <c r="OXT1109" s="15"/>
      <c r="OXW1109" s="15"/>
      <c r="OXX1109" s="15"/>
      <c r="OYA1109" s="15"/>
      <c r="OYB1109" s="15"/>
      <c r="OYE1109" s="15"/>
      <c r="OYF1109" s="15"/>
      <c r="OYI1109" s="15"/>
      <c r="OYJ1109" s="15"/>
      <c r="OYM1109" s="15"/>
      <c r="OYN1109" s="15"/>
      <c r="OYQ1109" s="15"/>
      <c r="OYR1109" s="15"/>
      <c r="OYU1109" s="15"/>
      <c r="OYV1109" s="15"/>
      <c r="OYY1109" s="15"/>
      <c r="OYZ1109" s="15"/>
      <c r="OZC1109" s="15"/>
      <c r="OZD1109" s="15"/>
      <c r="OZG1109" s="15"/>
      <c r="OZH1109" s="15"/>
      <c r="OZK1109" s="15"/>
      <c r="OZL1109" s="15"/>
      <c r="OZO1109" s="15"/>
      <c r="OZP1109" s="15"/>
      <c r="OZS1109" s="15"/>
      <c r="OZT1109" s="15"/>
      <c r="OZW1109" s="15"/>
      <c r="OZX1109" s="15"/>
      <c r="PAA1109" s="15"/>
      <c r="PAB1109" s="15"/>
      <c r="PAE1109" s="15"/>
      <c r="PAF1109" s="15"/>
      <c r="PAI1109" s="15"/>
      <c r="PAJ1109" s="15"/>
      <c r="PAM1109" s="15"/>
      <c r="PAN1109" s="15"/>
      <c r="PAQ1109" s="15"/>
      <c r="PAR1109" s="15"/>
      <c r="PAU1109" s="15"/>
      <c r="PAV1109" s="15"/>
      <c r="PAY1109" s="15"/>
      <c r="PAZ1109" s="15"/>
      <c r="PBC1109" s="15"/>
      <c r="PBD1109" s="15"/>
      <c r="PBG1109" s="15"/>
      <c r="PBH1109" s="15"/>
      <c r="PBK1109" s="15"/>
      <c r="PBL1109" s="15"/>
      <c r="PBO1109" s="15"/>
      <c r="PBP1109" s="15"/>
      <c r="PBS1109" s="15"/>
      <c r="PBT1109" s="15"/>
      <c r="PBW1109" s="15"/>
      <c r="PBX1109" s="15"/>
      <c r="PCA1109" s="15"/>
      <c r="PCB1109" s="15"/>
      <c r="PCE1109" s="15"/>
      <c r="PCF1109" s="15"/>
      <c r="PCI1109" s="15"/>
      <c r="PCJ1109" s="15"/>
      <c r="PCM1109" s="15"/>
      <c r="PCN1109" s="15"/>
      <c r="PCQ1109" s="15"/>
      <c r="PCR1109" s="15"/>
      <c r="PCU1109" s="15"/>
      <c r="PCV1109" s="15"/>
      <c r="PCY1109" s="15"/>
      <c r="PCZ1109" s="15"/>
      <c r="PDC1109" s="15"/>
      <c r="PDD1109" s="15"/>
      <c r="PDG1109" s="15"/>
      <c r="PDH1109" s="15"/>
      <c r="PDK1109" s="15"/>
      <c r="PDL1109" s="15"/>
      <c r="PDO1109" s="15"/>
      <c r="PDP1109" s="15"/>
      <c r="PDS1109" s="15"/>
      <c r="PDT1109" s="15"/>
      <c r="PDW1109" s="15"/>
      <c r="PDX1109" s="15"/>
      <c r="PEA1109" s="15"/>
      <c r="PEB1109" s="15"/>
      <c r="PEE1109" s="15"/>
      <c r="PEF1109" s="15"/>
      <c r="PEI1109" s="15"/>
      <c r="PEJ1109" s="15"/>
      <c r="PEM1109" s="15"/>
      <c r="PEN1109" s="15"/>
      <c r="PEQ1109" s="15"/>
      <c r="PER1109" s="15"/>
      <c r="PEU1109" s="15"/>
      <c r="PEV1109" s="15"/>
      <c r="PEY1109" s="15"/>
      <c r="PEZ1109" s="15"/>
      <c r="PFC1109" s="15"/>
      <c r="PFD1109" s="15"/>
      <c r="PFG1109" s="15"/>
      <c r="PFH1109" s="15"/>
      <c r="PFK1109" s="15"/>
      <c r="PFL1109" s="15"/>
      <c r="PFO1109" s="15"/>
      <c r="PFP1109" s="15"/>
      <c r="PFS1109" s="15"/>
      <c r="PFT1109" s="15"/>
      <c r="PFW1109" s="15"/>
      <c r="PFX1109" s="15"/>
      <c r="PGA1109" s="15"/>
      <c r="PGB1109" s="15"/>
      <c r="PGE1109" s="15"/>
      <c r="PGF1109" s="15"/>
      <c r="PGI1109" s="15"/>
      <c r="PGJ1109" s="15"/>
      <c r="PGM1109" s="15"/>
      <c r="PGN1109" s="15"/>
      <c r="PGQ1109" s="15"/>
      <c r="PGR1109" s="15"/>
      <c r="PGU1109" s="15"/>
      <c r="PGV1109" s="15"/>
      <c r="PGY1109" s="15"/>
      <c r="PGZ1109" s="15"/>
      <c r="PHC1109" s="15"/>
      <c r="PHD1109" s="15"/>
      <c r="PHG1109" s="15"/>
      <c r="PHH1109" s="15"/>
      <c r="PHK1109" s="15"/>
      <c r="PHL1109" s="15"/>
      <c r="PHO1109" s="15"/>
      <c r="PHP1109" s="15"/>
      <c r="PHS1109" s="15"/>
      <c r="PHT1109" s="15"/>
      <c r="PHW1109" s="15"/>
      <c r="PHX1109" s="15"/>
      <c r="PIA1109" s="15"/>
      <c r="PIB1109" s="15"/>
      <c r="PIE1109" s="15"/>
      <c r="PIF1109" s="15"/>
      <c r="PII1109" s="15"/>
      <c r="PIJ1109" s="15"/>
      <c r="PIM1109" s="15"/>
      <c r="PIN1109" s="15"/>
      <c r="PIQ1109" s="15"/>
      <c r="PIR1109" s="15"/>
      <c r="PIU1109" s="15"/>
      <c r="PIV1109" s="15"/>
      <c r="PIY1109" s="15"/>
      <c r="PIZ1109" s="15"/>
      <c r="PJC1109" s="15"/>
      <c r="PJD1109" s="15"/>
      <c r="PJG1109" s="15"/>
      <c r="PJH1109" s="15"/>
      <c r="PJK1109" s="15"/>
      <c r="PJL1109" s="15"/>
      <c r="PJO1109" s="15"/>
      <c r="PJP1109" s="15"/>
      <c r="PJS1109" s="15"/>
      <c r="PJT1109" s="15"/>
      <c r="PJW1109" s="15"/>
      <c r="PJX1109" s="15"/>
      <c r="PKA1109" s="15"/>
      <c r="PKB1109" s="15"/>
      <c r="PKE1109" s="15"/>
      <c r="PKF1109" s="15"/>
      <c r="PKI1109" s="15"/>
      <c r="PKJ1109" s="15"/>
      <c r="PKM1109" s="15"/>
      <c r="PKN1109" s="15"/>
      <c r="PKQ1109" s="15"/>
      <c r="PKR1109" s="15"/>
      <c r="PKU1109" s="15"/>
      <c r="PKV1109" s="15"/>
      <c r="PKY1109" s="15"/>
      <c r="PKZ1109" s="15"/>
      <c r="PLC1109" s="15"/>
      <c r="PLD1109" s="15"/>
      <c r="PLG1109" s="15"/>
      <c r="PLH1109" s="15"/>
      <c r="PLK1109" s="15"/>
      <c r="PLL1109" s="15"/>
      <c r="PLO1109" s="15"/>
      <c r="PLP1109" s="15"/>
      <c r="PLS1109" s="15"/>
      <c r="PLT1109" s="15"/>
      <c r="PLW1109" s="15"/>
      <c r="PLX1109" s="15"/>
      <c r="PMA1109" s="15"/>
      <c r="PMB1109" s="15"/>
      <c r="PME1109" s="15"/>
      <c r="PMF1109" s="15"/>
      <c r="PMI1109" s="15"/>
      <c r="PMJ1109" s="15"/>
      <c r="PMM1109" s="15"/>
      <c r="PMN1109" s="15"/>
      <c r="PMQ1109" s="15"/>
      <c r="PMR1109" s="15"/>
      <c r="PMU1109" s="15"/>
      <c r="PMV1109" s="15"/>
      <c r="PMY1109" s="15"/>
      <c r="PMZ1109" s="15"/>
      <c r="PNC1109" s="15"/>
      <c r="PND1109" s="15"/>
      <c r="PNG1109" s="15"/>
      <c r="PNH1109" s="15"/>
      <c r="PNK1109" s="15"/>
      <c r="PNL1109" s="15"/>
      <c r="PNO1109" s="15"/>
      <c r="PNP1109" s="15"/>
      <c r="PNS1109" s="15"/>
      <c r="PNT1109" s="15"/>
      <c r="PNW1109" s="15"/>
      <c r="PNX1109" s="15"/>
      <c r="POA1109" s="15"/>
      <c r="POB1109" s="15"/>
      <c r="POE1109" s="15"/>
      <c r="POF1109" s="15"/>
      <c r="POI1109" s="15"/>
      <c r="POJ1109" s="15"/>
      <c r="POM1109" s="15"/>
      <c r="PON1109" s="15"/>
      <c r="POQ1109" s="15"/>
      <c r="POR1109" s="15"/>
      <c r="POU1109" s="15"/>
      <c r="POV1109" s="15"/>
      <c r="POY1109" s="15"/>
      <c r="POZ1109" s="15"/>
      <c r="PPC1109" s="15"/>
      <c r="PPD1109" s="15"/>
      <c r="PPG1109" s="15"/>
      <c r="PPH1109" s="15"/>
      <c r="PPK1109" s="15"/>
      <c r="PPL1109" s="15"/>
      <c r="PPO1109" s="15"/>
      <c r="PPP1109" s="15"/>
      <c r="PPS1109" s="15"/>
      <c r="PPT1109" s="15"/>
      <c r="PPW1109" s="15"/>
      <c r="PPX1109" s="15"/>
      <c r="PQA1109" s="15"/>
      <c r="PQB1109" s="15"/>
      <c r="PQE1109" s="15"/>
      <c r="PQF1109" s="15"/>
      <c r="PQI1109" s="15"/>
      <c r="PQJ1109" s="15"/>
      <c r="PQM1109" s="15"/>
      <c r="PQN1109" s="15"/>
      <c r="PQQ1109" s="15"/>
      <c r="PQR1109" s="15"/>
      <c r="PQU1109" s="15"/>
      <c r="PQV1109" s="15"/>
      <c r="PQY1109" s="15"/>
      <c r="PQZ1109" s="15"/>
      <c r="PRC1109" s="15"/>
      <c r="PRD1109" s="15"/>
      <c r="PRG1109" s="15"/>
      <c r="PRH1109" s="15"/>
      <c r="PRK1109" s="15"/>
      <c r="PRL1109" s="15"/>
      <c r="PRO1109" s="15"/>
      <c r="PRP1109" s="15"/>
      <c r="PRS1109" s="15"/>
      <c r="PRT1109" s="15"/>
      <c r="PRW1109" s="15"/>
      <c r="PRX1109" s="15"/>
      <c r="PSA1109" s="15"/>
      <c r="PSB1109" s="15"/>
      <c r="PSE1109" s="15"/>
      <c r="PSF1109" s="15"/>
      <c r="PSI1109" s="15"/>
      <c r="PSJ1109" s="15"/>
      <c r="PSM1109" s="15"/>
      <c r="PSN1109" s="15"/>
      <c r="PSQ1109" s="15"/>
      <c r="PSR1109" s="15"/>
      <c r="PSU1109" s="15"/>
      <c r="PSV1109" s="15"/>
      <c r="PSY1109" s="15"/>
      <c r="PSZ1109" s="15"/>
      <c r="PTC1109" s="15"/>
      <c r="PTD1109" s="15"/>
      <c r="PTG1109" s="15"/>
      <c r="PTH1109" s="15"/>
      <c r="PTK1109" s="15"/>
      <c r="PTL1109" s="15"/>
      <c r="PTO1109" s="15"/>
      <c r="PTP1109" s="15"/>
      <c r="PTS1109" s="15"/>
      <c r="PTT1109" s="15"/>
      <c r="PTW1109" s="15"/>
      <c r="PTX1109" s="15"/>
      <c r="PUA1109" s="15"/>
      <c r="PUB1109" s="15"/>
      <c r="PUE1109" s="15"/>
      <c r="PUF1109" s="15"/>
      <c r="PUI1109" s="15"/>
      <c r="PUJ1109" s="15"/>
      <c r="PUM1109" s="15"/>
      <c r="PUN1109" s="15"/>
      <c r="PUQ1109" s="15"/>
      <c r="PUR1109" s="15"/>
      <c r="PUU1109" s="15"/>
      <c r="PUV1109" s="15"/>
      <c r="PUY1109" s="15"/>
      <c r="PUZ1109" s="15"/>
      <c r="PVC1109" s="15"/>
      <c r="PVD1109" s="15"/>
      <c r="PVG1109" s="15"/>
      <c r="PVH1109" s="15"/>
      <c r="PVK1109" s="15"/>
      <c r="PVL1109" s="15"/>
      <c r="PVO1109" s="15"/>
      <c r="PVP1109" s="15"/>
      <c r="PVS1109" s="15"/>
      <c r="PVT1109" s="15"/>
      <c r="PVW1109" s="15"/>
      <c r="PVX1109" s="15"/>
      <c r="PWA1109" s="15"/>
      <c r="PWB1109" s="15"/>
      <c r="PWE1109" s="15"/>
      <c r="PWF1109" s="15"/>
      <c r="PWI1109" s="15"/>
      <c r="PWJ1109" s="15"/>
      <c r="PWM1109" s="15"/>
      <c r="PWN1109" s="15"/>
      <c r="PWQ1109" s="15"/>
      <c r="PWR1109" s="15"/>
      <c r="PWU1109" s="15"/>
      <c r="PWV1109" s="15"/>
      <c r="PWY1109" s="15"/>
      <c r="PWZ1109" s="15"/>
      <c r="PXC1109" s="15"/>
      <c r="PXD1109" s="15"/>
      <c r="PXG1109" s="15"/>
      <c r="PXH1109" s="15"/>
      <c r="PXK1109" s="15"/>
      <c r="PXL1109" s="15"/>
      <c r="PXO1109" s="15"/>
      <c r="PXP1109" s="15"/>
      <c r="PXS1109" s="15"/>
      <c r="PXT1109" s="15"/>
      <c r="PXW1109" s="15"/>
      <c r="PXX1109" s="15"/>
      <c r="PYA1109" s="15"/>
      <c r="PYB1109" s="15"/>
      <c r="PYE1109" s="15"/>
      <c r="PYF1109" s="15"/>
      <c r="PYI1109" s="15"/>
      <c r="PYJ1109" s="15"/>
      <c r="PYM1109" s="15"/>
      <c r="PYN1109" s="15"/>
      <c r="PYQ1109" s="15"/>
      <c r="PYR1109" s="15"/>
      <c r="PYU1109" s="15"/>
      <c r="PYV1109" s="15"/>
      <c r="PYY1109" s="15"/>
      <c r="PYZ1109" s="15"/>
      <c r="PZC1109" s="15"/>
      <c r="PZD1109" s="15"/>
      <c r="PZG1109" s="15"/>
      <c r="PZH1109" s="15"/>
      <c r="PZK1109" s="15"/>
      <c r="PZL1109" s="15"/>
      <c r="PZO1109" s="15"/>
      <c r="PZP1109" s="15"/>
      <c r="PZS1109" s="15"/>
      <c r="PZT1109" s="15"/>
      <c r="PZW1109" s="15"/>
      <c r="PZX1109" s="15"/>
      <c r="QAA1109" s="15"/>
      <c r="QAB1109" s="15"/>
      <c r="QAE1109" s="15"/>
      <c r="QAF1109" s="15"/>
      <c r="QAI1109" s="15"/>
      <c r="QAJ1109" s="15"/>
      <c r="QAM1109" s="15"/>
      <c r="QAN1109" s="15"/>
      <c r="QAQ1109" s="15"/>
      <c r="QAR1109" s="15"/>
      <c r="QAU1109" s="15"/>
      <c r="QAV1109" s="15"/>
      <c r="QAY1109" s="15"/>
      <c r="QAZ1109" s="15"/>
      <c r="QBC1109" s="15"/>
      <c r="QBD1109" s="15"/>
      <c r="QBG1109" s="15"/>
      <c r="QBH1109" s="15"/>
      <c r="QBK1109" s="15"/>
      <c r="QBL1109" s="15"/>
      <c r="QBO1109" s="15"/>
      <c r="QBP1109" s="15"/>
      <c r="QBS1109" s="15"/>
      <c r="QBT1109" s="15"/>
      <c r="QBW1109" s="15"/>
      <c r="QBX1109" s="15"/>
      <c r="QCA1109" s="15"/>
      <c r="QCB1109" s="15"/>
      <c r="QCE1109" s="15"/>
      <c r="QCF1109" s="15"/>
      <c r="QCI1109" s="15"/>
      <c r="QCJ1109" s="15"/>
      <c r="QCM1109" s="15"/>
      <c r="QCN1109" s="15"/>
      <c r="QCQ1109" s="15"/>
      <c r="QCR1109" s="15"/>
      <c r="QCU1109" s="15"/>
      <c r="QCV1109" s="15"/>
      <c r="QCY1109" s="15"/>
      <c r="QCZ1109" s="15"/>
      <c r="QDC1109" s="15"/>
      <c r="QDD1109" s="15"/>
      <c r="QDG1109" s="15"/>
      <c r="QDH1109" s="15"/>
      <c r="QDK1109" s="15"/>
      <c r="QDL1109" s="15"/>
      <c r="QDO1109" s="15"/>
      <c r="QDP1109" s="15"/>
      <c r="QDS1109" s="15"/>
      <c r="QDT1109" s="15"/>
      <c r="QDW1109" s="15"/>
      <c r="QDX1109" s="15"/>
      <c r="QEA1109" s="15"/>
      <c r="QEB1109" s="15"/>
      <c r="QEE1109" s="15"/>
      <c r="QEF1109" s="15"/>
      <c r="QEI1109" s="15"/>
      <c r="QEJ1109" s="15"/>
      <c r="QEM1109" s="15"/>
      <c r="QEN1109" s="15"/>
      <c r="QEQ1109" s="15"/>
      <c r="QER1109" s="15"/>
      <c r="QEU1109" s="15"/>
      <c r="QEV1109" s="15"/>
      <c r="QEY1109" s="15"/>
      <c r="QEZ1109" s="15"/>
      <c r="QFC1109" s="15"/>
      <c r="QFD1109" s="15"/>
      <c r="QFG1109" s="15"/>
      <c r="QFH1109" s="15"/>
      <c r="QFK1109" s="15"/>
      <c r="QFL1109" s="15"/>
      <c r="QFO1109" s="15"/>
      <c r="QFP1109" s="15"/>
      <c r="QFS1109" s="15"/>
      <c r="QFT1109" s="15"/>
      <c r="QFW1109" s="15"/>
      <c r="QFX1109" s="15"/>
      <c r="QGA1109" s="15"/>
      <c r="QGB1109" s="15"/>
      <c r="QGE1109" s="15"/>
      <c r="QGF1109" s="15"/>
      <c r="QGI1109" s="15"/>
      <c r="QGJ1109" s="15"/>
      <c r="QGM1109" s="15"/>
      <c r="QGN1109" s="15"/>
      <c r="QGQ1109" s="15"/>
      <c r="QGR1109" s="15"/>
      <c r="QGU1109" s="15"/>
      <c r="QGV1109" s="15"/>
      <c r="QGY1109" s="15"/>
      <c r="QGZ1109" s="15"/>
      <c r="QHC1109" s="15"/>
      <c r="QHD1109" s="15"/>
      <c r="QHG1109" s="15"/>
      <c r="QHH1109" s="15"/>
      <c r="QHK1109" s="15"/>
      <c r="QHL1109" s="15"/>
      <c r="QHO1109" s="15"/>
      <c r="QHP1109" s="15"/>
      <c r="QHS1109" s="15"/>
      <c r="QHT1109" s="15"/>
      <c r="QHW1109" s="15"/>
      <c r="QHX1109" s="15"/>
      <c r="QIA1109" s="15"/>
      <c r="QIB1109" s="15"/>
      <c r="QIE1109" s="15"/>
      <c r="QIF1109" s="15"/>
      <c r="QII1109" s="15"/>
      <c r="QIJ1109" s="15"/>
      <c r="QIM1109" s="15"/>
      <c r="QIN1109" s="15"/>
      <c r="QIQ1109" s="15"/>
      <c r="QIR1109" s="15"/>
      <c r="QIU1109" s="15"/>
      <c r="QIV1109" s="15"/>
      <c r="QIY1109" s="15"/>
      <c r="QIZ1109" s="15"/>
      <c r="QJC1109" s="15"/>
      <c r="QJD1109" s="15"/>
      <c r="QJG1109" s="15"/>
      <c r="QJH1109" s="15"/>
      <c r="QJK1109" s="15"/>
      <c r="QJL1109" s="15"/>
      <c r="QJO1109" s="15"/>
      <c r="QJP1109" s="15"/>
      <c r="QJS1109" s="15"/>
      <c r="QJT1109" s="15"/>
      <c r="QJW1109" s="15"/>
      <c r="QJX1109" s="15"/>
      <c r="QKA1109" s="15"/>
      <c r="QKB1109" s="15"/>
      <c r="QKE1109" s="15"/>
      <c r="QKF1109" s="15"/>
      <c r="QKI1109" s="15"/>
      <c r="QKJ1109" s="15"/>
      <c r="QKM1109" s="15"/>
      <c r="QKN1109" s="15"/>
      <c r="QKQ1109" s="15"/>
      <c r="QKR1109" s="15"/>
      <c r="QKU1109" s="15"/>
      <c r="QKV1109" s="15"/>
      <c r="QKY1109" s="15"/>
      <c r="QKZ1109" s="15"/>
      <c r="QLC1109" s="15"/>
      <c r="QLD1109" s="15"/>
      <c r="QLG1109" s="15"/>
      <c r="QLH1109" s="15"/>
      <c r="QLK1109" s="15"/>
      <c r="QLL1109" s="15"/>
      <c r="QLO1109" s="15"/>
      <c r="QLP1109" s="15"/>
      <c r="QLS1109" s="15"/>
      <c r="QLT1109" s="15"/>
      <c r="QLW1109" s="15"/>
      <c r="QLX1109" s="15"/>
      <c r="QMA1109" s="15"/>
      <c r="QMB1109" s="15"/>
      <c r="QME1109" s="15"/>
      <c r="QMF1109" s="15"/>
      <c r="QMI1109" s="15"/>
      <c r="QMJ1109" s="15"/>
      <c r="QMM1109" s="15"/>
      <c r="QMN1109" s="15"/>
      <c r="QMQ1109" s="15"/>
      <c r="QMR1109" s="15"/>
      <c r="QMU1109" s="15"/>
      <c r="QMV1109" s="15"/>
      <c r="QMY1109" s="15"/>
      <c r="QMZ1109" s="15"/>
      <c r="QNC1109" s="15"/>
      <c r="QND1109" s="15"/>
      <c r="QNG1109" s="15"/>
      <c r="QNH1109" s="15"/>
      <c r="QNK1109" s="15"/>
      <c r="QNL1109" s="15"/>
      <c r="QNO1109" s="15"/>
      <c r="QNP1109" s="15"/>
      <c r="QNS1109" s="15"/>
      <c r="QNT1109" s="15"/>
      <c r="QNW1109" s="15"/>
      <c r="QNX1109" s="15"/>
      <c r="QOA1109" s="15"/>
      <c r="QOB1109" s="15"/>
      <c r="QOE1109" s="15"/>
      <c r="QOF1109" s="15"/>
      <c r="QOI1109" s="15"/>
      <c r="QOJ1109" s="15"/>
      <c r="QOM1109" s="15"/>
      <c r="QON1109" s="15"/>
      <c r="QOQ1109" s="15"/>
      <c r="QOR1109" s="15"/>
      <c r="QOU1109" s="15"/>
      <c r="QOV1109" s="15"/>
      <c r="QOY1109" s="15"/>
      <c r="QOZ1109" s="15"/>
      <c r="QPC1109" s="15"/>
      <c r="QPD1109" s="15"/>
      <c r="QPG1109" s="15"/>
      <c r="QPH1109" s="15"/>
      <c r="QPK1109" s="15"/>
      <c r="QPL1109" s="15"/>
      <c r="QPO1109" s="15"/>
      <c r="QPP1109" s="15"/>
      <c r="QPS1109" s="15"/>
      <c r="QPT1109" s="15"/>
      <c r="QPW1109" s="15"/>
      <c r="QPX1109" s="15"/>
      <c r="QQA1109" s="15"/>
      <c r="QQB1109" s="15"/>
      <c r="QQE1109" s="15"/>
      <c r="QQF1109" s="15"/>
      <c r="QQI1109" s="15"/>
      <c r="QQJ1109" s="15"/>
      <c r="QQM1109" s="15"/>
      <c r="QQN1109" s="15"/>
      <c r="QQQ1109" s="15"/>
      <c r="QQR1109" s="15"/>
      <c r="QQU1109" s="15"/>
      <c r="QQV1109" s="15"/>
      <c r="QQY1109" s="15"/>
      <c r="QQZ1109" s="15"/>
      <c r="QRC1109" s="15"/>
      <c r="QRD1109" s="15"/>
      <c r="QRG1109" s="15"/>
      <c r="QRH1109" s="15"/>
      <c r="QRK1109" s="15"/>
      <c r="QRL1109" s="15"/>
      <c r="QRO1109" s="15"/>
      <c r="QRP1109" s="15"/>
      <c r="QRS1109" s="15"/>
      <c r="QRT1109" s="15"/>
      <c r="QRW1109" s="15"/>
      <c r="QRX1109" s="15"/>
      <c r="QSA1109" s="15"/>
      <c r="QSB1109" s="15"/>
      <c r="QSE1109" s="15"/>
      <c r="QSF1109" s="15"/>
      <c r="QSI1109" s="15"/>
      <c r="QSJ1109" s="15"/>
      <c r="QSM1109" s="15"/>
      <c r="QSN1109" s="15"/>
      <c r="QSQ1109" s="15"/>
      <c r="QSR1109" s="15"/>
      <c r="QSU1109" s="15"/>
      <c r="QSV1109" s="15"/>
      <c r="QSY1109" s="15"/>
      <c r="QSZ1109" s="15"/>
      <c r="QTC1109" s="15"/>
      <c r="QTD1109" s="15"/>
      <c r="QTG1109" s="15"/>
      <c r="QTH1109" s="15"/>
      <c r="QTK1109" s="15"/>
      <c r="QTL1109" s="15"/>
      <c r="QTO1109" s="15"/>
      <c r="QTP1109" s="15"/>
      <c r="QTS1109" s="15"/>
      <c r="QTT1109" s="15"/>
      <c r="QTW1109" s="15"/>
      <c r="QTX1109" s="15"/>
      <c r="QUA1109" s="15"/>
      <c r="QUB1109" s="15"/>
      <c r="QUE1109" s="15"/>
      <c r="QUF1109" s="15"/>
      <c r="QUI1109" s="15"/>
      <c r="QUJ1109" s="15"/>
      <c r="QUM1109" s="15"/>
      <c r="QUN1109" s="15"/>
      <c r="QUQ1109" s="15"/>
      <c r="QUR1109" s="15"/>
      <c r="QUU1109" s="15"/>
      <c r="QUV1109" s="15"/>
      <c r="QUY1109" s="15"/>
      <c r="QUZ1109" s="15"/>
      <c r="QVC1109" s="15"/>
      <c r="QVD1109" s="15"/>
      <c r="QVG1109" s="15"/>
      <c r="QVH1109" s="15"/>
      <c r="QVK1109" s="15"/>
      <c r="QVL1109" s="15"/>
      <c r="QVO1109" s="15"/>
      <c r="QVP1109" s="15"/>
      <c r="QVS1109" s="15"/>
      <c r="QVT1109" s="15"/>
      <c r="QVW1109" s="15"/>
      <c r="QVX1109" s="15"/>
      <c r="QWA1109" s="15"/>
      <c r="QWB1109" s="15"/>
      <c r="QWE1109" s="15"/>
      <c r="QWF1109" s="15"/>
      <c r="QWI1109" s="15"/>
      <c r="QWJ1109" s="15"/>
      <c r="QWM1109" s="15"/>
      <c r="QWN1109" s="15"/>
      <c r="QWQ1109" s="15"/>
      <c r="QWR1109" s="15"/>
      <c r="QWU1109" s="15"/>
      <c r="QWV1109" s="15"/>
      <c r="QWY1109" s="15"/>
      <c r="QWZ1109" s="15"/>
      <c r="QXC1109" s="15"/>
      <c r="QXD1109" s="15"/>
      <c r="QXG1109" s="15"/>
      <c r="QXH1109" s="15"/>
      <c r="QXK1109" s="15"/>
      <c r="QXL1109" s="15"/>
      <c r="QXO1109" s="15"/>
      <c r="QXP1109" s="15"/>
      <c r="QXS1109" s="15"/>
      <c r="QXT1109" s="15"/>
      <c r="QXW1109" s="15"/>
      <c r="QXX1109" s="15"/>
      <c r="QYA1109" s="15"/>
      <c r="QYB1109" s="15"/>
      <c r="QYE1109" s="15"/>
      <c r="QYF1109" s="15"/>
      <c r="QYI1109" s="15"/>
      <c r="QYJ1109" s="15"/>
      <c r="QYM1109" s="15"/>
      <c r="QYN1109" s="15"/>
      <c r="QYQ1109" s="15"/>
      <c r="QYR1109" s="15"/>
      <c r="QYU1109" s="15"/>
      <c r="QYV1109" s="15"/>
      <c r="QYY1109" s="15"/>
      <c r="QYZ1109" s="15"/>
      <c r="QZC1109" s="15"/>
      <c r="QZD1109" s="15"/>
      <c r="QZG1109" s="15"/>
      <c r="QZH1109" s="15"/>
      <c r="QZK1109" s="15"/>
      <c r="QZL1109" s="15"/>
      <c r="QZO1109" s="15"/>
      <c r="QZP1109" s="15"/>
      <c r="QZS1109" s="15"/>
      <c r="QZT1109" s="15"/>
      <c r="QZW1109" s="15"/>
      <c r="QZX1109" s="15"/>
      <c r="RAA1109" s="15"/>
      <c r="RAB1109" s="15"/>
      <c r="RAE1109" s="15"/>
      <c r="RAF1109" s="15"/>
      <c r="RAI1109" s="15"/>
      <c r="RAJ1109" s="15"/>
      <c r="RAM1109" s="15"/>
      <c r="RAN1109" s="15"/>
      <c r="RAQ1109" s="15"/>
      <c r="RAR1109" s="15"/>
      <c r="RAU1109" s="15"/>
      <c r="RAV1109" s="15"/>
      <c r="RAY1109" s="15"/>
      <c r="RAZ1109" s="15"/>
      <c r="RBC1109" s="15"/>
      <c r="RBD1109" s="15"/>
      <c r="RBG1109" s="15"/>
      <c r="RBH1109" s="15"/>
      <c r="RBK1109" s="15"/>
      <c r="RBL1109" s="15"/>
      <c r="RBO1109" s="15"/>
      <c r="RBP1109" s="15"/>
      <c r="RBS1109" s="15"/>
      <c r="RBT1109" s="15"/>
      <c r="RBW1109" s="15"/>
      <c r="RBX1109" s="15"/>
      <c r="RCA1109" s="15"/>
      <c r="RCB1109" s="15"/>
      <c r="RCE1109" s="15"/>
      <c r="RCF1109" s="15"/>
      <c r="RCI1109" s="15"/>
      <c r="RCJ1109" s="15"/>
      <c r="RCM1109" s="15"/>
      <c r="RCN1109" s="15"/>
      <c r="RCQ1109" s="15"/>
      <c r="RCR1109" s="15"/>
      <c r="RCU1109" s="15"/>
      <c r="RCV1109" s="15"/>
      <c r="RCY1109" s="15"/>
      <c r="RCZ1109" s="15"/>
      <c r="RDC1109" s="15"/>
      <c r="RDD1109" s="15"/>
      <c r="RDG1109" s="15"/>
      <c r="RDH1109" s="15"/>
      <c r="RDK1109" s="15"/>
      <c r="RDL1109" s="15"/>
      <c r="RDO1109" s="15"/>
      <c r="RDP1109" s="15"/>
      <c r="RDS1109" s="15"/>
      <c r="RDT1109" s="15"/>
      <c r="RDW1109" s="15"/>
      <c r="RDX1109" s="15"/>
      <c r="REA1109" s="15"/>
      <c r="REB1109" s="15"/>
      <c r="REE1109" s="15"/>
      <c r="REF1109" s="15"/>
      <c r="REI1109" s="15"/>
      <c r="REJ1109" s="15"/>
      <c r="REM1109" s="15"/>
      <c r="REN1109" s="15"/>
      <c r="REQ1109" s="15"/>
      <c r="RER1109" s="15"/>
      <c r="REU1109" s="15"/>
      <c r="REV1109" s="15"/>
      <c r="REY1109" s="15"/>
      <c r="REZ1109" s="15"/>
      <c r="RFC1109" s="15"/>
      <c r="RFD1109" s="15"/>
      <c r="RFG1109" s="15"/>
      <c r="RFH1109" s="15"/>
      <c r="RFK1109" s="15"/>
      <c r="RFL1109" s="15"/>
      <c r="RFO1109" s="15"/>
      <c r="RFP1109" s="15"/>
      <c r="RFS1109" s="15"/>
      <c r="RFT1109" s="15"/>
      <c r="RFW1109" s="15"/>
      <c r="RFX1109" s="15"/>
      <c r="RGA1109" s="15"/>
      <c r="RGB1109" s="15"/>
      <c r="RGE1109" s="15"/>
      <c r="RGF1109" s="15"/>
      <c r="RGI1109" s="15"/>
      <c r="RGJ1109" s="15"/>
      <c r="RGM1109" s="15"/>
      <c r="RGN1109" s="15"/>
      <c r="RGQ1109" s="15"/>
      <c r="RGR1109" s="15"/>
      <c r="RGU1109" s="15"/>
      <c r="RGV1109" s="15"/>
      <c r="RGY1109" s="15"/>
      <c r="RGZ1109" s="15"/>
      <c r="RHC1109" s="15"/>
      <c r="RHD1109" s="15"/>
      <c r="RHG1109" s="15"/>
      <c r="RHH1109" s="15"/>
      <c r="RHK1109" s="15"/>
      <c r="RHL1109" s="15"/>
      <c r="RHO1109" s="15"/>
      <c r="RHP1109" s="15"/>
      <c r="RHS1109" s="15"/>
      <c r="RHT1109" s="15"/>
      <c r="RHW1109" s="15"/>
      <c r="RHX1109" s="15"/>
      <c r="RIA1109" s="15"/>
      <c r="RIB1109" s="15"/>
      <c r="RIE1109" s="15"/>
      <c r="RIF1109" s="15"/>
      <c r="RII1109" s="15"/>
      <c r="RIJ1109" s="15"/>
      <c r="RIM1109" s="15"/>
      <c r="RIN1109" s="15"/>
      <c r="RIQ1109" s="15"/>
      <c r="RIR1109" s="15"/>
      <c r="RIU1109" s="15"/>
      <c r="RIV1109" s="15"/>
      <c r="RIY1109" s="15"/>
      <c r="RIZ1109" s="15"/>
      <c r="RJC1109" s="15"/>
      <c r="RJD1109" s="15"/>
      <c r="RJG1109" s="15"/>
      <c r="RJH1109" s="15"/>
      <c r="RJK1109" s="15"/>
      <c r="RJL1109" s="15"/>
      <c r="RJO1109" s="15"/>
      <c r="RJP1109" s="15"/>
      <c r="RJS1109" s="15"/>
      <c r="RJT1109" s="15"/>
      <c r="RJW1109" s="15"/>
      <c r="RJX1109" s="15"/>
      <c r="RKA1109" s="15"/>
      <c r="RKB1109" s="15"/>
      <c r="RKE1109" s="15"/>
      <c r="RKF1109" s="15"/>
      <c r="RKI1109" s="15"/>
      <c r="RKJ1109" s="15"/>
      <c r="RKM1109" s="15"/>
      <c r="RKN1109" s="15"/>
      <c r="RKQ1109" s="15"/>
      <c r="RKR1109" s="15"/>
      <c r="RKU1109" s="15"/>
      <c r="RKV1109" s="15"/>
      <c r="RKY1109" s="15"/>
      <c r="RKZ1109" s="15"/>
      <c r="RLC1109" s="15"/>
      <c r="RLD1109" s="15"/>
      <c r="RLG1109" s="15"/>
      <c r="RLH1109" s="15"/>
      <c r="RLK1109" s="15"/>
      <c r="RLL1109" s="15"/>
      <c r="RLO1109" s="15"/>
      <c r="RLP1109" s="15"/>
      <c r="RLS1109" s="15"/>
      <c r="RLT1109" s="15"/>
      <c r="RLW1109" s="15"/>
      <c r="RLX1109" s="15"/>
      <c r="RMA1109" s="15"/>
      <c r="RMB1109" s="15"/>
      <c r="RME1109" s="15"/>
      <c r="RMF1109" s="15"/>
      <c r="RMI1109" s="15"/>
      <c r="RMJ1109" s="15"/>
      <c r="RMM1109" s="15"/>
      <c r="RMN1109" s="15"/>
      <c r="RMQ1109" s="15"/>
      <c r="RMR1109" s="15"/>
      <c r="RMU1109" s="15"/>
      <c r="RMV1109" s="15"/>
      <c r="RMY1109" s="15"/>
      <c r="RMZ1109" s="15"/>
      <c r="RNC1109" s="15"/>
      <c r="RND1109" s="15"/>
      <c r="RNG1109" s="15"/>
      <c r="RNH1109" s="15"/>
      <c r="RNK1109" s="15"/>
      <c r="RNL1109" s="15"/>
      <c r="RNO1109" s="15"/>
      <c r="RNP1109" s="15"/>
      <c r="RNS1109" s="15"/>
      <c r="RNT1109" s="15"/>
      <c r="RNW1109" s="15"/>
      <c r="RNX1109" s="15"/>
      <c r="ROA1109" s="15"/>
      <c r="ROB1109" s="15"/>
      <c r="ROE1109" s="15"/>
      <c r="ROF1109" s="15"/>
      <c r="ROI1109" s="15"/>
      <c r="ROJ1109" s="15"/>
      <c r="ROM1109" s="15"/>
      <c r="RON1109" s="15"/>
      <c r="ROQ1109" s="15"/>
      <c r="ROR1109" s="15"/>
      <c r="ROU1109" s="15"/>
      <c r="ROV1109" s="15"/>
      <c r="ROY1109" s="15"/>
      <c r="ROZ1109" s="15"/>
      <c r="RPC1109" s="15"/>
      <c r="RPD1109" s="15"/>
      <c r="RPG1109" s="15"/>
      <c r="RPH1109" s="15"/>
      <c r="RPK1109" s="15"/>
      <c r="RPL1109" s="15"/>
      <c r="RPO1109" s="15"/>
      <c r="RPP1109" s="15"/>
      <c r="RPS1109" s="15"/>
      <c r="RPT1109" s="15"/>
      <c r="RPW1109" s="15"/>
      <c r="RPX1109" s="15"/>
      <c r="RQA1109" s="15"/>
      <c r="RQB1109" s="15"/>
      <c r="RQE1109" s="15"/>
      <c r="RQF1109" s="15"/>
      <c r="RQI1109" s="15"/>
      <c r="RQJ1109" s="15"/>
      <c r="RQM1109" s="15"/>
      <c r="RQN1109" s="15"/>
      <c r="RQQ1109" s="15"/>
      <c r="RQR1109" s="15"/>
      <c r="RQU1109" s="15"/>
      <c r="RQV1109" s="15"/>
      <c r="RQY1109" s="15"/>
      <c r="RQZ1109" s="15"/>
      <c r="RRC1109" s="15"/>
      <c r="RRD1109" s="15"/>
      <c r="RRG1109" s="15"/>
      <c r="RRH1109" s="15"/>
      <c r="RRK1109" s="15"/>
      <c r="RRL1109" s="15"/>
      <c r="RRO1109" s="15"/>
      <c r="RRP1109" s="15"/>
      <c r="RRS1109" s="15"/>
      <c r="RRT1109" s="15"/>
      <c r="RRW1109" s="15"/>
      <c r="RRX1109" s="15"/>
      <c r="RSA1109" s="15"/>
      <c r="RSB1109" s="15"/>
      <c r="RSE1109" s="15"/>
      <c r="RSF1109" s="15"/>
      <c r="RSI1109" s="15"/>
      <c r="RSJ1109" s="15"/>
      <c r="RSM1109" s="15"/>
      <c r="RSN1109" s="15"/>
      <c r="RSQ1109" s="15"/>
      <c r="RSR1109" s="15"/>
      <c r="RSU1109" s="15"/>
      <c r="RSV1109" s="15"/>
      <c r="RSY1109" s="15"/>
      <c r="RSZ1109" s="15"/>
      <c r="RTC1109" s="15"/>
      <c r="RTD1109" s="15"/>
      <c r="RTG1109" s="15"/>
      <c r="RTH1109" s="15"/>
      <c r="RTK1109" s="15"/>
      <c r="RTL1109" s="15"/>
      <c r="RTO1109" s="15"/>
      <c r="RTP1109" s="15"/>
      <c r="RTS1109" s="15"/>
      <c r="RTT1109" s="15"/>
      <c r="RTW1109" s="15"/>
      <c r="RTX1109" s="15"/>
      <c r="RUA1109" s="15"/>
      <c r="RUB1109" s="15"/>
      <c r="RUE1109" s="15"/>
      <c r="RUF1109" s="15"/>
      <c r="RUI1109" s="15"/>
      <c r="RUJ1109" s="15"/>
      <c r="RUM1109" s="15"/>
      <c r="RUN1109" s="15"/>
      <c r="RUQ1109" s="15"/>
      <c r="RUR1109" s="15"/>
      <c r="RUU1109" s="15"/>
      <c r="RUV1109" s="15"/>
      <c r="RUY1109" s="15"/>
      <c r="RUZ1109" s="15"/>
      <c r="RVC1109" s="15"/>
      <c r="RVD1109" s="15"/>
      <c r="RVG1109" s="15"/>
      <c r="RVH1109" s="15"/>
      <c r="RVK1109" s="15"/>
      <c r="RVL1109" s="15"/>
      <c r="RVO1109" s="15"/>
      <c r="RVP1109" s="15"/>
      <c r="RVS1109" s="15"/>
      <c r="RVT1109" s="15"/>
      <c r="RVW1109" s="15"/>
      <c r="RVX1109" s="15"/>
      <c r="RWA1109" s="15"/>
      <c r="RWB1109" s="15"/>
      <c r="RWE1109" s="15"/>
      <c r="RWF1109" s="15"/>
      <c r="RWI1109" s="15"/>
      <c r="RWJ1109" s="15"/>
      <c r="RWM1109" s="15"/>
      <c r="RWN1109" s="15"/>
      <c r="RWQ1109" s="15"/>
      <c r="RWR1109" s="15"/>
      <c r="RWU1109" s="15"/>
      <c r="RWV1109" s="15"/>
      <c r="RWY1109" s="15"/>
      <c r="RWZ1109" s="15"/>
      <c r="RXC1109" s="15"/>
      <c r="RXD1109" s="15"/>
      <c r="RXG1109" s="15"/>
      <c r="RXH1109" s="15"/>
      <c r="RXK1109" s="15"/>
      <c r="RXL1109" s="15"/>
      <c r="RXO1109" s="15"/>
      <c r="RXP1109" s="15"/>
      <c r="RXS1109" s="15"/>
      <c r="RXT1109" s="15"/>
      <c r="RXW1109" s="15"/>
      <c r="RXX1109" s="15"/>
      <c r="RYA1109" s="15"/>
      <c r="RYB1109" s="15"/>
      <c r="RYE1109" s="15"/>
      <c r="RYF1109" s="15"/>
      <c r="RYI1109" s="15"/>
      <c r="RYJ1109" s="15"/>
      <c r="RYM1109" s="15"/>
      <c r="RYN1109" s="15"/>
      <c r="RYQ1109" s="15"/>
      <c r="RYR1109" s="15"/>
      <c r="RYU1109" s="15"/>
      <c r="RYV1109" s="15"/>
      <c r="RYY1109" s="15"/>
      <c r="RYZ1109" s="15"/>
      <c r="RZC1109" s="15"/>
      <c r="RZD1109" s="15"/>
      <c r="RZG1109" s="15"/>
      <c r="RZH1109" s="15"/>
      <c r="RZK1109" s="15"/>
      <c r="RZL1109" s="15"/>
      <c r="RZO1109" s="15"/>
      <c r="RZP1109" s="15"/>
      <c r="RZS1109" s="15"/>
      <c r="RZT1109" s="15"/>
      <c r="RZW1109" s="15"/>
      <c r="RZX1109" s="15"/>
      <c r="SAA1109" s="15"/>
      <c r="SAB1109" s="15"/>
      <c r="SAE1109" s="15"/>
      <c r="SAF1109" s="15"/>
      <c r="SAI1109" s="15"/>
      <c r="SAJ1109" s="15"/>
      <c r="SAM1109" s="15"/>
      <c r="SAN1109" s="15"/>
      <c r="SAQ1109" s="15"/>
      <c r="SAR1109" s="15"/>
      <c r="SAU1109" s="15"/>
      <c r="SAV1109" s="15"/>
      <c r="SAY1109" s="15"/>
      <c r="SAZ1109" s="15"/>
      <c r="SBC1109" s="15"/>
      <c r="SBD1109" s="15"/>
      <c r="SBG1109" s="15"/>
      <c r="SBH1109" s="15"/>
      <c r="SBK1109" s="15"/>
      <c r="SBL1109" s="15"/>
      <c r="SBO1109" s="15"/>
      <c r="SBP1109" s="15"/>
      <c r="SBS1109" s="15"/>
      <c r="SBT1109" s="15"/>
      <c r="SBW1109" s="15"/>
      <c r="SBX1109" s="15"/>
      <c r="SCA1109" s="15"/>
      <c r="SCB1109" s="15"/>
      <c r="SCE1109" s="15"/>
      <c r="SCF1109" s="15"/>
      <c r="SCI1109" s="15"/>
      <c r="SCJ1109" s="15"/>
      <c r="SCM1109" s="15"/>
      <c r="SCN1109" s="15"/>
      <c r="SCQ1109" s="15"/>
      <c r="SCR1109" s="15"/>
      <c r="SCU1109" s="15"/>
      <c r="SCV1109" s="15"/>
      <c r="SCY1109" s="15"/>
      <c r="SCZ1109" s="15"/>
      <c r="SDC1109" s="15"/>
      <c r="SDD1109" s="15"/>
      <c r="SDG1109" s="15"/>
      <c r="SDH1109" s="15"/>
      <c r="SDK1109" s="15"/>
      <c r="SDL1109" s="15"/>
      <c r="SDO1109" s="15"/>
      <c r="SDP1109" s="15"/>
      <c r="SDS1109" s="15"/>
      <c r="SDT1109" s="15"/>
      <c r="SDW1109" s="15"/>
      <c r="SDX1109" s="15"/>
      <c r="SEA1109" s="15"/>
      <c r="SEB1109" s="15"/>
      <c r="SEE1109" s="15"/>
      <c r="SEF1109" s="15"/>
      <c r="SEI1109" s="15"/>
      <c r="SEJ1109" s="15"/>
      <c r="SEM1109" s="15"/>
      <c r="SEN1109" s="15"/>
      <c r="SEQ1109" s="15"/>
      <c r="SER1109" s="15"/>
      <c r="SEU1109" s="15"/>
      <c r="SEV1109" s="15"/>
      <c r="SEY1109" s="15"/>
      <c r="SEZ1109" s="15"/>
      <c r="SFC1109" s="15"/>
      <c r="SFD1109" s="15"/>
      <c r="SFG1109" s="15"/>
      <c r="SFH1109" s="15"/>
      <c r="SFK1109" s="15"/>
      <c r="SFL1109" s="15"/>
      <c r="SFO1109" s="15"/>
      <c r="SFP1109" s="15"/>
      <c r="SFS1109" s="15"/>
      <c r="SFT1109" s="15"/>
      <c r="SFW1109" s="15"/>
      <c r="SFX1109" s="15"/>
      <c r="SGA1109" s="15"/>
      <c r="SGB1109" s="15"/>
      <c r="SGE1109" s="15"/>
      <c r="SGF1109" s="15"/>
      <c r="SGI1109" s="15"/>
      <c r="SGJ1109" s="15"/>
      <c r="SGM1109" s="15"/>
      <c r="SGN1109" s="15"/>
      <c r="SGQ1109" s="15"/>
      <c r="SGR1109" s="15"/>
      <c r="SGU1109" s="15"/>
      <c r="SGV1109" s="15"/>
      <c r="SGY1109" s="15"/>
      <c r="SGZ1109" s="15"/>
      <c r="SHC1109" s="15"/>
      <c r="SHD1109" s="15"/>
      <c r="SHG1109" s="15"/>
      <c r="SHH1109" s="15"/>
      <c r="SHK1109" s="15"/>
      <c r="SHL1109" s="15"/>
      <c r="SHO1109" s="15"/>
      <c r="SHP1109" s="15"/>
      <c r="SHS1109" s="15"/>
      <c r="SHT1109" s="15"/>
      <c r="SHW1109" s="15"/>
      <c r="SHX1109" s="15"/>
      <c r="SIA1109" s="15"/>
      <c r="SIB1109" s="15"/>
      <c r="SIE1109" s="15"/>
      <c r="SIF1109" s="15"/>
      <c r="SII1109" s="15"/>
      <c r="SIJ1109" s="15"/>
      <c r="SIM1109" s="15"/>
      <c r="SIN1109" s="15"/>
      <c r="SIQ1109" s="15"/>
      <c r="SIR1109" s="15"/>
      <c r="SIU1109" s="15"/>
      <c r="SIV1109" s="15"/>
      <c r="SIY1109" s="15"/>
      <c r="SIZ1109" s="15"/>
      <c r="SJC1109" s="15"/>
      <c r="SJD1109" s="15"/>
      <c r="SJG1109" s="15"/>
      <c r="SJH1109" s="15"/>
      <c r="SJK1109" s="15"/>
      <c r="SJL1109" s="15"/>
      <c r="SJO1109" s="15"/>
      <c r="SJP1109" s="15"/>
      <c r="SJS1109" s="15"/>
      <c r="SJT1109" s="15"/>
      <c r="SJW1109" s="15"/>
      <c r="SJX1109" s="15"/>
      <c r="SKA1109" s="15"/>
      <c r="SKB1109" s="15"/>
      <c r="SKE1109" s="15"/>
      <c r="SKF1109" s="15"/>
      <c r="SKI1109" s="15"/>
      <c r="SKJ1109" s="15"/>
      <c r="SKM1109" s="15"/>
      <c r="SKN1109" s="15"/>
      <c r="SKQ1109" s="15"/>
      <c r="SKR1109" s="15"/>
      <c r="SKU1109" s="15"/>
      <c r="SKV1109" s="15"/>
      <c r="SKY1109" s="15"/>
      <c r="SKZ1109" s="15"/>
      <c r="SLC1109" s="15"/>
      <c r="SLD1109" s="15"/>
      <c r="SLG1109" s="15"/>
      <c r="SLH1109" s="15"/>
      <c r="SLK1109" s="15"/>
      <c r="SLL1109" s="15"/>
      <c r="SLO1109" s="15"/>
      <c r="SLP1109" s="15"/>
      <c r="SLS1109" s="15"/>
      <c r="SLT1109" s="15"/>
      <c r="SLW1109" s="15"/>
      <c r="SLX1109" s="15"/>
      <c r="SMA1109" s="15"/>
      <c r="SMB1109" s="15"/>
      <c r="SME1109" s="15"/>
      <c r="SMF1109" s="15"/>
      <c r="SMI1109" s="15"/>
      <c r="SMJ1109" s="15"/>
      <c r="SMM1109" s="15"/>
      <c r="SMN1109" s="15"/>
      <c r="SMQ1109" s="15"/>
      <c r="SMR1109" s="15"/>
      <c r="SMU1109" s="15"/>
      <c r="SMV1109" s="15"/>
      <c r="SMY1109" s="15"/>
      <c r="SMZ1109" s="15"/>
      <c r="SNC1109" s="15"/>
      <c r="SND1109" s="15"/>
      <c r="SNG1109" s="15"/>
      <c r="SNH1109" s="15"/>
      <c r="SNK1109" s="15"/>
      <c r="SNL1109" s="15"/>
      <c r="SNO1109" s="15"/>
      <c r="SNP1109" s="15"/>
      <c r="SNS1109" s="15"/>
      <c r="SNT1109" s="15"/>
      <c r="SNW1109" s="15"/>
      <c r="SNX1109" s="15"/>
      <c r="SOA1109" s="15"/>
      <c r="SOB1109" s="15"/>
      <c r="SOE1109" s="15"/>
      <c r="SOF1109" s="15"/>
      <c r="SOI1109" s="15"/>
      <c r="SOJ1109" s="15"/>
      <c r="SOM1109" s="15"/>
      <c r="SON1109" s="15"/>
      <c r="SOQ1109" s="15"/>
      <c r="SOR1109" s="15"/>
      <c r="SOU1109" s="15"/>
      <c r="SOV1109" s="15"/>
      <c r="SOY1109" s="15"/>
      <c r="SOZ1109" s="15"/>
      <c r="SPC1109" s="15"/>
      <c r="SPD1109" s="15"/>
      <c r="SPG1109" s="15"/>
      <c r="SPH1109" s="15"/>
      <c r="SPK1109" s="15"/>
      <c r="SPL1109" s="15"/>
      <c r="SPO1109" s="15"/>
      <c r="SPP1109" s="15"/>
      <c r="SPS1109" s="15"/>
      <c r="SPT1109" s="15"/>
      <c r="SPW1109" s="15"/>
      <c r="SPX1109" s="15"/>
      <c r="SQA1109" s="15"/>
      <c r="SQB1109" s="15"/>
      <c r="SQE1109" s="15"/>
      <c r="SQF1109" s="15"/>
      <c r="SQI1109" s="15"/>
      <c r="SQJ1109" s="15"/>
      <c r="SQM1109" s="15"/>
      <c r="SQN1109" s="15"/>
      <c r="SQQ1109" s="15"/>
      <c r="SQR1109" s="15"/>
      <c r="SQU1109" s="15"/>
      <c r="SQV1109" s="15"/>
      <c r="SQY1109" s="15"/>
      <c r="SQZ1109" s="15"/>
      <c r="SRC1109" s="15"/>
      <c r="SRD1109" s="15"/>
      <c r="SRG1109" s="15"/>
      <c r="SRH1109" s="15"/>
      <c r="SRK1109" s="15"/>
      <c r="SRL1109" s="15"/>
      <c r="SRO1109" s="15"/>
      <c r="SRP1109" s="15"/>
      <c r="SRS1109" s="15"/>
      <c r="SRT1109" s="15"/>
      <c r="SRW1109" s="15"/>
      <c r="SRX1109" s="15"/>
      <c r="SSA1109" s="15"/>
      <c r="SSB1109" s="15"/>
      <c r="SSE1109" s="15"/>
      <c r="SSF1109" s="15"/>
      <c r="SSI1109" s="15"/>
      <c r="SSJ1109" s="15"/>
      <c r="SSM1109" s="15"/>
      <c r="SSN1109" s="15"/>
      <c r="SSQ1109" s="15"/>
      <c r="SSR1109" s="15"/>
      <c r="SSU1109" s="15"/>
      <c r="SSV1109" s="15"/>
      <c r="SSY1109" s="15"/>
      <c r="SSZ1109" s="15"/>
      <c r="STC1109" s="15"/>
      <c r="STD1109" s="15"/>
      <c r="STG1109" s="15"/>
      <c r="STH1109" s="15"/>
      <c r="STK1109" s="15"/>
      <c r="STL1109" s="15"/>
      <c r="STO1109" s="15"/>
      <c r="STP1109" s="15"/>
      <c r="STS1109" s="15"/>
      <c r="STT1109" s="15"/>
      <c r="STW1109" s="15"/>
      <c r="STX1109" s="15"/>
      <c r="SUA1109" s="15"/>
      <c r="SUB1109" s="15"/>
      <c r="SUE1109" s="15"/>
      <c r="SUF1109" s="15"/>
      <c r="SUI1109" s="15"/>
      <c r="SUJ1109" s="15"/>
      <c r="SUM1109" s="15"/>
      <c r="SUN1109" s="15"/>
      <c r="SUQ1109" s="15"/>
      <c r="SUR1109" s="15"/>
      <c r="SUU1109" s="15"/>
      <c r="SUV1109" s="15"/>
      <c r="SUY1109" s="15"/>
      <c r="SUZ1109" s="15"/>
      <c r="SVC1109" s="15"/>
      <c r="SVD1109" s="15"/>
      <c r="SVG1109" s="15"/>
      <c r="SVH1109" s="15"/>
      <c r="SVK1109" s="15"/>
      <c r="SVL1109" s="15"/>
      <c r="SVO1109" s="15"/>
      <c r="SVP1109" s="15"/>
      <c r="SVS1109" s="15"/>
      <c r="SVT1109" s="15"/>
      <c r="SVW1109" s="15"/>
      <c r="SVX1109" s="15"/>
      <c r="SWA1109" s="15"/>
      <c r="SWB1109" s="15"/>
      <c r="SWE1109" s="15"/>
      <c r="SWF1109" s="15"/>
      <c r="SWI1109" s="15"/>
      <c r="SWJ1109" s="15"/>
      <c r="SWM1109" s="15"/>
      <c r="SWN1109" s="15"/>
      <c r="SWQ1109" s="15"/>
      <c r="SWR1109" s="15"/>
      <c r="SWU1109" s="15"/>
      <c r="SWV1109" s="15"/>
      <c r="SWY1109" s="15"/>
      <c r="SWZ1109" s="15"/>
      <c r="SXC1109" s="15"/>
      <c r="SXD1109" s="15"/>
      <c r="SXG1109" s="15"/>
      <c r="SXH1109" s="15"/>
      <c r="SXK1109" s="15"/>
      <c r="SXL1109" s="15"/>
      <c r="SXO1109" s="15"/>
      <c r="SXP1109" s="15"/>
      <c r="SXS1109" s="15"/>
      <c r="SXT1109" s="15"/>
      <c r="SXW1109" s="15"/>
      <c r="SXX1109" s="15"/>
      <c r="SYA1109" s="15"/>
      <c r="SYB1109" s="15"/>
      <c r="SYE1109" s="15"/>
      <c r="SYF1109" s="15"/>
      <c r="SYI1109" s="15"/>
      <c r="SYJ1109" s="15"/>
      <c r="SYM1109" s="15"/>
      <c r="SYN1109" s="15"/>
      <c r="SYQ1109" s="15"/>
      <c r="SYR1109" s="15"/>
      <c r="SYU1109" s="15"/>
      <c r="SYV1109" s="15"/>
      <c r="SYY1109" s="15"/>
      <c r="SYZ1109" s="15"/>
      <c r="SZC1109" s="15"/>
      <c r="SZD1109" s="15"/>
      <c r="SZG1109" s="15"/>
      <c r="SZH1109" s="15"/>
      <c r="SZK1109" s="15"/>
      <c r="SZL1109" s="15"/>
      <c r="SZO1109" s="15"/>
      <c r="SZP1109" s="15"/>
      <c r="SZS1109" s="15"/>
      <c r="SZT1109" s="15"/>
      <c r="SZW1109" s="15"/>
      <c r="SZX1109" s="15"/>
      <c r="TAA1109" s="15"/>
      <c r="TAB1109" s="15"/>
      <c r="TAE1109" s="15"/>
      <c r="TAF1109" s="15"/>
      <c r="TAI1109" s="15"/>
      <c r="TAJ1109" s="15"/>
      <c r="TAM1109" s="15"/>
      <c r="TAN1109" s="15"/>
      <c r="TAQ1109" s="15"/>
      <c r="TAR1109" s="15"/>
      <c r="TAU1109" s="15"/>
      <c r="TAV1109" s="15"/>
      <c r="TAY1109" s="15"/>
      <c r="TAZ1109" s="15"/>
      <c r="TBC1109" s="15"/>
      <c r="TBD1109" s="15"/>
      <c r="TBG1109" s="15"/>
      <c r="TBH1109" s="15"/>
      <c r="TBK1109" s="15"/>
      <c r="TBL1109" s="15"/>
      <c r="TBO1109" s="15"/>
      <c r="TBP1109" s="15"/>
      <c r="TBS1109" s="15"/>
      <c r="TBT1109" s="15"/>
      <c r="TBW1109" s="15"/>
      <c r="TBX1109" s="15"/>
      <c r="TCA1109" s="15"/>
      <c r="TCB1109" s="15"/>
      <c r="TCE1109" s="15"/>
      <c r="TCF1109" s="15"/>
      <c r="TCI1109" s="15"/>
      <c r="TCJ1109" s="15"/>
      <c r="TCM1109" s="15"/>
      <c r="TCN1109" s="15"/>
      <c r="TCQ1109" s="15"/>
      <c r="TCR1109" s="15"/>
      <c r="TCU1109" s="15"/>
      <c r="TCV1109" s="15"/>
      <c r="TCY1109" s="15"/>
      <c r="TCZ1109" s="15"/>
      <c r="TDC1109" s="15"/>
      <c r="TDD1109" s="15"/>
      <c r="TDG1109" s="15"/>
      <c r="TDH1109" s="15"/>
      <c r="TDK1109" s="15"/>
      <c r="TDL1109" s="15"/>
      <c r="TDO1109" s="15"/>
      <c r="TDP1109" s="15"/>
      <c r="TDS1109" s="15"/>
      <c r="TDT1109" s="15"/>
      <c r="TDW1109" s="15"/>
      <c r="TDX1109" s="15"/>
      <c r="TEA1109" s="15"/>
      <c r="TEB1109" s="15"/>
      <c r="TEE1109" s="15"/>
      <c r="TEF1109" s="15"/>
      <c r="TEI1109" s="15"/>
      <c r="TEJ1109" s="15"/>
      <c r="TEM1109" s="15"/>
      <c r="TEN1109" s="15"/>
      <c r="TEQ1109" s="15"/>
      <c r="TER1109" s="15"/>
      <c r="TEU1109" s="15"/>
      <c r="TEV1109" s="15"/>
      <c r="TEY1109" s="15"/>
      <c r="TEZ1109" s="15"/>
      <c r="TFC1109" s="15"/>
      <c r="TFD1109" s="15"/>
      <c r="TFG1109" s="15"/>
      <c r="TFH1109" s="15"/>
      <c r="TFK1109" s="15"/>
      <c r="TFL1109" s="15"/>
      <c r="TFO1109" s="15"/>
      <c r="TFP1109" s="15"/>
      <c r="TFS1109" s="15"/>
      <c r="TFT1109" s="15"/>
      <c r="TFW1109" s="15"/>
      <c r="TFX1109" s="15"/>
      <c r="TGA1109" s="15"/>
      <c r="TGB1109" s="15"/>
      <c r="TGE1109" s="15"/>
      <c r="TGF1109" s="15"/>
      <c r="TGI1109" s="15"/>
      <c r="TGJ1109" s="15"/>
      <c r="TGM1109" s="15"/>
      <c r="TGN1109" s="15"/>
      <c r="TGQ1109" s="15"/>
      <c r="TGR1109" s="15"/>
      <c r="TGU1109" s="15"/>
      <c r="TGV1109" s="15"/>
      <c r="TGY1109" s="15"/>
      <c r="TGZ1109" s="15"/>
      <c r="THC1109" s="15"/>
      <c r="THD1109" s="15"/>
      <c r="THG1109" s="15"/>
      <c r="THH1109" s="15"/>
      <c r="THK1109" s="15"/>
      <c r="THL1109" s="15"/>
      <c r="THO1109" s="15"/>
      <c r="THP1109" s="15"/>
      <c r="THS1109" s="15"/>
      <c r="THT1109" s="15"/>
      <c r="THW1109" s="15"/>
      <c r="THX1109" s="15"/>
      <c r="TIA1109" s="15"/>
      <c r="TIB1109" s="15"/>
      <c r="TIE1109" s="15"/>
      <c r="TIF1109" s="15"/>
      <c r="TII1109" s="15"/>
      <c r="TIJ1109" s="15"/>
      <c r="TIM1109" s="15"/>
      <c r="TIN1109" s="15"/>
      <c r="TIQ1109" s="15"/>
      <c r="TIR1109" s="15"/>
      <c r="TIU1109" s="15"/>
      <c r="TIV1109" s="15"/>
      <c r="TIY1109" s="15"/>
      <c r="TIZ1109" s="15"/>
      <c r="TJC1109" s="15"/>
      <c r="TJD1109" s="15"/>
      <c r="TJG1109" s="15"/>
      <c r="TJH1109" s="15"/>
      <c r="TJK1109" s="15"/>
      <c r="TJL1109" s="15"/>
      <c r="TJO1109" s="15"/>
      <c r="TJP1109" s="15"/>
      <c r="TJS1109" s="15"/>
      <c r="TJT1109" s="15"/>
      <c r="TJW1109" s="15"/>
      <c r="TJX1109" s="15"/>
      <c r="TKA1109" s="15"/>
      <c r="TKB1109" s="15"/>
      <c r="TKE1109" s="15"/>
      <c r="TKF1109" s="15"/>
      <c r="TKI1109" s="15"/>
      <c r="TKJ1109" s="15"/>
      <c r="TKM1109" s="15"/>
      <c r="TKN1109" s="15"/>
      <c r="TKQ1109" s="15"/>
      <c r="TKR1109" s="15"/>
      <c r="TKU1109" s="15"/>
      <c r="TKV1109" s="15"/>
      <c r="TKY1109" s="15"/>
      <c r="TKZ1109" s="15"/>
      <c r="TLC1109" s="15"/>
      <c r="TLD1109" s="15"/>
      <c r="TLG1109" s="15"/>
      <c r="TLH1109" s="15"/>
      <c r="TLK1109" s="15"/>
      <c r="TLL1109" s="15"/>
      <c r="TLO1109" s="15"/>
      <c r="TLP1109" s="15"/>
      <c r="TLS1109" s="15"/>
      <c r="TLT1109" s="15"/>
      <c r="TLW1109" s="15"/>
      <c r="TLX1109" s="15"/>
      <c r="TMA1109" s="15"/>
      <c r="TMB1109" s="15"/>
      <c r="TME1109" s="15"/>
      <c r="TMF1109" s="15"/>
      <c r="TMI1109" s="15"/>
      <c r="TMJ1109" s="15"/>
      <c r="TMM1109" s="15"/>
      <c r="TMN1109" s="15"/>
      <c r="TMQ1109" s="15"/>
      <c r="TMR1109" s="15"/>
      <c r="TMU1109" s="15"/>
      <c r="TMV1109" s="15"/>
      <c r="TMY1109" s="15"/>
      <c r="TMZ1109" s="15"/>
      <c r="TNC1109" s="15"/>
      <c r="TND1109" s="15"/>
      <c r="TNG1109" s="15"/>
      <c r="TNH1109" s="15"/>
      <c r="TNK1109" s="15"/>
      <c r="TNL1109" s="15"/>
      <c r="TNO1109" s="15"/>
      <c r="TNP1109" s="15"/>
      <c r="TNS1109" s="15"/>
      <c r="TNT1109" s="15"/>
      <c r="TNW1109" s="15"/>
      <c r="TNX1109" s="15"/>
      <c r="TOA1109" s="15"/>
      <c r="TOB1109" s="15"/>
      <c r="TOE1109" s="15"/>
      <c r="TOF1109" s="15"/>
      <c r="TOI1109" s="15"/>
      <c r="TOJ1109" s="15"/>
      <c r="TOM1109" s="15"/>
      <c r="TON1109" s="15"/>
      <c r="TOQ1109" s="15"/>
      <c r="TOR1109" s="15"/>
      <c r="TOU1109" s="15"/>
      <c r="TOV1109" s="15"/>
      <c r="TOY1109" s="15"/>
      <c r="TOZ1109" s="15"/>
      <c r="TPC1109" s="15"/>
      <c r="TPD1109" s="15"/>
      <c r="TPG1109" s="15"/>
      <c r="TPH1109" s="15"/>
      <c r="TPK1109" s="15"/>
      <c r="TPL1109" s="15"/>
      <c r="TPO1109" s="15"/>
      <c r="TPP1109" s="15"/>
      <c r="TPS1109" s="15"/>
      <c r="TPT1109" s="15"/>
      <c r="TPW1109" s="15"/>
      <c r="TPX1109" s="15"/>
      <c r="TQA1109" s="15"/>
      <c r="TQB1109" s="15"/>
      <c r="TQE1109" s="15"/>
      <c r="TQF1109" s="15"/>
      <c r="TQI1109" s="15"/>
      <c r="TQJ1109" s="15"/>
      <c r="TQM1109" s="15"/>
      <c r="TQN1109" s="15"/>
      <c r="TQQ1109" s="15"/>
      <c r="TQR1109" s="15"/>
      <c r="TQU1109" s="15"/>
      <c r="TQV1109" s="15"/>
      <c r="TQY1109" s="15"/>
      <c r="TQZ1109" s="15"/>
      <c r="TRC1109" s="15"/>
      <c r="TRD1109" s="15"/>
      <c r="TRG1109" s="15"/>
      <c r="TRH1109" s="15"/>
      <c r="TRK1109" s="15"/>
      <c r="TRL1109" s="15"/>
      <c r="TRO1109" s="15"/>
      <c r="TRP1109" s="15"/>
      <c r="TRS1109" s="15"/>
      <c r="TRT1109" s="15"/>
      <c r="TRW1109" s="15"/>
      <c r="TRX1109" s="15"/>
      <c r="TSA1109" s="15"/>
      <c r="TSB1109" s="15"/>
      <c r="TSE1109" s="15"/>
      <c r="TSF1109" s="15"/>
      <c r="TSI1109" s="15"/>
      <c r="TSJ1109" s="15"/>
      <c r="TSM1109" s="15"/>
      <c r="TSN1109" s="15"/>
      <c r="TSQ1109" s="15"/>
      <c r="TSR1109" s="15"/>
      <c r="TSU1109" s="15"/>
      <c r="TSV1109" s="15"/>
      <c r="TSY1109" s="15"/>
      <c r="TSZ1109" s="15"/>
      <c r="TTC1109" s="15"/>
      <c r="TTD1109" s="15"/>
      <c r="TTG1109" s="15"/>
      <c r="TTH1109" s="15"/>
      <c r="TTK1109" s="15"/>
      <c r="TTL1109" s="15"/>
      <c r="TTO1109" s="15"/>
      <c r="TTP1109" s="15"/>
      <c r="TTS1109" s="15"/>
      <c r="TTT1109" s="15"/>
      <c r="TTW1109" s="15"/>
      <c r="TTX1109" s="15"/>
      <c r="TUA1109" s="15"/>
      <c r="TUB1109" s="15"/>
      <c r="TUE1109" s="15"/>
      <c r="TUF1109" s="15"/>
      <c r="TUI1109" s="15"/>
      <c r="TUJ1109" s="15"/>
      <c r="TUM1109" s="15"/>
      <c r="TUN1109" s="15"/>
      <c r="TUQ1109" s="15"/>
      <c r="TUR1109" s="15"/>
      <c r="TUU1109" s="15"/>
      <c r="TUV1109" s="15"/>
      <c r="TUY1109" s="15"/>
      <c r="TUZ1109" s="15"/>
      <c r="TVC1109" s="15"/>
      <c r="TVD1109" s="15"/>
      <c r="TVG1109" s="15"/>
      <c r="TVH1109" s="15"/>
      <c r="TVK1109" s="15"/>
      <c r="TVL1109" s="15"/>
      <c r="TVO1109" s="15"/>
      <c r="TVP1109" s="15"/>
      <c r="TVS1109" s="15"/>
      <c r="TVT1109" s="15"/>
      <c r="TVW1109" s="15"/>
      <c r="TVX1109" s="15"/>
      <c r="TWA1109" s="15"/>
      <c r="TWB1109" s="15"/>
      <c r="TWE1109" s="15"/>
      <c r="TWF1109" s="15"/>
      <c r="TWI1109" s="15"/>
      <c r="TWJ1109" s="15"/>
      <c r="TWM1109" s="15"/>
      <c r="TWN1109" s="15"/>
      <c r="TWQ1109" s="15"/>
      <c r="TWR1109" s="15"/>
      <c r="TWU1109" s="15"/>
      <c r="TWV1109" s="15"/>
      <c r="TWY1109" s="15"/>
      <c r="TWZ1109" s="15"/>
      <c r="TXC1109" s="15"/>
      <c r="TXD1109" s="15"/>
      <c r="TXG1109" s="15"/>
      <c r="TXH1109" s="15"/>
      <c r="TXK1109" s="15"/>
      <c r="TXL1109" s="15"/>
      <c r="TXO1109" s="15"/>
      <c r="TXP1109" s="15"/>
      <c r="TXS1109" s="15"/>
      <c r="TXT1109" s="15"/>
      <c r="TXW1109" s="15"/>
      <c r="TXX1109" s="15"/>
      <c r="TYA1109" s="15"/>
      <c r="TYB1109" s="15"/>
      <c r="TYE1109" s="15"/>
      <c r="TYF1109" s="15"/>
      <c r="TYI1109" s="15"/>
      <c r="TYJ1109" s="15"/>
      <c r="TYM1109" s="15"/>
      <c r="TYN1109" s="15"/>
      <c r="TYQ1109" s="15"/>
      <c r="TYR1109" s="15"/>
      <c r="TYU1109" s="15"/>
      <c r="TYV1109" s="15"/>
      <c r="TYY1109" s="15"/>
      <c r="TYZ1109" s="15"/>
      <c r="TZC1109" s="15"/>
      <c r="TZD1109" s="15"/>
      <c r="TZG1109" s="15"/>
      <c r="TZH1109" s="15"/>
      <c r="TZK1109" s="15"/>
      <c r="TZL1109" s="15"/>
      <c r="TZO1109" s="15"/>
      <c r="TZP1109" s="15"/>
      <c r="TZS1109" s="15"/>
      <c r="TZT1109" s="15"/>
      <c r="TZW1109" s="15"/>
      <c r="TZX1109" s="15"/>
      <c r="UAA1109" s="15"/>
      <c r="UAB1109" s="15"/>
      <c r="UAE1109" s="15"/>
      <c r="UAF1109" s="15"/>
      <c r="UAI1109" s="15"/>
      <c r="UAJ1109" s="15"/>
      <c r="UAM1109" s="15"/>
      <c r="UAN1109" s="15"/>
      <c r="UAQ1109" s="15"/>
      <c r="UAR1109" s="15"/>
      <c r="UAU1109" s="15"/>
      <c r="UAV1109" s="15"/>
      <c r="UAY1109" s="15"/>
      <c r="UAZ1109" s="15"/>
      <c r="UBC1109" s="15"/>
      <c r="UBD1109" s="15"/>
      <c r="UBG1109" s="15"/>
      <c r="UBH1109" s="15"/>
      <c r="UBK1109" s="15"/>
      <c r="UBL1109" s="15"/>
      <c r="UBO1109" s="15"/>
      <c r="UBP1109" s="15"/>
      <c r="UBS1109" s="15"/>
      <c r="UBT1109" s="15"/>
      <c r="UBW1109" s="15"/>
      <c r="UBX1109" s="15"/>
      <c r="UCA1109" s="15"/>
      <c r="UCB1109" s="15"/>
      <c r="UCE1109" s="15"/>
      <c r="UCF1109" s="15"/>
      <c r="UCI1109" s="15"/>
      <c r="UCJ1109" s="15"/>
      <c r="UCM1109" s="15"/>
      <c r="UCN1109" s="15"/>
      <c r="UCQ1109" s="15"/>
      <c r="UCR1109" s="15"/>
      <c r="UCU1109" s="15"/>
      <c r="UCV1109" s="15"/>
      <c r="UCY1109" s="15"/>
      <c r="UCZ1109" s="15"/>
      <c r="UDC1109" s="15"/>
      <c r="UDD1109" s="15"/>
      <c r="UDG1109" s="15"/>
      <c r="UDH1109" s="15"/>
      <c r="UDK1109" s="15"/>
      <c r="UDL1109" s="15"/>
      <c r="UDO1109" s="15"/>
      <c r="UDP1109" s="15"/>
      <c r="UDS1109" s="15"/>
      <c r="UDT1109" s="15"/>
      <c r="UDW1109" s="15"/>
      <c r="UDX1109" s="15"/>
      <c r="UEA1109" s="15"/>
      <c r="UEB1109" s="15"/>
      <c r="UEE1109" s="15"/>
      <c r="UEF1109" s="15"/>
      <c r="UEI1109" s="15"/>
      <c r="UEJ1109" s="15"/>
      <c r="UEM1109" s="15"/>
      <c r="UEN1109" s="15"/>
      <c r="UEQ1109" s="15"/>
      <c r="UER1109" s="15"/>
      <c r="UEU1109" s="15"/>
      <c r="UEV1109" s="15"/>
      <c r="UEY1109" s="15"/>
      <c r="UEZ1109" s="15"/>
      <c r="UFC1109" s="15"/>
      <c r="UFD1109" s="15"/>
      <c r="UFG1109" s="15"/>
      <c r="UFH1109" s="15"/>
      <c r="UFK1109" s="15"/>
      <c r="UFL1109" s="15"/>
      <c r="UFO1109" s="15"/>
      <c r="UFP1109" s="15"/>
      <c r="UFS1109" s="15"/>
      <c r="UFT1109" s="15"/>
      <c r="UFW1109" s="15"/>
      <c r="UFX1109" s="15"/>
      <c r="UGA1109" s="15"/>
      <c r="UGB1109" s="15"/>
      <c r="UGE1109" s="15"/>
      <c r="UGF1109" s="15"/>
      <c r="UGI1109" s="15"/>
      <c r="UGJ1109" s="15"/>
      <c r="UGM1109" s="15"/>
      <c r="UGN1109" s="15"/>
      <c r="UGQ1109" s="15"/>
      <c r="UGR1109" s="15"/>
      <c r="UGU1109" s="15"/>
      <c r="UGV1109" s="15"/>
      <c r="UGY1109" s="15"/>
      <c r="UGZ1109" s="15"/>
      <c r="UHC1109" s="15"/>
      <c r="UHD1109" s="15"/>
      <c r="UHG1109" s="15"/>
      <c r="UHH1109" s="15"/>
      <c r="UHK1109" s="15"/>
      <c r="UHL1109" s="15"/>
      <c r="UHO1109" s="15"/>
      <c r="UHP1109" s="15"/>
      <c r="UHS1109" s="15"/>
      <c r="UHT1109" s="15"/>
      <c r="UHW1109" s="15"/>
      <c r="UHX1109" s="15"/>
      <c r="UIA1109" s="15"/>
      <c r="UIB1109" s="15"/>
      <c r="UIE1109" s="15"/>
      <c r="UIF1109" s="15"/>
      <c r="UII1109" s="15"/>
      <c r="UIJ1109" s="15"/>
      <c r="UIM1109" s="15"/>
      <c r="UIN1109" s="15"/>
      <c r="UIQ1109" s="15"/>
      <c r="UIR1109" s="15"/>
      <c r="UIU1109" s="15"/>
      <c r="UIV1109" s="15"/>
      <c r="UIY1109" s="15"/>
      <c r="UIZ1109" s="15"/>
      <c r="UJC1109" s="15"/>
      <c r="UJD1109" s="15"/>
      <c r="UJG1109" s="15"/>
      <c r="UJH1109" s="15"/>
      <c r="UJK1109" s="15"/>
      <c r="UJL1109" s="15"/>
      <c r="UJO1109" s="15"/>
      <c r="UJP1109" s="15"/>
      <c r="UJS1109" s="15"/>
      <c r="UJT1109" s="15"/>
      <c r="UJW1109" s="15"/>
      <c r="UJX1109" s="15"/>
      <c r="UKA1109" s="15"/>
      <c r="UKB1109" s="15"/>
      <c r="UKE1109" s="15"/>
      <c r="UKF1109" s="15"/>
      <c r="UKI1109" s="15"/>
      <c r="UKJ1109" s="15"/>
      <c r="UKM1109" s="15"/>
      <c r="UKN1109" s="15"/>
      <c r="UKQ1109" s="15"/>
      <c r="UKR1109" s="15"/>
      <c r="UKU1109" s="15"/>
      <c r="UKV1109" s="15"/>
      <c r="UKY1109" s="15"/>
      <c r="UKZ1109" s="15"/>
      <c r="ULC1109" s="15"/>
      <c r="ULD1109" s="15"/>
      <c r="ULG1109" s="15"/>
      <c r="ULH1109" s="15"/>
      <c r="ULK1109" s="15"/>
      <c r="ULL1109" s="15"/>
      <c r="ULO1109" s="15"/>
      <c r="ULP1109" s="15"/>
      <c r="ULS1109" s="15"/>
      <c r="ULT1109" s="15"/>
      <c r="ULW1109" s="15"/>
      <c r="ULX1109" s="15"/>
      <c r="UMA1109" s="15"/>
      <c r="UMB1109" s="15"/>
      <c r="UME1109" s="15"/>
      <c r="UMF1109" s="15"/>
      <c r="UMI1109" s="15"/>
      <c r="UMJ1109" s="15"/>
      <c r="UMM1109" s="15"/>
      <c r="UMN1109" s="15"/>
      <c r="UMQ1109" s="15"/>
      <c r="UMR1109" s="15"/>
      <c r="UMU1109" s="15"/>
      <c r="UMV1109" s="15"/>
      <c r="UMY1109" s="15"/>
      <c r="UMZ1109" s="15"/>
      <c r="UNC1109" s="15"/>
      <c r="UND1109" s="15"/>
      <c r="UNG1109" s="15"/>
      <c r="UNH1109" s="15"/>
      <c r="UNK1109" s="15"/>
      <c r="UNL1109" s="15"/>
      <c r="UNO1109" s="15"/>
      <c r="UNP1109" s="15"/>
      <c r="UNS1109" s="15"/>
      <c r="UNT1109" s="15"/>
      <c r="UNW1109" s="15"/>
      <c r="UNX1109" s="15"/>
      <c r="UOA1109" s="15"/>
      <c r="UOB1109" s="15"/>
      <c r="UOE1109" s="15"/>
      <c r="UOF1109" s="15"/>
      <c r="UOI1109" s="15"/>
      <c r="UOJ1109" s="15"/>
      <c r="UOM1109" s="15"/>
      <c r="UON1109" s="15"/>
      <c r="UOQ1109" s="15"/>
      <c r="UOR1109" s="15"/>
      <c r="UOU1109" s="15"/>
      <c r="UOV1109" s="15"/>
      <c r="UOY1109" s="15"/>
      <c r="UOZ1109" s="15"/>
      <c r="UPC1109" s="15"/>
      <c r="UPD1109" s="15"/>
      <c r="UPG1109" s="15"/>
      <c r="UPH1109" s="15"/>
      <c r="UPK1109" s="15"/>
      <c r="UPL1109" s="15"/>
      <c r="UPO1109" s="15"/>
      <c r="UPP1109" s="15"/>
      <c r="UPS1109" s="15"/>
      <c r="UPT1109" s="15"/>
      <c r="UPW1109" s="15"/>
      <c r="UPX1109" s="15"/>
      <c r="UQA1109" s="15"/>
      <c r="UQB1109" s="15"/>
      <c r="UQE1109" s="15"/>
      <c r="UQF1109" s="15"/>
      <c r="UQI1109" s="15"/>
      <c r="UQJ1109" s="15"/>
      <c r="UQM1109" s="15"/>
      <c r="UQN1109" s="15"/>
      <c r="UQQ1109" s="15"/>
      <c r="UQR1109" s="15"/>
      <c r="UQU1109" s="15"/>
      <c r="UQV1109" s="15"/>
      <c r="UQY1109" s="15"/>
      <c r="UQZ1109" s="15"/>
      <c r="URC1109" s="15"/>
      <c r="URD1109" s="15"/>
      <c r="URG1109" s="15"/>
      <c r="URH1109" s="15"/>
      <c r="URK1109" s="15"/>
      <c r="URL1109" s="15"/>
      <c r="URO1109" s="15"/>
      <c r="URP1109" s="15"/>
      <c r="URS1109" s="15"/>
      <c r="URT1109" s="15"/>
      <c r="URW1109" s="15"/>
      <c r="URX1109" s="15"/>
      <c r="USA1109" s="15"/>
      <c r="USB1109" s="15"/>
      <c r="USE1109" s="15"/>
      <c r="USF1109" s="15"/>
      <c r="USI1109" s="15"/>
      <c r="USJ1109" s="15"/>
      <c r="USM1109" s="15"/>
      <c r="USN1109" s="15"/>
      <c r="USQ1109" s="15"/>
      <c r="USR1109" s="15"/>
      <c r="USU1109" s="15"/>
      <c r="USV1109" s="15"/>
      <c r="USY1109" s="15"/>
      <c r="USZ1109" s="15"/>
      <c r="UTC1109" s="15"/>
      <c r="UTD1109" s="15"/>
      <c r="UTG1109" s="15"/>
      <c r="UTH1109" s="15"/>
      <c r="UTK1109" s="15"/>
      <c r="UTL1109" s="15"/>
      <c r="UTO1109" s="15"/>
      <c r="UTP1109" s="15"/>
      <c r="UTS1109" s="15"/>
      <c r="UTT1109" s="15"/>
      <c r="UTW1109" s="15"/>
      <c r="UTX1109" s="15"/>
      <c r="UUA1109" s="15"/>
      <c r="UUB1109" s="15"/>
      <c r="UUE1109" s="15"/>
      <c r="UUF1109" s="15"/>
      <c r="UUI1109" s="15"/>
      <c r="UUJ1109" s="15"/>
      <c r="UUM1109" s="15"/>
      <c r="UUN1109" s="15"/>
      <c r="UUQ1109" s="15"/>
      <c r="UUR1109" s="15"/>
      <c r="UUU1109" s="15"/>
      <c r="UUV1109" s="15"/>
      <c r="UUY1109" s="15"/>
      <c r="UUZ1109" s="15"/>
      <c r="UVC1109" s="15"/>
      <c r="UVD1109" s="15"/>
      <c r="UVG1109" s="15"/>
      <c r="UVH1109" s="15"/>
      <c r="UVK1109" s="15"/>
      <c r="UVL1109" s="15"/>
      <c r="UVO1109" s="15"/>
      <c r="UVP1109" s="15"/>
      <c r="UVS1109" s="15"/>
      <c r="UVT1109" s="15"/>
      <c r="UVW1109" s="15"/>
      <c r="UVX1109" s="15"/>
      <c r="UWA1109" s="15"/>
      <c r="UWB1109" s="15"/>
      <c r="UWE1109" s="15"/>
      <c r="UWF1109" s="15"/>
      <c r="UWI1109" s="15"/>
      <c r="UWJ1109" s="15"/>
      <c r="UWM1109" s="15"/>
      <c r="UWN1109" s="15"/>
      <c r="UWQ1109" s="15"/>
      <c r="UWR1109" s="15"/>
      <c r="UWU1109" s="15"/>
      <c r="UWV1109" s="15"/>
      <c r="UWY1109" s="15"/>
      <c r="UWZ1109" s="15"/>
      <c r="UXC1109" s="15"/>
      <c r="UXD1109" s="15"/>
      <c r="UXG1109" s="15"/>
      <c r="UXH1109" s="15"/>
      <c r="UXK1109" s="15"/>
      <c r="UXL1109" s="15"/>
      <c r="UXO1109" s="15"/>
      <c r="UXP1109" s="15"/>
      <c r="UXS1109" s="15"/>
      <c r="UXT1109" s="15"/>
      <c r="UXW1109" s="15"/>
      <c r="UXX1109" s="15"/>
      <c r="UYA1109" s="15"/>
      <c r="UYB1109" s="15"/>
      <c r="UYE1109" s="15"/>
      <c r="UYF1109" s="15"/>
      <c r="UYI1109" s="15"/>
      <c r="UYJ1109" s="15"/>
      <c r="UYM1109" s="15"/>
      <c r="UYN1109" s="15"/>
      <c r="UYQ1109" s="15"/>
      <c r="UYR1109" s="15"/>
      <c r="UYU1109" s="15"/>
      <c r="UYV1109" s="15"/>
      <c r="UYY1109" s="15"/>
      <c r="UYZ1109" s="15"/>
      <c r="UZC1109" s="15"/>
      <c r="UZD1109" s="15"/>
      <c r="UZG1109" s="15"/>
      <c r="UZH1109" s="15"/>
      <c r="UZK1109" s="15"/>
      <c r="UZL1109" s="15"/>
      <c r="UZO1109" s="15"/>
      <c r="UZP1109" s="15"/>
      <c r="UZS1109" s="15"/>
      <c r="UZT1109" s="15"/>
      <c r="UZW1109" s="15"/>
      <c r="UZX1109" s="15"/>
      <c r="VAA1109" s="15"/>
      <c r="VAB1109" s="15"/>
      <c r="VAE1109" s="15"/>
      <c r="VAF1109" s="15"/>
      <c r="VAI1109" s="15"/>
      <c r="VAJ1109" s="15"/>
      <c r="VAM1109" s="15"/>
      <c r="VAN1109" s="15"/>
      <c r="VAQ1109" s="15"/>
      <c r="VAR1109" s="15"/>
      <c r="VAU1109" s="15"/>
      <c r="VAV1109" s="15"/>
      <c r="VAY1109" s="15"/>
      <c r="VAZ1109" s="15"/>
      <c r="VBC1109" s="15"/>
      <c r="VBD1109" s="15"/>
      <c r="VBG1109" s="15"/>
      <c r="VBH1109" s="15"/>
      <c r="VBK1109" s="15"/>
      <c r="VBL1109" s="15"/>
      <c r="VBO1109" s="15"/>
      <c r="VBP1109" s="15"/>
      <c r="VBS1109" s="15"/>
      <c r="VBT1109" s="15"/>
      <c r="VBW1109" s="15"/>
      <c r="VBX1109" s="15"/>
      <c r="VCA1109" s="15"/>
      <c r="VCB1109" s="15"/>
      <c r="VCE1109" s="15"/>
      <c r="VCF1109" s="15"/>
      <c r="VCI1109" s="15"/>
      <c r="VCJ1109" s="15"/>
      <c r="VCM1109" s="15"/>
      <c r="VCN1109" s="15"/>
      <c r="VCQ1109" s="15"/>
      <c r="VCR1109" s="15"/>
      <c r="VCU1109" s="15"/>
      <c r="VCV1109" s="15"/>
      <c r="VCY1109" s="15"/>
      <c r="VCZ1109" s="15"/>
      <c r="VDC1109" s="15"/>
      <c r="VDD1109" s="15"/>
      <c r="VDG1109" s="15"/>
      <c r="VDH1109" s="15"/>
      <c r="VDK1109" s="15"/>
      <c r="VDL1109" s="15"/>
      <c r="VDO1109" s="15"/>
      <c r="VDP1109" s="15"/>
      <c r="VDS1109" s="15"/>
      <c r="VDT1109" s="15"/>
      <c r="VDW1109" s="15"/>
      <c r="VDX1109" s="15"/>
      <c r="VEA1109" s="15"/>
      <c r="VEB1109" s="15"/>
      <c r="VEE1109" s="15"/>
      <c r="VEF1109" s="15"/>
      <c r="VEI1109" s="15"/>
      <c r="VEJ1109" s="15"/>
      <c r="VEM1109" s="15"/>
      <c r="VEN1109" s="15"/>
      <c r="VEQ1109" s="15"/>
      <c r="VER1109" s="15"/>
      <c r="VEU1109" s="15"/>
      <c r="VEV1109" s="15"/>
      <c r="VEY1109" s="15"/>
      <c r="VEZ1109" s="15"/>
      <c r="VFC1109" s="15"/>
      <c r="VFD1109" s="15"/>
      <c r="VFG1109" s="15"/>
      <c r="VFH1109" s="15"/>
      <c r="VFK1109" s="15"/>
      <c r="VFL1109" s="15"/>
      <c r="VFO1109" s="15"/>
      <c r="VFP1109" s="15"/>
      <c r="VFS1109" s="15"/>
      <c r="VFT1109" s="15"/>
      <c r="VFW1109" s="15"/>
      <c r="VFX1109" s="15"/>
      <c r="VGA1109" s="15"/>
      <c r="VGB1109" s="15"/>
      <c r="VGE1109" s="15"/>
      <c r="VGF1109" s="15"/>
      <c r="VGI1109" s="15"/>
      <c r="VGJ1109" s="15"/>
      <c r="VGM1109" s="15"/>
      <c r="VGN1109" s="15"/>
      <c r="VGQ1109" s="15"/>
      <c r="VGR1109" s="15"/>
      <c r="VGU1109" s="15"/>
      <c r="VGV1109" s="15"/>
      <c r="VGY1109" s="15"/>
      <c r="VGZ1109" s="15"/>
      <c r="VHC1109" s="15"/>
      <c r="VHD1109" s="15"/>
      <c r="VHG1109" s="15"/>
      <c r="VHH1109" s="15"/>
      <c r="VHK1109" s="15"/>
      <c r="VHL1109" s="15"/>
      <c r="VHO1109" s="15"/>
      <c r="VHP1109" s="15"/>
      <c r="VHS1109" s="15"/>
      <c r="VHT1109" s="15"/>
      <c r="VHW1109" s="15"/>
      <c r="VHX1109" s="15"/>
      <c r="VIA1109" s="15"/>
      <c r="VIB1109" s="15"/>
      <c r="VIE1109" s="15"/>
      <c r="VIF1109" s="15"/>
      <c r="VII1109" s="15"/>
      <c r="VIJ1109" s="15"/>
      <c r="VIM1109" s="15"/>
      <c r="VIN1109" s="15"/>
      <c r="VIQ1109" s="15"/>
      <c r="VIR1109" s="15"/>
      <c r="VIU1109" s="15"/>
      <c r="VIV1109" s="15"/>
      <c r="VIY1109" s="15"/>
      <c r="VIZ1109" s="15"/>
      <c r="VJC1109" s="15"/>
      <c r="VJD1109" s="15"/>
      <c r="VJG1109" s="15"/>
      <c r="VJH1109" s="15"/>
      <c r="VJK1109" s="15"/>
      <c r="VJL1109" s="15"/>
      <c r="VJO1109" s="15"/>
      <c r="VJP1109" s="15"/>
      <c r="VJS1109" s="15"/>
      <c r="VJT1109" s="15"/>
      <c r="VJW1109" s="15"/>
      <c r="VJX1109" s="15"/>
      <c r="VKA1109" s="15"/>
      <c r="VKB1109" s="15"/>
      <c r="VKE1109" s="15"/>
      <c r="VKF1109" s="15"/>
      <c r="VKI1109" s="15"/>
      <c r="VKJ1109" s="15"/>
      <c r="VKM1109" s="15"/>
      <c r="VKN1109" s="15"/>
      <c r="VKQ1109" s="15"/>
      <c r="VKR1109" s="15"/>
      <c r="VKU1109" s="15"/>
      <c r="VKV1109" s="15"/>
      <c r="VKY1109" s="15"/>
      <c r="VKZ1109" s="15"/>
      <c r="VLC1109" s="15"/>
      <c r="VLD1109" s="15"/>
      <c r="VLG1109" s="15"/>
      <c r="VLH1109" s="15"/>
      <c r="VLK1109" s="15"/>
      <c r="VLL1109" s="15"/>
      <c r="VLO1109" s="15"/>
      <c r="VLP1109" s="15"/>
      <c r="VLS1109" s="15"/>
      <c r="VLT1109" s="15"/>
      <c r="VLW1109" s="15"/>
      <c r="VLX1109" s="15"/>
      <c r="VMA1109" s="15"/>
      <c r="VMB1109" s="15"/>
      <c r="VME1109" s="15"/>
      <c r="VMF1109" s="15"/>
      <c r="VMI1109" s="15"/>
      <c r="VMJ1109" s="15"/>
      <c r="VMM1109" s="15"/>
      <c r="VMN1109" s="15"/>
      <c r="VMQ1109" s="15"/>
      <c r="VMR1109" s="15"/>
      <c r="VMU1109" s="15"/>
      <c r="VMV1109" s="15"/>
      <c r="VMY1109" s="15"/>
      <c r="VMZ1109" s="15"/>
      <c r="VNC1109" s="15"/>
      <c r="VND1109" s="15"/>
      <c r="VNG1109" s="15"/>
      <c r="VNH1109" s="15"/>
      <c r="VNK1109" s="15"/>
      <c r="VNL1109" s="15"/>
      <c r="VNO1109" s="15"/>
      <c r="VNP1109" s="15"/>
      <c r="VNS1109" s="15"/>
      <c r="VNT1109" s="15"/>
      <c r="VNW1109" s="15"/>
      <c r="VNX1109" s="15"/>
      <c r="VOA1109" s="15"/>
      <c r="VOB1109" s="15"/>
      <c r="VOE1109" s="15"/>
      <c r="VOF1109" s="15"/>
      <c r="VOI1109" s="15"/>
      <c r="VOJ1109" s="15"/>
      <c r="VOM1109" s="15"/>
      <c r="VON1109" s="15"/>
      <c r="VOQ1109" s="15"/>
      <c r="VOR1109" s="15"/>
      <c r="VOU1109" s="15"/>
      <c r="VOV1109" s="15"/>
      <c r="VOY1109" s="15"/>
      <c r="VOZ1109" s="15"/>
      <c r="VPC1109" s="15"/>
      <c r="VPD1109" s="15"/>
      <c r="VPG1109" s="15"/>
      <c r="VPH1109" s="15"/>
      <c r="VPK1109" s="15"/>
      <c r="VPL1109" s="15"/>
      <c r="VPO1109" s="15"/>
      <c r="VPP1109" s="15"/>
      <c r="VPS1109" s="15"/>
      <c r="VPT1109" s="15"/>
      <c r="VPW1109" s="15"/>
      <c r="VPX1109" s="15"/>
      <c r="VQA1109" s="15"/>
      <c r="VQB1109" s="15"/>
      <c r="VQE1109" s="15"/>
      <c r="VQF1109" s="15"/>
      <c r="VQI1109" s="15"/>
      <c r="VQJ1109" s="15"/>
      <c r="VQM1109" s="15"/>
      <c r="VQN1109" s="15"/>
      <c r="VQQ1109" s="15"/>
      <c r="VQR1109" s="15"/>
      <c r="VQU1109" s="15"/>
      <c r="VQV1109" s="15"/>
      <c r="VQY1109" s="15"/>
      <c r="VQZ1109" s="15"/>
      <c r="VRC1109" s="15"/>
      <c r="VRD1109" s="15"/>
      <c r="VRG1109" s="15"/>
      <c r="VRH1109" s="15"/>
      <c r="VRK1109" s="15"/>
      <c r="VRL1109" s="15"/>
      <c r="VRO1109" s="15"/>
      <c r="VRP1109" s="15"/>
      <c r="VRS1109" s="15"/>
      <c r="VRT1109" s="15"/>
      <c r="VRW1109" s="15"/>
      <c r="VRX1109" s="15"/>
      <c r="VSA1109" s="15"/>
      <c r="VSB1109" s="15"/>
      <c r="VSE1109" s="15"/>
      <c r="VSF1109" s="15"/>
      <c r="VSI1109" s="15"/>
      <c r="VSJ1109" s="15"/>
      <c r="VSM1109" s="15"/>
      <c r="VSN1109" s="15"/>
      <c r="VSQ1109" s="15"/>
      <c r="VSR1109" s="15"/>
      <c r="VSU1109" s="15"/>
      <c r="VSV1109" s="15"/>
      <c r="VSY1109" s="15"/>
      <c r="VSZ1109" s="15"/>
      <c r="VTC1109" s="15"/>
      <c r="VTD1109" s="15"/>
      <c r="VTG1109" s="15"/>
      <c r="VTH1109" s="15"/>
      <c r="VTK1109" s="15"/>
      <c r="VTL1109" s="15"/>
      <c r="VTO1109" s="15"/>
      <c r="VTP1109" s="15"/>
      <c r="VTS1109" s="15"/>
      <c r="VTT1109" s="15"/>
      <c r="VTW1109" s="15"/>
      <c r="VTX1109" s="15"/>
      <c r="VUA1109" s="15"/>
      <c r="VUB1109" s="15"/>
      <c r="VUE1109" s="15"/>
      <c r="VUF1109" s="15"/>
      <c r="VUI1109" s="15"/>
      <c r="VUJ1109" s="15"/>
      <c r="VUM1109" s="15"/>
      <c r="VUN1109" s="15"/>
      <c r="VUQ1109" s="15"/>
      <c r="VUR1109" s="15"/>
      <c r="VUU1109" s="15"/>
      <c r="VUV1109" s="15"/>
      <c r="VUY1109" s="15"/>
      <c r="VUZ1109" s="15"/>
      <c r="VVC1109" s="15"/>
      <c r="VVD1109" s="15"/>
      <c r="VVG1109" s="15"/>
      <c r="VVH1109" s="15"/>
      <c r="VVK1109" s="15"/>
      <c r="VVL1109" s="15"/>
      <c r="VVO1109" s="15"/>
      <c r="VVP1109" s="15"/>
      <c r="VVS1109" s="15"/>
      <c r="VVT1109" s="15"/>
      <c r="VVW1109" s="15"/>
      <c r="VVX1109" s="15"/>
      <c r="VWA1109" s="15"/>
      <c r="VWB1109" s="15"/>
      <c r="VWE1109" s="15"/>
      <c r="VWF1109" s="15"/>
      <c r="VWI1109" s="15"/>
      <c r="VWJ1109" s="15"/>
      <c r="VWM1109" s="15"/>
      <c r="VWN1109" s="15"/>
      <c r="VWQ1109" s="15"/>
      <c r="VWR1109" s="15"/>
      <c r="VWU1109" s="15"/>
      <c r="VWV1109" s="15"/>
      <c r="VWY1109" s="15"/>
      <c r="VWZ1109" s="15"/>
      <c r="VXC1109" s="15"/>
      <c r="VXD1109" s="15"/>
      <c r="VXG1109" s="15"/>
      <c r="VXH1109" s="15"/>
      <c r="VXK1109" s="15"/>
      <c r="VXL1109" s="15"/>
      <c r="VXO1109" s="15"/>
      <c r="VXP1109" s="15"/>
      <c r="VXS1109" s="15"/>
      <c r="VXT1109" s="15"/>
      <c r="VXW1109" s="15"/>
      <c r="VXX1109" s="15"/>
      <c r="VYA1109" s="15"/>
      <c r="VYB1109" s="15"/>
      <c r="VYE1109" s="15"/>
      <c r="VYF1109" s="15"/>
      <c r="VYI1109" s="15"/>
      <c r="VYJ1109" s="15"/>
      <c r="VYM1109" s="15"/>
      <c r="VYN1109" s="15"/>
      <c r="VYQ1109" s="15"/>
      <c r="VYR1109" s="15"/>
      <c r="VYU1109" s="15"/>
      <c r="VYV1109" s="15"/>
      <c r="VYY1109" s="15"/>
      <c r="VYZ1109" s="15"/>
      <c r="VZC1109" s="15"/>
      <c r="VZD1109" s="15"/>
      <c r="VZG1109" s="15"/>
      <c r="VZH1109" s="15"/>
      <c r="VZK1109" s="15"/>
      <c r="VZL1109" s="15"/>
      <c r="VZO1109" s="15"/>
      <c r="VZP1109" s="15"/>
      <c r="VZS1109" s="15"/>
      <c r="VZT1109" s="15"/>
      <c r="VZW1109" s="15"/>
      <c r="VZX1109" s="15"/>
      <c r="WAA1109" s="15"/>
      <c r="WAB1109" s="15"/>
      <c r="WAE1109" s="15"/>
      <c r="WAF1109" s="15"/>
      <c r="WAI1109" s="15"/>
      <c r="WAJ1109" s="15"/>
      <c r="WAM1109" s="15"/>
      <c r="WAN1109" s="15"/>
      <c r="WAQ1109" s="15"/>
      <c r="WAR1109" s="15"/>
      <c r="WAU1109" s="15"/>
      <c r="WAV1109" s="15"/>
      <c r="WAY1109" s="15"/>
      <c r="WAZ1109" s="15"/>
      <c r="WBC1109" s="15"/>
      <c r="WBD1109" s="15"/>
      <c r="WBG1109" s="15"/>
      <c r="WBH1109" s="15"/>
      <c r="WBK1109" s="15"/>
      <c r="WBL1109" s="15"/>
      <c r="WBO1109" s="15"/>
      <c r="WBP1109" s="15"/>
      <c r="WBS1109" s="15"/>
      <c r="WBT1109" s="15"/>
      <c r="WBW1109" s="15"/>
      <c r="WBX1109" s="15"/>
      <c r="WCA1109" s="15"/>
      <c r="WCB1109" s="15"/>
      <c r="WCE1109" s="15"/>
      <c r="WCF1109" s="15"/>
      <c r="WCI1109" s="15"/>
      <c r="WCJ1109" s="15"/>
      <c r="WCM1109" s="15"/>
      <c r="WCN1109" s="15"/>
      <c r="WCQ1109" s="15"/>
      <c r="WCR1109" s="15"/>
      <c r="WCU1109" s="15"/>
      <c r="WCV1109" s="15"/>
      <c r="WCY1109" s="15"/>
      <c r="WCZ1109" s="15"/>
      <c r="WDC1109" s="15"/>
      <c r="WDD1109" s="15"/>
      <c r="WDG1109" s="15"/>
      <c r="WDH1109" s="15"/>
      <c r="WDK1109" s="15"/>
      <c r="WDL1109" s="15"/>
      <c r="WDO1109" s="15"/>
      <c r="WDP1109" s="15"/>
      <c r="WDS1109" s="15"/>
      <c r="WDT1109" s="15"/>
      <c r="WDW1109" s="15"/>
      <c r="WDX1109" s="15"/>
      <c r="WEA1109" s="15"/>
      <c r="WEB1109" s="15"/>
      <c r="WEE1109" s="15"/>
      <c r="WEF1109" s="15"/>
      <c r="WEI1109" s="15"/>
      <c r="WEJ1109" s="15"/>
      <c r="WEM1109" s="15"/>
      <c r="WEN1109" s="15"/>
      <c r="WEQ1109" s="15"/>
      <c r="WER1109" s="15"/>
      <c r="WEU1109" s="15"/>
      <c r="WEV1109" s="15"/>
      <c r="WEY1109" s="15"/>
      <c r="WEZ1109" s="15"/>
      <c r="WFC1109" s="15"/>
      <c r="WFD1109" s="15"/>
      <c r="WFG1109" s="15"/>
      <c r="WFH1109" s="15"/>
      <c r="WFK1109" s="15"/>
      <c r="WFL1109" s="15"/>
      <c r="WFO1109" s="15"/>
      <c r="WFP1109" s="15"/>
      <c r="WFS1109" s="15"/>
      <c r="WFT1109" s="15"/>
      <c r="WFW1109" s="15"/>
      <c r="WFX1109" s="15"/>
      <c r="WGA1109" s="15"/>
      <c r="WGB1109" s="15"/>
      <c r="WGE1109" s="15"/>
      <c r="WGF1109" s="15"/>
      <c r="WGI1109" s="15"/>
      <c r="WGJ1109" s="15"/>
      <c r="WGM1109" s="15"/>
      <c r="WGN1109" s="15"/>
      <c r="WGQ1109" s="15"/>
      <c r="WGR1109" s="15"/>
      <c r="WGU1109" s="15"/>
      <c r="WGV1109" s="15"/>
      <c r="WGY1109" s="15"/>
      <c r="WGZ1109" s="15"/>
      <c r="WHC1109" s="15"/>
      <c r="WHD1109" s="15"/>
      <c r="WHG1109" s="15"/>
      <c r="WHH1109" s="15"/>
      <c r="WHK1109" s="15"/>
      <c r="WHL1109" s="15"/>
      <c r="WHO1109" s="15"/>
      <c r="WHP1109" s="15"/>
      <c r="WHS1109" s="15"/>
      <c r="WHT1109" s="15"/>
      <c r="WHW1109" s="15"/>
      <c r="WHX1109" s="15"/>
      <c r="WIA1109" s="15"/>
      <c r="WIB1109" s="15"/>
      <c r="WIE1109" s="15"/>
      <c r="WIF1109" s="15"/>
      <c r="WII1109" s="15"/>
      <c r="WIJ1109" s="15"/>
      <c r="WIM1109" s="15"/>
      <c r="WIN1109" s="15"/>
      <c r="WIQ1109" s="15"/>
      <c r="WIR1109" s="15"/>
      <c r="WIU1109" s="15"/>
      <c r="WIV1109" s="15"/>
      <c r="WIY1109" s="15"/>
      <c r="WIZ1109" s="15"/>
      <c r="WJC1109" s="15"/>
      <c r="WJD1109" s="15"/>
      <c r="WJG1109" s="15"/>
      <c r="WJH1109" s="15"/>
      <c r="WJK1109" s="15"/>
      <c r="WJL1109" s="15"/>
      <c r="WJO1109" s="15"/>
      <c r="WJP1109" s="15"/>
      <c r="WJS1109" s="15"/>
      <c r="WJT1109" s="15"/>
      <c r="WJW1109" s="15"/>
      <c r="WJX1109" s="15"/>
      <c r="WKA1109" s="15"/>
      <c r="WKB1109" s="15"/>
      <c r="WKE1109" s="15"/>
      <c r="WKF1109" s="15"/>
      <c r="WKI1109" s="15"/>
      <c r="WKJ1109" s="15"/>
      <c r="WKM1109" s="15"/>
      <c r="WKN1109" s="15"/>
      <c r="WKQ1109" s="15"/>
      <c r="WKR1109" s="15"/>
      <c r="WKU1109" s="15"/>
      <c r="WKV1109" s="15"/>
      <c r="WKY1109" s="15"/>
      <c r="WKZ1109" s="15"/>
      <c r="WLC1109" s="15"/>
      <c r="WLD1109" s="15"/>
      <c r="WLG1109" s="15"/>
      <c r="WLH1109" s="15"/>
      <c r="WLK1109" s="15"/>
      <c r="WLL1109" s="15"/>
      <c r="WLO1109" s="15"/>
      <c r="WLP1109" s="15"/>
      <c r="WLS1109" s="15"/>
      <c r="WLT1109" s="15"/>
      <c r="WLW1109" s="15"/>
      <c r="WLX1109" s="15"/>
      <c r="WMA1109" s="15"/>
      <c r="WMB1109" s="15"/>
      <c r="WME1109" s="15"/>
      <c r="WMF1109" s="15"/>
      <c r="WMI1109" s="15"/>
      <c r="WMJ1109" s="15"/>
      <c r="WMM1109" s="15"/>
      <c r="WMN1109" s="15"/>
      <c r="WMQ1109" s="15"/>
      <c r="WMR1109" s="15"/>
      <c r="WMU1109" s="15"/>
      <c r="WMV1109" s="15"/>
      <c r="WMY1109" s="15"/>
      <c r="WMZ1109" s="15"/>
      <c r="WNC1109" s="15"/>
      <c r="WND1109" s="15"/>
      <c r="WNG1109" s="15"/>
      <c r="WNH1109" s="15"/>
      <c r="WNK1109" s="15"/>
      <c r="WNL1109" s="15"/>
      <c r="WNO1109" s="15"/>
      <c r="WNP1109" s="15"/>
      <c r="WNS1109" s="15"/>
      <c r="WNT1109" s="15"/>
      <c r="WNW1109" s="15"/>
      <c r="WNX1109" s="15"/>
      <c r="WOA1109" s="15"/>
      <c r="WOB1109" s="15"/>
      <c r="WOE1109" s="15"/>
      <c r="WOF1109" s="15"/>
      <c r="WOI1109" s="15"/>
      <c r="WOJ1109" s="15"/>
      <c r="WOM1109" s="15"/>
      <c r="WON1109" s="15"/>
      <c r="WOQ1109" s="15"/>
      <c r="WOR1109" s="15"/>
      <c r="WOU1109" s="15"/>
      <c r="WOV1109" s="15"/>
      <c r="WOY1109" s="15"/>
      <c r="WOZ1109" s="15"/>
      <c r="WPC1109" s="15"/>
      <c r="WPD1109" s="15"/>
      <c r="WPG1109" s="15"/>
      <c r="WPH1109" s="15"/>
      <c r="WPK1109" s="15"/>
      <c r="WPL1109" s="15"/>
      <c r="WPO1109" s="15"/>
      <c r="WPP1109" s="15"/>
      <c r="WPS1109" s="15"/>
      <c r="WPT1109" s="15"/>
      <c r="WPW1109" s="15"/>
      <c r="WPX1109" s="15"/>
      <c r="WQA1109" s="15"/>
      <c r="WQB1109" s="15"/>
      <c r="WQE1109" s="15"/>
      <c r="WQF1109" s="15"/>
      <c r="WQI1109" s="15"/>
      <c r="WQJ1109" s="15"/>
      <c r="WQM1109" s="15"/>
      <c r="WQN1109" s="15"/>
      <c r="WQQ1109" s="15"/>
      <c r="WQR1109" s="15"/>
      <c r="WQU1109" s="15"/>
      <c r="WQV1109" s="15"/>
      <c r="WQY1109" s="15"/>
      <c r="WQZ1109" s="15"/>
      <c r="WRC1109" s="15"/>
      <c r="WRD1109" s="15"/>
      <c r="WRG1109" s="15"/>
      <c r="WRH1109" s="15"/>
      <c r="WRK1109" s="15"/>
      <c r="WRL1109" s="15"/>
      <c r="WRO1109" s="15"/>
      <c r="WRP1109" s="15"/>
      <c r="WRS1109" s="15"/>
      <c r="WRT1109" s="15"/>
      <c r="WRW1109" s="15"/>
      <c r="WRX1109" s="15"/>
      <c r="WSA1109" s="15"/>
      <c r="WSB1109" s="15"/>
      <c r="WSE1109" s="15"/>
      <c r="WSF1109" s="15"/>
      <c r="WSI1109" s="15"/>
      <c r="WSJ1109" s="15"/>
      <c r="WSM1109" s="15"/>
      <c r="WSN1109" s="15"/>
      <c r="WSQ1109" s="15"/>
      <c r="WSR1109" s="15"/>
      <c r="WSU1109" s="15"/>
      <c r="WSV1109" s="15"/>
      <c r="WSY1109" s="15"/>
      <c r="WSZ1109" s="15"/>
      <c r="WTC1109" s="15"/>
      <c r="WTD1109" s="15"/>
      <c r="WTG1109" s="15"/>
      <c r="WTH1109" s="15"/>
      <c r="WTK1109" s="15"/>
      <c r="WTL1109" s="15"/>
      <c r="WTO1109" s="15"/>
      <c r="WTP1109" s="15"/>
      <c r="WTS1109" s="15"/>
      <c r="WTT1109" s="15"/>
      <c r="WTW1109" s="15"/>
      <c r="WTX1109" s="15"/>
      <c r="WUA1109" s="15"/>
      <c r="WUB1109" s="15"/>
      <c r="WUE1109" s="15"/>
      <c r="WUF1109" s="15"/>
      <c r="WUI1109" s="15"/>
      <c r="WUJ1109" s="15"/>
      <c r="WUM1109" s="15"/>
      <c r="WUN1109" s="15"/>
      <c r="WUQ1109" s="15"/>
      <c r="WUR1109" s="15"/>
      <c r="WUU1109" s="15"/>
      <c r="WUV1109" s="15"/>
      <c r="WUY1109" s="15"/>
      <c r="WUZ1109" s="15"/>
      <c r="WVC1109" s="15"/>
      <c r="WVD1109" s="15"/>
      <c r="WVG1109" s="15"/>
      <c r="WVH1109" s="15"/>
      <c r="WVK1109" s="15"/>
      <c r="WVL1109" s="15"/>
      <c r="WVO1109" s="15"/>
      <c r="WVP1109" s="15"/>
      <c r="WVS1109" s="15"/>
      <c r="WVT1109" s="15"/>
      <c r="WVW1109" s="15"/>
      <c r="WVX1109" s="15"/>
      <c r="WWA1109" s="15"/>
      <c r="WWB1109" s="15"/>
      <c r="WWE1109" s="15"/>
      <c r="WWF1109" s="15"/>
      <c r="WWI1109" s="15"/>
      <c r="WWJ1109" s="15"/>
      <c r="WWM1109" s="15"/>
      <c r="WWN1109" s="15"/>
      <c r="WWQ1109" s="15"/>
      <c r="WWR1109" s="15"/>
      <c r="WWU1109" s="15"/>
      <c r="WWV1109" s="15"/>
      <c r="WWY1109" s="15"/>
      <c r="WWZ1109" s="15"/>
      <c r="WXC1109" s="15"/>
      <c r="WXD1109" s="15"/>
      <c r="WXG1109" s="15"/>
      <c r="WXH1109" s="15"/>
      <c r="WXK1109" s="15"/>
      <c r="WXL1109" s="15"/>
      <c r="WXO1109" s="15"/>
      <c r="WXP1109" s="15"/>
      <c r="WXS1109" s="15"/>
      <c r="WXT1109" s="15"/>
      <c r="WXW1109" s="15"/>
      <c r="WXX1109" s="15"/>
      <c r="WYA1109" s="15"/>
      <c r="WYB1109" s="15"/>
      <c r="WYE1109" s="15"/>
      <c r="WYF1109" s="15"/>
      <c r="WYI1109" s="15"/>
      <c r="WYJ1109" s="15"/>
      <c r="WYM1109" s="15"/>
      <c r="WYN1109" s="15"/>
      <c r="WYQ1109" s="15"/>
      <c r="WYR1109" s="15"/>
      <c r="WYU1109" s="15"/>
      <c r="WYV1109" s="15"/>
      <c r="WYY1109" s="15"/>
      <c r="WYZ1109" s="15"/>
      <c r="WZC1109" s="15"/>
      <c r="WZD1109" s="15"/>
      <c r="WZG1109" s="15"/>
      <c r="WZH1109" s="15"/>
      <c r="WZK1109" s="15"/>
      <c r="WZL1109" s="15"/>
      <c r="WZO1109" s="15"/>
      <c r="WZP1109" s="15"/>
      <c r="WZS1109" s="15"/>
      <c r="WZT1109" s="15"/>
      <c r="WZW1109" s="15"/>
      <c r="WZX1109" s="15"/>
      <c r="XAA1109" s="15"/>
      <c r="XAB1109" s="15"/>
      <c r="XAE1109" s="15"/>
      <c r="XAF1109" s="15"/>
      <c r="XAI1109" s="15"/>
      <c r="XAJ1109" s="15"/>
      <c r="XAM1109" s="15"/>
      <c r="XAN1109" s="15"/>
      <c r="XAQ1109" s="15"/>
      <c r="XAR1109" s="15"/>
      <c r="XAU1109" s="15"/>
      <c r="XAV1109" s="15"/>
      <c r="XAY1109" s="15"/>
      <c r="XAZ1109" s="15"/>
      <c r="XBC1109" s="15"/>
      <c r="XBD1109" s="15"/>
      <c r="XBG1109" s="15"/>
      <c r="XBH1109" s="15"/>
      <c r="XBK1109" s="15"/>
      <c r="XBL1109" s="15"/>
      <c r="XBO1109" s="15"/>
      <c r="XBP1109" s="15"/>
      <c r="XBS1109" s="15"/>
      <c r="XBT1109" s="15"/>
      <c r="XBW1109" s="15"/>
      <c r="XBX1109" s="15"/>
      <c r="XCA1109" s="15"/>
      <c r="XCB1109" s="15"/>
      <c r="XCE1109" s="15"/>
      <c r="XCF1109" s="15"/>
      <c r="XCI1109" s="15"/>
      <c r="XCJ1109" s="15"/>
      <c r="XCM1109" s="15"/>
      <c r="XCN1109" s="15"/>
      <c r="XCQ1109" s="15"/>
      <c r="XCR1109" s="15"/>
      <c r="XCU1109" s="15"/>
      <c r="XCV1109" s="15"/>
      <c r="XCY1109" s="15"/>
      <c r="XCZ1109" s="15"/>
      <c r="XDC1109" s="15"/>
      <c r="XDD1109" s="15"/>
      <c r="XDG1109" s="15"/>
      <c r="XDH1109" s="15"/>
      <c r="XDK1109" s="15"/>
      <c r="XDL1109" s="15"/>
      <c r="XDO1109" s="15"/>
      <c r="XDP1109" s="15"/>
      <c r="XDS1109" s="15"/>
      <c r="XDT1109" s="15"/>
      <c r="XDW1109" s="15"/>
      <c r="XDX1109" s="15"/>
      <c r="XEA1109" s="15"/>
      <c r="XEB1109" s="15"/>
      <c r="XEE1109" s="15"/>
      <c r="XEF1109" s="15"/>
      <c r="XEI1109" s="15"/>
      <c r="XEJ1109" s="15"/>
      <c r="XEM1109" s="15"/>
      <c r="XEN1109" s="15"/>
      <c r="XEQ1109" s="15"/>
      <c r="XER1109" s="15"/>
      <c r="XEU1109" s="15"/>
      <c r="XEV1109" s="15"/>
      <c r="XEY1109" s="15"/>
      <c r="XEZ1109" s="15"/>
      <c r="XFC1109" s="15"/>
      <c r="XFD1109" s="15"/>
    </row>
    <row r="1110" spans="1:1024 1027:2048 2051:3072 3075:4096 4099:5120 5123:6144 6147:7168 7171:8192 8195:9216 9219:10240 10243:11264 11267:12288 12291:13312 13315:14336 14339:15360 15363:16384" outlineLevel="1" x14ac:dyDescent="0.3">
      <c r="A1110" t="s">
        <v>1841</v>
      </c>
      <c r="B1110" t="s">
        <v>269</v>
      </c>
      <c r="C1110" s="15" t="s">
        <v>8</v>
      </c>
      <c r="D1110" s="15" t="s">
        <v>1840</v>
      </c>
      <c r="E1110" t="s">
        <v>8494</v>
      </c>
      <c r="G1110" s="15"/>
      <c r="H1110" s="15"/>
      <c r="K1110" s="15"/>
      <c r="L1110" s="15"/>
      <c r="O1110" s="15"/>
      <c r="P1110" s="15"/>
      <c r="S1110" s="15"/>
      <c r="T1110" s="15"/>
      <c r="W1110" s="15"/>
      <c r="X1110" s="15"/>
      <c r="AA1110" s="15"/>
      <c r="AB1110" s="15"/>
      <c r="AE1110" s="15"/>
      <c r="AF1110" s="15"/>
      <c r="AI1110" s="15"/>
      <c r="AJ1110" s="15"/>
      <c r="AM1110" s="15"/>
      <c r="AN1110" s="15"/>
      <c r="AQ1110" s="15"/>
      <c r="AR1110" s="15"/>
      <c r="AU1110" s="15"/>
      <c r="AV1110" s="15"/>
      <c r="AY1110" s="15"/>
      <c r="AZ1110" s="15"/>
      <c r="BC1110" s="15"/>
      <c r="BD1110" s="15"/>
      <c r="BG1110" s="15"/>
      <c r="BH1110" s="15"/>
      <c r="BK1110" s="15"/>
      <c r="BL1110" s="15"/>
      <c r="BO1110" s="15"/>
      <c r="BP1110" s="15"/>
      <c r="BS1110" s="15"/>
      <c r="BT1110" s="15"/>
      <c r="BW1110" s="15"/>
      <c r="BX1110" s="15"/>
      <c r="CA1110" s="15"/>
      <c r="CB1110" s="15"/>
      <c r="CE1110" s="15"/>
      <c r="CF1110" s="15"/>
      <c r="CI1110" s="15"/>
      <c r="CJ1110" s="15"/>
      <c r="CM1110" s="15"/>
      <c r="CN1110" s="15"/>
      <c r="CQ1110" s="15"/>
      <c r="CR1110" s="15"/>
      <c r="CU1110" s="15"/>
      <c r="CV1110" s="15"/>
      <c r="CY1110" s="15"/>
      <c r="CZ1110" s="15"/>
      <c r="DC1110" s="15"/>
      <c r="DD1110" s="15"/>
      <c r="DG1110" s="15"/>
      <c r="DH1110" s="15"/>
      <c r="DK1110" s="15"/>
      <c r="DL1110" s="15"/>
      <c r="DO1110" s="15"/>
      <c r="DP1110" s="15"/>
      <c r="DS1110" s="15"/>
      <c r="DT1110" s="15"/>
      <c r="DW1110" s="15"/>
      <c r="DX1110" s="15"/>
      <c r="EA1110" s="15"/>
      <c r="EB1110" s="15"/>
      <c r="EE1110" s="15"/>
      <c r="EF1110" s="15"/>
      <c r="EI1110" s="15"/>
      <c r="EJ1110" s="15"/>
      <c r="EM1110" s="15"/>
      <c r="EN1110" s="15"/>
      <c r="EQ1110" s="15"/>
      <c r="ER1110" s="15"/>
      <c r="EU1110" s="15"/>
      <c r="EV1110" s="15"/>
      <c r="EY1110" s="15"/>
      <c r="EZ1110" s="15"/>
      <c r="FC1110" s="15"/>
      <c r="FD1110" s="15"/>
      <c r="FG1110" s="15"/>
      <c r="FH1110" s="15"/>
      <c r="FK1110" s="15"/>
      <c r="FL1110" s="15"/>
      <c r="FO1110" s="15"/>
      <c r="FP1110" s="15"/>
      <c r="FS1110" s="15"/>
      <c r="FT1110" s="15"/>
      <c r="FW1110" s="15"/>
      <c r="FX1110" s="15"/>
      <c r="GA1110" s="15"/>
      <c r="GB1110" s="15"/>
      <c r="GE1110" s="15"/>
      <c r="GF1110" s="15"/>
      <c r="GI1110" s="15"/>
      <c r="GJ1110" s="15"/>
      <c r="GM1110" s="15"/>
      <c r="GN1110" s="15"/>
      <c r="GQ1110" s="15"/>
      <c r="GR1110" s="15"/>
      <c r="GU1110" s="15"/>
      <c r="GV1110" s="15"/>
      <c r="GY1110" s="15"/>
      <c r="GZ1110" s="15"/>
      <c r="HC1110" s="15"/>
      <c r="HD1110" s="15"/>
      <c r="HG1110" s="15"/>
      <c r="HH1110" s="15"/>
      <c r="HK1110" s="15"/>
      <c r="HL1110" s="15"/>
      <c r="HO1110" s="15"/>
      <c r="HP1110" s="15"/>
      <c r="HS1110" s="15"/>
      <c r="HT1110" s="15"/>
      <c r="HW1110" s="15"/>
      <c r="HX1110" s="15"/>
      <c r="IA1110" s="15"/>
      <c r="IB1110" s="15"/>
      <c r="IE1110" s="15"/>
      <c r="IF1110" s="15"/>
      <c r="II1110" s="15"/>
      <c r="IJ1110" s="15"/>
      <c r="IM1110" s="15"/>
      <c r="IN1110" s="15"/>
      <c r="IQ1110" s="15"/>
      <c r="IR1110" s="15"/>
      <c r="IU1110" s="15"/>
      <c r="IV1110" s="15"/>
      <c r="IY1110" s="15"/>
      <c r="IZ1110" s="15"/>
      <c r="JC1110" s="15"/>
      <c r="JD1110" s="15"/>
      <c r="JG1110" s="15"/>
      <c r="JH1110" s="15"/>
      <c r="JK1110" s="15"/>
      <c r="JL1110" s="15"/>
      <c r="JO1110" s="15"/>
      <c r="JP1110" s="15"/>
      <c r="JS1110" s="15"/>
      <c r="JT1110" s="15"/>
      <c r="JW1110" s="15"/>
      <c r="JX1110" s="15"/>
      <c r="KA1110" s="15"/>
      <c r="KB1110" s="15"/>
      <c r="KE1110" s="15"/>
      <c r="KF1110" s="15"/>
      <c r="KI1110" s="15"/>
      <c r="KJ1110" s="15"/>
      <c r="KM1110" s="15"/>
      <c r="KN1110" s="15"/>
      <c r="KQ1110" s="15"/>
      <c r="KR1110" s="15"/>
      <c r="KU1110" s="15"/>
      <c r="KV1110" s="15"/>
      <c r="KY1110" s="15"/>
      <c r="KZ1110" s="15"/>
      <c r="LC1110" s="15"/>
      <c r="LD1110" s="15"/>
      <c r="LG1110" s="15"/>
      <c r="LH1110" s="15"/>
      <c r="LK1110" s="15"/>
      <c r="LL1110" s="15"/>
      <c r="LO1110" s="15"/>
      <c r="LP1110" s="15"/>
      <c r="LS1110" s="15"/>
      <c r="LT1110" s="15"/>
      <c r="LW1110" s="15"/>
      <c r="LX1110" s="15"/>
      <c r="MA1110" s="15"/>
      <c r="MB1110" s="15"/>
      <c r="ME1110" s="15"/>
      <c r="MF1110" s="15"/>
      <c r="MI1110" s="15"/>
      <c r="MJ1110" s="15"/>
      <c r="MM1110" s="15"/>
      <c r="MN1110" s="15"/>
      <c r="MQ1110" s="15"/>
      <c r="MR1110" s="15"/>
      <c r="MU1110" s="15"/>
      <c r="MV1110" s="15"/>
      <c r="MY1110" s="15"/>
      <c r="MZ1110" s="15"/>
      <c r="NC1110" s="15"/>
      <c r="ND1110" s="15"/>
      <c r="NG1110" s="15"/>
      <c r="NH1110" s="15"/>
      <c r="NK1110" s="15"/>
      <c r="NL1110" s="15"/>
      <c r="NO1110" s="15"/>
      <c r="NP1110" s="15"/>
      <c r="NS1110" s="15"/>
      <c r="NT1110" s="15"/>
      <c r="NW1110" s="15"/>
      <c r="NX1110" s="15"/>
      <c r="OA1110" s="15"/>
      <c r="OB1110" s="15"/>
      <c r="OE1110" s="15"/>
      <c r="OF1110" s="15"/>
      <c r="OI1110" s="15"/>
      <c r="OJ1110" s="15"/>
      <c r="OM1110" s="15"/>
      <c r="ON1110" s="15"/>
      <c r="OQ1110" s="15"/>
      <c r="OR1110" s="15"/>
      <c r="OU1110" s="15"/>
      <c r="OV1110" s="15"/>
      <c r="OY1110" s="15"/>
      <c r="OZ1110" s="15"/>
      <c r="PC1110" s="15"/>
      <c r="PD1110" s="15"/>
      <c r="PG1110" s="15"/>
      <c r="PH1110" s="15"/>
      <c r="PK1110" s="15"/>
      <c r="PL1110" s="15"/>
      <c r="PO1110" s="15"/>
      <c r="PP1110" s="15"/>
      <c r="PS1110" s="15"/>
      <c r="PT1110" s="15"/>
      <c r="PW1110" s="15"/>
      <c r="PX1110" s="15"/>
      <c r="QA1110" s="15"/>
      <c r="QB1110" s="15"/>
      <c r="QE1110" s="15"/>
      <c r="QF1110" s="15"/>
      <c r="QI1110" s="15"/>
      <c r="QJ1110" s="15"/>
      <c r="QM1110" s="15"/>
      <c r="QN1110" s="15"/>
      <c r="QQ1110" s="15"/>
      <c r="QR1110" s="15"/>
      <c r="QU1110" s="15"/>
      <c r="QV1110" s="15"/>
      <c r="QY1110" s="15"/>
      <c r="QZ1110" s="15"/>
      <c r="RC1110" s="15"/>
      <c r="RD1110" s="15"/>
      <c r="RG1110" s="15"/>
      <c r="RH1110" s="15"/>
      <c r="RK1110" s="15"/>
      <c r="RL1110" s="15"/>
      <c r="RO1110" s="15"/>
      <c r="RP1110" s="15"/>
      <c r="RS1110" s="15"/>
      <c r="RT1110" s="15"/>
      <c r="RW1110" s="15"/>
      <c r="RX1110" s="15"/>
      <c r="SA1110" s="15"/>
      <c r="SB1110" s="15"/>
      <c r="SE1110" s="15"/>
      <c r="SF1110" s="15"/>
      <c r="SI1110" s="15"/>
      <c r="SJ1110" s="15"/>
      <c r="SM1110" s="15"/>
      <c r="SN1110" s="15"/>
      <c r="SQ1110" s="15"/>
      <c r="SR1110" s="15"/>
      <c r="SU1110" s="15"/>
      <c r="SV1110" s="15"/>
      <c r="SY1110" s="15"/>
      <c r="SZ1110" s="15"/>
      <c r="TC1110" s="15"/>
      <c r="TD1110" s="15"/>
      <c r="TG1110" s="15"/>
      <c r="TH1110" s="15"/>
      <c r="TK1110" s="15"/>
      <c r="TL1110" s="15"/>
      <c r="TO1110" s="15"/>
      <c r="TP1110" s="15"/>
      <c r="TS1110" s="15"/>
      <c r="TT1110" s="15"/>
      <c r="TW1110" s="15"/>
      <c r="TX1110" s="15"/>
      <c r="UA1110" s="15"/>
      <c r="UB1110" s="15"/>
      <c r="UE1110" s="15"/>
      <c r="UF1110" s="15"/>
      <c r="UI1110" s="15"/>
      <c r="UJ1110" s="15"/>
      <c r="UM1110" s="15"/>
      <c r="UN1110" s="15"/>
      <c r="UQ1110" s="15"/>
      <c r="UR1110" s="15"/>
      <c r="UU1110" s="15"/>
      <c r="UV1110" s="15"/>
      <c r="UY1110" s="15"/>
      <c r="UZ1110" s="15"/>
      <c r="VC1110" s="15"/>
      <c r="VD1110" s="15"/>
      <c r="VG1110" s="15"/>
      <c r="VH1110" s="15"/>
      <c r="VK1110" s="15"/>
      <c r="VL1110" s="15"/>
      <c r="VO1110" s="15"/>
      <c r="VP1110" s="15"/>
      <c r="VS1110" s="15"/>
      <c r="VT1110" s="15"/>
      <c r="VW1110" s="15"/>
      <c r="VX1110" s="15"/>
      <c r="WA1110" s="15"/>
      <c r="WB1110" s="15"/>
      <c r="WE1110" s="15"/>
      <c r="WF1110" s="15"/>
      <c r="WI1110" s="15"/>
      <c r="WJ1110" s="15"/>
      <c r="WM1110" s="15"/>
      <c r="WN1110" s="15"/>
      <c r="WQ1110" s="15"/>
      <c r="WR1110" s="15"/>
      <c r="WU1110" s="15"/>
      <c r="WV1110" s="15"/>
      <c r="WY1110" s="15"/>
      <c r="WZ1110" s="15"/>
      <c r="XC1110" s="15"/>
      <c r="XD1110" s="15"/>
      <c r="XG1110" s="15"/>
      <c r="XH1110" s="15"/>
      <c r="XK1110" s="15"/>
      <c r="XL1110" s="15"/>
      <c r="XO1110" s="15"/>
      <c r="XP1110" s="15"/>
      <c r="XS1110" s="15"/>
      <c r="XT1110" s="15"/>
      <c r="XW1110" s="15"/>
      <c r="XX1110" s="15"/>
      <c r="YA1110" s="15"/>
      <c r="YB1110" s="15"/>
      <c r="YE1110" s="15"/>
      <c r="YF1110" s="15"/>
      <c r="YI1110" s="15"/>
      <c r="YJ1110" s="15"/>
      <c r="YM1110" s="15"/>
      <c r="YN1110" s="15"/>
      <c r="YQ1110" s="15"/>
      <c r="YR1110" s="15"/>
      <c r="YU1110" s="15"/>
      <c r="YV1110" s="15"/>
      <c r="YY1110" s="15"/>
      <c r="YZ1110" s="15"/>
      <c r="ZC1110" s="15"/>
      <c r="ZD1110" s="15"/>
      <c r="ZG1110" s="15"/>
      <c r="ZH1110" s="15"/>
      <c r="ZK1110" s="15"/>
      <c r="ZL1110" s="15"/>
      <c r="ZO1110" s="15"/>
      <c r="ZP1110" s="15"/>
      <c r="ZS1110" s="15"/>
      <c r="ZT1110" s="15"/>
      <c r="ZW1110" s="15"/>
      <c r="ZX1110" s="15"/>
      <c r="AAA1110" s="15"/>
      <c r="AAB1110" s="15"/>
      <c r="AAE1110" s="15"/>
      <c r="AAF1110" s="15"/>
      <c r="AAI1110" s="15"/>
      <c r="AAJ1110" s="15"/>
      <c r="AAM1110" s="15"/>
      <c r="AAN1110" s="15"/>
      <c r="AAQ1110" s="15"/>
      <c r="AAR1110" s="15"/>
      <c r="AAU1110" s="15"/>
      <c r="AAV1110" s="15"/>
      <c r="AAY1110" s="15"/>
      <c r="AAZ1110" s="15"/>
      <c r="ABC1110" s="15"/>
      <c r="ABD1110" s="15"/>
      <c r="ABG1110" s="15"/>
      <c r="ABH1110" s="15"/>
      <c r="ABK1110" s="15"/>
      <c r="ABL1110" s="15"/>
      <c r="ABO1110" s="15"/>
      <c r="ABP1110" s="15"/>
      <c r="ABS1110" s="15"/>
      <c r="ABT1110" s="15"/>
      <c r="ABW1110" s="15"/>
      <c r="ABX1110" s="15"/>
      <c r="ACA1110" s="15"/>
      <c r="ACB1110" s="15"/>
      <c r="ACE1110" s="15"/>
      <c r="ACF1110" s="15"/>
      <c r="ACI1110" s="15"/>
      <c r="ACJ1110" s="15"/>
      <c r="ACM1110" s="15"/>
      <c r="ACN1110" s="15"/>
      <c r="ACQ1110" s="15"/>
      <c r="ACR1110" s="15"/>
      <c r="ACU1110" s="15"/>
      <c r="ACV1110" s="15"/>
      <c r="ACY1110" s="15"/>
      <c r="ACZ1110" s="15"/>
      <c r="ADC1110" s="15"/>
      <c r="ADD1110" s="15"/>
      <c r="ADG1110" s="15"/>
      <c r="ADH1110" s="15"/>
      <c r="ADK1110" s="15"/>
      <c r="ADL1110" s="15"/>
      <c r="ADO1110" s="15"/>
      <c r="ADP1110" s="15"/>
      <c r="ADS1110" s="15"/>
      <c r="ADT1110" s="15"/>
      <c r="ADW1110" s="15"/>
      <c r="ADX1110" s="15"/>
      <c r="AEA1110" s="15"/>
      <c r="AEB1110" s="15"/>
      <c r="AEE1110" s="15"/>
      <c r="AEF1110" s="15"/>
      <c r="AEI1110" s="15"/>
      <c r="AEJ1110" s="15"/>
      <c r="AEM1110" s="15"/>
      <c r="AEN1110" s="15"/>
      <c r="AEQ1110" s="15"/>
      <c r="AER1110" s="15"/>
      <c r="AEU1110" s="15"/>
      <c r="AEV1110" s="15"/>
      <c r="AEY1110" s="15"/>
      <c r="AEZ1110" s="15"/>
      <c r="AFC1110" s="15"/>
      <c r="AFD1110" s="15"/>
      <c r="AFG1110" s="15"/>
      <c r="AFH1110" s="15"/>
      <c r="AFK1110" s="15"/>
      <c r="AFL1110" s="15"/>
      <c r="AFO1110" s="15"/>
      <c r="AFP1110" s="15"/>
      <c r="AFS1110" s="15"/>
      <c r="AFT1110" s="15"/>
      <c r="AFW1110" s="15"/>
      <c r="AFX1110" s="15"/>
      <c r="AGA1110" s="15"/>
      <c r="AGB1110" s="15"/>
      <c r="AGE1110" s="15"/>
      <c r="AGF1110" s="15"/>
      <c r="AGI1110" s="15"/>
      <c r="AGJ1110" s="15"/>
      <c r="AGM1110" s="15"/>
      <c r="AGN1110" s="15"/>
      <c r="AGQ1110" s="15"/>
      <c r="AGR1110" s="15"/>
      <c r="AGU1110" s="15"/>
      <c r="AGV1110" s="15"/>
      <c r="AGY1110" s="15"/>
      <c r="AGZ1110" s="15"/>
      <c r="AHC1110" s="15"/>
      <c r="AHD1110" s="15"/>
      <c r="AHG1110" s="15"/>
      <c r="AHH1110" s="15"/>
      <c r="AHK1110" s="15"/>
      <c r="AHL1110" s="15"/>
      <c r="AHO1110" s="15"/>
      <c r="AHP1110" s="15"/>
      <c r="AHS1110" s="15"/>
      <c r="AHT1110" s="15"/>
      <c r="AHW1110" s="15"/>
      <c r="AHX1110" s="15"/>
      <c r="AIA1110" s="15"/>
      <c r="AIB1110" s="15"/>
      <c r="AIE1110" s="15"/>
      <c r="AIF1110" s="15"/>
      <c r="AII1110" s="15"/>
      <c r="AIJ1110" s="15"/>
      <c r="AIM1110" s="15"/>
      <c r="AIN1110" s="15"/>
      <c r="AIQ1110" s="15"/>
      <c r="AIR1110" s="15"/>
      <c r="AIU1110" s="15"/>
      <c r="AIV1110" s="15"/>
      <c r="AIY1110" s="15"/>
      <c r="AIZ1110" s="15"/>
      <c r="AJC1110" s="15"/>
      <c r="AJD1110" s="15"/>
      <c r="AJG1110" s="15"/>
      <c r="AJH1110" s="15"/>
      <c r="AJK1110" s="15"/>
      <c r="AJL1110" s="15"/>
      <c r="AJO1110" s="15"/>
      <c r="AJP1110" s="15"/>
      <c r="AJS1110" s="15"/>
      <c r="AJT1110" s="15"/>
      <c r="AJW1110" s="15"/>
      <c r="AJX1110" s="15"/>
      <c r="AKA1110" s="15"/>
      <c r="AKB1110" s="15"/>
      <c r="AKE1110" s="15"/>
      <c r="AKF1110" s="15"/>
      <c r="AKI1110" s="15"/>
      <c r="AKJ1110" s="15"/>
      <c r="AKM1110" s="15"/>
      <c r="AKN1110" s="15"/>
      <c r="AKQ1110" s="15"/>
      <c r="AKR1110" s="15"/>
      <c r="AKU1110" s="15"/>
      <c r="AKV1110" s="15"/>
      <c r="AKY1110" s="15"/>
      <c r="AKZ1110" s="15"/>
      <c r="ALC1110" s="15"/>
      <c r="ALD1110" s="15"/>
      <c r="ALG1110" s="15"/>
      <c r="ALH1110" s="15"/>
      <c r="ALK1110" s="15"/>
      <c r="ALL1110" s="15"/>
      <c r="ALO1110" s="15"/>
      <c r="ALP1110" s="15"/>
      <c r="ALS1110" s="15"/>
      <c r="ALT1110" s="15"/>
      <c r="ALW1110" s="15"/>
      <c r="ALX1110" s="15"/>
      <c r="AMA1110" s="15"/>
      <c r="AMB1110" s="15"/>
      <c r="AME1110" s="15"/>
      <c r="AMF1110" s="15"/>
      <c r="AMI1110" s="15"/>
      <c r="AMJ1110" s="15"/>
      <c r="AMM1110" s="15"/>
      <c r="AMN1110" s="15"/>
      <c r="AMQ1110" s="15"/>
      <c r="AMR1110" s="15"/>
      <c r="AMU1110" s="15"/>
      <c r="AMV1110" s="15"/>
      <c r="AMY1110" s="15"/>
      <c r="AMZ1110" s="15"/>
      <c r="ANC1110" s="15"/>
      <c r="AND1110" s="15"/>
      <c r="ANG1110" s="15"/>
      <c r="ANH1110" s="15"/>
      <c r="ANK1110" s="15"/>
      <c r="ANL1110" s="15"/>
      <c r="ANO1110" s="15"/>
      <c r="ANP1110" s="15"/>
      <c r="ANS1110" s="15"/>
      <c r="ANT1110" s="15"/>
      <c r="ANW1110" s="15"/>
      <c r="ANX1110" s="15"/>
      <c r="AOA1110" s="15"/>
      <c r="AOB1110" s="15"/>
      <c r="AOE1110" s="15"/>
      <c r="AOF1110" s="15"/>
      <c r="AOI1110" s="15"/>
      <c r="AOJ1110" s="15"/>
      <c r="AOM1110" s="15"/>
      <c r="AON1110" s="15"/>
      <c r="AOQ1110" s="15"/>
      <c r="AOR1110" s="15"/>
      <c r="AOU1110" s="15"/>
      <c r="AOV1110" s="15"/>
      <c r="AOY1110" s="15"/>
      <c r="AOZ1110" s="15"/>
      <c r="APC1110" s="15"/>
      <c r="APD1110" s="15"/>
      <c r="APG1110" s="15"/>
      <c r="APH1110" s="15"/>
      <c r="APK1110" s="15"/>
      <c r="APL1110" s="15"/>
      <c r="APO1110" s="15"/>
      <c r="APP1110" s="15"/>
      <c r="APS1110" s="15"/>
      <c r="APT1110" s="15"/>
      <c r="APW1110" s="15"/>
      <c r="APX1110" s="15"/>
      <c r="AQA1110" s="15"/>
      <c r="AQB1110" s="15"/>
      <c r="AQE1110" s="15"/>
      <c r="AQF1110" s="15"/>
      <c r="AQI1110" s="15"/>
      <c r="AQJ1110" s="15"/>
      <c r="AQM1110" s="15"/>
      <c r="AQN1110" s="15"/>
      <c r="AQQ1110" s="15"/>
      <c r="AQR1110" s="15"/>
      <c r="AQU1110" s="15"/>
      <c r="AQV1110" s="15"/>
      <c r="AQY1110" s="15"/>
      <c r="AQZ1110" s="15"/>
      <c r="ARC1110" s="15"/>
      <c r="ARD1110" s="15"/>
      <c r="ARG1110" s="15"/>
      <c r="ARH1110" s="15"/>
      <c r="ARK1110" s="15"/>
      <c r="ARL1110" s="15"/>
      <c r="ARO1110" s="15"/>
      <c r="ARP1110" s="15"/>
      <c r="ARS1110" s="15"/>
      <c r="ART1110" s="15"/>
      <c r="ARW1110" s="15"/>
      <c r="ARX1110" s="15"/>
      <c r="ASA1110" s="15"/>
      <c r="ASB1110" s="15"/>
      <c r="ASE1110" s="15"/>
      <c r="ASF1110" s="15"/>
      <c r="ASI1110" s="15"/>
      <c r="ASJ1110" s="15"/>
      <c r="ASM1110" s="15"/>
      <c r="ASN1110" s="15"/>
      <c r="ASQ1110" s="15"/>
      <c r="ASR1110" s="15"/>
      <c r="ASU1110" s="15"/>
      <c r="ASV1110" s="15"/>
      <c r="ASY1110" s="15"/>
      <c r="ASZ1110" s="15"/>
      <c r="ATC1110" s="15"/>
      <c r="ATD1110" s="15"/>
      <c r="ATG1110" s="15"/>
      <c r="ATH1110" s="15"/>
      <c r="ATK1110" s="15"/>
      <c r="ATL1110" s="15"/>
      <c r="ATO1110" s="15"/>
      <c r="ATP1110" s="15"/>
      <c r="ATS1110" s="15"/>
      <c r="ATT1110" s="15"/>
      <c r="ATW1110" s="15"/>
      <c r="ATX1110" s="15"/>
      <c r="AUA1110" s="15"/>
      <c r="AUB1110" s="15"/>
      <c r="AUE1110" s="15"/>
      <c r="AUF1110" s="15"/>
      <c r="AUI1110" s="15"/>
      <c r="AUJ1110" s="15"/>
      <c r="AUM1110" s="15"/>
      <c r="AUN1110" s="15"/>
      <c r="AUQ1110" s="15"/>
      <c r="AUR1110" s="15"/>
      <c r="AUU1110" s="15"/>
      <c r="AUV1110" s="15"/>
      <c r="AUY1110" s="15"/>
      <c r="AUZ1110" s="15"/>
      <c r="AVC1110" s="15"/>
      <c r="AVD1110" s="15"/>
      <c r="AVG1110" s="15"/>
      <c r="AVH1110" s="15"/>
      <c r="AVK1110" s="15"/>
      <c r="AVL1110" s="15"/>
      <c r="AVO1110" s="15"/>
      <c r="AVP1110" s="15"/>
      <c r="AVS1110" s="15"/>
      <c r="AVT1110" s="15"/>
      <c r="AVW1110" s="15"/>
      <c r="AVX1110" s="15"/>
      <c r="AWA1110" s="15"/>
      <c r="AWB1110" s="15"/>
      <c r="AWE1110" s="15"/>
      <c r="AWF1110" s="15"/>
      <c r="AWI1110" s="15"/>
      <c r="AWJ1110" s="15"/>
      <c r="AWM1110" s="15"/>
      <c r="AWN1110" s="15"/>
      <c r="AWQ1110" s="15"/>
      <c r="AWR1110" s="15"/>
      <c r="AWU1110" s="15"/>
      <c r="AWV1110" s="15"/>
      <c r="AWY1110" s="15"/>
      <c r="AWZ1110" s="15"/>
      <c r="AXC1110" s="15"/>
      <c r="AXD1110" s="15"/>
      <c r="AXG1110" s="15"/>
      <c r="AXH1110" s="15"/>
      <c r="AXK1110" s="15"/>
      <c r="AXL1110" s="15"/>
      <c r="AXO1110" s="15"/>
      <c r="AXP1110" s="15"/>
      <c r="AXS1110" s="15"/>
      <c r="AXT1110" s="15"/>
      <c r="AXW1110" s="15"/>
      <c r="AXX1110" s="15"/>
      <c r="AYA1110" s="15"/>
      <c r="AYB1110" s="15"/>
      <c r="AYE1110" s="15"/>
      <c r="AYF1110" s="15"/>
      <c r="AYI1110" s="15"/>
      <c r="AYJ1110" s="15"/>
      <c r="AYM1110" s="15"/>
      <c r="AYN1110" s="15"/>
      <c r="AYQ1110" s="15"/>
      <c r="AYR1110" s="15"/>
      <c r="AYU1110" s="15"/>
      <c r="AYV1110" s="15"/>
      <c r="AYY1110" s="15"/>
      <c r="AYZ1110" s="15"/>
      <c r="AZC1110" s="15"/>
      <c r="AZD1110" s="15"/>
      <c r="AZG1110" s="15"/>
      <c r="AZH1110" s="15"/>
      <c r="AZK1110" s="15"/>
      <c r="AZL1110" s="15"/>
      <c r="AZO1110" s="15"/>
      <c r="AZP1110" s="15"/>
      <c r="AZS1110" s="15"/>
      <c r="AZT1110" s="15"/>
      <c r="AZW1110" s="15"/>
      <c r="AZX1110" s="15"/>
      <c r="BAA1110" s="15"/>
      <c r="BAB1110" s="15"/>
      <c r="BAE1110" s="15"/>
      <c r="BAF1110" s="15"/>
      <c r="BAI1110" s="15"/>
      <c r="BAJ1110" s="15"/>
      <c r="BAM1110" s="15"/>
      <c r="BAN1110" s="15"/>
      <c r="BAQ1110" s="15"/>
      <c r="BAR1110" s="15"/>
      <c r="BAU1110" s="15"/>
      <c r="BAV1110" s="15"/>
      <c r="BAY1110" s="15"/>
      <c r="BAZ1110" s="15"/>
      <c r="BBC1110" s="15"/>
      <c r="BBD1110" s="15"/>
      <c r="BBG1110" s="15"/>
      <c r="BBH1110" s="15"/>
      <c r="BBK1110" s="15"/>
      <c r="BBL1110" s="15"/>
      <c r="BBO1110" s="15"/>
      <c r="BBP1110" s="15"/>
      <c r="BBS1110" s="15"/>
      <c r="BBT1110" s="15"/>
      <c r="BBW1110" s="15"/>
      <c r="BBX1110" s="15"/>
      <c r="BCA1110" s="15"/>
      <c r="BCB1110" s="15"/>
      <c r="BCE1110" s="15"/>
      <c r="BCF1110" s="15"/>
      <c r="BCI1110" s="15"/>
      <c r="BCJ1110" s="15"/>
      <c r="BCM1110" s="15"/>
      <c r="BCN1110" s="15"/>
      <c r="BCQ1110" s="15"/>
      <c r="BCR1110" s="15"/>
      <c r="BCU1110" s="15"/>
      <c r="BCV1110" s="15"/>
      <c r="BCY1110" s="15"/>
      <c r="BCZ1110" s="15"/>
      <c r="BDC1110" s="15"/>
      <c r="BDD1110" s="15"/>
      <c r="BDG1110" s="15"/>
      <c r="BDH1110" s="15"/>
      <c r="BDK1110" s="15"/>
      <c r="BDL1110" s="15"/>
      <c r="BDO1110" s="15"/>
      <c r="BDP1110" s="15"/>
      <c r="BDS1110" s="15"/>
      <c r="BDT1110" s="15"/>
      <c r="BDW1110" s="15"/>
      <c r="BDX1110" s="15"/>
      <c r="BEA1110" s="15"/>
      <c r="BEB1110" s="15"/>
      <c r="BEE1110" s="15"/>
      <c r="BEF1110" s="15"/>
      <c r="BEI1110" s="15"/>
      <c r="BEJ1110" s="15"/>
      <c r="BEM1110" s="15"/>
      <c r="BEN1110" s="15"/>
      <c r="BEQ1110" s="15"/>
      <c r="BER1110" s="15"/>
      <c r="BEU1110" s="15"/>
      <c r="BEV1110" s="15"/>
      <c r="BEY1110" s="15"/>
      <c r="BEZ1110" s="15"/>
      <c r="BFC1110" s="15"/>
      <c r="BFD1110" s="15"/>
      <c r="BFG1110" s="15"/>
      <c r="BFH1110" s="15"/>
      <c r="BFK1110" s="15"/>
      <c r="BFL1110" s="15"/>
      <c r="BFO1110" s="15"/>
      <c r="BFP1110" s="15"/>
      <c r="BFS1110" s="15"/>
      <c r="BFT1110" s="15"/>
      <c r="BFW1110" s="15"/>
      <c r="BFX1110" s="15"/>
      <c r="BGA1110" s="15"/>
      <c r="BGB1110" s="15"/>
      <c r="BGE1110" s="15"/>
      <c r="BGF1110" s="15"/>
      <c r="BGI1110" s="15"/>
      <c r="BGJ1110" s="15"/>
      <c r="BGM1110" s="15"/>
      <c r="BGN1110" s="15"/>
      <c r="BGQ1110" s="15"/>
      <c r="BGR1110" s="15"/>
      <c r="BGU1110" s="15"/>
      <c r="BGV1110" s="15"/>
      <c r="BGY1110" s="15"/>
      <c r="BGZ1110" s="15"/>
      <c r="BHC1110" s="15"/>
      <c r="BHD1110" s="15"/>
      <c r="BHG1110" s="15"/>
      <c r="BHH1110" s="15"/>
      <c r="BHK1110" s="15"/>
      <c r="BHL1110" s="15"/>
      <c r="BHO1110" s="15"/>
      <c r="BHP1110" s="15"/>
      <c r="BHS1110" s="15"/>
      <c r="BHT1110" s="15"/>
      <c r="BHW1110" s="15"/>
      <c r="BHX1110" s="15"/>
      <c r="BIA1110" s="15"/>
      <c r="BIB1110" s="15"/>
      <c r="BIE1110" s="15"/>
      <c r="BIF1110" s="15"/>
      <c r="BII1110" s="15"/>
      <c r="BIJ1110" s="15"/>
      <c r="BIM1110" s="15"/>
      <c r="BIN1110" s="15"/>
      <c r="BIQ1110" s="15"/>
      <c r="BIR1110" s="15"/>
      <c r="BIU1110" s="15"/>
      <c r="BIV1110" s="15"/>
      <c r="BIY1110" s="15"/>
      <c r="BIZ1110" s="15"/>
      <c r="BJC1110" s="15"/>
      <c r="BJD1110" s="15"/>
      <c r="BJG1110" s="15"/>
      <c r="BJH1110" s="15"/>
      <c r="BJK1110" s="15"/>
      <c r="BJL1110" s="15"/>
      <c r="BJO1110" s="15"/>
      <c r="BJP1110" s="15"/>
      <c r="BJS1110" s="15"/>
      <c r="BJT1110" s="15"/>
      <c r="BJW1110" s="15"/>
      <c r="BJX1110" s="15"/>
      <c r="BKA1110" s="15"/>
      <c r="BKB1110" s="15"/>
      <c r="BKE1110" s="15"/>
      <c r="BKF1110" s="15"/>
      <c r="BKI1110" s="15"/>
      <c r="BKJ1110" s="15"/>
      <c r="BKM1110" s="15"/>
      <c r="BKN1110" s="15"/>
      <c r="BKQ1110" s="15"/>
      <c r="BKR1110" s="15"/>
      <c r="BKU1110" s="15"/>
      <c r="BKV1110" s="15"/>
      <c r="BKY1110" s="15"/>
      <c r="BKZ1110" s="15"/>
      <c r="BLC1110" s="15"/>
      <c r="BLD1110" s="15"/>
      <c r="BLG1110" s="15"/>
      <c r="BLH1110" s="15"/>
      <c r="BLK1110" s="15"/>
      <c r="BLL1110" s="15"/>
      <c r="BLO1110" s="15"/>
      <c r="BLP1110" s="15"/>
      <c r="BLS1110" s="15"/>
      <c r="BLT1110" s="15"/>
      <c r="BLW1110" s="15"/>
      <c r="BLX1110" s="15"/>
      <c r="BMA1110" s="15"/>
      <c r="BMB1110" s="15"/>
      <c r="BME1110" s="15"/>
      <c r="BMF1110" s="15"/>
      <c r="BMI1110" s="15"/>
      <c r="BMJ1110" s="15"/>
      <c r="BMM1110" s="15"/>
      <c r="BMN1110" s="15"/>
      <c r="BMQ1110" s="15"/>
      <c r="BMR1110" s="15"/>
      <c r="BMU1110" s="15"/>
      <c r="BMV1110" s="15"/>
      <c r="BMY1110" s="15"/>
      <c r="BMZ1110" s="15"/>
      <c r="BNC1110" s="15"/>
      <c r="BND1110" s="15"/>
      <c r="BNG1110" s="15"/>
      <c r="BNH1110" s="15"/>
      <c r="BNK1110" s="15"/>
      <c r="BNL1110" s="15"/>
      <c r="BNO1110" s="15"/>
      <c r="BNP1110" s="15"/>
      <c r="BNS1110" s="15"/>
      <c r="BNT1110" s="15"/>
      <c r="BNW1110" s="15"/>
      <c r="BNX1110" s="15"/>
      <c r="BOA1110" s="15"/>
      <c r="BOB1110" s="15"/>
      <c r="BOE1110" s="15"/>
      <c r="BOF1110" s="15"/>
      <c r="BOI1110" s="15"/>
      <c r="BOJ1110" s="15"/>
      <c r="BOM1110" s="15"/>
      <c r="BON1110" s="15"/>
      <c r="BOQ1110" s="15"/>
      <c r="BOR1110" s="15"/>
      <c r="BOU1110" s="15"/>
      <c r="BOV1110" s="15"/>
      <c r="BOY1110" s="15"/>
      <c r="BOZ1110" s="15"/>
      <c r="BPC1110" s="15"/>
      <c r="BPD1110" s="15"/>
      <c r="BPG1110" s="15"/>
      <c r="BPH1110" s="15"/>
      <c r="BPK1110" s="15"/>
      <c r="BPL1110" s="15"/>
      <c r="BPO1110" s="15"/>
      <c r="BPP1110" s="15"/>
      <c r="BPS1110" s="15"/>
      <c r="BPT1110" s="15"/>
      <c r="BPW1110" s="15"/>
      <c r="BPX1110" s="15"/>
      <c r="BQA1110" s="15"/>
      <c r="BQB1110" s="15"/>
      <c r="BQE1110" s="15"/>
      <c r="BQF1110" s="15"/>
      <c r="BQI1110" s="15"/>
      <c r="BQJ1110" s="15"/>
      <c r="BQM1110" s="15"/>
      <c r="BQN1110" s="15"/>
      <c r="BQQ1110" s="15"/>
      <c r="BQR1110" s="15"/>
      <c r="BQU1110" s="15"/>
      <c r="BQV1110" s="15"/>
      <c r="BQY1110" s="15"/>
      <c r="BQZ1110" s="15"/>
      <c r="BRC1110" s="15"/>
      <c r="BRD1110" s="15"/>
      <c r="BRG1110" s="15"/>
      <c r="BRH1110" s="15"/>
      <c r="BRK1110" s="15"/>
      <c r="BRL1110" s="15"/>
      <c r="BRO1110" s="15"/>
      <c r="BRP1110" s="15"/>
      <c r="BRS1110" s="15"/>
      <c r="BRT1110" s="15"/>
      <c r="BRW1110" s="15"/>
      <c r="BRX1110" s="15"/>
      <c r="BSA1110" s="15"/>
      <c r="BSB1110" s="15"/>
      <c r="BSE1110" s="15"/>
      <c r="BSF1110" s="15"/>
      <c r="BSI1110" s="15"/>
      <c r="BSJ1110" s="15"/>
      <c r="BSM1110" s="15"/>
      <c r="BSN1110" s="15"/>
      <c r="BSQ1110" s="15"/>
      <c r="BSR1110" s="15"/>
      <c r="BSU1110" s="15"/>
      <c r="BSV1110" s="15"/>
      <c r="BSY1110" s="15"/>
      <c r="BSZ1110" s="15"/>
      <c r="BTC1110" s="15"/>
      <c r="BTD1110" s="15"/>
      <c r="BTG1110" s="15"/>
      <c r="BTH1110" s="15"/>
      <c r="BTK1110" s="15"/>
      <c r="BTL1110" s="15"/>
      <c r="BTO1110" s="15"/>
      <c r="BTP1110" s="15"/>
      <c r="BTS1110" s="15"/>
      <c r="BTT1110" s="15"/>
      <c r="BTW1110" s="15"/>
      <c r="BTX1110" s="15"/>
      <c r="BUA1110" s="15"/>
      <c r="BUB1110" s="15"/>
      <c r="BUE1110" s="15"/>
      <c r="BUF1110" s="15"/>
      <c r="BUI1110" s="15"/>
      <c r="BUJ1110" s="15"/>
      <c r="BUM1110" s="15"/>
      <c r="BUN1110" s="15"/>
      <c r="BUQ1110" s="15"/>
      <c r="BUR1110" s="15"/>
      <c r="BUU1110" s="15"/>
      <c r="BUV1110" s="15"/>
      <c r="BUY1110" s="15"/>
      <c r="BUZ1110" s="15"/>
      <c r="BVC1110" s="15"/>
      <c r="BVD1110" s="15"/>
      <c r="BVG1110" s="15"/>
      <c r="BVH1110" s="15"/>
      <c r="BVK1110" s="15"/>
      <c r="BVL1110" s="15"/>
      <c r="BVO1110" s="15"/>
      <c r="BVP1110" s="15"/>
      <c r="BVS1110" s="15"/>
      <c r="BVT1110" s="15"/>
      <c r="BVW1110" s="15"/>
      <c r="BVX1110" s="15"/>
      <c r="BWA1110" s="15"/>
      <c r="BWB1110" s="15"/>
      <c r="BWE1110" s="15"/>
      <c r="BWF1110" s="15"/>
      <c r="BWI1110" s="15"/>
      <c r="BWJ1110" s="15"/>
      <c r="BWM1110" s="15"/>
      <c r="BWN1110" s="15"/>
      <c r="BWQ1110" s="15"/>
      <c r="BWR1110" s="15"/>
      <c r="BWU1110" s="15"/>
      <c r="BWV1110" s="15"/>
      <c r="BWY1110" s="15"/>
      <c r="BWZ1110" s="15"/>
      <c r="BXC1110" s="15"/>
      <c r="BXD1110" s="15"/>
      <c r="BXG1110" s="15"/>
      <c r="BXH1110" s="15"/>
      <c r="BXK1110" s="15"/>
      <c r="BXL1110" s="15"/>
      <c r="BXO1110" s="15"/>
      <c r="BXP1110" s="15"/>
      <c r="BXS1110" s="15"/>
      <c r="BXT1110" s="15"/>
      <c r="BXW1110" s="15"/>
      <c r="BXX1110" s="15"/>
      <c r="BYA1110" s="15"/>
      <c r="BYB1110" s="15"/>
      <c r="BYE1110" s="15"/>
      <c r="BYF1110" s="15"/>
      <c r="BYI1110" s="15"/>
      <c r="BYJ1110" s="15"/>
      <c r="BYM1110" s="15"/>
      <c r="BYN1110" s="15"/>
      <c r="BYQ1110" s="15"/>
      <c r="BYR1110" s="15"/>
      <c r="BYU1110" s="15"/>
      <c r="BYV1110" s="15"/>
      <c r="BYY1110" s="15"/>
      <c r="BYZ1110" s="15"/>
      <c r="BZC1110" s="15"/>
      <c r="BZD1110" s="15"/>
      <c r="BZG1110" s="15"/>
      <c r="BZH1110" s="15"/>
      <c r="BZK1110" s="15"/>
      <c r="BZL1110" s="15"/>
      <c r="BZO1110" s="15"/>
      <c r="BZP1110" s="15"/>
      <c r="BZS1110" s="15"/>
      <c r="BZT1110" s="15"/>
      <c r="BZW1110" s="15"/>
      <c r="BZX1110" s="15"/>
      <c r="CAA1110" s="15"/>
      <c r="CAB1110" s="15"/>
      <c r="CAE1110" s="15"/>
      <c r="CAF1110" s="15"/>
      <c r="CAI1110" s="15"/>
      <c r="CAJ1110" s="15"/>
      <c r="CAM1110" s="15"/>
      <c r="CAN1110" s="15"/>
      <c r="CAQ1110" s="15"/>
      <c r="CAR1110" s="15"/>
      <c r="CAU1110" s="15"/>
      <c r="CAV1110" s="15"/>
      <c r="CAY1110" s="15"/>
      <c r="CAZ1110" s="15"/>
      <c r="CBC1110" s="15"/>
      <c r="CBD1110" s="15"/>
      <c r="CBG1110" s="15"/>
      <c r="CBH1110" s="15"/>
      <c r="CBK1110" s="15"/>
      <c r="CBL1110" s="15"/>
      <c r="CBO1110" s="15"/>
      <c r="CBP1110" s="15"/>
      <c r="CBS1110" s="15"/>
      <c r="CBT1110" s="15"/>
      <c r="CBW1110" s="15"/>
      <c r="CBX1110" s="15"/>
      <c r="CCA1110" s="15"/>
      <c r="CCB1110" s="15"/>
      <c r="CCE1110" s="15"/>
      <c r="CCF1110" s="15"/>
      <c r="CCI1110" s="15"/>
      <c r="CCJ1110" s="15"/>
      <c r="CCM1110" s="15"/>
      <c r="CCN1110" s="15"/>
      <c r="CCQ1110" s="15"/>
      <c r="CCR1110" s="15"/>
      <c r="CCU1110" s="15"/>
      <c r="CCV1110" s="15"/>
      <c r="CCY1110" s="15"/>
      <c r="CCZ1110" s="15"/>
      <c r="CDC1110" s="15"/>
      <c r="CDD1110" s="15"/>
      <c r="CDG1110" s="15"/>
      <c r="CDH1110" s="15"/>
      <c r="CDK1110" s="15"/>
      <c r="CDL1110" s="15"/>
      <c r="CDO1110" s="15"/>
      <c r="CDP1110" s="15"/>
      <c r="CDS1110" s="15"/>
      <c r="CDT1110" s="15"/>
      <c r="CDW1110" s="15"/>
      <c r="CDX1110" s="15"/>
      <c r="CEA1110" s="15"/>
      <c r="CEB1110" s="15"/>
      <c r="CEE1110" s="15"/>
      <c r="CEF1110" s="15"/>
      <c r="CEI1110" s="15"/>
      <c r="CEJ1110" s="15"/>
      <c r="CEM1110" s="15"/>
      <c r="CEN1110" s="15"/>
      <c r="CEQ1110" s="15"/>
      <c r="CER1110" s="15"/>
      <c r="CEU1110" s="15"/>
      <c r="CEV1110" s="15"/>
      <c r="CEY1110" s="15"/>
      <c r="CEZ1110" s="15"/>
      <c r="CFC1110" s="15"/>
      <c r="CFD1110" s="15"/>
      <c r="CFG1110" s="15"/>
      <c r="CFH1110" s="15"/>
      <c r="CFK1110" s="15"/>
      <c r="CFL1110" s="15"/>
      <c r="CFO1110" s="15"/>
      <c r="CFP1110" s="15"/>
      <c r="CFS1110" s="15"/>
      <c r="CFT1110" s="15"/>
      <c r="CFW1110" s="15"/>
      <c r="CFX1110" s="15"/>
      <c r="CGA1110" s="15"/>
      <c r="CGB1110" s="15"/>
      <c r="CGE1110" s="15"/>
      <c r="CGF1110" s="15"/>
      <c r="CGI1110" s="15"/>
      <c r="CGJ1110" s="15"/>
      <c r="CGM1110" s="15"/>
      <c r="CGN1110" s="15"/>
      <c r="CGQ1110" s="15"/>
      <c r="CGR1110" s="15"/>
      <c r="CGU1110" s="15"/>
      <c r="CGV1110" s="15"/>
      <c r="CGY1110" s="15"/>
      <c r="CGZ1110" s="15"/>
      <c r="CHC1110" s="15"/>
      <c r="CHD1110" s="15"/>
      <c r="CHG1110" s="15"/>
      <c r="CHH1110" s="15"/>
      <c r="CHK1110" s="15"/>
      <c r="CHL1110" s="15"/>
      <c r="CHO1110" s="15"/>
      <c r="CHP1110" s="15"/>
      <c r="CHS1110" s="15"/>
      <c r="CHT1110" s="15"/>
      <c r="CHW1110" s="15"/>
      <c r="CHX1110" s="15"/>
      <c r="CIA1110" s="15"/>
      <c r="CIB1110" s="15"/>
      <c r="CIE1110" s="15"/>
      <c r="CIF1110" s="15"/>
      <c r="CII1110" s="15"/>
      <c r="CIJ1110" s="15"/>
      <c r="CIM1110" s="15"/>
      <c r="CIN1110" s="15"/>
      <c r="CIQ1110" s="15"/>
      <c r="CIR1110" s="15"/>
      <c r="CIU1110" s="15"/>
      <c r="CIV1110" s="15"/>
      <c r="CIY1110" s="15"/>
      <c r="CIZ1110" s="15"/>
      <c r="CJC1110" s="15"/>
      <c r="CJD1110" s="15"/>
      <c r="CJG1110" s="15"/>
      <c r="CJH1110" s="15"/>
      <c r="CJK1110" s="15"/>
      <c r="CJL1110" s="15"/>
      <c r="CJO1110" s="15"/>
      <c r="CJP1110" s="15"/>
      <c r="CJS1110" s="15"/>
      <c r="CJT1110" s="15"/>
      <c r="CJW1110" s="15"/>
      <c r="CJX1110" s="15"/>
      <c r="CKA1110" s="15"/>
      <c r="CKB1110" s="15"/>
      <c r="CKE1110" s="15"/>
      <c r="CKF1110" s="15"/>
      <c r="CKI1110" s="15"/>
      <c r="CKJ1110" s="15"/>
      <c r="CKM1110" s="15"/>
      <c r="CKN1110" s="15"/>
      <c r="CKQ1110" s="15"/>
      <c r="CKR1110" s="15"/>
      <c r="CKU1110" s="15"/>
      <c r="CKV1110" s="15"/>
      <c r="CKY1110" s="15"/>
      <c r="CKZ1110" s="15"/>
      <c r="CLC1110" s="15"/>
      <c r="CLD1110" s="15"/>
      <c r="CLG1110" s="15"/>
      <c r="CLH1110" s="15"/>
      <c r="CLK1110" s="15"/>
      <c r="CLL1110" s="15"/>
      <c r="CLO1110" s="15"/>
      <c r="CLP1110" s="15"/>
      <c r="CLS1110" s="15"/>
      <c r="CLT1110" s="15"/>
      <c r="CLW1110" s="15"/>
      <c r="CLX1110" s="15"/>
      <c r="CMA1110" s="15"/>
      <c r="CMB1110" s="15"/>
      <c r="CME1110" s="15"/>
      <c r="CMF1110" s="15"/>
      <c r="CMI1110" s="15"/>
      <c r="CMJ1110" s="15"/>
      <c r="CMM1110" s="15"/>
      <c r="CMN1110" s="15"/>
      <c r="CMQ1110" s="15"/>
      <c r="CMR1110" s="15"/>
      <c r="CMU1110" s="15"/>
      <c r="CMV1110" s="15"/>
      <c r="CMY1110" s="15"/>
      <c r="CMZ1110" s="15"/>
      <c r="CNC1110" s="15"/>
      <c r="CND1110" s="15"/>
      <c r="CNG1110" s="15"/>
      <c r="CNH1110" s="15"/>
      <c r="CNK1110" s="15"/>
      <c r="CNL1110" s="15"/>
      <c r="CNO1110" s="15"/>
      <c r="CNP1110" s="15"/>
      <c r="CNS1110" s="15"/>
      <c r="CNT1110" s="15"/>
      <c r="CNW1110" s="15"/>
      <c r="CNX1110" s="15"/>
      <c r="COA1110" s="15"/>
      <c r="COB1110" s="15"/>
      <c r="COE1110" s="15"/>
      <c r="COF1110" s="15"/>
      <c r="COI1110" s="15"/>
      <c r="COJ1110" s="15"/>
      <c r="COM1110" s="15"/>
      <c r="CON1110" s="15"/>
      <c r="COQ1110" s="15"/>
      <c r="COR1110" s="15"/>
      <c r="COU1110" s="15"/>
      <c r="COV1110" s="15"/>
      <c r="COY1110" s="15"/>
      <c r="COZ1110" s="15"/>
      <c r="CPC1110" s="15"/>
      <c r="CPD1110" s="15"/>
      <c r="CPG1110" s="15"/>
      <c r="CPH1110" s="15"/>
      <c r="CPK1110" s="15"/>
      <c r="CPL1110" s="15"/>
      <c r="CPO1110" s="15"/>
      <c r="CPP1110" s="15"/>
      <c r="CPS1110" s="15"/>
      <c r="CPT1110" s="15"/>
      <c r="CPW1110" s="15"/>
      <c r="CPX1110" s="15"/>
      <c r="CQA1110" s="15"/>
      <c r="CQB1110" s="15"/>
      <c r="CQE1110" s="15"/>
      <c r="CQF1110" s="15"/>
      <c r="CQI1110" s="15"/>
      <c r="CQJ1110" s="15"/>
      <c r="CQM1110" s="15"/>
      <c r="CQN1110" s="15"/>
      <c r="CQQ1110" s="15"/>
      <c r="CQR1110" s="15"/>
      <c r="CQU1110" s="15"/>
      <c r="CQV1110" s="15"/>
      <c r="CQY1110" s="15"/>
      <c r="CQZ1110" s="15"/>
      <c r="CRC1110" s="15"/>
      <c r="CRD1110" s="15"/>
      <c r="CRG1110" s="15"/>
      <c r="CRH1110" s="15"/>
      <c r="CRK1110" s="15"/>
      <c r="CRL1110" s="15"/>
      <c r="CRO1110" s="15"/>
      <c r="CRP1110" s="15"/>
      <c r="CRS1110" s="15"/>
      <c r="CRT1110" s="15"/>
      <c r="CRW1110" s="15"/>
      <c r="CRX1110" s="15"/>
      <c r="CSA1110" s="15"/>
      <c r="CSB1110" s="15"/>
      <c r="CSE1110" s="15"/>
      <c r="CSF1110" s="15"/>
      <c r="CSI1110" s="15"/>
      <c r="CSJ1110" s="15"/>
      <c r="CSM1110" s="15"/>
      <c r="CSN1110" s="15"/>
      <c r="CSQ1110" s="15"/>
      <c r="CSR1110" s="15"/>
      <c r="CSU1110" s="15"/>
      <c r="CSV1110" s="15"/>
      <c r="CSY1110" s="15"/>
      <c r="CSZ1110" s="15"/>
      <c r="CTC1110" s="15"/>
      <c r="CTD1110" s="15"/>
      <c r="CTG1110" s="15"/>
      <c r="CTH1110" s="15"/>
      <c r="CTK1110" s="15"/>
      <c r="CTL1110" s="15"/>
      <c r="CTO1110" s="15"/>
      <c r="CTP1110" s="15"/>
      <c r="CTS1110" s="15"/>
      <c r="CTT1110" s="15"/>
      <c r="CTW1110" s="15"/>
      <c r="CTX1110" s="15"/>
      <c r="CUA1110" s="15"/>
      <c r="CUB1110" s="15"/>
      <c r="CUE1110" s="15"/>
      <c r="CUF1110" s="15"/>
      <c r="CUI1110" s="15"/>
      <c r="CUJ1110" s="15"/>
      <c r="CUM1110" s="15"/>
      <c r="CUN1110" s="15"/>
      <c r="CUQ1110" s="15"/>
      <c r="CUR1110" s="15"/>
      <c r="CUU1110" s="15"/>
      <c r="CUV1110" s="15"/>
      <c r="CUY1110" s="15"/>
      <c r="CUZ1110" s="15"/>
      <c r="CVC1110" s="15"/>
      <c r="CVD1110" s="15"/>
      <c r="CVG1110" s="15"/>
      <c r="CVH1110" s="15"/>
      <c r="CVK1110" s="15"/>
      <c r="CVL1110" s="15"/>
      <c r="CVO1110" s="15"/>
      <c r="CVP1110" s="15"/>
      <c r="CVS1110" s="15"/>
      <c r="CVT1110" s="15"/>
      <c r="CVW1110" s="15"/>
      <c r="CVX1110" s="15"/>
      <c r="CWA1110" s="15"/>
      <c r="CWB1110" s="15"/>
      <c r="CWE1110" s="15"/>
      <c r="CWF1110" s="15"/>
      <c r="CWI1110" s="15"/>
      <c r="CWJ1110" s="15"/>
      <c r="CWM1110" s="15"/>
      <c r="CWN1110" s="15"/>
      <c r="CWQ1110" s="15"/>
      <c r="CWR1110" s="15"/>
      <c r="CWU1110" s="15"/>
      <c r="CWV1110" s="15"/>
      <c r="CWY1110" s="15"/>
      <c r="CWZ1110" s="15"/>
      <c r="CXC1110" s="15"/>
      <c r="CXD1110" s="15"/>
      <c r="CXG1110" s="15"/>
      <c r="CXH1110" s="15"/>
      <c r="CXK1110" s="15"/>
      <c r="CXL1110" s="15"/>
      <c r="CXO1110" s="15"/>
      <c r="CXP1110" s="15"/>
      <c r="CXS1110" s="15"/>
      <c r="CXT1110" s="15"/>
      <c r="CXW1110" s="15"/>
      <c r="CXX1110" s="15"/>
      <c r="CYA1110" s="15"/>
      <c r="CYB1110" s="15"/>
      <c r="CYE1110" s="15"/>
      <c r="CYF1110" s="15"/>
      <c r="CYI1110" s="15"/>
      <c r="CYJ1110" s="15"/>
      <c r="CYM1110" s="15"/>
      <c r="CYN1110" s="15"/>
      <c r="CYQ1110" s="15"/>
      <c r="CYR1110" s="15"/>
      <c r="CYU1110" s="15"/>
      <c r="CYV1110" s="15"/>
      <c r="CYY1110" s="15"/>
      <c r="CYZ1110" s="15"/>
      <c r="CZC1110" s="15"/>
      <c r="CZD1110" s="15"/>
      <c r="CZG1110" s="15"/>
      <c r="CZH1110" s="15"/>
      <c r="CZK1110" s="15"/>
      <c r="CZL1110" s="15"/>
      <c r="CZO1110" s="15"/>
      <c r="CZP1110" s="15"/>
      <c r="CZS1110" s="15"/>
      <c r="CZT1110" s="15"/>
      <c r="CZW1110" s="15"/>
      <c r="CZX1110" s="15"/>
      <c r="DAA1110" s="15"/>
      <c r="DAB1110" s="15"/>
      <c r="DAE1110" s="15"/>
      <c r="DAF1110" s="15"/>
      <c r="DAI1110" s="15"/>
      <c r="DAJ1110" s="15"/>
      <c r="DAM1110" s="15"/>
      <c r="DAN1110" s="15"/>
      <c r="DAQ1110" s="15"/>
      <c r="DAR1110" s="15"/>
      <c r="DAU1110" s="15"/>
      <c r="DAV1110" s="15"/>
      <c r="DAY1110" s="15"/>
      <c r="DAZ1110" s="15"/>
      <c r="DBC1110" s="15"/>
      <c r="DBD1110" s="15"/>
      <c r="DBG1110" s="15"/>
      <c r="DBH1110" s="15"/>
      <c r="DBK1110" s="15"/>
      <c r="DBL1110" s="15"/>
      <c r="DBO1110" s="15"/>
      <c r="DBP1110" s="15"/>
      <c r="DBS1110" s="15"/>
      <c r="DBT1110" s="15"/>
      <c r="DBW1110" s="15"/>
      <c r="DBX1110" s="15"/>
      <c r="DCA1110" s="15"/>
      <c r="DCB1110" s="15"/>
      <c r="DCE1110" s="15"/>
      <c r="DCF1110" s="15"/>
      <c r="DCI1110" s="15"/>
      <c r="DCJ1110" s="15"/>
      <c r="DCM1110" s="15"/>
      <c r="DCN1110" s="15"/>
      <c r="DCQ1110" s="15"/>
      <c r="DCR1110" s="15"/>
      <c r="DCU1110" s="15"/>
      <c r="DCV1110" s="15"/>
      <c r="DCY1110" s="15"/>
      <c r="DCZ1110" s="15"/>
      <c r="DDC1110" s="15"/>
      <c r="DDD1110" s="15"/>
      <c r="DDG1110" s="15"/>
      <c r="DDH1110" s="15"/>
      <c r="DDK1110" s="15"/>
      <c r="DDL1110" s="15"/>
      <c r="DDO1110" s="15"/>
      <c r="DDP1110" s="15"/>
      <c r="DDS1110" s="15"/>
      <c r="DDT1110" s="15"/>
      <c r="DDW1110" s="15"/>
      <c r="DDX1110" s="15"/>
      <c r="DEA1110" s="15"/>
      <c r="DEB1110" s="15"/>
      <c r="DEE1110" s="15"/>
      <c r="DEF1110" s="15"/>
      <c r="DEI1110" s="15"/>
      <c r="DEJ1110" s="15"/>
      <c r="DEM1110" s="15"/>
      <c r="DEN1110" s="15"/>
      <c r="DEQ1110" s="15"/>
      <c r="DER1110" s="15"/>
      <c r="DEU1110" s="15"/>
      <c r="DEV1110" s="15"/>
      <c r="DEY1110" s="15"/>
      <c r="DEZ1110" s="15"/>
      <c r="DFC1110" s="15"/>
      <c r="DFD1110" s="15"/>
      <c r="DFG1110" s="15"/>
      <c r="DFH1110" s="15"/>
      <c r="DFK1110" s="15"/>
      <c r="DFL1110" s="15"/>
      <c r="DFO1110" s="15"/>
      <c r="DFP1110" s="15"/>
      <c r="DFS1110" s="15"/>
      <c r="DFT1110" s="15"/>
      <c r="DFW1110" s="15"/>
      <c r="DFX1110" s="15"/>
      <c r="DGA1110" s="15"/>
      <c r="DGB1110" s="15"/>
      <c r="DGE1110" s="15"/>
      <c r="DGF1110" s="15"/>
      <c r="DGI1110" s="15"/>
      <c r="DGJ1110" s="15"/>
      <c r="DGM1110" s="15"/>
      <c r="DGN1110" s="15"/>
      <c r="DGQ1110" s="15"/>
      <c r="DGR1110" s="15"/>
      <c r="DGU1110" s="15"/>
      <c r="DGV1110" s="15"/>
      <c r="DGY1110" s="15"/>
      <c r="DGZ1110" s="15"/>
      <c r="DHC1110" s="15"/>
      <c r="DHD1110" s="15"/>
      <c r="DHG1110" s="15"/>
      <c r="DHH1110" s="15"/>
      <c r="DHK1110" s="15"/>
      <c r="DHL1110" s="15"/>
      <c r="DHO1110" s="15"/>
      <c r="DHP1110" s="15"/>
      <c r="DHS1110" s="15"/>
      <c r="DHT1110" s="15"/>
      <c r="DHW1110" s="15"/>
      <c r="DHX1110" s="15"/>
      <c r="DIA1110" s="15"/>
      <c r="DIB1110" s="15"/>
      <c r="DIE1110" s="15"/>
      <c r="DIF1110" s="15"/>
      <c r="DII1110" s="15"/>
      <c r="DIJ1110" s="15"/>
      <c r="DIM1110" s="15"/>
      <c r="DIN1110" s="15"/>
      <c r="DIQ1110" s="15"/>
      <c r="DIR1110" s="15"/>
      <c r="DIU1110" s="15"/>
      <c r="DIV1110" s="15"/>
      <c r="DIY1110" s="15"/>
      <c r="DIZ1110" s="15"/>
      <c r="DJC1110" s="15"/>
      <c r="DJD1110" s="15"/>
      <c r="DJG1110" s="15"/>
      <c r="DJH1110" s="15"/>
      <c r="DJK1110" s="15"/>
      <c r="DJL1110" s="15"/>
      <c r="DJO1110" s="15"/>
      <c r="DJP1110" s="15"/>
      <c r="DJS1110" s="15"/>
      <c r="DJT1110" s="15"/>
      <c r="DJW1110" s="15"/>
      <c r="DJX1110" s="15"/>
      <c r="DKA1110" s="15"/>
      <c r="DKB1110" s="15"/>
      <c r="DKE1110" s="15"/>
      <c r="DKF1110" s="15"/>
      <c r="DKI1110" s="15"/>
      <c r="DKJ1110" s="15"/>
      <c r="DKM1110" s="15"/>
      <c r="DKN1110" s="15"/>
      <c r="DKQ1110" s="15"/>
      <c r="DKR1110" s="15"/>
      <c r="DKU1110" s="15"/>
      <c r="DKV1110" s="15"/>
      <c r="DKY1110" s="15"/>
      <c r="DKZ1110" s="15"/>
      <c r="DLC1110" s="15"/>
      <c r="DLD1110" s="15"/>
      <c r="DLG1110" s="15"/>
      <c r="DLH1110" s="15"/>
      <c r="DLK1110" s="15"/>
      <c r="DLL1110" s="15"/>
      <c r="DLO1110" s="15"/>
      <c r="DLP1110" s="15"/>
      <c r="DLS1110" s="15"/>
      <c r="DLT1110" s="15"/>
      <c r="DLW1110" s="15"/>
      <c r="DLX1110" s="15"/>
      <c r="DMA1110" s="15"/>
      <c r="DMB1110" s="15"/>
      <c r="DME1110" s="15"/>
      <c r="DMF1110" s="15"/>
      <c r="DMI1110" s="15"/>
      <c r="DMJ1110" s="15"/>
      <c r="DMM1110" s="15"/>
      <c r="DMN1110" s="15"/>
      <c r="DMQ1110" s="15"/>
      <c r="DMR1110" s="15"/>
      <c r="DMU1110" s="15"/>
      <c r="DMV1110" s="15"/>
      <c r="DMY1110" s="15"/>
      <c r="DMZ1110" s="15"/>
      <c r="DNC1110" s="15"/>
      <c r="DND1110" s="15"/>
      <c r="DNG1110" s="15"/>
      <c r="DNH1110" s="15"/>
      <c r="DNK1110" s="15"/>
      <c r="DNL1110" s="15"/>
      <c r="DNO1110" s="15"/>
      <c r="DNP1110" s="15"/>
      <c r="DNS1110" s="15"/>
      <c r="DNT1110" s="15"/>
      <c r="DNW1110" s="15"/>
      <c r="DNX1110" s="15"/>
      <c r="DOA1110" s="15"/>
      <c r="DOB1110" s="15"/>
      <c r="DOE1110" s="15"/>
      <c r="DOF1110" s="15"/>
      <c r="DOI1110" s="15"/>
      <c r="DOJ1110" s="15"/>
      <c r="DOM1110" s="15"/>
      <c r="DON1110" s="15"/>
      <c r="DOQ1110" s="15"/>
      <c r="DOR1110" s="15"/>
      <c r="DOU1110" s="15"/>
      <c r="DOV1110" s="15"/>
      <c r="DOY1110" s="15"/>
      <c r="DOZ1110" s="15"/>
      <c r="DPC1110" s="15"/>
      <c r="DPD1110" s="15"/>
      <c r="DPG1110" s="15"/>
      <c r="DPH1110" s="15"/>
      <c r="DPK1110" s="15"/>
      <c r="DPL1110" s="15"/>
      <c r="DPO1110" s="15"/>
      <c r="DPP1110" s="15"/>
      <c r="DPS1110" s="15"/>
      <c r="DPT1110" s="15"/>
      <c r="DPW1110" s="15"/>
      <c r="DPX1110" s="15"/>
      <c r="DQA1110" s="15"/>
      <c r="DQB1110" s="15"/>
      <c r="DQE1110" s="15"/>
      <c r="DQF1110" s="15"/>
      <c r="DQI1110" s="15"/>
      <c r="DQJ1110" s="15"/>
      <c r="DQM1110" s="15"/>
      <c r="DQN1110" s="15"/>
      <c r="DQQ1110" s="15"/>
      <c r="DQR1110" s="15"/>
      <c r="DQU1110" s="15"/>
      <c r="DQV1110" s="15"/>
      <c r="DQY1110" s="15"/>
      <c r="DQZ1110" s="15"/>
      <c r="DRC1110" s="15"/>
      <c r="DRD1110" s="15"/>
      <c r="DRG1110" s="15"/>
      <c r="DRH1110" s="15"/>
      <c r="DRK1110" s="15"/>
      <c r="DRL1110" s="15"/>
      <c r="DRO1110" s="15"/>
      <c r="DRP1110" s="15"/>
      <c r="DRS1110" s="15"/>
      <c r="DRT1110" s="15"/>
      <c r="DRW1110" s="15"/>
      <c r="DRX1110" s="15"/>
      <c r="DSA1110" s="15"/>
      <c r="DSB1110" s="15"/>
      <c r="DSE1110" s="15"/>
      <c r="DSF1110" s="15"/>
      <c r="DSI1110" s="15"/>
      <c r="DSJ1110" s="15"/>
      <c r="DSM1110" s="15"/>
      <c r="DSN1110" s="15"/>
      <c r="DSQ1110" s="15"/>
      <c r="DSR1110" s="15"/>
      <c r="DSU1110" s="15"/>
      <c r="DSV1110" s="15"/>
      <c r="DSY1110" s="15"/>
      <c r="DSZ1110" s="15"/>
      <c r="DTC1110" s="15"/>
      <c r="DTD1110" s="15"/>
      <c r="DTG1110" s="15"/>
      <c r="DTH1110" s="15"/>
      <c r="DTK1110" s="15"/>
      <c r="DTL1110" s="15"/>
      <c r="DTO1110" s="15"/>
      <c r="DTP1110" s="15"/>
      <c r="DTS1110" s="15"/>
      <c r="DTT1110" s="15"/>
      <c r="DTW1110" s="15"/>
      <c r="DTX1110" s="15"/>
      <c r="DUA1110" s="15"/>
      <c r="DUB1110" s="15"/>
      <c r="DUE1110" s="15"/>
      <c r="DUF1110" s="15"/>
      <c r="DUI1110" s="15"/>
      <c r="DUJ1110" s="15"/>
      <c r="DUM1110" s="15"/>
      <c r="DUN1110" s="15"/>
      <c r="DUQ1110" s="15"/>
      <c r="DUR1110" s="15"/>
      <c r="DUU1110" s="15"/>
      <c r="DUV1110" s="15"/>
      <c r="DUY1110" s="15"/>
      <c r="DUZ1110" s="15"/>
      <c r="DVC1110" s="15"/>
      <c r="DVD1110" s="15"/>
      <c r="DVG1110" s="15"/>
      <c r="DVH1110" s="15"/>
      <c r="DVK1110" s="15"/>
      <c r="DVL1110" s="15"/>
      <c r="DVO1110" s="15"/>
      <c r="DVP1110" s="15"/>
      <c r="DVS1110" s="15"/>
      <c r="DVT1110" s="15"/>
      <c r="DVW1110" s="15"/>
      <c r="DVX1110" s="15"/>
      <c r="DWA1110" s="15"/>
      <c r="DWB1110" s="15"/>
      <c r="DWE1110" s="15"/>
      <c r="DWF1110" s="15"/>
      <c r="DWI1110" s="15"/>
      <c r="DWJ1110" s="15"/>
      <c r="DWM1110" s="15"/>
      <c r="DWN1110" s="15"/>
      <c r="DWQ1110" s="15"/>
      <c r="DWR1110" s="15"/>
      <c r="DWU1110" s="15"/>
      <c r="DWV1110" s="15"/>
      <c r="DWY1110" s="15"/>
      <c r="DWZ1110" s="15"/>
      <c r="DXC1110" s="15"/>
      <c r="DXD1110" s="15"/>
      <c r="DXG1110" s="15"/>
      <c r="DXH1110" s="15"/>
      <c r="DXK1110" s="15"/>
      <c r="DXL1110" s="15"/>
      <c r="DXO1110" s="15"/>
      <c r="DXP1110" s="15"/>
      <c r="DXS1110" s="15"/>
      <c r="DXT1110" s="15"/>
      <c r="DXW1110" s="15"/>
      <c r="DXX1110" s="15"/>
      <c r="DYA1110" s="15"/>
      <c r="DYB1110" s="15"/>
      <c r="DYE1110" s="15"/>
      <c r="DYF1110" s="15"/>
      <c r="DYI1110" s="15"/>
      <c r="DYJ1110" s="15"/>
      <c r="DYM1110" s="15"/>
      <c r="DYN1110" s="15"/>
      <c r="DYQ1110" s="15"/>
      <c r="DYR1110" s="15"/>
      <c r="DYU1110" s="15"/>
      <c r="DYV1110" s="15"/>
      <c r="DYY1110" s="15"/>
      <c r="DYZ1110" s="15"/>
      <c r="DZC1110" s="15"/>
      <c r="DZD1110" s="15"/>
      <c r="DZG1110" s="15"/>
      <c r="DZH1110" s="15"/>
      <c r="DZK1110" s="15"/>
      <c r="DZL1110" s="15"/>
      <c r="DZO1110" s="15"/>
      <c r="DZP1110" s="15"/>
      <c r="DZS1110" s="15"/>
      <c r="DZT1110" s="15"/>
      <c r="DZW1110" s="15"/>
      <c r="DZX1110" s="15"/>
      <c r="EAA1110" s="15"/>
      <c r="EAB1110" s="15"/>
      <c r="EAE1110" s="15"/>
      <c r="EAF1110" s="15"/>
      <c r="EAI1110" s="15"/>
      <c r="EAJ1110" s="15"/>
      <c r="EAM1110" s="15"/>
      <c r="EAN1110" s="15"/>
      <c r="EAQ1110" s="15"/>
      <c r="EAR1110" s="15"/>
      <c r="EAU1110" s="15"/>
      <c r="EAV1110" s="15"/>
      <c r="EAY1110" s="15"/>
      <c r="EAZ1110" s="15"/>
      <c r="EBC1110" s="15"/>
      <c r="EBD1110" s="15"/>
      <c r="EBG1110" s="15"/>
      <c r="EBH1110" s="15"/>
      <c r="EBK1110" s="15"/>
      <c r="EBL1110" s="15"/>
      <c r="EBO1110" s="15"/>
      <c r="EBP1110" s="15"/>
      <c r="EBS1110" s="15"/>
      <c r="EBT1110" s="15"/>
      <c r="EBW1110" s="15"/>
      <c r="EBX1110" s="15"/>
      <c r="ECA1110" s="15"/>
      <c r="ECB1110" s="15"/>
      <c r="ECE1110" s="15"/>
      <c r="ECF1110" s="15"/>
      <c r="ECI1110" s="15"/>
      <c r="ECJ1110" s="15"/>
      <c r="ECM1110" s="15"/>
      <c r="ECN1110" s="15"/>
      <c r="ECQ1110" s="15"/>
      <c r="ECR1110" s="15"/>
      <c r="ECU1110" s="15"/>
      <c r="ECV1110" s="15"/>
      <c r="ECY1110" s="15"/>
      <c r="ECZ1110" s="15"/>
      <c r="EDC1110" s="15"/>
      <c r="EDD1110" s="15"/>
      <c r="EDG1110" s="15"/>
      <c r="EDH1110" s="15"/>
      <c r="EDK1110" s="15"/>
      <c r="EDL1110" s="15"/>
      <c r="EDO1110" s="15"/>
      <c r="EDP1110" s="15"/>
      <c r="EDS1110" s="15"/>
      <c r="EDT1110" s="15"/>
      <c r="EDW1110" s="15"/>
      <c r="EDX1110" s="15"/>
      <c r="EEA1110" s="15"/>
      <c r="EEB1110" s="15"/>
      <c r="EEE1110" s="15"/>
      <c r="EEF1110" s="15"/>
      <c r="EEI1110" s="15"/>
      <c r="EEJ1110" s="15"/>
      <c r="EEM1110" s="15"/>
      <c r="EEN1110" s="15"/>
      <c r="EEQ1110" s="15"/>
      <c r="EER1110" s="15"/>
      <c r="EEU1110" s="15"/>
      <c r="EEV1110" s="15"/>
      <c r="EEY1110" s="15"/>
      <c r="EEZ1110" s="15"/>
      <c r="EFC1110" s="15"/>
      <c r="EFD1110" s="15"/>
      <c r="EFG1110" s="15"/>
      <c r="EFH1110" s="15"/>
      <c r="EFK1110" s="15"/>
      <c r="EFL1110" s="15"/>
      <c r="EFO1110" s="15"/>
      <c r="EFP1110" s="15"/>
      <c r="EFS1110" s="15"/>
      <c r="EFT1110" s="15"/>
      <c r="EFW1110" s="15"/>
      <c r="EFX1110" s="15"/>
      <c r="EGA1110" s="15"/>
      <c r="EGB1110" s="15"/>
      <c r="EGE1110" s="15"/>
      <c r="EGF1110" s="15"/>
      <c r="EGI1110" s="15"/>
      <c r="EGJ1110" s="15"/>
      <c r="EGM1110" s="15"/>
      <c r="EGN1110" s="15"/>
      <c r="EGQ1110" s="15"/>
      <c r="EGR1110" s="15"/>
      <c r="EGU1110" s="15"/>
      <c r="EGV1110" s="15"/>
      <c r="EGY1110" s="15"/>
      <c r="EGZ1110" s="15"/>
      <c r="EHC1110" s="15"/>
      <c r="EHD1110" s="15"/>
      <c r="EHG1110" s="15"/>
      <c r="EHH1110" s="15"/>
      <c r="EHK1110" s="15"/>
      <c r="EHL1110" s="15"/>
      <c r="EHO1110" s="15"/>
      <c r="EHP1110" s="15"/>
      <c r="EHS1110" s="15"/>
      <c r="EHT1110" s="15"/>
      <c r="EHW1110" s="15"/>
      <c r="EHX1110" s="15"/>
      <c r="EIA1110" s="15"/>
      <c r="EIB1110" s="15"/>
      <c r="EIE1110" s="15"/>
      <c r="EIF1110" s="15"/>
      <c r="EII1110" s="15"/>
      <c r="EIJ1110" s="15"/>
      <c r="EIM1110" s="15"/>
      <c r="EIN1110" s="15"/>
      <c r="EIQ1110" s="15"/>
      <c r="EIR1110" s="15"/>
      <c r="EIU1110" s="15"/>
      <c r="EIV1110" s="15"/>
      <c r="EIY1110" s="15"/>
      <c r="EIZ1110" s="15"/>
      <c r="EJC1110" s="15"/>
      <c r="EJD1110" s="15"/>
      <c r="EJG1110" s="15"/>
      <c r="EJH1110" s="15"/>
      <c r="EJK1110" s="15"/>
      <c r="EJL1110" s="15"/>
      <c r="EJO1110" s="15"/>
      <c r="EJP1110" s="15"/>
      <c r="EJS1110" s="15"/>
      <c r="EJT1110" s="15"/>
      <c r="EJW1110" s="15"/>
      <c r="EJX1110" s="15"/>
      <c r="EKA1110" s="15"/>
      <c r="EKB1110" s="15"/>
      <c r="EKE1110" s="15"/>
      <c r="EKF1110" s="15"/>
      <c r="EKI1110" s="15"/>
      <c r="EKJ1110" s="15"/>
      <c r="EKM1110" s="15"/>
      <c r="EKN1110" s="15"/>
      <c r="EKQ1110" s="15"/>
      <c r="EKR1110" s="15"/>
      <c r="EKU1110" s="15"/>
      <c r="EKV1110" s="15"/>
      <c r="EKY1110" s="15"/>
      <c r="EKZ1110" s="15"/>
      <c r="ELC1110" s="15"/>
      <c r="ELD1110" s="15"/>
      <c r="ELG1110" s="15"/>
      <c r="ELH1110" s="15"/>
      <c r="ELK1110" s="15"/>
      <c r="ELL1110" s="15"/>
      <c r="ELO1110" s="15"/>
      <c r="ELP1110" s="15"/>
      <c r="ELS1110" s="15"/>
      <c r="ELT1110" s="15"/>
      <c r="ELW1110" s="15"/>
      <c r="ELX1110" s="15"/>
      <c r="EMA1110" s="15"/>
      <c r="EMB1110" s="15"/>
      <c r="EME1110" s="15"/>
      <c r="EMF1110" s="15"/>
      <c r="EMI1110" s="15"/>
      <c r="EMJ1110" s="15"/>
      <c r="EMM1110" s="15"/>
      <c r="EMN1110" s="15"/>
      <c r="EMQ1110" s="15"/>
      <c r="EMR1110" s="15"/>
      <c r="EMU1110" s="15"/>
      <c r="EMV1110" s="15"/>
      <c r="EMY1110" s="15"/>
      <c r="EMZ1110" s="15"/>
      <c r="ENC1110" s="15"/>
      <c r="END1110" s="15"/>
      <c r="ENG1110" s="15"/>
      <c r="ENH1110" s="15"/>
      <c r="ENK1110" s="15"/>
      <c r="ENL1110" s="15"/>
      <c r="ENO1110" s="15"/>
      <c r="ENP1110" s="15"/>
      <c r="ENS1110" s="15"/>
      <c r="ENT1110" s="15"/>
      <c r="ENW1110" s="15"/>
      <c r="ENX1110" s="15"/>
      <c r="EOA1110" s="15"/>
      <c r="EOB1110" s="15"/>
      <c r="EOE1110" s="15"/>
      <c r="EOF1110" s="15"/>
      <c r="EOI1110" s="15"/>
      <c r="EOJ1110" s="15"/>
      <c r="EOM1110" s="15"/>
      <c r="EON1110" s="15"/>
      <c r="EOQ1110" s="15"/>
      <c r="EOR1110" s="15"/>
      <c r="EOU1110" s="15"/>
      <c r="EOV1110" s="15"/>
      <c r="EOY1110" s="15"/>
      <c r="EOZ1110" s="15"/>
      <c r="EPC1110" s="15"/>
      <c r="EPD1110" s="15"/>
      <c r="EPG1110" s="15"/>
      <c r="EPH1110" s="15"/>
      <c r="EPK1110" s="15"/>
      <c r="EPL1110" s="15"/>
      <c r="EPO1110" s="15"/>
      <c r="EPP1110" s="15"/>
      <c r="EPS1110" s="15"/>
      <c r="EPT1110" s="15"/>
      <c r="EPW1110" s="15"/>
      <c r="EPX1110" s="15"/>
      <c r="EQA1110" s="15"/>
      <c r="EQB1110" s="15"/>
      <c r="EQE1110" s="15"/>
      <c r="EQF1110" s="15"/>
      <c r="EQI1110" s="15"/>
      <c r="EQJ1110" s="15"/>
      <c r="EQM1110" s="15"/>
      <c r="EQN1110" s="15"/>
      <c r="EQQ1110" s="15"/>
      <c r="EQR1110" s="15"/>
      <c r="EQU1110" s="15"/>
      <c r="EQV1110" s="15"/>
      <c r="EQY1110" s="15"/>
      <c r="EQZ1110" s="15"/>
      <c r="ERC1110" s="15"/>
      <c r="ERD1110" s="15"/>
      <c r="ERG1110" s="15"/>
      <c r="ERH1110" s="15"/>
      <c r="ERK1110" s="15"/>
      <c r="ERL1110" s="15"/>
      <c r="ERO1110" s="15"/>
      <c r="ERP1110" s="15"/>
      <c r="ERS1110" s="15"/>
      <c r="ERT1110" s="15"/>
      <c r="ERW1110" s="15"/>
      <c r="ERX1110" s="15"/>
      <c r="ESA1110" s="15"/>
      <c r="ESB1110" s="15"/>
      <c r="ESE1110" s="15"/>
      <c r="ESF1110" s="15"/>
      <c r="ESI1110" s="15"/>
      <c r="ESJ1110" s="15"/>
      <c r="ESM1110" s="15"/>
      <c r="ESN1110" s="15"/>
      <c r="ESQ1110" s="15"/>
      <c r="ESR1110" s="15"/>
      <c r="ESU1110" s="15"/>
      <c r="ESV1110" s="15"/>
      <c r="ESY1110" s="15"/>
      <c r="ESZ1110" s="15"/>
      <c r="ETC1110" s="15"/>
      <c r="ETD1110" s="15"/>
      <c r="ETG1110" s="15"/>
      <c r="ETH1110" s="15"/>
      <c r="ETK1110" s="15"/>
      <c r="ETL1110" s="15"/>
      <c r="ETO1110" s="15"/>
      <c r="ETP1110" s="15"/>
      <c r="ETS1110" s="15"/>
      <c r="ETT1110" s="15"/>
      <c r="ETW1110" s="15"/>
      <c r="ETX1110" s="15"/>
      <c r="EUA1110" s="15"/>
      <c r="EUB1110" s="15"/>
      <c r="EUE1110" s="15"/>
      <c r="EUF1110" s="15"/>
      <c r="EUI1110" s="15"/>
      <c r="EUJ1110" s="15"/>
      <c r="EUM1110" s="15"/>
      <c r="EUN1110" s="15"/>
      <c r="EUQ1110" s="15"/>
      <c r="EUR1110" s="15"/>
      <c r="EUU1110" s="15"/>
      <c r="EUV1110" s="15"/>
      <c r="EUY1110" s="15"/>
      <c r="EUZ1110" s="15"/>
      <c r="EVC1110" s="15"/>
      <c r="EVD1110" s="15"/>
      <c r="EVG1110" s="15"/>
      <c r="EVH1110" s="15"/>
      <c r="EVK1110" s="15"/>
      <c r="EVL1110" s="15"/>
      <c r="EVO1110" s="15"/>
      <c r="EVP1110" s="15"/>
      <c r="EVS1110" s="15"/>
      <c r="EVT1110" s="15"/>
      <c r="EVW1110" s="15"/>
      <c r="EVX1110" s="15"/>
      <c r="EWA1110" s="15"/>
      <c r="EWB1110" s="15"/>
      <c r="EWE1110" s="15"/>
      <c r="EWF1110" s="15"/>
      <c r="EWI1110" s="15"/>
      <c r="EWJ1110" s="15"/>
      <c r="EWM1110" s="15"/>
      <c r="EWN1110" s="15"/>
      <c r="EWQ1110" s="15"/>
      <c r="EWR1110" s="15"/>
      <c r="EWU1110" s="15"/>
      <c r="EWV1110" s="15"/>
      <c r="EWY1110" s="15"/>
      <c r="EWZ1110" s="15"/>
      <c r="EXC1110" s="15"/>
      <c r="EXD1110" s="15"/>
      <c r="EXG1110" s="15"/>
      <c r="EXH1110" s="15"/>
      <c r="EXK1110" s="15"/>
      <c r="EXL1110" s="15"/>
      <c r="EXO1110" s="15"/>
      <c r="EXP1110" s="15"/>
      <c r="EXS1110" s="15"/>
      <c r="EXT1110" s="15"/>
      <c r="EXW1110" s="15"/>
      <c r="EXX1110" s="15"/>
      <c r="EYA1110" s="15"/>
      <c r="EYB1110" s="15"/>
      <c r="EYE1110" s="15"/>
      <c r="EYF1110" s="15"/>
      <c r="EYI1110" s="15"/>
      <c r="EYJ1110" s="15"/>
      <c r="EYM1110" s="15"/>
      <c r="EYN1110" s="15"/>
      <c r="EYQ1110" s="15"/>
      <c r="EYR1110" s="15"/>
      <c r="EYU1110" s="15"/>
      <c r="EYV1110" s="15"/>
      <c r="EYY1110" s="15"/>
      <c r="EYZ1110" s="15"/>
      <c r="EZC1110" s="15"/>
      <c r="EZD1110" s="15"/>
      <c r="EZG1110" s="15"/>
      <c r="EZH1110" s="15"/>
      <c r="EZK1110" s="15"/>
      <c r="EZL1110" s="15"/>
      <c r="EZO1110" s="15"/>
      <c r="EZP1110" s="15"/>
      <c r="EZS1110" s="15"/>
      <c r="EZT1110" s="15"/>
      <c r="EZW1110" s="15"/>
      <c r="EZX1110" s="15"/>
      <c r="FAA1110" s="15"/>
      <c r="FAB1110" s="15"/>
      <c r="FAE1110" s="15"/>
      <c r="FAF1110" s="15"/>
      <c r="FAI1110" s="15"/>
      <c r="FAJ1110" s="15"/>
      <c r="FAM1110" s="15"/>
      <c r="FAN1110" s="15"/>
      <c r="FAQ1110" s="15"/>
      <c r="FAR1110" s="15"/>
      <c r="FAU1110" s="15"/>
      <c r="FAV1110" s="15"/>
      <c r="FAY1110" s="15"/>
      <c r="FAZ1110" s="15"/>
      <c r="FBC1110" s="15"/>
      <c r="FBD1110" s="15"/>
      <c r="FBG1110" s="15"/>
      <c r="FBH1110" s="15"/>
      <c r="FBK1110" s="15"/>
      <c r="FBL1110" s="15"/>
      <c r="FBO1110" s="15"/>
      <c r="FBP1110" s="15"/>
      <c r="FBS1110" s="15"/>
      <c r="FBT1110" s="15"/>
      <c r="FBW1110" s="15"/>
      <c r="FBX1110" s="15"/>
      <c r="FCA1110" s="15"/>
      <c r="FCB1110" s="15"/>
      <c r="FCE1110" s="15"/>
      <c r="FCF1110" s="15"/>
      <c r="FCI1110" s="15"/>
      <c r="FCJ1110" s="15"/>
      <c r="FCM1110" s="15"/>
      <c r="FCN1110" s="15"/>
      <c r="FCQ1110" s="15"/>
      <c r="FCR1110" s="15"/>
      <c r="FCU1110" s="15"/>
      <c r="FCV1110" s="15"/>
      <c r="FCY1110" s="15"/>
      <c r="FCZ1110" s="15"/>
      <c r="FDC1110" s="15"/>
      <c r="FDD1110" s="15"/>
      <c r="FDG1110" s="15"/>
      <c r="FDH1110" s="15"/>
      <c r="FDK1110" s="15"/>
      <c r="FDL1110" s="15"/>
      <c r="FDO1110" s="15"/>
      <c r="FDP1110" s="15"/>
      <c r="FDS1110" s="15"/>
      <c r="FDT1110" s="15"/>
      <c r="FDW1110" s="15"/>
      <c r="FDX1110" s="15"/>
      <c r="FEA1110" s="15"/>
      <c r="FEB1110" s="15"/>
      <c r="FEE1110" s="15"/>
      <c r="FEF1110" s="15"/>
      <c r="FEI1110" s="15"/>
      <c r="FEJ1110" s="15"/>
      <c r="FEM1110" s="15"/>
      <c r="FEN1110" s="15"/>
      <c r="FEQ1110" s="15"/>
      <c r="FER1110" s="15"/>
      <c r="FEU1110" s="15"/>
      <c r="FEV1110" s="15"/>
      <c r="FEY1110" s="15"/>
      <c r="FEZ1110" s="15"/>
      <c r="FFC1110" s="15"/>
      <c r="FFD1110" s="15"/>
      <c r="FFG1110" s="15"/>
      <c r="FFH1110" s="15"/>
      <c r="FFK1110" s="15"/>
      <c r="FFL1110" s="15"/>
      <c r="FFO1110" s="15"/>
      <c r="FFP1110" s="15"/>
      <c r="FFS1110" s="15"/>
      <c r="FFT1110" s="15"/>
      <c r="FFW1110" s="15"/>
      <c r="FFX1110" s="15"/>
      <c r="FGA1110" s="15"/>
      <c r="FGB1110" s="15"/>
      <c r="FGE1110" s="15"/>
      <c r="FGF1110" s="15"/>
      <c r="FGI1110" s="15"/>
      <c r="FGJ1110" s="15"/>
      <c r="FGM1110" s="15"/>
      <c r="FGN1110" s="15"/>
      <c r="FGQ1110" s="15"/>
      <c r="FGR1110" s="15"/>
      <c r="FGU1110" s="15"/>
      <c r="FGV1110" s="15"/>
      <c r="FGY1110" s="15"/>
      <c r="FGZ1110" s="15"/>
      <c r="FHC1110" s="15"/>
      <c r="FHD1110" s="15"/>
      <c r="FHG1110" s="15"/>
      <c r="FHH1110" s="15"/>
      <c r="FHK1110" s="15"/>
      <c r="FHL1110" s="15"/>
      <c r="FHO1110" s="15"/>
      <c r="FHP1110" s="15"/>
      <c r="FHS1110" s="15"/>
      <c r="FHT1110" s="15"/>
      <c r="FHW1110" s="15"/>
      <c r="FHX1110" s="15"/>
      <c r="FIA1110" s="15"/>
      <c r="FIB1110" s="15"/>
      <c r="FIE1110" s="15"/>
      <c r="FIF1110" s="15"/>
      <c r="FII1110" s="15"/>
      <c r="FIJ1110" s="15"/>
      <c r="FIM1110" s="15"/>
      <c r="FIN1110" s="15"/>
      <c r="FIQ1110" s="15"/>
      <c r="FIR1110" s="15"/>
      <c r="FIU1110" s="15"/>
      <c r="FIV1110" s="15"/>
      <c r="FIY1110" s="15"/>
      <c r="FIZ1110" s="15"/>
      <c r="FJC1110" s="15"/>
      <c r="FJD1110" s="15"/>
      <c r="FJG1110" s="15"/>
      <c r="FJH1110" s="15"/>
      <c r="FJK1110" s="15"/>
      <c r="FJL1110" s="15"/>
      <c r="FJO1110" s="15"/>
      <c r="FJP1110" s="15"/>
      <c r="FJS1110" s="15"/>
      <c r="FJT1110" s="15"/>
      <c r="FJW1110" s="15"/>
      <c r="FJX1110" s="15"/>
      <c r="FKA1110" s="15"/>
      <c r="FKB1110" s="15"/>
      <c r="FKE1110" s="15"/>
      <c r="FKF1110" s="15"/>
      <c r="FKI1110" s="15"/>
      <c r="FKJ1110" s="15"/>
      <c r="FKM1110" s="15"/>
      <c r="FKN1110" s="15"/>
      <c r="FKQ1110" s="15"/>
      <c r="FKR1110" s="15"/>
      <c r="FKU1110" s="15"/>
      <c r="FKV1110" s="15"/>
      <c r="FKY1110" s="15"/>
      <c r="FKZ1110" s="15"/>
      <c r="FLC1110" s="15"/>
      <c r="FLD1110" s="15"/>
      <c r="FLG1110" s="15"/>
      <c r="FLH1110" s="15"/>
      <c r="FLK1110" s="15"/>
      <c r="FLL1110" s="15"/>
      <c r="FLO1110" s="15"/>
      <c r="FLP1110" s="15"/>
      <c r="FLS1110" s="15"/>
      <c r="FLT1110" s="15"/>
      <c r="FLW1110" s="15"/>
      <c r="FLX1110" s="15"/>
      <c r="FMA1110" s="15"/>
      <c r="FMB1110" s="15"/>
      <c r="FME1110" s="15"/>
      <c r="FMF1110" s="15"/>
      <c r="FMI1110" s="15"/>
      <c r="FMJ1110" s="15"/>
      <c r="FMM1110" s="15"/>
      <c r="FMN1110" s="15"/>
      <c r="FMQ1110" s="15"/>
      <c r="FMR1110" s="15"/>
      <c r="FMU1110" s="15"/>
      <c r="FMV1110" s="15"/>
      <c r="FMY1110" s="15"/>
      <c r="FMZ1110" s="15"/>
      <c r="FNC1110" s="15"/>
      <c r="FND1110" s="15"/>
      <c r="FNG1110" s="15"/>
      <c r="FNH1110" s="15"/>
      <c r="FNK1110" s="15"/>
      <c r="FNL1110" s="15"/>
      <c r="FNO1110" s="15"/>
      <c r="FNP1110" s="15"/>
      <c r="FNS1110" s="15"/>
      <c r="FNT1110" s="15"/>
      <c r="FNW1110" s="15"/>
      <c r="FNX1110" s="15"/>
      <c r="FOA1110" s="15"/>
      <c r="FOB1110" s="15"/>
      <c r="FOE1110" s="15"/>
      <c r="FOF1110" s="15"/>
      <c r="FOI1110" s="15"/>
      <c r="FOJ1110" s="15"/>
      <c r="FOM1110" s="15"/>
      <c r="FON1110" s="15"/>
      <c r="FOQ1110" s="15"/>
      <c r="FOR1110" s="15"/>
      <c r="FOU1110" s="15"/>
      <c r="FOV1110" s="15"/>
      <c r="FOY1110" s="15"/>
      <c r="FOZ1110" s="15"/>
      <c r="FPC1110" s="15"/>
      <c r="FPD1110" s="15"/>
      <c r="FPG1110" s="15"/>
      <c r="FPH1110" s="15"/>
      <c r="FPK1110" s="15"/>
      <c r="FPL1110" s="15"/>
      <c r="FPO1110" s="15"/>
      <c r="FPP1110" s="15"/>
      <c r="FPS1110" s="15"/>
      <c r="FPT1110" s="15"/>
      <c r="FPW1110" s="15"/>
      <c r="FPX1110" s="15"/>
      <c r="FQA1110" s="15"/>
      <c r="FQB1110" s="15"/>
      <c r="FQE1110" s="15"/>
      <c r="FQF1110" s="15"/>
      <c r="FQI1110" s="15"/>
      <c r="FQJ1110" s="15"/>
      <c r="FQM1110" s="15"/>
      <c r="FQN1110" s="15"/>
      <c r="FQQ1110" s="15"/>
      <c r="FQR1110" s="15"/>
      <c r="FQU1110" s="15"/>
      <c r="FQV1110" s="15"/>
      <c r="FQY1110" s="15"/>
      <c r="FQZ1110" s="15"/>
      <c r="FRC1110" s="15"/>
      <c r="FRD1110" s="15"/>
      <c r="FRG1110" s="15"/>
      <c r="FRH1110" s="15"/>
      <c r="FRK1110" s="15"/>
      <c r="FRL1110" s="15"/>
      <c r="FRO1110" s="15"/>
      <c r="FRP1110" s="15"/>
      <c r="FRS1110" s="15"/>
      <c r="FRT1110" s="15"/>
      <c r="FRW1110" s="15"/>
      <c r="FRX1110" s="15"/>
      <c r="FSA1110" s="15"/>
      <c r="FSB1110" s="15"/>
      <c r="FSE1110" s="15"/>
      <c r="FSF1110" s="15"/>
      <c r="FSI1110" s="15"/>
      <c r="FSJ1110" s="15"/>
      <c r="FSM1110" s="15"/>
      <c r="FSN1110" s="15"/>
      <c r="FSQ1110" s="15"/>
      <c r="FSR1110" s="15"/>
      <c r="FSU1110" s="15"/>
      <c r="FSV1110" s="15"/>
      <c r="FSY1110" s="15"/>
      <c r="FSZ1110" s="15"/>
      <c r="FTC1110" s="15"/>
      <c r="FTD1110" s="15"/>
      <c r="FTG1110" s="15"/>
      <c r="FTH1110" s="15"/>
      <c r="FTK1110" s="15"/>
      <c r="FTL1110" s="15"/>
      <c r="FTO1110" s="15"/>
      <c r="FTP1110" s="15"/>
      <c r="FTS1110" s="15"/>
      <c r="FTT1110" s="15"/>
      <c r="FTW1110" s="15"/>
      <c r="FTX1110" s="15"/>
      <c r="FUA1110" s="15"/>
      <c r="FUB1110" s="15"/>
      <c r="FUE1110" s="15"/>
      <c r="FUF1110" s="15"/>
      <c r="FUI1110" s="15"/>
      <c r="FUJ1110" s="15"/>
      <c r="FUM1110" s="15"/>
      <c r="FUN1110" s="15"/>
      <c r="FUQ1110" s="15"/>
      <c r="FUR1110" s="15"/>
      <c r="FUU1110" s="15"/>
      <c r="FUV1110" s="15"/>
      <c r="FUY1110" s="15"/>
      <c r="FUZ1110" s="15"/>
      <c r="FVC1110" s="15"/>
      <c r="FVD1110" s="15"/>
      <c r="FVG1110" s="15"/>
      <c r="FVH1110" s="15"/>
      <c r="FVK1110" s="15"/>
      <c r="FVL1110" s="15"/>
      <c r="FVO1110" s="15"/>
      <c r="FVP1110" s="15"/>
      <c r="FVS1110" s="15"/>
      <c r="FVT1110" s="15"/>
      <c r="FVW1110" s="15"/>
      <c r="FVX1110" s="15"/>
      <c r="FWA1110" s="15"/>
      <c r="FWB1110" s="15"/>
      <c r="FWE1110" s="15"/>
      <c r="FWF1110" s="15"/>
      <c r="FWI1110" s="15"/>
      <c r="FWJ1110" s="15"/>
      <c r="FWM1110" s="15"/>
      <c r="FWN1110" s="15"/>
      <c r="FWQ1110" s="15"/>
      <c r="FWR1110" s="15"/>
      <c r="FWU1110" s="15"/>
      <c r="FWV1110" s="15"/>
      <c r="FWY1110" s="15"/>
      <c r="FWZ1110" s="15"/>
      <c r="FXC1110" s="15"/>
      <c r="FXD1110" s="15"/>
      <c r="FXG1110" s="15"/>
      <c r="FXH1110" s="15"/>
      <c r="FXK1110" s="15"/>
      <c r="FXL1110" s="15"/>
      <c r="FXO1110" s="15"/>
      <c r="FXP1110" s="15"/>
      <c r="FXS1110" s="15"/>
      <c r="FXT1110" s="15"/>
      <c r="FXW1110" s="15"/>
      <c r="FXX1110" s="15"/>
      <c r="FYA1110" s="15"/>
      <c r="FYB1110" s="15"/>
      <c r="FYE1110" s="15"/>
      <c r="FYF1110" s="15"/>
      <c r="FYI1110" s="15"/>
      <c r="FYJ1110" s="15"/>
      <c r="FYM1110" s="15"/>
      <c r="FYN1110" s="15"/>
      <c r="FYQ1110" s="15"/>
      <c r="FYR1110" s="15"/>
      <c r="FYU1110" s="15"/>
      <c r="FYV1110" s="15"/>
      <c r="FYY1110" s="15"/>
      <c r="FYZ1110" s="15"/>
      <c r="FZC1110" s="15"/>
      <c r="FZD1110" s="15"/>
      <c r="FZG1110" s="15"/>
      <c r="FZH1110" s="15"/>
      <c r="FZK1110" s="15"/>
      <c r="FZL1110" s="15"/>
      <c r="FZO1110" s="15"/>
      <c r="FZP1110" s="15"/>
      <c r="FZS1110" s="15"/>
      <c r="FZT1110" s="15"/>
      <c r="FZW1110" s="15"/>
      <c r="FZX1110" s="15"/>
      <c r="GAA1110" s="15"/>
      <c r="GAB1110" s="15"/>
      <c r="GAE1110" s="15"/>
      <c r="GAF1110" s="15"/>
      <c r="GAI1110" s="15"/>
      <c r="GAJ1110" s="15"/>
      <c r="GAM1110" s="15"/>
      <c r="GAN1110" s="15"/>
      <c r="GAQ1110" s="15"/>
      <c r="GAR1110" s="15"/>
      <c r="GAU1110" s="15"/>
      <c r="GAV1110" s="15"/>
      <c r="GAY1110" s="15"/>
      <c r="GAZ1110" s="15"/>
      <c r="GBC1110" s="15"/>
      <c r="GBD1110" s="15"/>
      <c r="GBG1110" s="15"/>
      <c r="GBH1110" s="15"/>
      <c r="GBK1110" s="15"/>
      <c r="GBL1110" s="15"/>
      <c r="GBO1110" s="15"/>
      <c r="GBP1110" s="15"/>
      <c r="GBS1110" s="15"/>
      <c r="GBT1110" s="15"/>
      <c r="GBW1110" s="15"/>
      <c r="GBX1110" s="15"/>
      <c r="GCA1110" s="15"/>
      <c r="GCB1110" s="15"/>
      <c r="GCE1110" s="15"/>
      <c r="GCF1110" s="15"/>
      <c r="GCI1110" s="15"/>
      <c r="GCJ1110" s="15"/>
      <c r="GCM1110" s="15"/>
      <c r="GCN1110" s="15"/>
      <c r="GCQ1110" s="15"/>
      <c r="GCR1110" s="15"/>
      <c r="GCU1110" s="15"/>
      <c r="GCV1110" s="15"/>
      <c r="GCY1110" s="15"/>
      <c r="GCZ1110" s="15"/>
      <c r="GDC1110" s="15"/>
      <c r="GDD1110" s="15"/>
      <c r="GDG1110" s="15"/>
      <c r="GDH1110" s="15"/>
      <c r="GDK1110" s="15"/>
      <c r="GDL1110" s="15"/>
      <c r="GDO1110" s="15"/>
      <c r="GDP1110" s="15"/>
      <c r="GDS1110" s="15"/>
      <c r="GDT1110" s="15"/>
      <c r="GDW1110" s="15"/>
      <c r="GDX1110" s="15"/>
      <c r="GEA1110" s="15"/>
      <c r="GEB1110" s="15"/>
      <c r="GEE1110" s="15"/>
      <c r="GEF1110" s="15"/>
      <c r="GEI1110" s="15"/>
      <c r="GEJ1110" s="15"/>
      <c r="GEM1110" s="15"/>
      <c r="GEN1110" s="15"/>
      <c r="GEQ1110" s="15"/>
      <c r="GER1110" s="15"/>
      <c r="GEU1110" s="15"/>
      <c r="GEV1110" s="15"/>
      <c r="GEY1110" s="15"/>
      <c r="GEZ1110" s="15"/>
      <c r="GFC1110" s="15"/>
      <c r="GFD1110" s="15"/>
      <c r="GFG1110" s="15"/>
      <c r="GFH1110" s="15"/>
      <c r="GFK1110" s="15"/>
      <c r="GFL1110" s="15"/>
      <c r="GFO1110" s="15"/>
      <c r="GFP1110" s="15"/>
      <c r="GFS1110" s="15"/>
      <c r="GFT1110" s="15"/>
      <c r="GFW1110" s="15"/>
      <c r="GFX1110" s="15"/>
      <c r="GGA1110" s="15"/>
      <c r="GGB1110" s="15"/>
      <c r="GGE1110" s="15"/>
      <c r="GGF1110" s="15"/>
      <c r="GGI1110" s="15"/>
      <c r="GGJ1110" s="15"/>
      <c r="GGM1110" s="15"/>
      <c r="GGN1110" s="15"/>
      <c r="GGQ1110" s="15"/>
      <c r="GGR1110" s="15"/>
      <c r="GGU1110" s="15"/>
      <c r="GGV1110" s="15"/>
      <c r="GGY1110" s="15"/>
      <c r="GGZ1110" s="15"/>
      <c r="GHC1110" s="15"/>
      <c r="GHD1110" s="15"/>
      <c r="GHG1110" s="15"/>
      <c r="GHH1110" s="15"/>
      <c r="GHK1110" s="15"/>
      <c r="GHL1110" s="15"/>
      <c r="GHO1110" s="15"/>
      <c r="GHP1110" s="15"/>
      <c r="GHS1110" s="15"/>
      <c r="GHT1110" s="15"/>
      <c r="GHW1110" s="15"/>
      <c r="GHX1110" s="15"/>
      <c r="GIA1110" s="15"/>
      <c r="GIB1110" s="15"/>
      <c r="GIE1110" s="15"/>
      <c r="GIF1110" s="15"/>
      <c r="GII1110" s="15"/>
      <c r="GIJ1110" s="15"/>
      <c r="GIM1110" s="15"/>
      <c r="GIN1110" s="15"/>
      <c r="GIQ1110" s="15"/>
      <c r="GIR1110" s="15"/>
      <c r="GIU1110" s="15"/>
      <c r="GIV1110" s="15"/>
      <c r="GIY1110" s="15"/>
      <c r="GIZ1110" s="15"/>
      <c r="GJC1110" s="15"/>
      <c r="GJD1110" s="15"/>
      <c r="GJG1110" s="15"/>
      <c r="GJH1110" s="15"/>
      <c r="GJK1110" s="15"/>
      <c r="GJL1110" s="15"/>
      <c r="GJO1110" s="15"/>
      <c r="GJP1110" s="15"/>
      <c r="GJS1110" s="15"/>
      <c r="GJT1110" s="15"/>
      <c r="GJW1110" s="15"/>
      <c r="GJX1110" s="15"/>
      <c r="GKA1110" s="15"/>
      <c r="GKB1110" s="15"/>
      <c r="GKE1110" s="15"/>
      <c r="GKF1110" s="15"/>
      <c r="GKI1110" s="15"/>
      <c r="GKJ1110" s="15"/>
      <c r="GKM1110" s="15"/>
      <c r="GKN1110" s="15"/>
      <c r="GKQ1110" s="15"/>
      <c r="GKR1110" s="15"/>
      <c r="GKU1110" s="15"/>
      <c r="GKV1110" s="15"/>
      <c r="GKY1110" s="15"/>
      <c r="GKZ1110" s="15"/>
      <c r="GLC1110" s="15"/>
      <c r="GLD1110" s="15"/>
      <c r="GLG1110" s="15"/>
      <c r="GLH1110" s="15"/>
      <c r="GLK1110" s="15"/>
      <c r="GLL1110" s="15"/>
      <c r="GLO1110" s="15"/>
      <c r="GLP1110" s="15"/>
      <c r="GLS1110" s="15"/>
      <c r="GLT1110" s="15"/>
      <c r="GLW1110" s="15"/>
      <c r="GLX1110" s="15"/>
      <c r="GMA1110" s="15"/>
      <c r="GMB1110" s="15"/>
      <c r="GME1110" s="15"/>
      <c r="GMF1110" s="15"/>
      <c r="GMI1110" s="15"/>
      <c r="GMJ1110" s="15"/>
      <c r="GMM1110" s="15"/>
      <c r="GMN1110" s="15"/>
      <c r="GMQ1110" s="15"/>
      <c r="GMR1110" s="15"/>
      <c r="GMU1110" s="15"/>
      <c r="GMV1110" s="15"/>
      <c r="GMY1110" s="15"/>
      <c r="GMZ1110" s="15"/>
      <c r="GNC1110" s="15"/>
      <c r="GND1110" s="15"/>
      <c r="GNG1110" s="15"/>
      <c r="GNH1110" s="15"/>
      <c r="GNK1110" s="15"/>
      <c r="GNL1110" s="15"/>
      <c r="GNO1110" s="15"/>
      <c r="GNP1110" s="15"/>
      <c r="GNS1110" s="15"/>
      <c r="GNT1110" s="15"/>
      <c r="GNW1110" s="15"/>
      <c r="GNX1110" s="15"/>
      <c r="GOA1110" s="15"/>
      <c r="GOB1110" s="15"/>
      <c r="GOE1110" s="15"/>
      <c r="GOF1110" s="15"/>
      <c r="GOI1110" s="15"/>
      <c r="GOJ1110" s="15"/>
      <c r="GOM1110" s="15"/>
      <c r="GON1110" s="15"/>
      <c r="GOQ1110" s="15"/>
      <c r="GOR1110" s="15"/>
      <c r="GOU1110" s="15"/>
      <c r="GOV1110" s="15"/>
      <c r="GOY1110" s="15"/>
      <c r="GOZ1110" s="15"/>
      <c r="GPC1110" s="15"/>
      <c r="GPD1110" s="15"/>
      <c r="GPG1110" s="15"/>
      <c r="GPH1110" s="15"/>
      <c r="GPK1110" s="15"/>
      <c r="GPL1110" s="15"/>
      <c r="GPO1110" s="15"/>
      <c r="GPP1110" s="15"/>
      <c r="GPS1110" s="15"/>
      <c r="GPT1110" s="15"/>
      <c r="GPW1110" s="15"/>
      <c r="GPX1110" s="15"/>
      <c r="GQA1110" s="15"/>
      <c r="GQB1110" s="15"/>
      <c r="GQE1110" s="15"/>
      <c r="GQF1110" s="15"/>
      <c r="GQI1110" s="15"/>
      <c r="GQJ1110" s="15"/>
      <c r="GQM1110" s="15"/>
      <c r="GQN1110" s="15"/>
      <c r="GQQ1110" s="15"/>
      <c r="GQR1110" s="15"/>
      <c r="GQU1110" s="15"/>
      <c r="GQV1110" s="15"/>
      <c r="GQY1110" s="15"/>
      <c r="GQZ1110" s="15"/>
      <c r="GRC1110" s="15"/>
      <c r="GRD1110" s="15"/>
      <c r="GRG1110" s="15"/>
      <c r="GRH1110" s="15"/>
      <c r="GRK1110" s="15"/>
      <c r="GRL1110" s="15"/>
      <c r="GRO1110" s="15"/>
      <c r="GRP1110" s="15"/>
      <c r="GRS1110" s="15"/>
      <c r="GRT1110" s="15"/>
      <c r="GRW1110" s="15"/>
      <c r="GRX1110" s="15"/>
      <c r="GSA1110" s="15"/>
      <c r="GSB1110" s="15"/>
      <c r="GSE1110" s="15"/>
      <c r="GSF1110" s="15"/>
      <c r="GSI1110" s="15"/>
      <c r="GSJ1110" s="15"/>
      <c r="GSM1110" s="15"/>
      <c r="GSN1110" s="15"/>
      <c r="GSQ1110" s="15"/>
      <c r="GSR1110" s="15"/>
      <c r="GSU1110" s="15"/>
      <c r="GSV1110" s="15"/>
      <c r="GSY1110" s="15"/>
      <c r="GSZ1110" s="15"/>
      <c r="GTC1110" s="15"/>
      <c r="GTD1110" s="15"/>
      <c r="GTG1110" s="15"/>
      <c r="GTH1110" s="15"/>
      <c r="GTK1110" s="15"/>
      <c r="GTL1110" s="15"/>
      <c r="GTO1110" s="15"/>
      <c r="GTP1110" s="15"/>
      <c r="GTS1110" s="15"/>
      <c r="GTT1110" s="15"/>
      <c r="GTW1110" s="15"/>
      <c r="GTX1110" s="15"/>
      <c r="GUA1110" s="15"/>
      <c r="GUB1110" s="15"/>
      <c r="GUE1110" s="15"/>
      <c r="GUF1110" s="15"/>
      <c r="GUI1110" s="15"/>
      <c r="GUJ1110" s="15"/>
      <c r="GUM1110" s="15"/>
      <c r="GUN1110" s="15"/>
      <c r="GUQ1110" s="15"/>
      <c r="GUR1110" s="15"/>
      <c r="GUU1110" s="15"/>
      <c r="GUV1110" s="15"/>
      <c r="GUY1110" s="15"/>
      <c r="GUZ1110" s="15"/>
      <c r="GVC1110" s="15"/>
      <c r="GVD1110" s="15"/>
      <c r="GVG1110" s="15"/>
      <c r="GVH1110" s="15"/>
      <c r="GVK1110" s="15"/>
      <c r="GVL1110" s="15"/>
      <c r="GVO1110" s="15"/>
      <c r="GVP1110" s="15"/>
      <c r="GVS1110" s="15"/>
      <c r="GVT1110" s="15"/>
      <c r="GVW1110" s="15"/>
      <c r="GVX1110" s="15"/>
      <c r="GWA1110" s="15"/>
      <c r="GWB1110" s="15"/>
      <c r="GWE1110" s="15"/>
      <c r="GWF1110" s="15"/>
      <c r="GWI1110" s="15"/>
      <c r="GWJ1110" s="15"/>
      <c r="GWM1110" s="15"/>
      <c r="GWN1110" s="15"/>
      <c r="GWQ1110" s="15"/>
      <c r="GWR1110" s="15"/>
      <c r="GWU1110" s="15"/>
      <c r="GWV1110" s="15"/>
      <c r="GWY1110" s="15"/>
      <c r="GWZ1110" s="15"/>
      <c r="GXC1110" s="15"/>
      <c r="GXD1110" s="15"/>
      <c r="GXG1110" s="15"/>
      <c r="GXH1110" s="15"/>
      <c r="GXK1110" s="15"/>
      <c r="GXL1110" s="15"/>
      <c r="GXO1110" s="15"/>
      <c r="GXP1110" s="15"/>
      <c r="GXS1110" s="15"/>
      <c r="GXT1110" s="15"/>
      <c r="GXW1110" s="15"/>
      <c r="GXX1110" s="15"/>
      <c r="GYA1110" s="15"/>
      <c r="GYB1110" s="15"/>
      <c r="GYE1110" s="15"/>
      <c r="GYF1110" s="15"/>
      <c r="GYI1110" s="15"/>
      <c r="GYJ1110" s="15"/>
      <c r="GYM1110" s="15"/>
      <c r="GYN1110" s="15"/>
      <c r="GYQ1110" s="15"/>
      <c r="GYR1110" s="15"/>
      <c r="GYU1110" s="15"/>
      <c r="GYV1110" s="15"/>
      <c r="GYY1110" s="15"/>
      <c r="GYZ1110" s="15"/>
      <c r="GZC1110" s="15"/>
      <c r="GZD1110" s="15"/>
      <c r="GZG1110" s="15"/>
      <c r="GZH1110" s="15"/>
      <c r="GZK1110" s="15"/>
      <c r="GZL1110" s="15"/>
      <c r="GZO1110" s="15"/>
      <c r="GZP1110" s="15"/>
      <c r="GZS1110" s="15"/>
      <c r="GZT1110" s="15"/>
      <c r="GZW1110" s="15"/>
      <c r="GZX1110" s="15"/>
      <c r="HAA1110" s="15"/>
      <c r="HAB1110" s="15"/>
      <c r="HAE1110" s="15"/>
      <c r="HAF1110" s="15"/>
      <c r="HAI1110" s="15"/>
      <c r="HAJ1110" s="15"/>
      <c r="HAM1110" s="15"/>
      <c r="HAN1110" s="15"/>
      <c r="HAQ1110" s="15"/>
      <c r="HAR1110" s="15"/>
      <c r="HAU1110" s="15"/>
      <c r="HAV1110" s="15"/>
      <c r="HAY1110" s="15"/>
      <c r="HAZ1110" s="15"/>
      <c r="HBC1110" s="15"/>
      <c r="HBD1110" s="15"/>
      <c r="HBG1110" s="15"/>
      <c r="HBH1110" s="15"/>
      <c r="HBK1110" s="15"/>
      <c r="HBL1110" s="15"/>
      <c r="HBO1110" s="15"/>
      <c r="HBP1110" s="15"/>
      <c r="HBS1110" s="15"/>
      <c r="HBT1110" s="15"/>
      <c r="HBW1110" s="15"/>
      <c r="HBX1110" s="15"/>
      <c r="HCA1110" s="15"/>
      <c r="HCB1110" s="15"/>
      <c r="HCE1110" s="15"/>
      <c r="HCF1110" s="15"/>
      <c r="HCI1110" s="15"/>
      <c r="HCJ1110" s="15"/>
      <c r="HCM1110" s="15"/>
      <c r="HCN1110" s="15"/>
      <c r="HCQ1110" s="15"/>
      <c r="HCR1110" s="15"/>
      <c r="HCU1110" s="15"/>
      <c r="HCV1110" s="15"/>
      <c r="HCY1110" s="15"/>
      <c r="HCZ1110" s="15"/>
      <c r="HDC1110" s="15"/>
      <c r="HDD1110" s="15"/>
      <c r="HDG1110" s="15"/>
      <c r="HDH1110" s="15"/>
      <c r="HDK1110" s="15"/>
      <c r="HDL1110" s="15"/>
      <c r="HDO1110" s="15"/>
      <c r="HDP1110" s="15"/>
      <c r="HDS1110" s="15"/>
      <c r="HDT1110" s="15"/>
      <c r="HDW1110" s="15"/>
      <c r="HDX1110" s="15"/>
      <c r="HEA1110" s="15"/>
      <c r="HEB1110" s="15"/>
      <c r="HEE1110" s="15"/>
      <c r="HEF1110" s="15"/>
      <c r="HEI1110" s="15"/>
      <c r="HEJ1110" s="15"/>
      <c r="HEM1110" s="15"/>
      <c r="HEN1110" s="15"/>
      <c r="HEQ1110" s="15"/>
      <c r="HER1110" s="15"/>
      <c r="HEU1110" s="15"/>
      <c r="HEV1110" s="15"/>
      <c r="HEY1110" s="15"/>
      <c r="HEZ1110" s="15"/>
      <c r="HFC1110" s="15"/>
      <c r="HFD1110" s="15"/>
      <c r="HFG1110" s="15"/>
      <c r="HFH1110" s="15"/>
      <c r="HFK1110" s="15"/>
      <c r="HFL1110" s="15"/>
      <c r="HFO1110" s="15"/>
      <c r="HFP1110" s="15"/>
      <c r="HFS1110" s="15"/>
      <c r="HFT1110" s="15"/>
      <c r="HFW1110" s="15"/>
      <c r="HFX1110" s="15"/>
      <c r="HGA1110" s="15"/>
      <c r="HGB1110" s="15"/>
      <c r="HGE1110" s="15"/>
      <c r="HGF1110" s="15"/>
      <c r="HGI1110" s="15"/>
      <c r="HGJ1110" s="15"/>
      <c r="HGM1110" s="15"/>
      <c r="HGN1110" s="15"/>
      <c r="HGQ1110" s="15"/>
      <c r="HGR1110" s="15"/>
      <c r="HGU1110" s="15"/>
      <c r="HGV1110" s="15"/>
      <c r="HGY1110" s="15"/>
      <c r="HGZ1110" s="15"/>
      <c r="HHC1110" s="15"/>
      <c r="HHD1110" s="15"/>
      <c r="HHG1110" s="15"/>
      <c r="HHH1110" s="15"/>
      <c r="HHK1110" s="15"/>
      <c r="HHL1110" s="15"/>
      <c r="HHO1110" s="15"/>
      <c r="HHP1110" s="15"/>
      <c r="HHS1110" s="15"/>
      <c r="HHT1110" s="15"/>
      <c r="HHW1110" s="15"/>
      <c r="HHX1110" s="15"/>
      <c r="HIA1110" s="15"/>
      <c r="HIB1110" s="15"/>
      <c r="HIE1110" s="15"/>
      <c r="HIF1110" s="15"/>
      <c r="HII1110" s="15"/>
      <c r="HIJ1110" s="15"/>
      <c r="HIM1110" s="15"/>
      <c r="HIN1110" s="15"/>
      <c r="HIQ1110" s="15"/>
      <c r="HIR1110" s="15"/>
      <c r="HIU1110" s="15"/>
      <c r="HIV1110" s="15"/>
      <c r="HIY1110" s="15"/>
      <c r="HIZ1110" s="15"/>
      <c r="HJC1110" s="15"/>
      <c r="HJD1110" s="15"/>
      <c r="HJG1110" s="15"/>
      <c r="HJH1110" s="15"/>
      <c r="HJK1110" s="15"/>
      <c r="HJL1110" s="15"/>
      <c r="HJO1110" s="15"/>
      <c r="HJP1110" s="15"/>
      <c r="HJS1110" s="15"/>
      <c r="HJT1110" s="15"/>
      <c r="HJW1110" s="15"/>
      <c r="HJX1110" s="15"/>
      <c r="HKA1110" s="15"/>
      <c r="HKB1110" s="15"/>
      <c r="HKE1110" s="15"/>
      <c r="HKF1110" s="15"/>
      <c r="HKI1110" s="15"/>
      <c r="HKJ1110" s="15"/>
      <c r="HKM1110" s="15"/>
      <c r="HKN1110" s="15"/>
      <c r="HKQ1110" s="15"/>
      <c r="HKR1110" s="15"/>
      <c r="HKU1110" s="15"/>
      <c r="HKV1110" s="15"/>
      <c r="HKY1110" s="15"/>
      <c r="HKZ1110" s="15"/>
      <c r="HLC1110" s="15"/>
      <c r="HLD1110" s="15"/>
      <c r="HLG1110" s="15"/>
      <c r="HLH1110" s="15"/>
      <c r="HLK1110" s="15"/>
      <c r="HLL1110" s="15"/>
      <c r="HLO1110" s="15"/>
      <c r="HLP1110" s="15"/>
      <c r="HLS1110" s="15"/>
      <c r="HLT1110" s="15"/>
      <c r="HLW1110" s="15"/>
      <c r="HLX1110" s="15"/>
      <c r="HMA1110" s="15"/>
      <c r="HMB1110" s="15"/>
      <c r="HME1110" s="15"/>
      <c r="HMF1110" s="15"/>
      <c r="HMI1110" s="15"/>
      <c r="HMJ1110" s="15"/>
      <c r="HMM1110" s="15"/>
      <c r="HMN1110" s="15"/>
      <c r="HMQ1110" s="15"/>
      <c r="HMR1110" s="15"/>
      <c r="HMU1110" s="15"/>
      <c r="HMV1110" s="15"/>
      <c r="HMY1110" s="15"/>
      <c r="HMZ1110" s="15"/>
      <c r="HNC1110" s="15"/>
      <c r="HND1110" s="15"/>
      <c r="HNG1110" s="15"/>
      <c r="HNH1110" s="15"/>
      <c r="HNK1110" s="15"/>
      <c r="HNL1110" s="15"/>
      <c r="HNO1110" s="15"/>
      <c r="HNP1110" s="15"/>
      <c r="HNS1110" s="15"/>
      <c r="HNT1110" s="15"/>
      <c r="HNW1110" s="15"/>
      <c r="HNX1110" s="15"/>
      <c r="HOA1110" s="15"/>
      <c r="HOB1110" s="15"/>
      <c r="HOE1110" s="15"/>
      <c r="HOF1110" s="15"/>
      <c r="HOI1110" s="15"/>
      <c r="HOJ1110" s="15"/>
      <c r="HOM1110" s="15"/>
      <c r="HON1110" s="15"/>
      <c r="HOQ1110" s="15"/>
      <c r="HOR1110" s="15"/>
      <c r="HOU1110" s="15"/>
      <c r="HOV1110" s="15"/>
      <c r="HOY1110" s="15"/>
      <c r="HOZ1110" s="15"/>
      <c r="HPC1110" s="15"/>
      <c r="HPD1110" s="15"/>
      <c r="HPG1110" s="15"/>
      <c r="HPH1110" s="15"/>
      <c r="HPK1110" s="15"/>
      <c r="HPL1110" s="15"/>
      <c r="HPO1110" s="15"/>
      <c r="HPP1110" s="15"/>
      <c r="HPS1110" s="15"/>
      <c r="HPT1110" s="15"/>
      <c r="HPW1110" s="15"/>
      <c r="HPX1110" s="15"/>
      <c r="HQA1110" s="15"/>
      <c r="HQB1110" s="15"/>
      <c r="HQE1110" s="15"/>
      <c r="HQF1110" s="15"/>
      <c r="HQI1110" s="15"/>
      <c r="HQJ1110" s="15"/>
      <c r="HQM1110" s="15"/>
      <c r="HQN1110" s="15"/>
      <c r="HQQ1110" s="15"/>
      <c r="HQR1110" s="15"/>
      <c r="HQU1110" s="15"/>
      <c r="HQV1110" s="15"/>
      <c r="HQY1110" s="15"/>
      <c r="HQZ1110" s="15"/>
      <c r="HRC1110" s="15"/>
      <c r="HRD1110" s="15"/>
      <c r="HRG1110" s="15"/>
      <c r="HRH1110" s="15"/>
      <c r="HRK1110" s="15"/>
      <c r="HRL1110" s="15"/>
      <c r="HRO1110" s="15"/>
      <c r="HRP1110" s="15"/>
      <c r="HRS1110" s="15"/>
      <c r="HRT1110" s="15"/>
      <c r="HRW1110" s="15"/>
      <c r="HRX1110" s="15"/>
      <c r="HSA1110" s="15"/>
      <c r="HSB1110" s="15"/>
      <c r="HSE1110" s="15"/>
      <c r="HSF1110" s="15"/>
      <c r="HSI1110" s="15"/>
      <c r="HSJ1110" s="15"/>
      <c r="HSM1110" s="15"/>
      <c r="HSN1110" s="15"/>
      <c r="HSQ1110" s="15"/>
      <c r="HSR1110" s="15"/>
      <c r="HSU1110" s="15"/>
      <c r="HSV1110" s="15"/>
      <c r="HSY1110" s="15"/>
      <c r="HSZ1110" s="15"/>
      <c r="HTC1110" s="15"/>
      <c r="HTD1110" s="15"/>
      <c r="HTG1110" s="15"/>
      <c r="HTH1110" s="15"/>
      <c r="HTK1110" s="15"/>
      <c r="HTL1110" s="15"/>
      <c r="HTO1110" s="15"/>
      <c r="HTP1110" s="15"/>
      <c r="HTS1110" s="15"/>
      <c r="HTT1110" s="15"/>
      <c r="HTW1110" s="15"/>
      <c r="HTX1110" s="15"/>
      <c r="HUA1110" s="15"/>
      <c r="HUB1110" s="15"/>
      <c r="HUE1110" s="15"/>
      <c r="HUF1110" s="15"/>
      <c r="HUI1110" s="15"/>
      <c r="HUJ1110" s="15"/>
      <c r="HUM1110" s="15"/>
      <c r="HUN1110" s="15"/>
      <c r="HUQ1110" s="15"/>
      <c r="HUR1110" s="15"/>
      <c r="HUU1110" s="15"/>
      <c r="HUV1110" s="15"/>
      <c r="HUY1110" s="15"/>
      <c r="HUZ1110" s="15"/>
      <c r="HVC1110" s="15"/>
      <c r="HVD1110" s="15"/>
      <c r="HVG1110" s="15"/>
      <c r="HVH1110" s="15"/>
      <c r="HVK1110" s="15"/>
      <c r="HVL1110" s="15"/>
      <c r="HVO1110" s="15"/>
      <c r="HVP1110" s="15"/>
      <c r="HVS1110" s="15"/>
      <c r="HVT1110" s="15"/>
      <c r="HVW1110" s="15"/>
      <c r="HVX1110" s="15"/>
      <c r="HWA1110" s="15"/>
      <c r="HWB1110" s="15"/>
      <c r="HWE1110" s="15"/>
      <c r="HWF1110" s="15"/>
      <c r="HWI1110" s="15"/>
      <c r="HWJ1110" s="15"/>
      <c r="HWM1110" s="15"/>
      <c r="HWN1110" s="15"/>
      <c r="HWQ1110" s="15"/>
      <c r="HWR1110" s="15"/>
      <c r="HWU1110" s="15"/>
      <c r="HWV1110" s="15"/>
      <c r="HWY1110" s="15"/>
      <c r="HWZ1110" s="15"/>
      <c r="HXC1110" s="15"/>
      <c r="HXD1110" s="15"/>
      <c r="HXG1110" s="15"/>
      <c r="HXH1110" s="15"/>
      <c r="HXK1110" s="15"/>
      <c r="HXL1110" s="15"/>
      <c r="HXO1110" s="15"/>
      <c r="HXP1110" s="15"/>
      <c r="HXS1110" s="15"/>
      <c r="HXT1110" s="15"/>
      <c r="HXW1110" s="15"/>
      <c r="HXX1110" s="15"/>
      <c r="HYA1110" s="15"/>
      <c r="HYB1110" s="15"/>
      <c r="HYE1110" s="15"/>
      <c r="HYF1110" s="15"/>
      <c r="HYI1110" s="15"/>
      <c r="HYJ1110" s="15"/>
      <c r="HYM1110" s="15"/>
      <c r="HYN1110" s="15"/>
      <c r="HYQ1110" s="15"/>
      <c r="HYR1110" s="15"/>
      <c r="HYU1110" s="15"/>
      <c r="HYV1110" s="15"/>
      <c r="HYY1110" s="15"/>
      <c r="HYZ1110" s="15"/>
      <c r="HZC1110" s="15"/>
      <c r="HZD1110" s="15"/>
      <c r="HZG1110" s="15"/>
      <c r="HZH1110" s="15"/>
      <c r="HZK1110" s="15"/>
      <c r="HZL1110" s="15"/>
      <c r="HZO1110" s="15"/>
      <c r="HZP1110" s="15"/>
      <c r="HZS1110" s="15"/>
      <c r="HZT1110" s="15"/>
      <c r="HZW1110" s="15"/>
      <c r="HZX1110" s="15"/>
      <c r="IAA1110" s="15"/>
      <c r="IAB1110" s="15"/>
      <c r="IAE1110" s="15"/>
      <c r="IAF1110" s="15"/>
      <c r="IAI1110" s="15"/>
      <c r="IAJ1110" s="15"/>
      <c r="IAM1110" s="15"/>
      <c r="IAN1110" s="15"/>
      <c r="IAQ1110" s="15"/>
      <c r="IAR1110" s="15"/>
      <c r="IAU1110" s="15"/>
      <c r="IAV1110" s="15"/>
      <c r="IAY1110" s="15"/>
      <c r="IAZ1110" s="15"/>
      <c r="IBC1110" s="15"/>
      <c r="IBD1110" s="15"/>
      <c r="IBG1110" s="15"/>
      <c r="IBH1110" s="15"/>
      <c r="IBK1110" s="15"/>
      <c r="IBL1110" s="15"/>
      <c r="IBO1110" s="15"/>
      <c r="IBP1110" s="15"/>
      <c r="IBS1110" s="15"/>
      <c r="IBT1110" s="15"/>
      <c r="IBW1110" s="15"/>
      <c r="IBX1110" s="15"/>
      <c r="ICA1110" s="15"/>
      <c r="ICB1110" s="15"/>
      <c r="ICE1110" s="15"/>
      <c r="ICF1110" s="15"/>
      <c r="ICI1110" s="15"/>
      <c r="ICJ1110" s="15"/>
      <c r="ICM1110" s="15"/>
      <c r="ICN1110" s="15"/>
      <c r="ICQ1110" s="15"/>
      <c r="ICR1110" s="15"/>
      <c r="ICU1110" s="15"/>
      <c r="ICV1110" s="15"/>
      <c r="ICY1110" s="15"/>
      <c r="ICZ1110" s="15"/>
      <c r="IDC1110" s="15"/>
      <c r="IDD1110" s="15"/>
      <c r="IDG1110" s="15"/>
      <c r="IDH1110" s="15"/>
      <c r="IDK1110" s="15"/>
      <c r="IDL1110" s="15"/>
      <c r="IDO1110" s="15"/>
      <c r="IDP1110" s="15"/>
      <c r="IDS1110" s="15"/>
      <c r="IDT1110" s="15"/>
      <c r="IDW1110" s="15"/>
      <c r="IDX1110" s="15"/>
      <c r="IEA1110" s="15"/>
      <c r="IEB1110" s="15"/>
      <c r="IEE1110" s="15"/>
      <c r="IEF1110" s="15"/>
      <c r="IEI1110" s="15"/>
      <c r="IEJ1110" s="15"/>
      <c r="IEM1110" s="15"/>
      <c r="IEN1110" s="15"/>
      <c r="IEQ1110" s="15"/>
      <c r="IER1110" s="15"/>
      <c r="IEU1110" s="15"/>
      <c r="IEV1110" s="15"/>
      <c r="IEY1110" s="15"/>
      <c r="IEZ1110" s="15"/>
      <c r="IFC1110" s="15"/>
      <c r="IFD1110" s="15"/>
      <c r="IFG1110" s="15"/>
      <c r="IFH1110" s="15"/>
      <c r="IFK1110" s="15"/>
      <c r="IFL1110" s="15"/>
      <c r="IFO1110" s="15"/>
      <c r="IFP1110" s="15"/>
      <c r="IFS1110" s="15"/>
      <c r="IFT1110" s="15"/>
      <c r="IFW1110" s="15"/>
      <c r="IFX1110" s="15"/>
      <c r="IGA1110" s="15"/>
      <c r="IGB1110" s="15"/>
      <c r="IGE1110" s="15"/>
      <c r="IGF1110" s="15"/>
      <c r="IGI1110" s="15"/>
      <c r="IGJ1110" s="15"/>
      <c r="IGM1110" s="15"/>
      <c r="IGN1110" s="15"/>
      <c r="IGQ1110" s="15"/>
      <c r="IGR1110" s="15"/>
      <c r="IGU1110" s="15"/>
      <c r="IGV1110" s="15"/>
      <c r="IGY1110" s="15"/>
      <c r="IGZ1110" s="15"/>
      <c r="IHC1110" s="15"/>
      <c r="IHD1110" s="15"/>
      <c r="IHG1110" s="15"/>
      <c r="IHH1110" s="15"/>
      <c r="IHK1110" s="15"/>
      <c r="IHL1110" s="15"/>
      <c r="IHO1110" s="15"/>
      <c r="IHP1110" s="15"/>
      <c r="IHS1110" s="15"/>
      <c r="IHT1110" s="15"/>
      <c r="IHW1110" s="15"/>
      <c r="IHX1110" s="15"/>
      <c r="IIA1110" s="15"/>
      <c r="IIB1110" s="15"/>
      <c r="IIE1110" s="15"/>
      <c r="IIF1110" s="15"/>
      <c r="III1110" s="15"/>
      <c r="IIJ1110" s="15"/>
      <c r="IIM1110" s="15"/>
      <c r="IIN1110" s="15"/>
      <c r="IIQ1110" s="15"/>
      <c r="IIR1110" s="15"/>
      <c r="IIU1110" s="15"/>
      <c r="IIV1110" s="15"/>
      <c r="IIY1110" s="15"/>
      <c r="IIZ1110" s="15"/>
      <c r="IJC1110" s="15"/>
      <c r="IJD1110" s="15"/>
      <c r="IJG1110" s="15"/>
      <c r="IJH1110" s="15"/>
      <c r="IJK1110" s="15"/>
      <c r="IJL1110" s="15"/>
      <c r="IJO1110" s="15"/>
      <c r="IJP1110" s="15"/>
      <c r="IJS1110" s="15"/>
      <c r="IJT1110" s="15"/>
      <c r="IJW1110" s="15"/>
      <c r="IJX1110" s="15"/>
      <c r="IKA1110" s="15"/>
      <c r="IKB1110" s="15"/>
      <c r="IKE1110" s="15"/>
      <c r="IKF1110" s="15"/>
      <c r="IKI1110" s="15"/>
      <c r="IKJ1110" s="15"/>
      <c r="IKM1110" s="15"/>
      <c r="IKN1110" s="15"/>
      <c r="IKQ1110" s="15"/>
      <c r="IKR1110" s="15"/>
      <c r="IKU1110" s="15"/>
      <c r="IKV1110" s="15"/>
      <c r="IKY1110" s="15"/>
      <c r="IKZ1110" s="15"/>
      <c r="ILC1110" s="15"/>
      <c r="ILD1110" s="15"/>
      <c r="ILG1110" s="15"/>
      <c r="ILH1110" s="15"/>
      <c r="ILK1110" s="15"/>
      <c r="ILL1110" s="15"/>
      <c r="ILO1110" s="15"/>
      <c r="ILP1110" s="15"/>
      <c r="ILS1110" s="15"/>
      <c r="ILT1110" s="15"/>
      <c r="ILW1110" s="15"/>
      <c r="ILX1110" s="15"/>
      <c r="IMA1110" s="15"/>
      <c r="IMB1110" s="15"/>
      <c r="IME1110" s="15"/>
      <c r="IMF1110" s="15"/>
      <c r="IMI1110" s="15"/>
      <c r="IMJ1110" s="15"/>
      <c r="IMM1110" s="15"/>
      <c r="IMN1110" s="15"/>
      <c r="IMQ1110" s="15"/>
      <c r="IMR1110" s="15"/>
      <c r="IMU1110" s="15"/>
      <c r="IMV1110" s="15"/>
      <c r="IMY1110" s="15"/>
      <c r="IMZ1110" s="15"/>
      <c r="INC1110" s="15"/>
      <c r="IND1110" s="15"/>
      <c r="ING1110" s="15"/>
      <c r="INH1110" s="15"/>
      <c r="INK1110" s="15"/>
      <c r="INL1110" s="15"/>
      <c r="INO1110" s="15"/>
      <c r="INP1110" s="15"/>
      <c r="INS1110" s="15"/>
      <c r="INT1110" s="15"/>
      <c r="INW1110" s="15"/>
      <c r="INX1110" s="15"/>
      <c r="IOA1110" s="15"/>
      <c r="IOB1110" s="15"/>
      <c r="IOE1110" s="15"/>
      <c r="IOF1110" s="15"/>
      <c r="IOI1110" s="15"/>
      <c r="IOJ1110" s="15"/>
      <c r="IOM1110" s="15"/>
      <c r="ION1110" s="15"/>
      <c r="IOQ1110" s="15"/>
      <c r="IOR1110" s="15"/>
      <c r="IOU1110" s="15"/>
      <c r="IOV1110" s="15"/>
      <c r="IOY1110" s="15"/>
      <c r="IOZ1110" s="15"/>
      <c r="IPC1110" s="15"/>
      <c r="IPD1110" s="15"/>
      <c r="IPG1110" s="15"/>
      <c r="IPH1110" s="15"/>
      <c r="IPK1110" s="15"/>
      <c r="IPL1110" s="15"/>
      <c r="IPO1110" s="15"/>
      <c r="IPP1110" s="15"/>
      <c r="IPS1110" s="15"/>
      <c r="IPT1110" s="15"/>
      <c r="IPW1110" s="15"/>
      <c r="IPX1110" s="15"/>
      <c r="IQA1110" s="15"/>
      <c r="IQB1110" s="15"/>
      <c r="IQE1110" s="15"/>
      <c r="IQF1110" s="15"/>
      <c r="IQI1110" s="15"/>
      <c r="IQJ1110" s="15"/>
      <c r="IQM1110" s="15"/>
      <c r="IQN1110" s="15"/>
      <c r="IQQ1110" s="15"/>
      <c r="IQR1110" s="15"/>
      <c r="IQU1110" s="15"/>
      <c r="IQV1110" s="15"/>
      <c r="IQY1110" s="15"/>
      <c r="IQZ1110" s="15"/>
      <c r="IRC1110" s="15"/>
      <c r="IRD1110" s="15"/>
      <c r="IRG1110" s="15"/>
      <c r="IRH1110" s="15"/>
      <c r="IRK1110" s="15"/>
      <c r="IRL1110" s="15"/>
      <c r="IRO1110" s="15"/>
      <c r="IRP1110" s="15"/>
      <c r="IRS1110" s="15"/>
      <c r="IRT1110" s="15"/>
      <c r="IRW1110" s="15"/>
      <c r="IRX1110" s="15"/>
      <c r="ISA1110" s="15"/>
      <c r="ISB1110" s="15"/>
      <c r="ISE1110" s="15"/>
      <c r="ISF1110" s="15"/>
      <c r="ISI1110" s="15"/>
      <c r="ISJ1110" s="15"/>
      <c r="ISM1110" s="15"/>
      <c r="ISN1110" s="15"/>
      <c r="ISQ1110" s="15"/>
      <c r="ISR1110" s="15"/>
      <c r="ISU1110" s="15"/>
      <c r="ISV1110" s="15"/>
      <c r="ISY1110" s="15"/>
      <c r="ISZ1110" s="15"/>
      <c r="ITC1110" s="15"/>
      <c r="ITD1110" s="15"/>
      <c r="ITG1110" s="15"/>
      <c r="ITH1110" s="15"/>
      <c r="ITK1110" s="15"/>
      <c r="ITL1110" s="15"/>
      <c r="ITO1110" s="15"/>
      <c r="ITP1110" s="15"/>
      <c r="ITS1110" s="15"/>
      <c r="ITT1110" s="15"/>
      <c r="ITW1110" s="15"/>
      <c r="ITX1110" s="15"/>
      <c r="IUA1110" s="15"/>
      <c r="IUB1110" s="15"/>
      <c r="IUE1110" s="15"/>
      <c r="IUF1110" s="15"/>
      <c r="IUI1110" s="15"/>
      <c r="IUJ1110" s="15"/>
      <c r="IUM1110" s="15"/>
      <c r="IUN1110" s="15"/>
      <c r="IUQ1110" s="15"/>
      <c r="IUR1110" s="15"/>
      <c r="IUU1110" s="15"/>
      <c r="IUV1110" s="15"/>
      <c r="IUY1110" s="15"/>
      <c r="IUZ1110" s="15"/>
      <c r="IVC1110" s="15"/>
      <c r="IVD1110" s="15"/>
      <c r="IVG1110" s="15"/>
      <c r="IVH1110" s="15"/>
      <c r="IVK1110" s="15"/>
      <c r="IVL1110" s="15"/>
      <c r="IVO1110" s="15"/>
      <c r="IVP1110" s="15"/>
      <c r="IVS1110" s="15"/>
      <c r="IVT1110" s="15"/>
      <c r="IVW1110" s="15"/>
      <c r="IVX1110" s="15"/>
      <c r="IWA1110" s="15"/>
      <c r="IWB1110" s="15"/>
      <c r="IWE1110" s="15"/>
      <c r="IWF1110" s="15"/>
      <c r="IWI1110" s="15"/>
      <c r="IWJ1110" s="15"/>
      <c r="IWM1110" s="15"/>
      <c r="IWN1110" s="15"/>
      <c r="IWQ1110" s="15"/>
      <c r="IWR1110" s="15"/>
      <c r="IWU1110" s="15"/>
      <c r="IWV1110" s="15"/>
      <c r="IWY1110" s="15"/>
      <c r="IWZ1110" s="15"/>
      <c r="IXC1110" s="15"/>
      <c r="IXD1110" s="15"/>
      <c r="IXG1110" s="15"/>
      <c r="IXH1110" s="15"/>
      <c r="IXK1110" s="15"/>
      <c r="IXL1110" s="15"/>
      <c r="IXO1110" s="15"/>
      <c r="IXP1110" s="15"/>
      <c r="IXS1110" s="15"/>
      <c r="IXT1110" s="15"/>
      <c r="IXW1110" s="15"/>
      <c r="IXX1110" s="15"/>
      <c r="IYA1110" s="15"/>
      <c r="IYB1110" s="15"/>
      <c r="IYE1110" s="15"/>
      <c r="IYF1110" s="15"/>
      <c r="IYI1110" s="15"/>
      <c r="IYJ1110" s="15"/>
      <c r="IYM1110" s="15"/>
      <c r="IYN1110" s="15"/>
      <c r="IYQ1110" s="15"/>
      <c r="IYR1110" s="15"/>
      <c r="IYU1110" s="15"/>
      <c r="IYV1110" s="15"/>
      <c r="IYY1110" s="15"/>
      <c r="IYZ1110" s="15"/>
      <c r="IZC1110" s="15"/>
      <c r="IZD1110" s="15"/>
      <c r="IZG1110" s="15"/>
      <c r="IZH1110" s="15"/>
      <c r="IZK1110" s="15"/>
      <c r="IZL1110" s="15"/>
      <c r="IZO1110" s="15"/>
      <c r="IZP1110" s="15"/>
      <c r="IZS1110" s="15"/>
      <c r="IZT1110" s="15"/>
      <c r="IZW1110" s="15"/>
      <c r="IZX1110" s="15"/>
      <c r="JAA1110" s="15"/>
      <c r="JAB1110" s="15"/>
      <c r="JAE1110" s="15"/>
      <c r="JAF1110" s="15"/>
      <c r="JAI1110" s="15"/>
      <c r="JAJ1110" s="15"/>
      <c r="JAM1110" s="15"/>
      <c r="JAN1110" s="15"/>
      <c r="JAQ1110" s="15"/>
      <c r="JAR1110" s="15"/>
      <c r="JAU1110" s="15"/>
      <c r="JAV1110" s="15"/>
      <c r="JAY1110" s="15"/>
      <c r="JAZ1110" s="15"/>
      <c r="JBC1110" s="15"/>
      <c r="JBD1110" s="15"/>
      <c r="JBG1110" s="15"/>
      <c r="JBH1110" s="15"/>
      <c r="JBK1110" s="15"/>
      <c r="JBL1110" s="15"/>
      <c r="JBO1110" s="15"/>
      <c r="JBP1110" s="15"/>
      <c r="JBS1110" s="15"/>
      <c r="JBT1110" s="15"/>
      <c r="JBW1110" s="15"/>
      <c r="JBX1110" s="15"/>
      <c r="JCA1110" s="15"/>
      <c r="JCB1110" s="15"/>
      <c r="JCE1110" s="15"/>
      <c r="JCF1110" s="15"/>
      <c r="JCI1110" s="15"/>
      <c r="JCJ1110" s="15"/>
      <c r="JCM1110" s="15"/>
      <c r="JCN1110" s="15"/>
      <c r="JCQ1110" s="15"/>
      <c r="JCR1110" s="15"/>
      <c r="JCU1110" s="15"/>
      <c r="JCV1110" s="15"/>
      <c r="JCY1110" s="15"/>
      <c r="JCZ1110" s="15"/>
      <c r="JDC1110" s="15"/>
      <c r="JDD1110" s="15"/>
      <c r="JDG1110" s="15"/>
      <c r="JDH1110" s="15"/>
      <c r="JDK1110" s="15"/>
      <c r="JDL1110" s="15"/>
      <c r="JDO1110" s="15"/>
      <c r="JDP1110" s="15"/>
      <c r="JDS1110" s="15"/>
      <c r="JDT1110" s="15"/>
      <c r="JDW1110" s="15"/>
      <c r="JDX1110" s="15"/>
      <c r="JEA1110" s="15"/>
      <c r="JEB1110" s="15"/>
      <c r="JEE1110" s="15"/>
      <c r="JEF1110" s="15"/>
      <c r="JEI1110" s="15"/>
      <c r="JEJ1110" s="15"/>
      <c r="JEM1110" s="15"/>
      <c r="JEN1110" s="15"/>
      <c r="JEQ1110" s="15"/>
      <c r="JER1110" s="15"/>
      <c r="JEU1110" s="15"/>
      <c r="JEV1110" s="15"/>
      <c r="JEY1110" s="15"/>
      <c r="JEZ1110" s="15"/>
      <c r="JFC1110" s="15"/>
      <c r="JFD1110" s="15"/>
      <c r="JFG1110" s="15"/>
      <c r="JFH1110" s="15"/>
      <c r="JFK1110" s="15"/>
      <c r="JFL1110" s="15"/>
      <c r="JFO1110" s="15"/>
      <c r="JFP1110" s="15"/>
      <c r="JFS1110" s="15"/>
      <c r="JFT1110" s="15"/>
      <c r="JFW1110" s="15"/>
      <c r="JFX1110" s="15"/>
      <c r="JGA1110" s="15"/>
      <c r="JGB1110" s="15"/>
      <c r="JGE1110" s="15"/>
      <c r="JGF1110" s="15"/>
      <c r="JGI1110" s="15"/>
      <c r="JGJ1110" s="15"/>
      <c r="JGM1110" s="15"/>
      <c r="JGN1110" s="15"/>
      <c r="JGQ1110" s="15"/>
      <c r="JGR1110" s="15"/>
      <c r="JGU1110" s="15"/>
      <c r="JGV1110" s="15"/>
      <c r="JGY1110" s="15"/>
      <c r="JGZ1110" s="15"/>
      <c r="JHC1110" s="15"/>
      <c r="JHD1110" s="15"/>
      <c r="JHG1110" s="15"/>
      <c r="JHH1110" s="15"/>
      <c r="JHK1110" s="15"/>
      <c r="JHL1110" s="15"/>
      <c r="JHO1110" s="15"/>
      <c r="JHP1110" s="15"/>
      <c r="JHS1110" s="15"/>
      <c r="JHT1110" s="15"/>
      <c r="JHW1110" s="15"/>
      <c r="JHX1110" s="15"/>
      <c r="JIA1110" s="15"/>
      <c r="JIB1110" s="15"/>
      <c r="JIE1110" s="15"/>
      <c r="JIF1110" s="15"/>
      <c r="JII1110" s="15"/>
      <c r="JIJ1110" s="15"/>
      <c r="JIM1110" s="15"/>
      <c r="JIN1110" s="15"/>
      <c r="JIQ1110" s="15"/>
      <c r="JIR1110" s="15"/>
      <c r="JIU1110" s="15"/>
      <c r="JIV1110" s="15"/>
      <c r="JIY1110" s="15"/>
      <c r="JIZ1110" s="15"/>
      <c r="JJC1110" s="15"/>
      <c r="JJD1110" s="15"/>
      <c r="JJG1110" s="15"/>
      <c r="JJH1110" s="15"/>
      <c r="JJK1110" s="15"/>
      <c r="JJL1110" s="15"/>
      <c r="JJO1110" s="15"/>
      <c r="JJP1110" s="15"/>
      <c r="JJS1110" s="15"/>
      <c r="JJT1110" s="15"/>
      <c r="JJW1110" s="15"/>
      <c r="JJX1110" s="15"/>
      <c r="JKA1110" s="15"/>
      <c r="JKB1110" s="15"/>
      <c r="JKE1110" s="15"/>
      <c r="JKF1110" s="15"/>
      <c r="JKI1110" s="15"/>
      <c r="JKJ1110" s="15"/>
      <c r="JKM1110" s="15"/>
      <c r="JKN1110" s="15"/>
      <c r="JKQ1110" s="15"/>
      <c r="JKR1110" s="15"/>
      <c r="JKU1110" s="15"/>
      <c r="JKV1110" s="15"/>
      <c r="JKY1110" s="15"/>
      <c r="JKZ1110" s="15"/>
      <c r="JLC1110" s="15"/>
      <c r="JLD1110" s="15"/>
      <c r="JLG1110" s="15"/>
      <c r="JLH1110" s="15"/>
      <c r="JLK1110" s="15"/>
      <c r="JLL1110" s="15"/>
      <c r="JLO1110" s="15"/>
      <c r="JLP1110" s="15"/>
      <c r="JLS1110" s="15"/>
      <c r="JLT1110" s="15"/>
      <c r="JLW1110" s="15"/>
      <c r="JLX1110" s="15"/>
      <c r="JMA1110" s="15"/>
      <c r="JMB1110" s="15"/>
      <c r="JME1110" s="15"/>
      <c r="JMF1110" s="15"/>
      <c r="JMI1110" s="15"/>
      <c r="JMJ1110" s="15"/>
      <c r="JMM1110" s="15"/>
      <c r="JMN1110" s="15"/>
      <c r="JMQ1110" s="15"/>
      <c r="JMR1110" s="15"/>
      <c r="JMU1110" s="15"/>
      <c r="JMV1110" s="15"/>
      <c r="JMY1110" s="15"/>
      <c r="JMZ1110" s="15"/>
      <c r="JNC1110" s="15"/>
      <c r="JND1110" s="15"/>
      <c r="JNG1110" s="15"/>
      <c r="JNH1110" s="15"/>
      <c r="JNK1110" s="15"/>
      <c r="JNL1110" s="15"/>
      <c r="JNO1110" s="15"/>
      <c r="JNP1110" s="15"/>
      <c r="JNS1110" s="15"/>
      <c r="JNT1110" s="15"/>
      <c r="JNW1110" s="15"/>
      <c r="JNX1110" s="15"/>
      <c r="JOA1110" s="15"/>
      <c r="JOB1110" s="15"/>
      <c r="JOE1110" s="15"/>
      <c r="JOF1110" s="15"/>
      <c r="JOI1110" s="15"/>
      <c r="JOJ1110" s="15"/>
      <c r="JOM1110" s="15"/>
      <c r="JON1110" s="15"/>
      <c r="JOQ1110" s="15"/>
      <c r="JOR1110" s="15"/>
      <c r="JOU1110" s="15"/>
      <c r="JOV1110" s="15"/>
      <c r="JOY1110" s="15"/>
      <c r="JOZ1110" s="15"/>
      <c r="JPC1110" s="15"/>
      <c r="JPD1110" s="15"/>
      <c r="JPG1110" s="15"/>
      <c r="JPH1110" s="15"/>
      <c r="JPK1110" s="15"/>
      <c r="JPL1110" s="15"/>
      <c r="JPO1110" s="15"/>
      <c r="JPP1110" s="15"/>
      <c r="JPS1110" s="15"/>
      <c r="JPT1110" s="15"/>
      <c r="JPW1110" s="15"/>
      <c r="JPX1110" s="15"/>
      <c r="JQA1110" s="15"/>
      <c r="JQB1110" s="15"/>
      <c r="JQE1110" s="15"/>
      <c r="JQF1110" s="15"/>
      <c r="JQI1110" s="15"/>
      <c r="JQJ1110" s="15"/>
      <c r="JQM1110" s="15"/>
      <c r="JQN1110" s="15"/>
      <c r="JQQ1110" s="15"/>
      <c r="JQR1110" s="15"/>
      <c r="JQU1110" s="15"/>
      <c r="JQV1110" s="15"/>
      <c r="JQY1110" s="15"/>
      <c r="JQZ1110" s="15"/>
      <c r="JRC1110" s="15"/>
      <c r="JRD1110" s="15"/>
      <c r="JRG1110" s="15"/>
      <c r="JRH1110" s="15"/>
      <c r="JRK1110" s="15"/>
      <c r="JRL1110" s="15"/>
      <c r="JRO1110" s="15"/>
      <c r="JRP1110" s="15"/>
      <c r="JRS1110" s="15"/>
      <c r="JRT1110" s="15"/>
      <c r="JRW1110" s="15"/>
      <c r="JRX1110" s="15"/>
      <c r="JSA1110" s="15"/>
      <c r="JSB1110" s="15"/>
      <c r="JSE1110" s="15"/>
      <c r="JSF1110" s="15"/>
      <c r="JSI1110" s="15"/>
      <c r="JSJ1110" s="15"/>
      <c r="JSM1110" s="15"/>
      <c r="JSN1110" s="15"/>
      <c r="JSQ1110" s="15"/>
      <c r="JSR1110" s="15"/>
      <c r="JSU1110" s="15"/>
      <c r="JSV1110" s="15"/>
      <c r="JSY1110" s="15"/>
      <c r="JSZ1110" s="15"/>
      <c r="JTC1110" s="15"/>
      <c r="JTD1110" s="15"/>
      <c r="JTG1110" s="15"/>
      <c r="JTH1110" s="15"/>
      <c r="JTK1110" s="15"/>
      <c r="JTL1110" s="15"/>
      <c r="JTO1110" s="15"/>
      <c r="JTP1110" s="15"/>
      <c r="JTS1110" s="15"/>
      <c r="JTT1110" s="15"/>
      <c r="JTW1110" s="15"/>
      <c r="JTX1110" s="15"/>
      <c r="JUA1110" s="15"/>
      <c r="JUB1110" s="15"/>
      <c r="JUE1110" s="15"/>
      <c r="JUF1110" s="15"/>
      <c r="JUI1110" s="15"/>
      <c r="JUJ1110" s="15"/>
      <c r="JUM1110" s="15"/>
      <c r="JUN1110" s="15"/>
      <c r="JUQ1110" s="15"/>
      <c r="JUR1110" s="15"/>
      <c r="JUU1110" s="15"/>
      <c r="JUV1110" s="15"/>
      <c r="JUY1110" s="15"/>
      <c r="JUZ1110" s="15"/>
      <c r="JVC1110" s="15"/>
      <c r="JVD1110" s="15"/>
      <c r="JVG1110" s="15"/>
      <c r="JVH1110" s="15"/>
      <c r="JVK1110" s="15"/>
      <c r="JVL1110" s="15"/>
      <c r="JVO1110" s="15"/>
      <c r="JVP1110" s="15"/>
      <c r="JVS1110" s="15"/>
      <c r="JVT1110" s="15"/>
      <c r="JVW1110" s="15"/>
      <c r="JVX1110" s="15"/>
      <c r="JWA1110" s="15"/>
      <c r="JWB1110" s="15"/>
      <c r="JWE1110" s="15"/>
      <c r="JWF1110" s="15"/>
      <c r="JWI1110" s="15"/>
      <c r="JWJ1110" s="15"/>
      <c r="JWM1110" s="15"/>
      <c r="JWN1110" s="15"/>
      <c r="JWQ1110" s="15"/>
      <c r="JWR1110" s="15"/>
      <c r="JWU1110" s="15"/>
      <c r="JWV1110" s="15"/>
      <c r="JWY1110" s="15"/>
      <c r="JWZ1110" s="15"/>
      <c r="JXC1110" s="15"/>
      <c r="JXD1110" s="15"/>
      <c r="JXG1110" s="15"/>
      <c r="JXH1110" s="15"/>
      <c r="JXK1110" s="15"/>
      <c r="JXL1110" s="15"/>
      <c r="JXO1110" s="15"/>
      <c r="JXP1110" s="15"/>
      <c r="JXS1110" s="15"/>
      <c r="JXT1110" s="15"/>
      <c r="JXW1110" s="15"/>
      <c r="JXX1110" s="15"/>
      <c r="JYA1110" s="15"/>
      <c r="JYB1110" s="15"/>
      <c r="JYE1110" s="15"/>
      <c r="JYF1110" s="15"/>
      <c r="JYI1110" s="15"/>
      <c r="JYJ1110" s="15"/>
      <c r="JYM1110" s="15"/>
      <c r="JYN1110" s="15"/>
      <c r="JYQ1110" s="15"/>
      <c r="JYR1110" s="15"/>
      <c r="JYU1110" s="15"/>
      <c r="JYV1110" s="15"/>
      <c r="JYY1110" s="15"/>
      <c r="JYZ1110" s="15"/>
      <c r="JZC1110" s="15"/>
      <c r="JZD1110" s="15"/>
      <c r="JZG1110" s="15"/>
      <c r="JZH1110" s="15"/>
      <c r="JZK1110" s="15"/>
      <c r="JZL1110" s="15"/>
      <c r="JZO1110" s="15"/>
      <c r="JZP1110" s="15"/>
      <c r="JZS1110" s="15"/>
      <c r="JZT1110" s="15"/>
      <c r="JZW1110" s="15"/>
      <c r="JZX1110" s="15"/>
      <c r="KAA1110" s="15"/>
      <c r="KAB1110" s="15"/>
      <c r="KAE1110" s="15"/>
      <c r="KAF1110" s="15"/>
      <c r="KAI1110" s="15"/>
      <c r="KAJ1110" s="15"/>
      <c r="KAM1110" s="15"/>
      <c r="KAN1110" s="15"/>
      <c r="KAQ1110" s="15"/>
      <c r="KAR1110" s="15"/>
      <c r="KAU1110" s="15"/>
      <c r="KAV1110" s="15"/>
      <c r="KAY1110" s="15"/>
      <c r="KAZ1110" s="15"/>
      <c r="KBC1110" s="15"/>
      <c r="KBD1110" s="15"/>
      <c r="KBG1110" s="15"/>
      <c r="KBH1110" s="15"/>
      <c r="KBK1110" s="15"/>
      <c r="KBL1110" s="15"/>
      <c r="KBO1110" s="15"/>
      <c r="KBP1110" s="15"/>
      <c r="KBS1110" s="15"/>
      <c r="KBT1110" s="15"/>
      <c r="KBW1110" s="15"/>
      <c r="KBX1110" s="15"/>
      <c r="KCA1110" s="15"/>
      <c r="KCB1110" s="15"/>
      <c r="KCE1110" s="15"/>
      <c r="KCF1110" s="15"/>
      <c r="KCI1110" s="15"/>
      <c r="KCJ1110" s="15"/>
      <c r="KCM1110" s="15"/>
      <c r="KCN1110" s="15"/>
      <c r="KCQ1110" s="15"/>
      <c r="KCR1110" s="15"/>
      <c r="KCU1110" s="15"/>
      <c r="KCV1110" s="15"/>
      <c r="KCY1110" s="15"/>
      <c r="KCZ1110" s="15"/>
      <c r="KDC1110" s="15"/>
      <c r="KDD1110" s="15"/>
      <c r="KDG1110" s="15"/>
      <c r="KDH1110" s="15"/>
      <c r="KDK1110" s="15"/>
      <c r="KDL1110" s="15"/>
      <c r="KDO1110" s="15"/>
      <c r="KDP1110" s="15"/>
      <c r="KDS1110" s="15"/>
      <c r="KDT1110" s="15"/>
      <c r="KDW1110" s="15"/>
      <c r="KDX1110" s="15"/>
      <c r="KEA1110" s="15"/>
      <c r="KEB1110" s="15"/>
      <c r="KEE1110" s="15"/>
      <c r="KEF1110" s="15"/>
      <c r="KEI1110" s="15"/>
      <c r="KEJ1110" s="15"/>
      <c r="KEM1110" s="15"/>
      <c r="KEN1110" s="15"/>
      <c r="KEQ1110" s="15"/>
      <c r="KER1110" s="15"/>
      <c r="KEU1110" s="15"/>
      <c r="KEV1110" s="15"/>
      <c r="KEY1110" s="15"/>
      <c r="KEZ1110" s="15"/>
      <c r="KFC1110" s="15"/>
      <c r="KFD1110" s="15"/>
      <c r="KFG1110" s="15"/>
      <c r="KFH1110" s="15"/>
      <c r="KFK1110" s="15"/>
      <c r="KFL1110" s="15"/>
      <c r="KFO1110" s="15"/>
      <c r="KFP1110" s="15"/>
      <c r="KFS1110" s="15"/>
      <c r="KFT1110" s="15"/>
      <c r="KFW1110" s="15"/>
      <c r="KFX1110" s="15"/>
      <c r="KGA1110" s="15"/>
      <c r="KGB1110" s="15"/>
      <c r="KGE1110" s="15"/>
      <c r="KGF1110" s="15"/>
      <c r="KGI1110" s="15"/>
      <c r="KGJ1110" s="15"/>
      <c r="KGM1110" s="15"/>
      <c r="KGN1110" s="15"/>
      <c r="KGQ1110" s="15"/>
      <c r="KGR1110" s="15"/>
      <c r="KGU1110" s="15"/>
      <c r="KGV1110" s="15"/>
      <c r="KGY1110" s="15"/>
      <c r="KGZ1110" s="15"/>
      <c r="KHC1110" s="15"/>
      <c r="KHD1110" s="15"/>
      <c r="KHG1110" s="15"/>
      <c r="KHH1110" s="15"/>
      <c r="KHK1110" s="15"/>
      <c r="KHL1110" s="15"/>
      <c r="KHO1110" s="15"/>
      <c r="KHP1110" s="15"/>
      <c r="KHS1110" s="15"/>
      <c r="KHT1110" s="15"/>
      <c r="KHW1110" s="15"/>
      <c r="KHX1110" s="15"/>
      <c r="KIA1110" s="15"/>
      <c r="KIB1110" s="15"/>
      <c r="KIE1110" s="15"/>
      <c r="KIF1110" s="15"/>
      <c r="KII1110" s="15"/>
      <c r="KIJ1110" s="15"/>
      <c r="KIM1110" s="15"/>
      <c r="KIN1110" s="15"/>
      <c r="KIQ1110" s="15"/>
      <c r="KIR1110" s="15"/>
      <c r="KIU1110" s="15"/>
      <c r="KIV1110" s="15"/>
      <c r="KIY1110" s="15"/>
      <c r="KIZ1110" s="15"/>
      <c r="KJC1110" s="15"/>
      <c r="KJD1110" s="15"/>
      <c r="KJG1110" s="15"/>
      <c r="KJH1110" s="15"/>
      <c r="KJK1110" s="15"/>
      <c r="KJL1110" s="15"/>
      <c r="KJO1110" s="15"/>
      <c r="KJP1110" s="15"/>
      <c r="KJS1110" s="15"/>
      <c r="KJT1110" s="15"/>
      <c r="KJW1110" s="15"/>
      <c r="KJX1110" s="15"/>
      <c r="KKA1110" s="15"/>
      <c r="KKB1110" s="15"/>
      <c r="KKE1110" s="15"/>
      <c r="KKF1110" s="15"/>
      <c r="KKI1110" s="15"/>
      <c r="KKJ1110" s="15"/>
      <c r="KKM1110" s="15"/>
      <c r="KKN1110" s="15"/>
      <c r="KKQ1110" s="15"/>
      <c r="KKR1110" s="15"/>
      <c r="KKU1110" s="15"/>
      <c r="KKV1110" s="15"/>
      <c r="KKY1110" s="15"/>
      <c r="KKZ1110" s="15"/>
      <c r="KLC1110" s="15"/>
      <c r="KLD1110" s="15"/>
      <c r="KLG1110" s="15"/>
      <c r="KLH1110" s="15"/>
      <c r="KLK1110" s="15"/>
      <c r="KLL1110" s="15"/>
      <c r="KLO1110" s="15"/>
      <c r="KLP1110" s="15"/>
      <c r="KLS1110" s="15"/>
      <c r="KLT1110" s="15"/>
      <c r="KLW1110" s="15"/>
      <c r="KLX1110" s="15"/>
      <c r="KMA1110" s="15"/>
      <c r="KMB1110" s="15"/>
      <c r="KME1110" s="15"/>
      <c r="KMF1110" s="15"/>
      <c r="KMI1110" s="15"/>
      <c r="KMJ1110" s="15"/>
      <c r="KMM1110" s="15"/>
      <c r="KMN1110" s="15"/>
      <c r="KMQ1110" s="15"/>
      <c r="KMR1110" s="15"/>
      <c r="KMU1110" s="15"/>
      <c r="KMV1110" s="15"/>
      <c r="KMY1110" s="15"/>
      <c r="KMZ1110" s="15"/>
      <c r="KNC1110" s="15"/>
      <c r="KND1110" s="15"/>
      <c r="KNG1110" s="15"/>
      <c r="KNH1110" s="15"/>
      <c r="KNK1110" s="15"/>
      <c r="KNL1110" s="15"/>
      <c r="KNO1110" s="15"/>
      <c r="KNP1110" s="15"/>
      <c r="KNS1110" s="15"/>
      <c r="KNT1110" s="15"/>
      <c r="KNW1110" s="15"/>
      <c r="KNX1110" s="15"/>
      <c r="KOA1110" s="15"/>
      <c r="KOB1110" s="15"/>
      <c r="KOE1110" s="15"/>
      <c r="KOF1110" s="15"/>
      <c r="KOI1110" s="15"/>
      <c r="KOJ1110" s="15"/>
      <c r="KOM1110" s="15"/>
      <c r="KON1110" s="15"/>
      <c r="KOQ1110" s="15"/>
      <c r="KOR1110" s="15"/>
      <c r="KOU1110" s="15"/>
      <c r="KOV1110" s="15"/>
      <c r="KOY1110" s="15"/>
      <c r="KOZ1110" s="15"/>
      <c r="KPC1110" s="15"/>
      <c r="KPD1110" s="15"/>
      <c r="KPG1110" s="15"/>
      <c r="KPH1110" s="15"/>
      <c r="KPK1110" s="15"/>
      <c r="KPL1110" s="15"/>
      <c r="KPO1110" s="15"/>
      <c r="KPP1110" s="15"/>
      <c r="KPS1110" s="15"/>
      <c r="KPT1110" s="15"/>
      <c r="KPW1110" s="15"/>
      <c r="KPX1110" s="15"/>
      <c r="KQA1110" s="15"/>
      <c r="KQB1110" s="15"/>
      <c r="KQE1110" s="15"/>
      <c r="KQF1110" s="15"/>
      <c r="KQI1110" s="15"/>
      <c r="KQJ1110" s="15"/>
      <c r="KQM1110" s="15"/>
      <c r="KQN1110" s="15"/>
      <c r="KQQ1110" s="15"/>
      <c r="KQR1110" s="15"/>
      <c r="KQU1110" s="15"/>
      <c r="KQV1110" s="15"/>
      <c r="KQY1110" s="15"/>
      <c r="KQZ1110" s="15"/>
      <c r="KRC1110" s="15"/>
      <c r="KRD1110" s="15"/>
      <c r="KRG1110" s="15"/>
      <c r="KRH1110" s="15"/>
      <c r="KRK1110" s="15"/>
      <c r="KRL1110" s="15"/>
      <c r="KRO1110" s="15"/>
      <c r="KRP1110" s="15"/>
      <c r="KRS1110" s="15"/>
      <c r="KRT1110" s="15"/>
      <c r="KRW1110" s="15"/>
      <c r="KRX1110" s="15"/>
      <c r="KSA1110" s="15"/>
      <c r="KSB1110" s="15"/>
      <c r="KSE1110" s="15"/>
      <c r="KSF1110" s="15"/>
      <c r="KSI1110" s="15"/>
      <c r="KSJ1110" s="15"/>
      <c r="KSM1110" s="15"/>
      <c r="KSN1110" s="15"/>
      <c r="KSQ1110" s="15"/>
      <c r="KSR1110" s="15"/>
      <c r="KSU1110" s="15"/>
      <c r="KSV1110" s="15"/>
      <c r="KSY1110" s="15"/>
      <c r="KSZ1110" s="15"/>
      <c r="KTC1110" s="15"/>
      <c r="KTD1110" s="15"/>
      <c r="KTG1110" s="15"/>
      <c r="KTH1110" s="15"/>
      <c r="KTK1110" s="15"/>
      <c r="KTL1110" s="15"/>
      <c r="KTO1110" s="15"/>
      <c r="KTP1110" s="15"/>
      <c r="KTS1110" s="15"/>
      <c r="KTT1110" s="15"/>
      <c r="KTW1110" s="15"/>
      <c r="KTX1110" s="15"/>
      <c r="KUA1110" s="15"/>
      <c r="KUB1110" s="15"/>
      <c r="KUE1110" s="15"/>
      <c r="KUF1110" s="15"/>
      <c r="KUI1110" s="15"/>
      <c r="KUJ1110" s="15"/>
      <c r="KUM1110" s="15"/>
      <c r="KUN1110" s="15"/>
      <c r="KUQ1110" s="15"/>
      <c r="KUR1110" s="15"/>
      <c r="KUU1110" s="15"/>
      <c r="KUV1110" s="15"/>
      <c r="KUY1110" s="15"/>
      <c r="KUZ1110" s="15"/>
      <c r="KVC1110" s="15"/>
      <c r="KVD1110" s="15"/>
      <c r="KVG1110" s="15"/>
      <c r="KVH1110" s="15"/>
      <c r="KVK1110" s="15"/>
      <c r="KVL1110" s="15"/>
      <c r="KVO1110" s="15"/>
      <c r="KVP1110" s="15"/>
      <c r="KVS1110" s="15"/>
      <c r="KVT1110" s="15"/>
      <c r="KVW1110" s="15"/>
      <c r="KVX1110" s="15"/>
      <c r="KWA1110" s="15"/>
      <c r="KWB1110" s="15"/>
      <c r="KWE1110" s="15"/>
      <c r="KWF1110" s="15"/>
      <c r="KWI1110" s="15"/>
      <c r="KWJ1110" s="15"/>
      <c r="KWM1110" s="15"/>
      <c r="KWN1110" s="15"/>
      <c r="KWQ1110" s="15"/>
      <c r="KWR1110" s="15"/>
      <c r="KWU1110" s="15"/>
      <c r="KWV1110" s="15"/>
      <c r="KWY1110" s="15"/>
      <c r="KWZ1110" s="15"/>
      <c r="KXC1110" s="15"/>
      <c r="KXD1110" s="15"/>
      <c r="KXG1110" s="15"/>
      <c r="KXH1110" s="15"/>
      <c r="KXK1110" s="15"/>
      <c r="KXL1110" s="15"/>
      <c r="KXO1110" s="15"/>
      <c r="KXP1110" s="15"/>
      <c r="KXS1110" s="15"/>
      <c r="KXT1110" s="15"/>
      <c r="KXW1110" s="15"/>
      <c r="KXX1110" s="15"/>
      <c r="KYA1110" s="15"/>
      <c r="KYB1110" s="15"/>
      <c r="KYE1110" s="15"/>
      <c r="KYF1110" s="15"/>
      <c r="KYI1110" s="15"/>
      <c r="KYJ1110" s="15"/>
      <c r="KYM1110" s="15"/>
      <c r="KYN1110" s="15"/>
      <c r="KYQ1110" s="15"/>
      <c r="KYR1110" s="15"/>
      <c r="KYU1110" s="15"/>
      <c r="KYV1110" s="15"/>
      <c r="KYY1110" s="15"/>
      <c r="KYZ1110" s="15"/>
      <c r="KZC1110" s="15"/>
      <c r="KZD1110" s="15"/>
      <c r="KZG1110" s="15"/>
      <c r="KZH1110" s="15"/>
      <c r="KZK1110" s="15"/>
      <c r="KZL1110" s="15"/>
      <c r="KZO1110" s="15"/>
      <c r="KZP1110" s="15"/>
      <c r="KZS1110" s="15"/>
      <c r="KZT1110" s="15"/>
      <c r="KZW1110" s="15"/>
      <c r="KZX1110" s="15"/>
      <c r="LAA1110" s="15"/>
      <c r="LAB1110" s="15"/>
      <c r="LAE1110" s="15"/>
      <c r="LAF1110" s="15"/>
      <c r="LAI1110" s="15"/>
      <c r="LAJ1110" s="15"/>
      <c r="LAM1110" s="15"/>
      <c r="LAN1110" s="15"/>
      <c r="LAQ1110" s="15"/>
      <c r="LAR1110" s="15"/>
      <c r="LAU1110" s="15"/>
      <c r="LAV1110" s="15"/>
      <c r="LAY1110" s="15"/>
      <c r="LAZ1110" s="15"/>
      <c r="LBC1110" s="15"/>
      <c r="LBD1110" s="15"/>
      <c r="LBG1110" s="15"/>
      <c r="LBH1110" s="15"/>
      <c r="LBK1110" s="15"/>
      <c r="LBL1110" s="15"/>
      <c r="LBO1110" s="15"/>
      <c r="LBP1110" s="15"/>
      <c r="LBS1110" s="15"/>
      <c r="LBT1110" s="15"/>
      <c r="LBW1110" s="15"/>
      <c r="LBX1110" s="15"/>
      <c r="LCA1110" s="15"/>
      <c r="LCB1110" s="15"/>
      <c r="LCE1110" s="15"/>
      <c r="LCF1110" s="15"/>
      <c r="LCI1110" s="15"/>
      <c r="LCJ1110" s="15"/>
      <c r="LCM1110" s="15"/>
      <c r="LCN1110" s="15"/>
      <c r="LCQ1110" s="15"/>
      <c r="LCR1110" s="15"/>
      <c r="LCU1110" s="15"/>
      <c r="LCV1110" s="15"/>
      <c r="LCY1110" s="15"/>
      <c r="LCZ1110" s="15"/>
      <c r="LDC1110" s="15"/>
      <c r="LDD1110" s="15"/>
      <c r="LDG1110" s="15"/>
      <c r="LDH1110" s="15"/>
      <c r="LDK1110" s="15"/>
      <c r="LDL1110" s="15"/>
      <c r="LDO1110" s="15"/>
      <c r="LDP1110" s="15"/>
      <c r="LDS1110" s="15"/>
      <c r="LDT1110" s="15"/>
      <c r="LDW1110" s="15"/>
      <c r="LDX1110" s="15"/>
      <c r="LEA1110" s="15"/>
      <c r="LEB1110" s="15"/>
      <c r="LEE1110" s="15"/>
      <c r="LEF1110" s="15"/>
      <c r="LEI1110" s="15"/>
      <c r="LEJ1110" s="15"/>
      <c r="LEM1110" s="15"/>
      <c r="LEN1110" s="15"/>
      <c r="LEQ1110" s="15"/>
      <c r="LER1110" s="15"/>
      <c r="LEU1110" s="15"/>
      <c r="LEV1110" s="15"/>
      <c r="LEY1110" s="15"/>
      <c r="LEZ1110" s="15"/>
      <c r="LFC1110" s="15"/>
      <c r="LFD1110" s="15"/>
      <c r="LFG1110" s="15"/>
      <c r="LFH1110" s="15"/>
      <c r="LFK1110" s="15"/>
      <c r="LFL1110" s="15"/>
      <c r="LFO1110" s="15"/>
      <c r="LFP1110" s="15"/>
      <c r="LFS1110" s="15"/>
      <c r="LFT1110" s="15"/>
      <c r="LFW1110" s="15"/>
      <c r="LFX1110" s="15"/>
      <c r="LGA1110" s="15"/>
      <c r="LGB1110" s="15"/>
      <c r="LGE1110" s="15"/>
      <c r="LGF1110" s="15"/>
      <c r="LGI1110" s="15"/>
      <c r="LGJ1110" s="15"/>
      <c r="LGM1110" s="15"/>
      <c r="LGN1110" s="15"/>
      <c r="LGQ1110" s="15"/>
      <c r="LGR1110" s="15"/>
      <c r="LGU1110" s="15"/>
      <c r="LGV1110" s="15"/>
      <c r="LGY1110" s="15"/>
      <c r="LGZ1110" s="15"/>
      <c r="LHC1110" s="15"/>
      <c r="LHD1110" s="15"/>
      <c r="LHG1110" s="15"/>
      <c r="LHH1110" s="15"/>
      <c r="LHK1110" s="15"/>
      <c r="LHL1110" s="15"/>
      <c r="LHO1110" s="15"/>
      <c r="LHP1110" s="15"/>
      <c r="LHS1110" s="15"/>
      <c r="LHT1110" s="15"/>
      <c r="LHW1110" s="15"/>
      <c r="LHX1110" s="15"/>
      <c r="LIA1110" s="15"/>
      <c r="LIB1110" s="15"/>
      <c r="LIE1110" s="15"/>
      <c r="LIF1110" s="15"/>
      <c r="LII1110" s="15"/>
      <c r="LIJ1110" s="15"/>
      <c r="LIM1110" s="15"/>
      <c r="LIN1110" s="15"/>
      <c r="LIQ1110" s="15"/>
      <c r="LIR1110" s="15"/>
      <c r="LIU1110" s="15"/>
      <c r="LIV1110" s="15"/>
      <c r="LIY1110" s="15"/>
      <c r="LIZ1110" s="15"/>
      <c r="LJC1110" s="15"/>
      <c r="LJD1110" s="15"/>
      <c r="LJG1110" s="15"/>
      <c r="LJH1110" s="15"/>
      <c r="LJK1110" s="15"/>
      <c r="LJL1110" s="15"/>
      <c r="LJO1110" s="15"/>
      <c r="LJP1110" s="15"/>
      <c r="LJS1110" s="15"/>
      <c r="LJT1110" s="15"/>
      <c r="LJW1110" s="15"/>
      <c r="LJX1110" s="15"/>
      <c r="LKA1110" s="15"/>
      <c r="LKB1110" s="15"/>
      <c r="LKE1110" s="15"/>
      <c r="LKF1110" s="15"/>
      <c r="LKI1110" s="15"/>
      <c r="LKJ1110" s="15"/>
      <c r="LKM1110" s="15"/>
      <c r="LKN1110" s="15"/>
      <c r="LKQ1110" s="15"/>
      <c r="LKR1110" s="15"/>
      <c r="LKU1110" s="15"/>
      <c r="LKV1110" s="15"/>
      <c r="LKY1110" s="15"/>
      <c r="LKZ1110" s="15"/>
      <c r="LLC1110" s="15"/>
      <c r="LLD1110" s="15"/>
      <c r="LLG1110" s="15"/>
      <c r="LLH1110" s="15"/>
      <c r="LLK1110" s="15"/>
      <c r="LLL1110" s="15"/>
      <c r="LLO1110" s="15"/>
      <c r="LLP1110" s="15"/>
      <c r="LLS1110" s="15"/>
      <c r="LLT1110" s="15"/>
      <c r="LLW1110" s="15"/>
      <c r="LLX1110" s="15"/>
      <c r="LMA1110" s="15"/>
      <c r="LMB1110" s="15"/>
      <c r="LME1110" s="15"/>
      <c r="LMF1110" s="15"/>
      <c r="LMI1110" s="15"/>
      <c r="LMJ1110" s="15"/>
      <c r="LMM1110" s="15"/>
      <c r="LMN1110" s="15"/>
      <c r="LMQ1110" s="15"/>
      <c r="LMR1110" s="15"/>
      <c r="LMU1110" s="15"/>
      <c r="LMV1110" s="15"/>
      <c r="LMY1110" s="15"/>
      <c r="LMZ1110" s="15"/>
      <c r="LNC1110" s="15"/>
      <c r="LND1110" s="15"/>
      <c r="LNG1110" s="15"/>
      <c r="LNH1110" s="15"/>
      <c r="LNK1110" s="15"/>
      <c r="LNL1110" s="15"/>
      <c r="LNO1110" s="15"/>
      <c r="LNP1110" s="15"/>
      <c r="LNS1110" s="15"/>
      <c r="LNT1110" s="15"/>
      <c r="LNW1110" s="15"/>
      <c r="LNX1110" s="15"/>
      <c r="LOA1110" s="15"/>
      <c r="LOB1110" s="15"/>
      <c r="LOE1110" s="15"/>
      <c r="LOF1110" s="15"/>
      <c r="LOI1110" s="15"/>
      <c r="LOJ1110" s="15"/>
      <c r="LOM1110" s="15"/>
      <c r="LON1110" s="15"/>
      <c r="LOQ1110" s="15"/>
      <c r="LOR1110" s="15"/>
      <c r="LOU1110" s="15"/>
      <c r="LOV1110" s="15"/>
      <c r="LOY1110" s="15"/>
      <c r="LOZ1110" s="15"/>
      <c r="LPC1110" s="15"/>
      <c r="LPD1110" s="15"/>
      <c r="LPG1110" s="15"/>
      <c r="LPH1110" s="15"/>
      <c r="LPK1110" s="15"/>
      <c r="LPL1110" s="15"/>
      <c r="LPO1110" s="15"/>
      <c r="LPP1110" s="15"/>
      <c r="LPS1110" s="15"/>
      <c r="LPT1110" s="15"/>
      <c r="LPW1110" s="15"/>
      <c r="LPX1110" s="15"/>
      <c r="LQA1110" s="15"/>
      <c r="LQB1110" s="15"/>
      <c r="LQE1110" s="15"/>
      <c r="LQF1110" s="15"/>
      <c r="LQI1110" s="15"/>
      <c r="LQJ1110" s="15"/>
      <c r="LQM1110" s="15"/>
      <c r="LQN1110" s="15"/>
      <c r="LQQ1110" s="15"/>
      <c r="LQR1110" s="15"/>
      <c r="LQU1110" s="15"/>
      <c r="LQV1110" s="15"/>
      <c r="LQY1110" s="15"/>
      <c r="LQZ1110" s="15"/>
      <c r="LRC1110" s="15"/>
      <c r="LRD1110" s="15"/>
      <c r="LRG1110" s="15"/>
      <c r="LRH1110" s="15"/>
      <c r="LRK1110" s="15"/>
      <c r="LRL1110" s="15"/>
      <c r="LRO1110" s="15"/>
      <c r="LRP1110" s="15"/>
      <c r="LRS1110" s="15"/>
      <c r="LRT1110" s="15"/>
      <c r="LRW1110" s="15"/>
      <c r="LRX1110" s="15"/>
      <c r="LSA1110" s="15"/>
      <c r="LSB1110" s="15"/>
      <c r="LSE1110" s="15"/>
      <c r="LSF1110" s="15"/>
      <c r="LSI1110" s="15"/>
      <c r="LSJ1110" s="15"/>
      <c r="LSM1110" s="15"/>
      <c r="LSN1110" s="15"/>
      <c r="LSQ1110" s="15"/>
      <c r="LSR1110" s="15"/>
      <c r="LSU1110" s="15"/>
      <c r="LSV1110" s="15"/>
      <c r="LSY1110" s="15"/>
      <c r="LSZ1110" s="15"/>
      <c r="LTC1110" s="15"/>
      <c r="LTD1110" s="15"/>
      <c r="LTG1110" s="15"/>
      <c r="LTH1110" s="15"/>
      <c r="LTK1110" s="15"/>
      <c r="LTL1110" s="15"/>
      <c r="LTO1110" s="15"/>
      <c r="LTP1110" s="15"/>
      <c r="LTS1110" s="15"/>
      <c r="LTT1110" s="15"/>
      <c r="LTW1110" s="15"/>
      <c r="LTX1110" s="15"/>
      <c r="LUA1110" s="15"/>
      <c r="LUB1110" s="15"/>
      <c r="LUE1110" s="15"/>
      <c r="LUF1110" s="15"/>
      <c r="LUI1110" s="15"/>
      <c r="LUJ1110" s="15"/>
      <c r="LUM1110" s="15"/>
      <c r="LUN1110" s="15"/>
      <c r="LUQ1110" s="15"/>
      <c r="LUR1110" s="15"/>
      <c r="LUU1110" s="15"/>
      <c r="LUV1110" s="15"/>
      <c r="LUY1110" s="15"/>
      <c r="LUZ1110" s="15"/>
      <c r="LVC1110" s="15"/>
      <c r="LVD1110" s="15"/>
      <c r="LVG1110" s="15"/>
      <c r="LVH1110" s="15"/>
      <c r="LVK1110" s="15"/>
      <c r="LVL1110" s="15"/>
      <c r="LVO1110" s="15"/>
      <c r="LVP1110" s="15"/>
      <c r="LVS1110" s="15"/>
      <c r="LVT1110" s="15"/>
      <c r="LVW1110" s="15"/>
      <c r="LVX1110" s="15"/>
      <c r="LWA1110" s="15"/>
      <c r="LWB1110" s="15"/>
      <c r="LWE1110" s="15"/>
      <c r="LWF1110" s="15"/>
      <c r="LWI1110" s="15"/>
      <c r="LWJ1110" s="15"/>
      <c r="LWM1110" s="15"/>
      <c r="LWN1110" s="15"/>
      <c r="LWQ1110" s="15"/>
      <c r="LWR1110" s="15"/>
      <c r="LWU1110" s="15"/>
      <c r="LWV1110" s="15"/>
      <c r="LWY1110" s="15"/>
      <c r="LWZ1110" s="15"/>
      <c r="LXC1110" s="15"/>
      <c r="LXD1110" s="15"/>
      <c r="LXG1110" s="15"/>
      <c r="LXH1110" s="15"/>
      <c r="LXK1110" s="15"/>
      <c r="LXL1110" s="15"/>
      <c r="LXO1110" s="15"/>
      <c r="LXP1110" s="15"/>
      <c r="LXS1110" s="15"/>
      <c r="LXT1110" s="15"/>
      <c r="LXW1110" s="15"/>
      <c r="LXX1110" s="15"/>
      <c r="LYA1110" s="15"/>
      <c r="LYB1110" s="15"/>
      <c r="LYE1110" s="15"/>
      <c r="LYF1110" s="15"/>
      <c r="LYI1110" s="15"/>
      <c r="LYJ1110" s="15"/>
      <c r="LYM1110" s="15"/>
      <c r="LYN1110" s="15"/>
      <c r="LYQ1110" s="15"/>
      <c r="LYR1110" s="15"/>
      <c r="LYU1110" s="15"/>
      <c r="LYV1110" s="15"/>
      <c r="LYY1110" s="15"/>
      <c r="LYZ1110" s="15"/>
      <c r="LZC1110" s="15"/>
      <c r="LZD1110" s="15"/>
      <c r="LZG1110" s="15"/>
      <c r="LZH1110" s="15"/>
      <c r="LZK1110" s="15"/>
      <c r="LZL1110" s="15"/>
      <c r="LZO1110" s="15"/>
      <c r="LZP1110" s="15"/>
      <c r="LZS1110" s="15"/>
      <c r="LZT1110" s="15"/>
      <c r="LZW1110" s="15"/>
      <c r="LZX1110" s="15"/>
      <c r="MAA1110" s="15"/>
      <c r="MAB1110" s="15"/>
      <c r="MAE1110" s="15"/>
      <c r="MAF1110" s="15"/>
      <c r="MAI1110" s="15"/>
      <c r="MAJ1110" s="15"/>
      <c r="MAM1110" s="15"/>
      <c r="MAN1110" s="15"/>
      <c r="MAQ1110" s="15"/>
      <c r="MAR1110" s="15"/>
      <c r="MAU1110" s="15"/>
      <c r="MAV1110" s="15"/>
      <c r="MAY1110" s="15"/>
      <c r="MAZ1110" s="15"/>
      <c r="MBC1110" s="15"/>
      <c r="MBD1110" s="15"/>
      <c r="MBG1110" s="15"/>
      <c r="MBH1110" s="15"/>
      <c r="MBK1110" s="15"/>
      <c r="MBL1110" s="15"/>
      <c r="MBO1110" s="15"/>
      <c r="MBP1110" s="15"/>
      <c r="MBS1110" s="15"/>
      <c r="MBT1110" s="15"/>
      <c r="MBW1110" s="15"/>
      <c r="MBX1110" s="15"/>
      <c r="MCA1110" s="15"/>
      <c r="MCB1110" s="15"/>
      <c r="MCE1110" s="15"/>
      <c r="MCF1110" s="15"/>
      <c r="MCI1110" s="15"/>
      <c r="MCJ1110" s="15"/>
      <c r="MCM1110" s="15"/>
      <c r="MCN1110" s="15"/>
      <c r="MCQ1110" s="15"/>
      <c r="MCR1110" s="15"/>
      <c r="MCU1110" s="15"/>
      <c r="MCV1110" s="15"/>
      <c r="MCY1110" s="15"/>
      <c r="MCZ1110" s="15"/>
      <c r="MDC1110" s="15"/>
      <c r="MDD1110" s="15"/>
      <c r="MDG1110" s="15"/>
      <c r="MDH1110" s="15"/>
      <c r="MDK1110" s="15"/>
      <c r="MDL1110" s="15"/>
      <c r="MDO1110" s="15"/>
      <c r="MDP1110" s="15"/>
      <c r="MDS1110" s="15"/>
      <c r="MDT1110" s="15"/>
      <c r="MDW1110" s="15"/>
      <c r="MDX1110" s="15"/>
      <c r="MEA1110" s="15"/>
      <c r="MEB1110" s="15"/>
      <c r="MEE1110" s="15"/>
      <c r="MEF1110" s="15"/>
      <c r="MEI1110" s="15"/>
      <c r="MEJ1110" s="15"/>
      <c r="MEM1110" s="15"/>
      <c r="MEN1110" s="15"/>
      <c r="MEQ1110" s="15"/>
      <c r="MER1110" s="15"/>
      <c r="MEU1110" s="15"/>
      <c r="MEV1110" s="15"/>
      <c r="MEY1110" s="15"/>
      <c r="MEZ1110" s="15"/>
      <c r="MFC1110" s="15"/>
      <c r="MFD1110" s="15"/>
      <c r="MFG1110" s="15"/>
      <c r="MFH1110" s="15"/>
      <c r="MFK1110" s="15"/>
      <c r="MFL1110" s="15"/>
      <c r="MFO1110" s="15"/>
      <c r="MFP1110" s="15"/>
      <c r="MFS1110" s="15"/>
      <c r="MFT1110" s="15"/>
      <c r="MFW1110" s="15"/>
      <c r="MFX1110" s="15"/>
      <c r="MGA1110" s="15"/>
      <c r="MGB1110" s="15"/>
      <c r="MGE1110" s="15"/>
      <c r="MGF1110" s="15"/>
      <c r="MGI1110" s="15"/>
      <c r="MGJ1110" s="15"/>
      <c r="MGM1110" s="15"/>
      <c r="MGN1110" s="15"/>
      <c r="MGQ1110" s="15"/>
      <c r="MGR1110" s="15"/>
      <c r="MGU1110" s="15"/>
      <c r="MGV1110" s="15"/>
      <c r="MGY1110" s="15"/>
      <c r="MGZ1110" s="15"/>
      <c r="MHC1110" s="15"/>
      <c r="MHD1110" s="15"/>
      <c r="MHG1110" s="15"/>
      <c r="MHH1110" s="15"/>
      <c r="MHK1110" s="15"/>
      <c r="MHL1110" s="15"/>
      <c r="MHO1110" s="15"/>
      <c r="MHP1110" s="15"/>
      <c r="MHS1110" s="15"/>
      <c r="MHT1110" s="15"/>
      <c r="MHW1110" s="15"/>
      <c r="MHX1110" s="15"/>
      <c r="MIA1110" s="15"/>
      <c r="MIB1110" s="15"/>
      <c r="MIE1110" s="15"/>
      <c r="MIF1110" s="15"/>
      <c r="MII1110" s="15"/>
      <c r="MIJ1110" s="15"/>
      <c r="MIM1110" s="15"/>
      <c r="MIN1110" s="15"/>
      <c r="MIQ1110" s="15"/>
      <c r="MIR1110" s="15"/>
      <c r="MIU1110" s="15"/>
      <c r="MIV1110" s="15"/>
      <c r="MIY1110" s="15"/>
      <c r="MIZ1110" s="15"/>
      <c r="MJC1110" s="15"/>
      <c r="MJD1110" s="15"/>
      <c r="MJG1110" s="15"/>
      <c r="MJH1110" s="15"/>
      <c r="MJK1110" s="15"/>
      <c r="MJL1110" s="15"/>
      <c r="MJO1110" s="15"/>
      <c r="MJP1110" s="15"/>
      <c r="MJS1110" s="15"/>
      <c r="MJT1110" s="15"/>
      <c r="MJW1110" s="15"/>
      <c r="MJX1110" s="15"/>
      <c r="MKA1110" s="15"/>
      <c r="MKB1110" s="15"/>
      <c r="MKE1110" s="15"/>
      <c r="MKF1110" s="15"/>
      <c r="MKI1110" s="15"/>
      <c r="MKJ1110" s="15"/>
      <c r="MKM1110" s="15"/>
      <c r="MKN1110" s="15"/>
      <c r="MKQ1110" s="15"/>
      <c r="MKR1110" s="15"/>
      <c r="MKU1110" s="15"/>
      <c r="MKV1110" s="15"/>
      <c r="MKY1110" s="15"/>
      <c r="MKZ1110" s="15"/>
      <c r="MLC1110" s="15"/>
      <c r="MLD1110" s="15"/>
      <c r="MLG1110" s="15"/>
      <c r="MLH1110" s="15"/>
      <c r="MLK1110" s="15"/>
      <c r="MLL1110" s="15"/>
      <c r="MLO1110" s="15"/>
      <c r="MLP1110" s="15"/>
      <c r="MLS1110" s="15"/>
      <c r="MLT1110" s="15"/>
      <c r="MLW1110" s="15"/>
      <c r="MLX1110" s="15"/>
      <c r="MMA1110" s="15"/>
      <c r="MMB1110" s="15"/>
      <c r="MME1110" s="15"/>
      <c r="MMF1110" s="15"/>
      <c r="MMI1110" s="15"/>
      <c r="MMJ1110" s="15"/>
      <c r="MMM1110" s="15"/>
      <c r="MMN1110" s="15"/>
      <c r="MMQ1110" s="15"/>
      <c r="MMR1110" s="15"/>
      <c r="MMU1110" s="15"/>
      <c r="MMV1110" s="15"/>
      <c r="MMY1110" s="15"/>
      <c r="MMZ1110" s="15"/>
      <c r="MNC1110" s="15"/>
      <c r="MND1110" s="15"/>
      <c r="MNG1110" s="15"/>
      <c r="MNH1110" s="15"/>
      <c r="MNK1110" s="15"/>
      <c r="MNL1110" s="15"/>
      <c r="MNO1110" s="15"/>
      <c r="MNP1110" s="15"/>
      <c r="MNS1110" s="15"/>
      <c r="MNT1110" s="15"/>
      <c r="MNW1110" s="15"/>
      <c r="MNX1110" s="15"/>
      <c r="MOA1110" s="15"/>
      <c r="MOB1110" s="15"/>
      <c r="MOE1110" s="15"/>
      <c r="MOF1110" s="15"/>
      <c r="MOI1110" s="15"/>
      <c r="MOJ1110" s="15"/>
      <c r="MOM1110" s="15"/>
      <c r="MON1110" s="15"/>
      <c r="MOQ1110" s="15"/>
      <c r="MOR1110" s="15"/>
      <c r="MOU1110" s="15"/>
      <c r="MOV1110" s="15"/>
      <c r="MOY1110" s="15"/>
      <c r="MOZ1110" s="15"/>
      <c r="MPC1110" s="15"/>
      <c r="MPD1110" s="15"/>
      <c r="MPG1110" s="15"/>
      <c r="MPH1110" s="15"/>
      <c r="MPK1110" s="15"/>
      <c r="MPL1110" s="15"/>
      <c r="MPO1110" s="15"/>
      <c r="MPP1110" s="15"/>
      <c r="MPS1110" s="15"/>
      <c r="MPT1110" s="15"/>
      <c r="MPW1110" s="15"/>
      <c r="MPX1110" s="15"/>
      <c r="MQA1110" s="15"/>
      <c r="MQB1110" s="15"/>
      <c r="MQE1110" s="15"/>
      <c r="MQF1110" s="15"/>
      <c r="MQI1110" s="15"/>
      <c r="MQJ1110" s="15"/>
      <c r="MQM1110" s="15"/>
      <c r="MQN1110" s="15"/>
      <c r="MQQ1110" s="15"/>
      <c r="MQR1110" s="15"/>
      <c r="MQU1110" s="15"/>
      <c r="MQV1110" s="15"/>
      <c r="MQY1110" s="15"/>
      <c r="MQZ1110" s="15"/>
      <c r="MRC1110" s="15"/>
      <c r="MRD1110" s="15"/>
      <c r="MRG1110" s="15"/>
      <c r="MRH1110" s="15"/>
      <c r="MRK1110" s="15"/>
      <c r="MRL1110" s="15"/>
      <c r="MRO1110" s="15"/>
      <c r="MRP1110" s="15"/>
      <c r="MRS1110" s="15"/>
      <c r="MRT1110" s="15"/>
      <c r="MRW1110" s="15"/>
      <c r="MRX1110" s="15"/>
      <c r="MSA1110" s="15"/>
      <c r="MSB1110" s="15"/>
      <c r="MSE1110" s="15"/>
      <c r="MSF1110" s="15"/>
      <c r="MSI1110" s="15"/>
      <c r="MSJ1110" s="15"/>
      <c r="MSM1110" s="15"/>
      <c r="MSN1110" s="15"/>
      <c r="MSQ1110" s="15"/>
      <c r="MSR1110" s="15"/>
      <c r="MSU1110" s="15"/>
      <c r="MSV1110" s="15"/>
      <c r="MSY1110" s="15"/>
      <c r="MSZ1110" s="15"/>
      <c r="MTC1110" s="15"/>
      <c r="MTD1110" s="15"/>
      <c r="MTG1110" s="15"/>
      <c r="MTH1110" s="15"/>
      <c r="MTK1110" s="15"/>
      <c r="MTL1110" s="15"/>
      <c r="MTO1110" s="15"/>
      <c r="MTP1110" s="15"/>
      <c r="MTS1110" s="15"/>
      <c r="MTT1110" s="15"/>
      <c r="MTW1110" s="15"/>
      <c r="MTX1110" s="15"/>
      <c r="MUA1110" s="15"/>
      <c r="MUB1110" s="15"/>
      <c r="MUE1110" s="15"/>
      <c r="MUF1110" s="15"/>
      <c r="MUI1110" s="15"/>
      <c r="MUJ1110" s="15"/>
      <c r="MUM1110" s="15"/>
      <c r="MUN1110" s="15"/>
      <c r="MUQ1110" s="15"/>
      <c r="MUR1110" s="15"/>
      <c r="MUU1110" s="15"/>
      <c r="MUV1110" s="15"/>
      <c r="MUY1110" s="15"/>
      <c r="MUZ1110" s="15"/>
      <c r="MVC1110" s="15"/>
      <c r="MVD1110" s="15"/>
      <c r="MVG1110" s="15"/>
      <c r="MVH1110" s="15"/>
      <c r="MVK1110" s="15"/>
      <c r="MVL1110" s="15"/>
      <c r="MVO1110" s="15"/>
      <c r="MVP1110" s="15"/>
      <c r="MVS1110" s="15"/>
      <c r="MVT1110" s="15"/>
      <c r="MVW1110" s="15"/>
      <c r="MVX1110" s="15"/>
      <c r="MWA1110" s="15"/>
      <c r="MWB1110" s="15"/>
      <c r="MWE1110" s="15"/>
      <c r="MWF1110" s="15"/>
      <c r="MWI1110" s="15"/>
      <c r="MWJ1110" s="15"/>
      <c r="MWM1110" s="15"/>
      <c r="MWN1110" s="15"/>
      <c r="MWQ1110" s="15"/>
      <c r="MWR1110" s="15"/>
      <c r="MWU1110" s="15"/>
      <c r="MWV1110" s="15"/>
      <c r="MWY1110" s="15"/>
      <c r="MWZ1110" s="15"/>
      <c r="MXC1110" s="15"/>
      <c r="MXD1110" s="15"/>
      <c r="MXG1110" s="15"/>
      <c r="MXH1110" s="15"/>
      <c r="MXK1110" s="15"/>
      <c r="MXL1110" s="15"/>
      <c r="MXO1110" s="15"/>
      <c r="MXP1110" s="15"/>
      <c r="MXS1110" s="15"/>
      <c r="MXT1110" s="15"/>
      <c r="MXW1110" s="15"/>
      <c r="MXX1110" s="15"/>
      <c r="MYA1110" s="15"/>
      <c r="MYB1110" s="15"/>
      <c r="MYE1110" s="15"/>
      <c r="MYF1110" s="15"/>
      <c r="MYI1110" s="15"/>
      <c r="MYJ1110" s="15"/>
      <c r="MYM1110" s="15"/>
      <c r="MYN1110" s="15"/>
      <c r="MYQ1110" s="15"/>
      <c r="MYR1110" s="15"/>
      <c r="MYU1110" s="15"/>
      <c r="MYV1110" s="15"/>
      <c r="MYY1110" s="15"/>
      <c r="MYZ1110" s="15"/>
      <c r="MZC1110" s="15"/>
      <c r="MZD1110" s="15"/>
      <c r="MZG1110" s="15"/>
      <c r="MZH1110" s="15"/>
      <c r="MZK1110" s="15"/>
      <c r="MZL1110" s="15"/>
      <c r="MZO1110" s="15"/>
      <c r="MZP1110" s="15"/>
      <c r="MZS1110" s="15"/>
      <c r="MZT1110" s="15"/>
      <c r="MZW1110" s="15"/>
      <c r="MZX1110" s="15"/>
      <c r="NAA1110" s="15"/>
      <c r="NAB1110" s="15"/>
      <c r="NAE1110" s="15"/>
      <c r="NAF1110" s="15"/>
      <c r="NAI1110" s="15"/>
      <c r="NAJ1110" s="15"/>
      <c r="NAM1110" s="15"/>
      <c r="NAN1110" s="15"/>
      <c r="NAQ1110" s="15"/>
      <c r="NAR1110" s="15"/>
      <c r="NAU1110" s="15"/>
      <c r="NAV1110" s="15"/>
      <c r="NAY1110" s="15"/>
      <c r="NAZ1110" s="15"/>
      <c r="NBC1110" s="15"/>
      <c r="NBD1110" s="15"/>
      <c r="NBG1110" s="15"/>
      <c r="NBH1110" s="15"/>
      <c r="NBK1110" s="15"/>
      <c r="NBL1110" s="15"/>
      <c r="NBO1110" s="15"/>
      <c r="NBP1110" s="15"/>
      <c r="NBS1110" s="15"/>
      <c r="NBT1110" s="15"/>
      <c r="NBW1110" s="15"/>
      <c r="NBX1110" s="15"/>
      <c r="NCA1110" s="15"/>
      <c r="NCB1110" s="15"/>
      <c r="NCE1110" s="15"/>
      <c r="NCF1110" s="15"/>
      <c r="NCI1110" s="15"/>
      <c r="NCJ1110" s="15"/>
      <c r="NCM1110" s="15"/>
      <c r="NCN1110" s="15"/>
      <c r="NCQ1110" s="15"/>
      <c r="NCR1110" s="15"/>
      <c r="NCU1110" s="15"/>
      <c r="NCV1110" s="15"/>
      <c r="NCY1110" s="15"/>
      <c r="NCZ1110" s="15"/>
      <c r="NDC1110" s="15"/>
      <c r="NDD1110" s="15"/>
      <c r="NDG1110" s="15"/>
      <c r="NDH1110" s="15"/>
      <c r="NDK1110" s="15"/>
      <c r="NDL1110" s="15"/>
      <c r="NDO1110" s="15"/>
      <c r="NDP1110" s="15"/>
      <c r="NDS1110" s="15"/>
      <c r="NDT1110" s="15"/>
      <c r="NDW1110" s="15"/>
      <c r="NDX1110" s="15"/>
      <c r="NEA1110" s="15"/>
      <c r="NEB1110" s="15"/>
      <c r="NEE1110" s="15"/>
      <c r="NEF1110" s="15"/>
      <c r="NEI1110" s="15"/>
      <c r="NEJ1110" s="15"/>
      <c r="NEM1110" s="15"/>
      <c r="NEN1110" s="15"/>
      <c r="NEQ1110" s="15"/>
      <c r="NER1110" s="15"/>
      <c r="NEU1110" s="15"/>
      <c r="NEV1110" s="15"/>
      <c r="NEY1110" s="15"/>
      <c r="NEZ1110" s="15"/>
      <c r="NFC1110" s="15"/>
      <c r="NFD1110" s="15"/>
      <c r="NFG1110" s="15"/>
      <c r="NFH1110" s="15"/>
      <c r="NFK1110" s="15"/>
      <c r="NFL1110" s="15"/>
      <c r="NFO1110" s="15"/>
      <c r="NFP1110" s="15"/>
      <c r="NFS1110" s="15"/>
      <c r="NFT1110" s="15"/>
      <c r="NFW1110" s="15"/>
      <c r="NFX1110" s="15"/>
      <c r="NGA1110" s="15"/>
      <c r="NGB1110" s="15"/>
      <c r="NGE1110" s="15"/>
      <c r="NGF1110" s="15"/>
      <c r="NGI1110" s="15"/>
      <c r="NGJ1110" s="15"/>
      <c r="NGM1110" s="15"/>
      <c r="NGN1110" s="15"/>
      <c r="NGQ1110" s="15"/>
      <c r="NGR1110" s="15"/>
      <c r="NGU1110" s="15"/>
      <c r="NGV1110" s="15"/>
      <c r="NGY1110" s="15"/>
      <c r="NGZ1110" s="15"/>
      <c r="NHC1110" s="15"/>
      <c r="NHD1110" s="15"/>
      <c r="NHG1110" s="15"/>
      <c r="NHH1110" s="15"/>
      <c r="NHK1110" s="15"/>
      <c r="NHL1110" s="15"/>
      <c r="NHO1110" s="15"/>
      <c r="NHP1110" s="15"/>
      <c r="NHS1110" s="15"/>
      <c r="NHT1110" s="15"/>
      <c r="NHW1110" s="15"/>
      <c r="NHX1110" s="15"/>
      <c r="NIA1110" s="15"/>
      <c r="NIB1110" s="15"/>
      <c r="NIE1110" s="15"/>
      <c r="NIF1110" s="15"/>
      <c r="NII1110" s="15"/>
      <c r="NIJ1110" s="15"/>
      <c r="NIM1110" s="15"/>
      <c r="NIN1110" s="15"/>
      <c r="NIQ1110" s="15"/>
      <c r="NIR1110" s="15"/>
      <c r="NIU1110" s="15"/>
      <c r="NIV1110" s="15"/>
      <c r="NIY1110" s="15"/>
      <c r="NIZ1110" s="15"/>
      <c r="NJC1110" s="15"/>
      <c r="NJD1110" s="15"/>
      <c r="NJG1110" s="15"/>
      <c r="NJH1110" s="15"/>
      <c r="NJK1110" s="15"/>
      <c r="NJL1110" s="15"/>
      <c r="NJO1110" s="15"/>
      <c r="NJP1110" s="15"/>
      <c r="NJS1110" s="15"/>
      <c r="NJT1110" s="15"/>
      <c r="NJW1110" s="15"/>
      <c r="NJX1110" s="15"/>
      <c r="NKA1110" s="15"/>
      <c r="NKB1110" s="15"/>
      <c r="NKE1110" s="15"/>
      <c r="NKF1110" s="15"/>
      <c r="NKI1110" s="15"/>
      <c r="NKJ1110" s="15"/>
      <c r="NKM1110" s="15"/>
      <c r="NKN1110" s="15"/>
      <c r="NKQ1110" s="15"/>
      <c r="NKR1110" s="15"/>
      <c r="NKU1110" s="15"/>
      <c r="NKV1110" s="15"/>
      <c r="NKY1110" s="15"/>
      <c r="NKZ1110" s="15"/>
      <c r="NLC1110" s="15"/>
      <c r="NLD1110" s="15"/>
      <c r="NLG1110" s="15"/>
      <c r="NLH1110" s="15"/>
      <c r="NLK1110" s="15"/>
      <c r="NLL1110" s="15"/>
      <c r="NLO1110" s="15"/>
      <c r="NLP1110" s="15"/>
      <c r="NLS1110" s="15"/>
      <c r="NLT1110" s="15"/>
      <c r="NLW1110" s="15"/>
      <c r="NLX1110" s="15"/>
      <c r="NMA1110" s="15"/>
      <c r="NMB1110" s="15"/>
      <c r="NME1110" s="15"/>
      <c r="NMF1110" s="15"/>
      <c r="NMI1110" s="15"/>
      <c r="NMJ1110" s="15"/>
      <c r="NMM1110" s="15"/>
      <c r="NMN1110" s="15"/>
      <c r="NMQ1110" s="15"/>
      <c r="NMR1110" s="15"/>
      <c r="NMU1110" s="15"/>
      <c r="NMV1110" s="15"/>
      <c r="NMY1110" s="15"/>
      <c r="NMZ1110" s="15"/>
      <c r="NNC1110" s="15"/>
      <c r="NND1110" s="15"/>
      <c r="NNG1110" s="15"/>
      <c r="NNH1110" s="15"/>
      <c r="NNK1110" s="15"/>
      <c r="NNL1110" s="15"/>
      <c r="NNO1110" s="15"/>
      <c r="NNP1110" s="15"/>
      <c r="NNS1110" s="15"/>
      <c r="NNT1110" s="15"/>
      <c r="NNW1110" s="15"/>
      <c r="NNX1110" s="15"/>
      <c r="NOA1110" s="15"/>
      <c r="NOB1110" s="15"/>
      <c r="NOE1110" s="15"/>
      <c r="NOF1110" s="15"/>
      <c r="NOI1110" s="15"/>
      <c r="NOJ1110" s="15"/>
      <c r="NOM1110" s="15"/>
      <c r="NON1110" s="15"/>
      <c r="NOQ1110" s="15"/>
      <c r="NOR1110" s="15"/>
      <c r="NOU1110" s="15"/>
      <c r="NOV1110" s="15"/>
      <c r="NOY1110" s="15"/>
      <c r="NOZ1110" s="15"/>
      <c r="NPC1110" s="15"/>
      <c r="NPD1110" s="15"/>
      <c r="NPG1110" s="15"/>
      <c r="NPH1110" s="15"/>
      <c r="NPK1110" s="15"/>
      <c r="NPL1110" s="15"/>
      <c r="NPO1110" s="15"/>
      <c r="NPP1110" s="15"/>
      <c r="NPS1110" s="15"/>
      <c r="NPT1110" s="15"/>
      <c r="NPW1110" s="15"/>
      <c r="NPX1110" s="15"/>
      <c r="NQA1110" s="15"/>
      <c r="NQB1110" s="15"/>
      <c r="NQE1110" s="15"/>
      <c r="NQF1110" s="15"/>
      <c r="NQI1110" s="15"/>
      <c r="NQJ1110" s="15"/>
      <c r="NQM1110" s="15"/>
      <c r="NQN1110" s="15"/>
      <c r="NQQ1110" s="15"/>
      <c r="NQR1110" s="15"/>
      <c r="NQU1110" s="15"/>
      <c r="NQV1110" s="15"/>
      <c r="NQY1110" s="15"/>
      <c r="NQZ1110" s="15"/>
      <c r="NRC1110" s="15"/>
      <c r="NRD1110" s="15"/>
      <c r="NRG1110" s="15"/>
      <c r="NRH1110" s="15"/>
      <c r="NRK1110" s="15"/>
      <c r="NRL1110" s="15"/>
      <c r="NRO1110" s="15"/>
      <c r="NRP1110" s="15"/>
      <c r="NRS1110" s="15"/>
      <c r="NRT1110" s="15"/>
      <c r="NRW1110" s="15"/>
      <c r="NRX1110" s="15"/>
      <c r="NSA1110" s="15"/>
      <c r="NSB1110" s="15"/>
      <c r="NSE1110" s="15"/>
      <c r="NSF1110" s="15"/>
      <c r="NSI1110" s="15"/>
      <c r="NSJ1110" s="15"/>
      <c r="NSM1110" s="15"/>
      <c r="NSN1110" s="15"/>
      <c r="NSQ1110" s="15"/>
      <c r="NSR1110" s="15"/>
      <c r="NSU1110" s="15"/>
      <c r="NSV1110" s="15"/>
      <c r="NSY1110" s="15"/>
      <c r="NSZ1110" s="15"/>
      <c r="NTC1110" s="15"/>
      <c r="NTD1110" s="15"/>
      <c r="NTG1110" s="15"/>
      <c r="NTH1110" s="15"/>
      <c r="NTK1110" s="15"/>
      <c r="NTL1110" s="15"/>
      <c r="NTO1110" s="15"/>
      <c r="NTP1110" s="15"/>
      <c r="NTS1110" s="15"/>
      <c r="NTT1110" s="15"/>
      <c r="NTW1110" s="15"/>
      <c r="NTX1110" s="15"/>
      <c r="NUA1110" s="15"/>
      <c r="NUB1110" s="15"/>
      <c r="NUE1110" s="15"/>
      <c r="NUF1110" s="15"/>
      <c r="NUI1110" s="15"/>
      <c r="NUJ1110" s="15"/>
      <c r="NUM1110" s="15"/>
      <c r="NUN1110" s="15"/>
      <c r="NUQ1110" s="15"/>
      <c r="NUR1110" s="15"/>
      <c r="NUU1110" s="15"/>
      <c r="NUV1110" s="15"/>
      <c r="NUY1110" s="15"/>
      <c r="NUZ1110" s="15"/>
      <c r="NVC1110" s="15"/>
      <c r="NVD1110" s="15"/>
      <c r="NVG1110" s="15"/>
      <c r="NVH1110" s="15"/>
      <c r="NVK1110" s="15"/>
      <c r="NVL1110" s="15"/>
      <c r="NVO1110" s="15"/>
      <c r="NVP1110" s="15"/>
      <c r="NVS1110" s="15"/>
      <c r="NVT1110" s="15"/>
      <c r="NVW1110" s="15"/>
      <c r="NVX1110" s="15"/>
      <c r="NWA1110" s="15"/>
      <c r="NWB1110" s="15"/>
      <c r="NWE1110" s="15"/>
      <c r="NWF1110" s="15"/>
      <c r="NWI1110" s="15"/>
      <c r="NWJ1110" s="15"/>
      <c r="NWM1110" s="15"/>
      <c r="NWN1110" s="15"/>
      <c r="NWQ1110" s="15"/>
      <c r="NWR1110" s="15"/>
      <c r="NWU1110" s="15"/>
      <c r="NWV1110" s="15"/>
      <c r="NWY1110" s="15"/>
      <c r="NWZ1110" s="15"/>
      <c r="NXC1110" s="15"/>
      <c r="NXD1110" s="15"/>
      <c r="NXG1110" s="15"/>
      <c r="NXH1110" s="15"/>
      <c r="NXK1110" s="15"/>
      <c r="NXL1110" s="15"/>
      <c r="NXO1110" s="15"/>
      <c r="NXP1110" s="15"/>
      <c r="NXS1110" s="15"/>
      <c r="NXT1110" s="15"/>
      <c r="NXW1110" s="15"/>
      <c r="NXX1110" s="15"/>
      <c r="NYA1110" s="15"/>
      <c r="NYB1110" s="15"/>
      <c r="NYE1110" s="15"/>
      <c r="NYF1110" s="15"/>
      <c r="NYI1110" s="15"/>
      <c r="NYJ1110" s="15"/>
      <c r="NYM1110" s="15"/>
      <c r="NYN1110" s="15"/>
      <c r="NYQ1110" s="15"/>
      <c r="NYR1110" s="15"/>
      <c r="NYU1110" s="15"/>
      <c r="NYV1110" s="15"/>
      <c r="NYY1110" s="15"/>
      <c r="NYZ1110" s="15"/>
      <c r="NZC1110" s="15"/>
      <c r="NZD1110" s="15"/>
      <c r="NZG1110" s="15"/>
      <c r="NZH1110" s="15"/>
      <c r="NZK1110" s="15"/>
      <c r="NZL1110" s="15"/>
      <c r="NZO1110" s="15"/>
      <c r="NZP1110" s="15"/>
      <c r="NZS1110" s="15"/>
      <c r="NZT1110" s="15"/>
      <c r="NZW1110" s="15"/>
      <c r="NZX1110" s="15"/>
      <c r="OAA1110" s="15"/>
      <c r="OAB1110" s="15"/>
      <c r="OAE1110" s="15"/>
      <c r="OAF1110" s="15"/>
      <c r="OAI1110" s="15"/>
      <c r="OAJ1110" s="15"/>
      <c r="OAM1110" s="15"/>
      <c r="OAN1110" s="15"/>
      <c r="OAQ1110" s="15"/>
      <c r="OAR1110" s="15"/>
      <c r="OAU1110" s="15"/>
      <c r="OAV1110" s="15"/>
      <c r="OAY1110" s="15"/>
      <c r="OAZ1110" s="15"/>
      <c r="OBC1110" s="15"/>
      <c r="OBD1110" s="15"/>
      <c r="OBG1110" s="15"/>
      <c r="OBH1110" s="15"/>
      <c r="OBK1110" s="15"/>
      <c r="OBL1110" s="15"/>
      <c r="OBO1110" s="15"/>
      <c r="OBP1110" s="15"/>
      <c r="OBS1110" s="15"/>
      <c r="OBT1110" s="15"/>
      <c r="OBW1110" s="15"/>
      <c r="OBX1110" s="15"/>
      <c r="OCA1110" s="15"/>
      <c r="OCB1110" s="15"/>
      <c r="OCE1110" s="15"/>
      <c r="OCF1110" s="15"/>
      <c r="OCI1110" s="15"/>
      <c r="OCJ1110" s="15"/>
      <c r="OCM1110" s="15"/>
      <c r="OCN1110" s="15"/>
      <c r="OCQ1110" s="15"/>
      <c r="OCR1110" s="15"/>
      <c r="OCU1110" s="15"/>
      <c r="OCV1110" s="15"/>
      <c r="OCY1110" s="15"/>
      <c r="OCZ1110" s="15"/>
      <c r="ODC1110" s="15"/>
      <c r="ODD1110" s="15"/>
      <c r="ODG1110" s="15"/>
      <c r="ODH1110" s="15"/>
      <c r="ODK1110" s="15"/>
      <c r="ODL1110" s="15"/>
      <c r="ODO1110" s="15"/>
      <c r="ODP1110" s="15"/>
      <c r="ODS1110" s="15"/>
      <c r="ODT1110" s="15"/>
      <c r="ODW1110" s="15"/>
      <c r="ODX1110" s="15"/>
      <c r="OEA1110" s="15"/>
      <c r="OEB1110" s="15"/>
      <c r="OEE1110" s="15"/>
      <c r="OEF1110" s="15"/>
      <c r="OEI1110" s="15"/>
      <c r="OEJ1110" s="15"/>
      <c r="OEM1110" s="15"/>
      <c r="OEN1110" s="15"/>
      <c r="OEQ1110" s="15"/>
      <c r="OER1110" s="15"/>
      <c r="OEU1110" s="15"/>
      <c r="OEV1110" s="15"/>
      <c r="OEY1110" s="15"/>
      <c r="OEZ1110" s="15"/>
      <c r="OFC1110" s="15"/>
      <c r="OFD1110" s="15"/>
      <c r="OFG1110" s="15"/>
      <c r="OFH1110" s="15"/>
      <c r="OFK1110" s="15"/>
      <c r="OFL1110" s="15"/>
      <c r="OFO1110" s="15"/>
      <c r="OFP1110" s="15"/>
      <c r="OFS1110" s="15"/>
      <c r="OFT1110" s="15"/>
      <c r="OFW1110" s="15"/>
      <c r="OFX1110" s="15"/>
      <c r="OGA1110" s="15"/>
      <c r="OGB1110" s="15"/>
      <c r="OGE1110" s="15"/>
      <c r="OGF1110" s="15"/>
      <c r="OGI1110" s="15"/>
      <c r="OGJ1110" s="15"/>
      <c r="OGM1110" s="15"/>
      <c r="OGN1110" s="15"/>
      <c r="OGQ1110" s="15"/>
      <c r="OGR1110" s="15"/>
      <c r="OGU1110" s="15"/>
      <c r="OGV1110" s="15"/>
      <c r="OGY1110" s="15"/>
      <c r="OGZ1110" s="15"/>
      <c r="OHC1110" s="15"/>
      <c r="OHD1110" s="15"/>
      <c r="OHG1110" s="15"/>
      <c r="OHH1110" s="15"/>
      <c r="OHK1110" s="15"/>
      <c r="OHL1110" s="15"/>
      <c r="OHO1110" s="15"/>
      <c r="OHP1110" s="15"/>
      <c r="OHS1110" s="15"/>
      <c r="OHT1110" s="15"/>
      <c r="OHW1110" s="15"/>
      <c r="OHX1110" s="15"/>
      <c r="OIA1110" s="15"/>
      <c r="OIB1110" s="15"/>
      <c r="OIE1110" s="15"/>
      <c r="OIF1110" s="15"/>
      <c r="OII1110" s="15"/>
      <c r="OIJ1110" s="15"/>
      <c r="OIM1110" s="15"/>
      <c r="OIN1110" s="15"/>
      <c r="OIQ1110" s="15"/>
      <c r="OIR1110" s="15"/>
      <c r="OIU1110" s="15"/>
      <c r="OIV1110" s="15"/>
      <c r="OIY1110" s="15"/>
      <c r="OIZ1110" s="15"/>
      <c r="OJC1110" s="15"/>
      <c r="OJD1110" s="15"/>
      <c r="OJG1110" s="15"/>
      <c r="OJH1110" s="15"/>
      <c r="OJK1110" s="15"/>
      <c r="OJL1110" s="15"/>
      <c r="OJO1110" s="15"/>
      <c r="OJP1110" s="15"/>
      <c r="OJS1110" s="15"/>
      <c r="OJT1110" s="15"/>
      <c r="OJW1110" s="15"/>
      <c r="OJX1110" s="15"/>
      <c r="OKA1110" s="15"/>
      <c r="OKB1110" s="15"/>
      <c r="OKE1110" s="15"/>
      <c r="OKF1110" s="15"/>
      <c r="OKI1110" s="15"/>
      <c r="OKJ1110" s="15"/>
      <c r="OKM1110" s="15"/>
      <c r="OKN1110" s="15"/>
      <c r="OKQ1110" s="15"/>
      <c r="OKR1110" s="15"/>
      <c r="OKU1110" s="15"/>
      <c r="OKV1110" s="15"/>
      <c r="OKY1110" s="15"/>
      <c r="OKZ1110" s="15"/>
      <c r="OLC1110" s="15"/>
      <c r="OLD1110" s="15"/>
      <c r="OLG1110" s="15"/>
      <c r="OLH1110" s="15"/>
      <c r="OLK1110" s="15"/>
      <c r="OLL1110" s="15"/>
      <c r="OLO1110" s="15"/>
      <c r="OLP1110" s="15"/>
      <c r="OLS1110" s="15"/>
      <c r="OLT1110" s="15"/>
      <c r="OLW1110" s="15"/>
      <c r="OLX1110" s="15"/>
      <c r="OMA1110" s="15"/>
      <c r="OMB1110" s="15"/>
      <c r="OME1110" s="15"/>
      <c r="OMF1110" s="15"/>
      <c r="OMI1110" s="15"/>
      <c r="OMJ1110" s="15"/>
      <c r="OMM1110" s="15"/>
      <c r="OMN1110" s="15"/>
      <c r="OMQ1110" s="15"/>
      <c r="OMR1110" s="15"/>
      <c r="OMU1110" s="15"/>
      <c r="OMV1110" s="15"/>
      <c r="OMY1110" s="15"/>
      <c r="OMZ1110" s="15"/>
      <c r="ONC1110" s="15"/>
      <c r="OND1110" s="15"/>
      <c r="ONG1110" s="15"/>
      <c r="ONH1110" s="15"/>
      <c r="ONK1110" s="15"/>
      <c r="ONL1110" s="15"/>
      <c r="ONO1110" s="15"/>
      <c r="ONP1110" s="15"/>
      <c r="ONS1110" s="15"/>
      <c r="ONT1110" s="15"/>
      <c r="ONW1110" s="15"/>
      <c r="ONX1110" s="15"/>
      <c r="OOA1110" s="15"/>
      <c r="OOB1110" s="15"/>
      <c r="OOE1110" s="15"/>
      <c r="OOF1110" s="15"/>
      <c r="OOI1110" s="15"/>
      <c r="OOJ1110" s="15"/>
      <c r="OOM1110" s="15"/>
      <c r="OON1110" s="15"/>
      <c r="OOQ1110" s="15"/>
      <c r="OOR1110" s="15"/>
      <c r="OOU1110" s="15"/>
      <c r="OOV1110" s="15"/>
      <c r="OOY1110" s="15"/>
      <c r="OOZ1110" s="15"/>
      <c r="OPC1110" s="15"/>
      <c r="OPD1110" s="15"/>
      <c r="OPG1110" s="15"/>
      <c r="OPH1110" s="15"/>
      <c r="OPK1110" s="15"/>
      <c r="OPL1110" s="15"/>
      <c r="OPO1110" s="15"/>
      <c r="OPP1110" s="15"/>
      <c r="OPS1110" s="15"/>
      <c r="OPT1110" s="15"/>
      <c r="OPW1110" s="15"/>
      <c r="OPX1110" s="15"/>
      <c r="OQA1110" s="15"/>
      <c r="OQB1110" s="15"/>
      <c r="OQE1110" s="15"/>
      <c r="OQF1110" s="15"/>
      <c r="OQI1110" s="15"/>
      <c r="OQJ1110" s="15"/>
      <c r="OQM1110" s="15"/>
      <c r="OQN1110" s="15"/>
      <c r="OQQ1110" s="15"/>
      <c r="OQR1110" s="15"/>
      <c r="OQU1110" s="15"/>
      <c r="OQV1110" s="15"/>
      <c r="OQY1110" s="15"/>
      <c r="OQZ1110" s="15"/>
      <c r="ORC1110" s="15"/>
      <c r="ORD1110" s="15"/>
      <c r="ORG1110" s="15"/>
      <c r="ORH1110" s="15"/>
      <c r="ORK1110" s="15"/>
      <c r="ORL1110" s="15"/>
      <c r="ORO1110" s="15"/>
      <c r="ORP1110" s="15"/>
      <c r="ORS1110" s="15"/>
      <c r="ORT1110" s="15"/>
      <c r="ORW1110" s="15"/>
      <c r="ORX1110" s="15"/>
      <c r="OSA1110" s="15"/>
      <c r="OSB1110" s="15"/>
      <c r="OSE1110" s="15"/>
      <c r="OSF1110" s="15"/>
      <c r="OSI1110" s="15"/>
      <c r="OSJ1110" s="15"/>
      <c r="OSM1110" s="15"/>
      <c r="OSN1110" s="15"/>
      <c r="OSQ1110" s="15"/>
      <c r="OSR1110" s="15"/>
      <c r="OSU1110" s="15"/>
      <c r="OSV1110" s="15"/>
      <c r="OSY1110" s="15"/>
      <c r="OSZ1110" s="15"/>
      <c r="OTC1110" s="15"/>
      <c r="OTD1110" s="15"/>
      <c r="OTG1110" s="15"/>
      <c r="OTH1110" s="15"/>
      <c r="OTK1110" s="15"/>
      <c r="OTL1110" s="15"/>
      <c r="OTO1110" s="15"/>
      <c r="OTP1110" s="15"/>
      <c r="OTS1110" s="15"/>
      <c r="OTT1110" s="15"/>
      <c r="OTW1110" s="15"/>
      <c r="OTX1110" s="15"/>
      <c r="OUA1110" s="15"/>
      <c r="OUB1110" s="15"/>
      <c r="OUE1110" s="15"/>
      <c r="OUF1110" s="15"/>
      <c r="OUI1110" s="15"/>
      <c r="OUJ1110" s="15"/>
      <c r="OUM1110" s="15"/>
      <c r="OUN1110" s="15"/>
      <c r="OUQ1110" s="15"/>
      <c r="OUR1110" s="15"/>
      <c r="OUU1110" s="15"/>
      <c r="OUV1110" s="15"/>
      <c r="OUY1110" s="15"/>
      <c r="OUZ1110" s="15"/>
      <c r="OVC1110" s="15"/>
      <c r="OVD1110" s="15"/>
      <c r="OVG1110" s="15"/>
      <c r="OVH1110" s="15"/>
      <c r="OVK1110" s="15"/>
      <c r="OVL1110" s="15"/>
      <c r="OVO1110" s="15"/>
      <c r="OVP1110" s="15"/>
      <c r="OVS1110" s="15"/>
      <c r="OVT1110" s="15"/>
      <c r="OVW1110" s="15"/>
      <c r="OVX1110" s="15"/>
      <c r="OWA1110" s="15"/>
      <c r="OWB1110" s="15"/>
      <c r="OWE1110" s="15"/>
      <c r="OWF1110" s="15"/>
      <c r="OWI1110" s="15"/>
      <c r="OWJ1110" s="15"/>
      <c r="OWM1110" s="15"/>
      <c r="OWN1110" s="15"/>
      <c r="OWQ1110" s="15"/>
      <c r="OWR1110" s="15"/>
      <c r="OWU1110" s="15"/>
      <c r="OWV1110" s="15"/>
      <c r="OWY1110" s="15"/>
      <c r="OWZ1110" s="15"/>
      <c r="OXC1110" s="15"/>
      <c r="OXD1110" s="15"/>
      <c r="OXG1110" s="15"/>
      <c r="OXH1110" s="15"/>
      <c r="OXK1110" s="15"/>
      <c r="OXL1110" s="15"/>
      <c r="OXO1110" s="15"/>
      <c r="OXP1110" s="15"/>
      <c r="OXS1110" s="15"/>
      <c r="OXT1110" s="15"/>
      <c r="OXW1110" s="15"/>
      <c r="OXX1110" s="15"/>
      <c r="OYA1110" s="15"/>
      <c r="OYB1110" s="15"/>
      <c r="OYE1110" s="15"/>
      <c r="OYF1110" s="15"/>
      <c r="OYI1110" s="15"/>
      <c r="OYJ1110" s="15"/>
      <c r="OYM1110" s="15"/>
      <c r="OYN1110" s="15"/>
      <c r="OYQ1110" s="15"/>
      <c r="OYR1110" s="15"/>
      <c r="OYU1110" s="15"/>
      <c r="OYV1110" s="15"/>
      <c r="OYY1110" s="15"/>
      <c r="OYZ1110" s="15"/>
      <c r="OZC1110" s="15"/>
      <c r="OZD1110" s="15"/>
      <c r="OZG1110" s="15"/>
      <c r="OZH1110" s="15"/>
      <c r="OZK1110" s="15"/>
      <c r="OZL1110" s="15"/>
      <c r="OZO1110" s="15"/>
      <c r="OZP1110" s="15"/>
      <c r="OZS1110" s="15"/>
      <c r="OZT1110" s="15"/>
      <c r="OZW1110" s="15"/>
      <c r="OZX1110" s="15"/>
      <c r="PAA1110" s="15"/>
      <c r="PAB1110" s="15"/>
      <c r="PAE1110" s="15"/>
      <c r="PAF1110" s="15"/>
      <c r="PAI1110" s="15"/>
      <c r="PAJ1110" s="15"/>
      <c r="PAM1110" s="15"/>
      <c r="PAN1110" s="15"/>
      <c r="PAQ1110" s="15"/>
      <c r="PAR1110" s="15"/>
      <c r="PAU1110" s="15"/>
      <c r="PAV1110" s="15"/>
      <c r="PAY1110" s="15"/>
      <c r="PAZ1110" s="15"/>
      <c r="PBC1110" s="15"/>
      <c r="PBD1110" s="15"/>
      <c r="PBG1110" s="15"/>
      <c r="PBH1110" s="15"/>
      <c r="PBK1110" s="15"/>
      <c r="PBL1110" s="15"/>
      <c r="PBO1110" s="15"/>
      <c r="PBP1110" s="15"/>
      <c r="PBS1110" s="15"/>
      <c r="PBT1110" s="15"/>
      <c r="PBW1110" s="15"/>
      <c r="PBX1110" s="15"/>
      <c r="PCA1110" s="15"/>
      <c r="PCB1110" s="15"/>
      <c r="PCE1110" s="15"/>
      <c r="PCF1110" s="15"/>
      <c r="PCI1110" s="15"/>
      <c r="PCJ1110" s="15"/>
      <c r="PCM1110" s="15"/>
      <c r="PCN1110" s="15"/>
      <c r="PCQ1110" s="15"/>
      <c r="PCR1110" s="15"/>
      <c r="PCU1110" s="15"/>
      <c r="PCV1110" s="15"/>
      <c r="PCY1110" s="15"/>
      <c r="PCZ1110" s="15"/>
      <c r="PDC1110" s="15"/>
      <c r="PDD1110" s="15"/>
      <c r="PDG1110" s="15"/>
      <c r="PDH1110" s="15"/>
      <c r="PDK1110" s="15"/>
      <c r="PDL1110" s="15"/>
      <c r="PDO1110" s="15"/>
      <c r="PDP1110" s="15"/>
      <c r="PDS1110" s="15"/>
      <c r="PDT1110" s="15"/>
      <c r="PDW1110" s="15"/>
      <c r="PDX1110" s="15"/>
      <c r="PEA1110" s="15"/>
      <c r="PEB1110" s="15"/>
      <c r="PEE1110" s="15"/>
      <c r="PEF1110" s="15"/>
      <c r="PEI1110" s="15"/>
      <c r="PEJ1110" s="15"/>
      <c r="PEM1110" s="15"/>
      <c r="PEN1110" s="15"/>
      <c r="PEQ1110" s="15"/>
      <c r="PER1110" s="15"/>
      <c r="PEU1110" s="15"/>
      <c r="PEV1110" s="15"/>
      <c r="PEY1110" s="15"/>
      <c r="PEZ1110" s="15"/>
      <c r="PFC1110" s="15"/>
      <c r="PFD1110" s="15"/>
      <c r="PFG1110" s="15"/>
      <c r="PFH1110" s="15"/>
      <c r="PFK1110" s="15"/>
      <c r="PFL1110" s="15"/>
      <c r="PFO1110" s="15"/>
      <c r="PFP1110" s="15"/>
      <c r="PFS1110" s="15"/>
      <c r="PFT1110" s="15"/>
      <c r="PFW1110" s="15"/>
      <c r="PFX1110" s="15"/>
      <c r="PGA1110" s="15"/>
      <c r="PGB1110" s="15"/>
      <c r="PGE1110" s="15"/>
      <c r="PGF1110" s="15"/>
      <c r="PGI1110" s="15"/>
      <c r="PGJ1110" s="15"/>
      <c r="PGM1110" s="15"/>
      <c r="PGN1110" s="15"/>
      <c r="PGQ1110" s="15"/>
      <c r="PGR1110" s="15"/>
      <c r="PGU1110" s="15"/>
      <c r="PGV1110" s="15"/>
      <c r="PGY1110" s="15"/>
      <c r="PGZ1110" s="15"/>
      <c r="PHC1110" s="15"/>
      <c r="PHD1110" s="15"/>
      <c r="PHG1110" s="15"/>
      <c r="PHH1110" s="15"/>
      <c r="PHK1110" s="15"/>
      <c r="PHL1110" s="15"/>
      <c r="PHO1110" s="15"/>
      <c r="PHP1110" s="15"/>
      <c r="PHS1110" s="15"/>
      <c r="PHT1110" s="15"/>
      <c r="PHW1110" s="15"/>
      <c r="PHX1110" s="15"/>
      <c r="PIA1110" s="15"/>
      <c r="PIB1110" s="15"/>
      <c r="PIE1110" s="15"/>
      <c r="PIF1110" s="15"/>
      <c r="PII1110" s="15"/>
      <c r="PIJ1110" s="15"/>
      <c r="PIM1110" s="15"/>
      <c r="PIN1110" s="15"/>
      <c r="PIQ1110" s="15"/>
      <c r="PIR1110" s="15"/>
      <c r="PIU1110" s="15"/>
      <c r="PIV1110" s="15"/>
      <c r="PIY1110" s="15"/>
      <c r="PIZ1110" s="15"/>
      <c r="PJC1110" s="15"/>
      <c r="PJD1110" s="15"/>
      <c r="PJG1110" s="15"/>
      <c r="PJH1110" s="15"/>
      <c r="PJK1110" s="15"/>
      <c r="PJL1110" s="15"/>
      <c r="PJO1110" s="15"/>
      <c r="PJP1110" s="15"/>
      <c r="PJS1110" s="15"/>
      <c r="PJT1110" s="15"/>
      <c r="PJW1110" s="15"/>
      <c r="PJX1110" s="15"/>
      <c r="PKA1110" s="15"/>
      <c r="PKB1110" s="15"/>
      <c r="PKE1110" s="15"/>
      <c r="PKF1110" s="15"/>
      <c r="PKI1110" s="15"/>
      <c r="PKJ1110" s="15"/>
      <c r="PKM1110" s="15"/>
      <c r="PKN1110" s="15"/>
      <c r="PKQ1110" s="15"/>
      <c r="PKR1110" s="15"/>
      <c r="PKU1110" s="15"/>
      <c r="PKV1110" s="15"/>
      <c r="PKY1110" s="15"/>
      <c r="PKZ1110" s="15"/>
      <c r="PLC1110" s="15"/>
      <c r="PLD1110" s="15"/>
      <c r="PLG1110" s="15"/>
      <c r="PLH1110" s="15"/>
      <c r="PLK1110" s="15"/>
      <c r="PLL1110" s="15"/>
      <c r="PLO1110" s="15"/>
      <c r="PLP1110" s="15"/>
      <c r="PLS1110" s="15"/>
      <c r="PLT1110" s="15"/>
      <c r="PLW1110" s="15"/>
      <c r="PLX1110" s="15"/>
      <c r="PMA1110" s="15"/>
      <c r="PMB1110" s="15"/>
      <c r="PME1110" s="15"/>
      <c r="PMF1110" s="15"/>
      <c r="PMI1110" s="15"/>
      <c r="PMJ1110" s="15"/>
      <c r="PMM1110" s="15"/>
      <c r="PMN1110" s="15"/>
      <c r="PMQ1110" s="15"/>
      <c r="PMR1110" s="15"/>
      <c r="PMU1110" s="15"/>
      <c r="PMV1110" s="15"/>
      <c r="PMY1110" s="15"/>
      <c r="PMZ1110" s="15"/>
      <c r="PNC1110" s="15"/>
      <c r="PND1110" s="15"/>
      <c r="PNG1110" s="15"/>
      <c r="PNH1110" s="15"/>
      <c r="PNK1110" s="15"/>
      <c r="PNL1110" s="15"/>
      <c r="PNO1110" s="15"/>
      <c r="PNP1110" s="15"/>
      <c r="PNS1110" s="15"/>
      <c r="PNT1110" s="15"/>
      <c r="PNW1110" s="15"/>
      <c r="PNX1110" s="15"/>
      <c r="POA1110" s="15"/>
      <c r="POB1110" s="15"/>
      <c r="POE1110" s="15"/>
      <c r="POF1110" s="15"/>
      <c r="POI1110" s="15"/>
      <c r="POJ1110" s="15"/>
      <c r="POM1110" s="15"/>
      <c r="PON1110" s="15"/>
      <c r="POQ1110" s="15"/>
      <c r="POR1110" s="15"/>
      <c r="POU1110" s="15"/>
      <c r="POV1110" s="15"/>
      <c r="POY1110" s="15"/>
      <c r="POZ1110" s="15"/>
      <c r="PPC1110" s="15"/>
      <c r="PPD1110" s="15"/>
      <c r="PPG1110" s="15"/>
      <c r="PPH1110" s="15"/>
      <c r="PPK1110" s="15"/>
      <c r="PPL1110" s="15"/>
      <c r="PPO1110" s="15"/>
      <c r="PPP1110" s="15"/>
      <c r="PPS1110" s="15"/>
      <c r="PPT1110" s="15"/>
      <c r="PPW1110" s="15"/>
      <c r="PPX1110" s="15"/>
      <c r="PQA1110" s="15"/>
      <c r="PQB1110" s="15"/>
      <c r="PQE1110" s="15"/>
      <c r="PQF1110" s="15"/>
      <c r="PQI1110" s="15"/>
      <c r="PQJ1110" s="15"/>
      <c r="PQM1110" s="15"/>
      <c r="PQN1110" s="15"/>
      <c r="PQQ1110" s="15"/>
      <c r="PQR1110" s="15"/>
      <c r="PQU1110" s="15"/>
      <c r="PQV1110" s="15"/>
      <c r="PQY1110" s="15"/>
      <c r="PQZ1110" s="15"/>
      <c r="PRC1110" s="15"/>
      <c r="PRD1110" s="15"/>
      <c r="PRG1110" s="15"/>
      <c r="PRH1110" s="15"/>
      <c r="PRK1110" s="15"/>
      <c r="PRL1110" s="15"/>
      <c r="PRO1110" s="15"/>
      <c r="PRP1110" s="15"/>
      <c r="PRS1110" s="15"/>
      <c r="PRT1110" s="15"/>
      <c r="PRW1110" s="15"/>
      <c r="PRX1110" s="15"/>
      <c r="PSA1110" s="15"/>
      <c r="PSB1110" s="15"/>
      <c r="PSE1110" s="15"/>
      <c r="PSF1110" s="15"/>
      <c r="PSI1110" s="15"/>
      <c r="PSJ1110" s="15"/>
      <c r="PSM1110" s="15"/>
      <c r="PSN1110" s="15"/>
      <c r="PSQ1110" s="15"/>
      <c r="PSR1110" s="15"/>
      <c r="PSU1110" s="15"/>
      <c r="PSV1110" s="15"/>
      <c r="PSY1110" s="15"/>
      <c r="PSZ1110" s="15"/>
      <c r="PTC1110" s="15"/>
      <c r="PTD1110" s="15"/>
      <c r="PTG1110" s="15"/>
      <c r="PTH1110" s="15"/>
      <c r="PTK1110" s="15"/>
      <c r="PTL1110" s="15"/>
      <c r="PTO1110" s="15"/>
      <c r="PTP1110" s="15"/>
      <c r="PTS1110" s="15"/>
      <c r="PTT1110" s="15"/>
      <c r="PTW1110" s="15"/>
      <c r="PTX1110" s="15"/>
      <c r="PUA1110" s="15"/>
      <c r="PUB1110" s="15"/>
      <c r="PUE1110" s="15"/>
      <c r="PUF1110" s="15"/>
      <c r="PUI1110" s="15"/>
      <c r="PUJ1110" s="15"/>
      <c r="PUM1110" s="15"/>
      <c r="PUN1110" s="15"/>
      <c r="PUQ1110" s="15"/>
      <c r="PUR1110" s="15"/>
      <c r="PUU1110" s="15"/>
      <c r="PUV1110" s="15"/>
      <c r="PUY1110" s="15"/>
      <c r="PUZ1110" s="15"/>
      <c r="PVC1110" s="15"/>
      <c r="PVD1110" s="15"/>
      <c r="PVG1110" s="15"/>
      <c r="PVH1110" s="15"/>
      <c r="PVK1110" s="15"/>
      <c r="PVL1110" s="15"/>
      <c r="PVO1110" s="15"/>
      <c r="PVP1110" s="15"/>
      <c r="PVS1110" s="15"/>
      <c r="PVT1110" s="15"/>
      <c r="PVW1110" s="15"/>
      <c r="PVX1110" s="15"/>
      <c r="PWA1110" s="15"/>
      <c r="PWB1110" s="15"/>
      <c r="PWE1110" s="15"/>
      <c r="PWF1110" s="15"/>
      <c r="PWI1110" s="15"/>
      <c r="PWJ1110" s="15"/>
      <c r="PWM1110" s="15"/>
      <c r="PWN1110" s="15"/>
      <c r="PWQ1110" s="15"/>
      <c r="PWR1110" s="15"/>
      <c r="PWU1110" s="15"/>
      <c r="PWV1110" s="15"/>
      <c r="PWY1110" s="15"/>
      <c r="PWZ1110" s="15"/>
      <c r="PXC1110" s="15"/>
      <c r="PXD1110" s="15"/>
      <c r="PXG1110" s="15"/>
      <c r="PXH1110" s="15"/>
      <c r="PXK1110" s="15"/>
      <c r="PXL1110" s="15"/>
      <c r="PXO1110" s="15"/>
      <c r="PXP1110" s="15"/>
      <c r="PXS1110" s="15"/>
      <c r="PXT1110" s="15"/>
      <c r="PXW1110" s="15"/>
      <c r="PXX1110" s="15"/>
      <c r="PYA1110" s="15"/>
      <c r="PYB1110" s="15"/>
      <c r="PYE1110" s="15"/>
      <c r="PYF1110" s="15"/>
      <c r="PYI1110" s="15"/>
      <c r="PYJ1110" s="15"/>
      <c r="PYM1110" s="15"/>
      <c r="PYN1110" s="15"/>
      <c r="PYQ1110" s="15"/>
      <c r="PYR1110" s="15"/>
      <c r="PYU1110" s="15"/>
      <c r="PYV1110" s="15"/>
      <c r="PYY1110" s="15"/>
      <c r="PYZ1110" s="15"/>
      <c r="PZC1110" s="15"/>
      <c r="PZD1110" s="15"/>
      <c r="PZG1110" s="15"/>
      <c r="PZH1110" s="15"/>
      <c r="PZK1110" s="15"/>
      <c r="PZL1110" s="15"/>
      <c r="PZO1110" s="15"/>
      <c r="PZP1110" s="15"/>
      <c r="PZS1110" s="15"/>
      <c r="PZT1110" s="15"/>
      <c r="PZW1110" s="15"/>
      <c r="PZX1110" s="15"/>
      <c r="QAA1110" s="15"/>
      <c r="QAB1110" s="15"/>
      <c r="QAE1110" s="15"/>
      <c r="QAF1110" s="15"/>
      <c r="QAI1110" s="15"/>
      <c r="QAJ1110" s="15"/>
      <c r="QAM1110" s="15"/>
      <c r="QAN1110" s="15"/>
      <c r="QAQ1110" s="15"/>
      <c r="QAR1110" s="15"/>
      <c r="QAU1110" s="15"/>
      <c r="QAV1110" s="15"/>
      <c r="QAY1110" s="15"/>
      <c r="QAZ1110" s="15"/>
      <c r="QBC1110" s="15"/>
      <c r="QBD1110" s="15"/>
      <c r="QBG1110" s="15"/>
      <c r="QBH1110" s="15"/>
      <c r="QBK1110" s="15"/>
      <c r="QBL1110" s="15"/>
      <c r="QBO1110" s="15"/>
      <c r="QBP1110" s="15"/>
      <c r="QBS1110" s="15"/>
      <c r="QBT1110" s="15"/>
      <c r="QBW1110" s="15"/>
      <c r="QBX1110" s="15"/>
      <c r="QCA1110" s="15"/>
      <c r="QCB1110" s="15"/>
      <c r="QCE1110" s="15"/>
      <c r="QCF1110" s="15"/>
      <c r="QCI1110" s="15"/>
      <c r="QCJ1110" s="15"/>
      <c r="QCM1110" s="15"/>
      <c r="QCN1110" s="15"/>
      <c r="QCQ1110" s="15"/>
      <c r="QCR1110" s="15"/>
      <c r="QCU1110" s="15"/>
      <c r="QCV1110" s="15"/>
      <c r="QCY1110" s="15"/>
      <c r="QCZ1110" s="15"/>
      <c r="QDC1110" s="15"/>
      <c r="QDD1110" s="15"/>
      <c r="QDG1110" s="15"/>
      <c r="QDH1110" s="15"/>
      <c r="QDK1110" s="15"/>
      <c r="QDL1110" s="15"/>
      <c r="QDO1110" s="15"/>
      <c r="QDP1110" s="15"/>
      <c r="QDS1110" s="15"/>
      <c r="QDT1110" s="15"/>
      <c r="QDW1110" s="15"/>
      <c r="QDX1110" s="15"/>
      <c r="QEA1110" s="15"/>
      <c r="QEB1110" s="15"/>
      <c r="QEE1110" s="15"/>
      <c r="QEF1110" s="15"/>
      <c r="QEI1110" s="15"/>
      <c r="QEJ1110" s="15"/>
      <c r="QEM1110" s="15"/>
      <c r="QEN1110" s="15"/>
      <c r="QEQ1110" s="15"/>
      <c r="QER1110" s="15"/>
      <c r="QEU1110" s="15"/>
      <c r="QEV1110" s="15"/>
      <c r="QEY1110" s="15"/>
      <c r="QEZ1110" s="15"/>
      <c r="QFC1110" s="15"/>
      <c r="QFD1110" s="15"/>
      <c r="QFG1110" s="15"/>
      <c r="QFH1110" s="15"/>
      <c r="QFK1110" s="15"/>
      <c r="QFL1110" s="15"/>
      <c r="QFO1110" s="15"/>
      <c r="QFP1110" s="15"/>
      <c r="QFS1110" s="15"/>
      <c r="QFT1110" s="15"/>
      <c r="QFW1110" s="15"/>
      <c r="QFX1110" s="15"/>
      <c r="QGA1110" s="15"/>
      <c r="QGB1110" s="15"/>
      <c r="QGE1110" s="15"/>
      <c r="QGF1110" s="15"/>
      <c r="QGI1110" s="15"/>
      <c r="QGJ1110" s="15"/>
      <c r="QGM1110" s="15"/>
      <c r="QGN1110" s="15"/>
      <c r="QGQ1110" s="15"/>
      <c r="QGR1110" s="15"/>
      <c r="QGU1110" s="15"/>
      <c r="QGV1110" s="15"/>
      <c r="QGY1110" s="15"/>
      <c r="QGZ1110" s="15"/>
      <c r="QHC1110" s="15"/>
      <c r="QHD1110" s="15"/>
      <c r="QHG1110" s="15"/>
      <c r="QHH1110" s="15"/>
      <c r="QHK1110" s="15"/>
      <c r="QHL1110" s="15"/>
      <c r="QHO1110" s="15"/>
      <c r="QHP1110" s="15"/>
      <c r="QHS1110" s="15"/>
      <c r="QHT1110" s="15"/>
      <c r="QHW1110" s="15"/>
      <c r="QHX1110" s="15"/>
      <c r="QIA1110" s="15"/>
      <c r="QIB1110" s="15"/>
      <c r="QIE1110" s="15"/>
      <c r="QIF1110" s="15"/>
      <c r="QII1110" s="15"/>
      <c r="QIJ1110" s="15"/>
      <c r="QIM1110" s="15"/>
      <c r="QIN1110" s="15"/>
      <c r="QIQ1110" s="15"/>
      <c r="QIR1110" s="15"/>
      <c r="QIU1110" s="15"/>
      <c r="QIV1110" s="15"/>
      <c r="QIY1110" s="15"/>
      <c r="QIZ1110" s="15"/>
      <c r="QJC1110" s="15"/>
      <c r="QJD1110" s="15"/>
      <c r="QJG1110" s="15"/>
      <c r="QJH1110" s="15"/>
      <c r="QJK1110" s="15"/>
      <c r="QJL1110" s="15"/>
      <c r="QJO1110" s="15"/>
      <c r="QJP1110" s="15"/>
      <c r="QJS1110" s="15"/>
      <c r="QJT1110" s="15"/>
      <c r="QJW1110" s="15"/>
      <c r="QJX1110" s="15"/>
      <c r="QKA1110" s="15"/>
      <c r="QKB1110" s="15"/>
      <c r="QKE1110" s="15"/>
      <c r="QKF1110" s="15"/>
      <c r="QKI1110" s="15"/>
      <c r="QKJ1110" s="15"/>
      <c r="QKM1110" s="15"/>
      <c r="QKN1110" s="15"/>
      <c r="QKQ1110" s="15"/>
      <c r="QKR1110" s="15"/>
      <c r="QKU1110" s="15"/>
      <c r="QKV1110" s="15"/>
      <c r="QKY1110" s="15"/>
      <c r="QKZ1110" s="15"/>
      <c r="QLC1110" s="15"/>
      <c r="QLD1110" s="15"/>
      <c r="QLG1110" s="15"/>
      <c r="QLH1110" s="15"/>
      <c r="QLK1110" s="15"/>
      <c r="QLL1110" s="15"/>
      <c r="QLO1110" s="15"/>
      <c r="QLP1110" s="15"/>
      <c r="QLS1110" s="15"/>
      <c r="QLT1110" s="15"/>
      <c r="QLW1110" s="15"/>
      <c r="QLX1110" s="15"/>
      <c r="QMA1110" s="15"/>
      <c r="QMB1110" s="15"/>
      <c r="QME1110" s="15"/>
      <c r="QMF1110" s="15"/>
      <c r="QMI1110" s="15"/>
      <c r="QMJ1110" s="15"/>
      <c r="QMM1110" s="15"/>
      <c r="QMN1110" s="15"/>
      <c r="QMQ1110" s="15"/>
      <c r="QMR1110" s="15"/>
      <c r="QMU1110" s="15"/>
      <c r="QMV1110" s="15"/>
      <c r="QMY1110" s="15"/>
      <c r="QMZ1110" s="15"/>
      <c r="QNC1110" s="15"/>
      <c r="QND1110" s="15"/>
      <c r="QNG1110" s="15"/>
      <c r="QNH1110" s="15"/>
      <c r="QNK1110" s="15"/>
      <c r="QNL1110" s="15"/>
      <c r="QNO1110" s="15"/>
      <c r="QNP1110" s="15"/>
      <c r="QNS1110" s="15"/>
      <c r="QNT1110" s="15"/>
      <c r="QNW1110" s="15"/>
      <c r="QNX1110" s="15"/>
      <c r="QOA1110" s="15"/>
      <c r="QOB1110" s="15"/>
      <c r="QOE1110" s="15"/>
      <c r="QOF1110" s="15"/>
      <c r="QOI1110" s="15"/>
      <c r="QOJ1110" s="15"/>
      <c r="QOM1110" s="15"/>
      <c r="QON1110" s="15"/>
      <c r="QOQ1110" s="15"/>
      <c r="QOR1110" s="15"/>
      <c r="QOU1110" s="15"/>
      <c r="QOV1110" s="15"/>
      <c r="QOY1110" s="15"/>
      <c r="QOZ1110" s="15"/>
      <c r="QPC1110" s="15"/>
      <c r="QPD1110" s="15"/>
      <c r="QPG1110" s="15"/>
      <c r="QPH1110" s="15"/>
      <c r="QPK1110" s="15"/>
      <c r="QPL1110" s="15"/>
      <c r="QPO1110" s="15"/>
      <c r="QPP1110" s="15"/>
      <c r="QPS1110" s="15"/>
      <c r="QPT1110" s="15"/>
      <c r="QPW1110" s="15"/>
      <c r="QPX1110" s="15"/>
      <c r="QQA1110" s="15"/>
      <c r="QQB1110" s="15"/>
      <c r="QQE1110" s="15"/>
      <c r="QQF1110" s="15"/>
      <c r="QQI1110" s="15"/>
      <c r="QQJ1110" s="15"/>
      <c r="QQM1110" s="15"/>
      <c r="QQN1110" s="15"/>
      <c r="QQQ1110" s="15"/>
      <c r="QQR1110" s="15"/>
      <c r="QQU1110" s="15"/>
      <c r="QQV1110" s="15"/>
      <c r="QQY1110" s="15"/>
      <c r="QQZ1110" s="15"/>
      <c r="QRC1110" s="15"/>
      <c r="QRD1110" s="15"/>
      <c r="QRG1110" s="15"/>
      <c r="QRH1110" s="15"/>
      <c r="QRK1110" s="15"/>
      <c r="QRL1110" s="15"/>
      <c r="QRO1110" s="15"/>
      <c r="QRP1110" s="15"/>
      <c r="QRS1110" s="15"/>
      <c r="QRT1110" s="15"/>
      <c r="QRW1110" s="15"/>
      <c r="QRX1110" s="15"/>
      <c r="QSA1110" s="15"/>
      <c r="QSB1110" s="15"/>
      <c r="QSE1110" s="15"/>
      <c r="QSF1110" s="15"/>
      <c r="QSI1110" s="15"/>
      <c r="QSJ1110" s="15"/>
      <c r="QSM1110" s="15"/>
      <c r="QSN1110" s="15"/>
      <c r="QSQ1110" s="15"/>
      <c r="QSR1110" s="15"/>
      <c r="QSU1110" s="15"/>
      <c r="QSV1110" s="15"/>
      <c r="QSY1110" s="15"/>
      <c r="QSZ1110" s="15"/>
      <c r="QTC1110" s="15"/>
      <c r="QTD1110" s="15"/>
      <c r="QTG1110" s="15"/>
      <c r="QTH1110" s="15"/>
      <c r="QTK1110" s="15"/>
      <c r="QTL1110" s="15"/>
      <c r="QTO1110" s="15"/>
      <c r="QTP1110" s="15"/>
      <c r="QTS1110" s="15"/>
      <c r="QTT1110" s="15"/>
      <c r="QTW1110" s="15"/>
      <c r="QTX1110" s="15"/>
      <c r="QUA1110" s="15"/>
      <c r="QUB1110" s="15"/>
      <c r="QUE1110" s="15"/>
      <c r="QUF1110" s="15"/>
      <c r="QUI1110" s="15"/>
      <c r="QUJ1110" s="15"/>
      <c r="QUM1110" s="15"/>
      <c r="QUN1110" s="15"/>
      <c r="QUQ1110" s="15"/>
      <c r="QUR1110" s="15"/>
      <c r="QUU1110" s="15"/>
      <c r="QUV1110" s="15"/>
      <c r="QUY1110" s="15"/>
      <c r="QUZ1110" s="15"/>
      <c r="QVC1110" s="15"/>
      <c r="QVD1110" s="15"/>
      <c r="QVG1110" s="15"/>
      <c r="QVH1110" s="15"/>
      <c r="QVK1110" s="15"/>
      <c r="QVL1110" s="15"/>
      <c r="QVO1110" s="15"/>
      <c r="QVP1110" s="15"/>
      <c r="QVS1110" s="15"/>
      <c r="QVT1110" s="15"/>
      <c r="QVW1110" s="15"/>
      <c r="QVX1110" s="15"/>
      <c r="QWA1110" s="15"/>
      <c r="QWB1110" s="15"/>
      <c r="QWE1110" s="15"/>
      <c r="QWF1110" s="15"/>
      <c r="QWI1110" s="15"/>
      <c r="QWJ1110" s="15"/>
      <c r="QWM1110" s="15"/>
      <c r="QWN1110" s="15"/>
      <c r="QWQ1110" s="15"/>
      <c r="QWR1110" s="15"/>
      <c r="QWU1110" s="15"/>
      <c r="QWV1110" s="15"/>
      <c r="QWY1110" s="15"/>
      <c r="QWZ1110" s="15"/>
      <c r="QXC1110" s="15"/>
      <c r="QXD1110" s="15"/>
      <c r="QXG1110" s="15"/>
      <c r="QXH1110" s="15"/>
      <c r="QXK1110" s="15"/>
      <c r="QXL1110" s="15"/>
      <c r="QXO1110" s="15"/>
      <c r="QXP1110" s="15"/>
      <c r="QXS1110" s="15"/>
      <c r="QXT1110" s="15"/>
      <c r="QXW1110" s="15"/>
      <c r="QXX1110" s="15"/>
      <c r="QYA1110" s="15"/>
      <c r="QYB1110" s="15"/>
      <c r="QYE1110" s="15"/>
      <c r="QYF1110" s="15"/>
      <c r="QYI1110" s="15"/>
      <c r="QYJ1110" s="15"/>
      <c r="QYM1110" s="15"/>
      <c r="QYN1110" s="15"/>
      <c r="QYQ1110" s="15"/>
      <c r="QYR1110" s="15"/>
      <c r="QYU1110" s="15"/>
      <c r="QYV1110" s="15"/>
      <c r="QYY1110" s="15"/>
      <c r="QYZ1110" s="15"/>
      <c r="QZC1110" s="15"/>
      <c r="QZD1110" s="15"/>
      <c r="QZG1110" s="15"/>
      <c r="QZH1110" s="15"/>
      <c r="QZK1110" s="15"/>
      <c r="QZL1110" s="15"/>
      <c r="QZO1110" s="15"/>
      <c r="QZP1110" s="15"/>
      <c r="QZS1110" s="15"/>
      <c r="QZT1110" s="15"/>
      <c r="QZW1110" s="15"/>
      <c r="QZX1110" s="15"/>
      <c r="RAA1110" s="15"/>
      <c r="RAB1110" s="15"/>
      <c r="RAE1110" s="15"/>
      <c r="RAF1110" s="15"/>
      <c r="RAI1110" s="15"/>
      <c r="RAJ1110" s="15"/>
      <c r="RAM1110" s="15"/>
      <c r="RAN1110" s="15"/>
      <c r="RAQ1110" s="15"/>
      <c r="RAR1110" s="15"/>
      <c r="RAU1110" s="15"/>
      <c r="RAV1110" s="15"/>
      <c r="RAY1110" s="15"/>
      <c r="RAZ1110" s="15"/>
      <c r="RBC1110" s="15"/>
      <c r="RBD1110" s="15"/>
      <c r="RBG1110" s="15"/>
      <c r="RBH1110" s="15"/>
      <c r="RBK1110" s="15"/>
      <c r="RBL1110" s="15"/>
      <c r="RBO1110" s="15"/>
      <c r="RBP1110" s="15"/>
      <c r="RBS1110" s="15"/>
      <c r="RBT1110" s="15"/>
      <c r="RBW1110" s="15"/>
      <c r="RBX1110" s="15"/>
      <c r="RCA1110" s="15"/>
      <c r="RCB1110" s="15"/>
      <c r="RCE1110" s="15"/>
      <c r="RCF1110" s="15"/>
      <c r="RCI1110" s="15"/>
      <c r="RCJ1110" s="15"/>
      <c r="RCM1110" s="15"/>
      <c r="RCN1110" s="15"/>
      <c r="RCQ1110" s="15"/>
      <c r="RCR1110" s="15"/>
      <c r="RCU1110" s="15"/>
      <c r="RCV1110" s="15"/>
      <c r="RCY1110" s="15"/>
      <c r="RCZ1110" s="15"/>
      <c r="RDC1110" s="15"/>
      <c r="RDD1110" s="15"/>
      <c r="RDG1110" s="15"/>
      <c r="RDH1110" s="15"/>
      <c r="RDK1110" s="15"/>
      <c r="RDL1110" s="15"/>
      <c r="RDO1110" s="15"/>
      <c r="RDP1110" s="15"/>
      <c r="RDS1110" s="15"/>
      <c r="RDT1110" s="15"/>
      <c r="RDW1110" s="15"/>
      <c r="RDX1110" s="15"/>
      <c r="REA1110" s="15"/>
      <c r="REB1110" s="15"/>
      <c r="REE1110" s="15"/>
      <c r="REF1110" s="15"/>
      <c r="REI1110" s="15"/>
      <c r="REJ1110" s="15"/>
      <c r="REM1110" s="15"/>
      <c r="REN1110" s="15"/>
      <c r="REQ1110" s="15"/>
      <c r="RER1110" s="15"/>
      <c r="REU1110" s="15"/>
      <c r="REV1110" s="15"/>
      <c r="REY1110" s="15"/>
      <c r="REZ1110" s="15"/>
      <c r="RFC1110" s="15"/>
      <c r="RFD1110" s="15"/>
      <c r="RFG1110" s="15"/>
      <c r="RFH1110" s="15"/>
      <c r="RFK1110" s="15"/>
      <c r="RFL1110" s="15"/>
      <c r="RFO1110" s="15"/>
      <c r="RFP1110" s="15"/>
      <c r="RFS1110" s="15"/>
      <c r="RFT1110" s="15"/>
      <c r="RFW1110" s="15"/>
      <c r="RFX1110" s="15"/>
      <c r="RGA1110" s="15"/>
      <c r="RGB1110" s="15"/>
      <c r="RGE1110" s="15"/>
      <c r="RGF1110" s="15"/>
      <c r="RGI1110" s="15"/>
      <c r="RGJ1110" s="15"/>
      <c r="RGM1110" s="15"/>
      <c r="RGN1110" s="15"/>
      <c r="RGQ1110" s="15"/>
      <c r="RGR1110" s="15"/>
      <c r="RGU1110" s="15"/>
      <c r="RGV1110" s="15"/>
      <c r="RGY1110" s="15"/>
      <c r="RGZ1110" s="15"/>
      <c r="RHC1110" s="15"/>
      <c r="RHD1110" s="15"/>
      <c r="RHG1110" s="15"/>
      <c r="RHH1110" s="15"/>
      <c r="RHK1110" s="15"/>
      <c r="RHL1110" s="15"/>
      <c r="RHO1110" s="15"/>
      <c r="RHP1110" s="15"/>
      <c r="RHS1110" s="15"/>
      <c r="RHT1110" s="15"/>
      <c r="RHW1110" s="15"/>
      <c r="RHX1110" s="15"/>
      <c r="RIA1110" s="15"/>
      <c r="RIB1110" s="15"/>
      <c r="RIE1110" s="15"/>
      <c r="RIF1110" s="15"/>
      <c r="RII1110" s="15"/>
      <c r="RIJ1110" s="15"/>
      <c r="RIM1110" s="15"/>
      <c r="RIN1110" s="15"/>
      <c r="RIQ1110" s="15"/>
      <c r="RIR1110" s="15"/>
      <c r="RIU1110" s="15"/>
      <c r="RIV1110" s="15"/>
      <c r="RIY1110" s="15"/>
      <c r="RIZ1110" s="15"/>
      <c r="RJC1110" s="15"/>
      <c r="RJD1110" s="15"/>
      <c r="RJG1110" s="15"/>
      <c r="RJH1110" s="15"/>
      <c r="RJK1110" s="15"/>
      <c r="RJL1110" s="15"/>
      <c r="RJO1110" s="15"/>
      <c r="RJP1110" s="15"/>
      <c r="RJS1110" s="15"/>
      <c r="RJT1110" s="15"/>
      <c r="RJW1110" s="15"/>
      <c r="RJX1110" s="15"/>
      <c r="RKA1110" s="15"/>
      <c r="RKB1110" s="15"/>
      <c r="RKE1110" s="15"/>
      <c r="RKF1110" s="15"/>
      <c r="RKI1110" s="15"/>
      <c r="RKJ1110" s="15"/>
      <c r="RKM1110" s="15"/>
      <c r="RKN1110" s="15"/>
      <c r="RKQ1110" s="15"/>
      <c r="RKR1110" s="15"/>
      <c r="RKU1110" s="15"/>
      <c r="RKV1110" s="15"/>
      <c r="RKY1110" s="15"/>
      <c r="RKZ1110" s="15"/>
      <c r="RLC1110" s="15"/>
      <c r="RLD1110" s="15"/>
      <c r="RLG1110" s="15"/>
      <c r="RLH1110" s="15"/>
      <c r="RLK1110" s="15"/>
      <c r="RLL1110" s="15"/>
      <c r="RLO1110" s="15"/>
      <c r="RLP1110" s="15"/>
      <c r="RLS1110" s="15"/>
      <c r="RLT1110" s="15"/>
      <c r="RLW1110" s="15"/>
      <c r="RLX1110" s="15"/>
      <c r="RMA1110" s="15"/>
      <c r="RMB1110" s="15"/>
      <c r="RME1110" s="15"/>
      <c r="RMF1110" s="15"/>
      <c r="RMI1110" s="15"/>
      <c r="RMJ1110" s="15"/>
      <c r="RMM1110" s="15"/>
      <c r="RMN1110" s="15"/>
      <c r="RMQ1110" s="15"/>
      <c r="RMR1110" s="15"/>
      <c r="RMU1110" s="15"/>
      <c r="RMV1110" s="15"/>
      <c r="RMY1110" s="15"/>
      <c r="RMZ1110" s="15"/>
      <c r="RNC1110" s="15"/>
      <c r="RND1110" s="15"/>
      <c r="RNG1110" s="15"/>
      <c r="RNH1110" s="15"/>
      <c r="RNK1110" s="15"/>
      <c r="RNL1110" s="15"/>
      <c r="RNO1110" s="15"/>
      <c r="RNP1110" s="15"/>
      <c r="RNS1110" s="15"/>
      <c r="RNT1110" s="15"/>
      <c r="RNW1110" s="15"/>
      <c r="RNX1110" s="15"/>
      <c r="ROA1110" s="15"/>
      <c r="ROB1110" s="15"/>
      <c r="ROE1110" s="15"/>
      <c r="ROF1110" s="15"/>
      <c r="ROI1110" s="15"/>
      <c r="ROJ1110" s="15"/>
      <c r="ROM1110" s="15"/>
      <c r="RON1110" s="15"/>
      <c r="ROQ1110" s="15"/>
      <c r="ROR1110" s="15"/>
      <c r="ROU1110" s="15"/>
      <c r="ROV1110" s="15"/>
      <c r="ROY1110" s="15"/>
      <c r="ROZ1110" s="15"/>
      <c r="RPC1110" s="15"/>
      <c r="RPD1110" s="15"/>
      <c r="RPG1110" s="15"/>
      <c r="RPH1110" s="15"/>
      <c r="RPK1110" s="15"/>
      <c r="RPL1110" s="15"/>
      <c r="RPO1110" s="15"/>
      <c r="RPP1110" s="15"/>
      <c r="RPS1110" s="15"/>
      <c r="RPT1110" s="15"/>
      <c r="RPW1110" s="15"/>
      <c r="RPX1110" s="15"/>
      <c r="RQA1110" s="15"/>
      <c r="RQB1110" s="15"/>
      <c r="RQE1110" s="15"/>
      <c r="RQF1110" s="15"/>
      <c r="RQI1110" s="15"/>
      <c r="RQJ1110" s="15"/>
      <c r="RQM1110" s="15"/>
      <c r="RQN1110" s="15"/>
      <c r="RQQ1110" s="15"/>
      <c r="RQR1110" s="15"/>
      <c r="RQU1110" s="15"/>
      <c r="RQV1110" s="15"/>
      <c r="RQY1110" s="15"/>
      <c r="RQZ1110" s="15"/>
      <c r="RRC1110" s="15"/>
      <c r="RRD1110" s="15"/>
      <c r="RRG1110" s="15"/>
      <c r="RRH1110" s="15"/>
      <c r="RRK1110" s="15"/>
      <c r="RRL1110" s="15"/>
      <c r="RRO1110" s="15"/>
      <c r="RRP1110" s="15"/>
      <c r="RRS1110" s="15"/>
      <c r="RRT1110" s="15"/>
      <c r="RRW1110" s="15"/>
      <c r="RRX1110" s="15"/>
      <c r="RSA1110" s="15"/>
      <c r="RSB1110" s="15"/>
      <c r="RSE1110" s="15"/>
      <c r="RSF1110" s="15"/>
      <c r="RSI1110" s="15"/>
      <c r="RSJ1110" s="15"/>
      <c r="RSM1110" s="15"/>
      <c r="RSN1110" s="15"/>
      <c r="RSQ1110" s="15"/>
      <c r="RSR1110" s="15"/>
      <c r="RSU1110" s="15"/>
      <c r="RSV1110" s="15"/>
      <c r="RSY1110" s="15"/>
      <c r="RSZ1110" s="15"/>
      <c r="RTC1110" s="15"/>
      <c r="RTD1110" s="15"/>
      <c r="RTG1110" s="15"/>
      <c r="RTH1110" s="15"/>
      <c r="RTK1110" s="15"/>
      <c r="RTL1110" s="15"/>
      <c r="RTO1110" s="15"/>
      <c r="RTP1110" s="15"/>
      <c r="RTS1110" s="15"/>
      <c r="RTT1110" s="15"/>
      <c r="RTW1110" s="15"/>
      <c r="RTX1110" s="15"/>
      <c r="RUA1110" s="15"/>
      <c r="RUB1110" s="15"/>
      <c r="RUE1110" s="15"/>
      <c r="RUF1110" s="15"/>
      <c r="RUI1110" s="15"/>
      <c r="RUJ1110" s="15"/>
      <c r="RUM1110" s="15"/>
      <c r="RUN1110" s="15"/>
      <c r="RUQ1110" s="15"/>
      <c r="RUR1110" s="15"/>
      <c r="RUU1110" s="15"/>
      <c r="RUV1110" s="15"/>
      <c r="RUY1110" s="15"/>
      <c r="RUZ1110" s="15"/>
      <c r="RVC1110" s="15"/>
      <c r="RVD1110" s="15"/>
      <c r="RVG1110" s="15"/>
      <c r="RVH1110" s="15"/>
      <c r="RVK1110" s="15"/>
      <c r="RVL1110" s="15"/>
      <c r="RVO1110" s="15"/>
      <c r="RVP1110" s="15"/>
      <c r="RVS1110" s="15"/>
      <c r="RVT1110" s="15"/>
      <c r="RVW1110" s="15"/>
      <c r="RVX1110" s="15"/>
      <c r="RWA1110" s="15"/>
      <c r="RWB1110" s="15"/>
      <c r="RWE1110" s="15"/>
      <c r="RWF1110" s="15"/>
      <c r="RWI1110" s="15"/>
      <c r="RWJ1110" s="15"/>
      <c r="RWM1110" s="15"/>
      <c r="RWN1110" s="15"/>
      <c r="RWQ1110" s="15"/>
      <c r="RWR1110" s="15"/>
      <c r="RWU1110" s="15"/>
      <c r="RWV1110" s="15"/>
      <c r="RWY1110" s="15"/>
      <c r="RWZ1110" s="15"/>
      <c r="RXC1110" s="15"/>
      <c r="RXD1110" s="15"/>
      <c r="RXG1110" s="15"/>
      <c r="RXH1110" s="15"/>
      <c r="RXK1110" s="15"/>
      <c r="RXL1110" s="15"/>
      <c r="RXO1110" s="15"/>
      <c r="RXP1110" s="15"/>
      <c r="RXS1110" s="15"/>
      <c r="RXT1110" s="15"/>
      <c r="RXW1110" s="15"/>
      <c r="RXX1110" s="15"/>
      <c r="RYA1110" s="15"/>
      <c r="RYB1110" s="15"/>
      <c r="RYE1110" s="15"/>
      <c r="RYF1110" s="15"/>
      <c r="RYI1110" s="15"/>
      <c r="RYJ1110" s="15"/>
      <c r="RYM1110" s="15"/>
      <c r="RYN1110" s="15"/>
      <c r="RYQ1110" s="15"/>
      <c r="RYR1110" s="15"/>
      <c r="RYU1110" s="15"/>
      <c r="RYV1110" s="15"/>
      <c r="RYY1110" s="15"/>
      <c r="RYZ1110" s="15"/>
      <c r="RZC1110" s="15"/>
      <c r="RZD1110" s="15"/>
      <c r="RZG1110" s="15"/>
      <c r="RZH1110" s="15"/>
      <c r="RZK1110" s="15"/>
      <c r="RZL1110" s="15"/>
      <c r="RZO1110" s="15"/>
      <c r="RZP1110" s="15"/>
      <c r="RZS1110" s="15"/>
      <c r="RZT1110" s="15"/>
      <c r="RZW1110" s="15"/>
      <c r="RZX1110" s="15"/>
      <c r="SAA1110" s="15"/>
      <c r="SAB1110" s="15"/>
      <c r="SAE1110" s="15"/>
      <c r="SAF1110" s="15"/>
      <c r="SAI1110" s="15"/>
      <c r="SAJ1110" s="15"/>
      <c r="SAM1110" s="15"/>
      <c r="SAN1110" s="15"/>
      <c r="SAQ1110" s="15"/>
      <c r="SAR1110" s="15"/>
      <c r="SAU1110" s="15"/>
      <c r="SAV1110" s="15"/>
      <c r="SAY1110" s="15"/>
      <c r="SAZ1110" s="15"/>
      <c r="SBC1110" s="15"/>
      <c r="SBD1110" s="15"/>
      <c r="SBG1110" s="15"/>
      <c r="SBH1110" s="15"/>
      <c r="SBK1110" s="15"/>
      <c r="SBL1110" s="15"/>
      <c r="SBO1110" s="15"/>
      <c r="SBP1110" s="15"/>
      <c r="SBS1110" s="15"/>
      <c r="SBT1110" s="15"/>
      <c r="SBW1110" s="15"/>
      <c r="SBX1110" s="15"/>
      <c r="SCA1110" s="15"/>
      <c r="SCB1110" s="15"/>
      <c r="SCE1110" s="15"/>
      <c r="SCF1110" s="15"/>
      <c r="SCI1110" s="15"/>
      <c r="SCJ1110" s="15"/>
      <c r="SCM1110" s="15"/>
      <c r="SCN1110" s="15"/>
      <c r="SCQ1110" s="15"/>
      <c r="SCR1110" s="15"/>
      <c r="SCU1110" s="15"/>
      <c r="SCV1110" s="15"/>
      <c r="SCY1110" s="15"/>
      <c r="SCZ1110" s="15"/>
      <c r="SDC1110" s="15"/>
      <c r="SDD1110" s="15"/>
      <c r="SDG1110" s="15"/>
      <c r="SDH1110" s="15"/>
      <c r="SDK1110" s="15"/>
      <c r="SDL1110" s="15"/>
      <c r="SDO1110" s="15"/>
      <c r="SDP1110" s="15"/>
      <c r="SDS1110" s="15"/>
      <c r="SDT1110" s="15"/>
      <c r="SDW1110" s="15"/>
      <c r="SDX1110" s="15"/>
      <c r="SEA1110" s="15"/>
      <c r="SEB1110" s="15"/>
      <c r="SEE1110" s="15"/>
      <c r="SEF1110" s="15"/>
      <c r="SEI1110" s="15"/>
      <c r="SEJ1110" s="15"/>
      <c r="SEM1110" s="15"/>
      <c r="SEN1110" s="15"/>
      <c r="SEQ1110" s="15"/>
      <c r="SER1110" s="15"/>
      <c r="SEU1110" s="15"/>
      <c r="SEV1110" s="15"/>
      <c r="SEY1110" s="15"/>
      <c r="SEZ1110" s="15"/>
      <c r="SFC1110" s="15"/>
      <c r="SFD1110" s="15"/>
      <c r="SFG1110" s="15"/>
      <c r="SFH1110" s="15"/>
      <c r="SFK1110" s="15"/>
      <c r="SFL1110" s="15"/>
      <c r="SFO1110" s="15"/>
      <c r="SFP1110" s="15"/>
      <c r="SFS1110" s="15"/>
      <c r="SFT1110" s="15"/>
      <c r="SFW1110" s="15"/>
      <c r="SFX1110" s="15"/>
      <c r="SGA1110" s="15"/>
      <c r="SGB1110" s="15"/>
      <c r="SGE1110" s="15"/>
      <c r="SGF1110" s="15"/>
      <c r="SGI1110" s="15"/>
      <c r="SGJ1110" s="15"/>
      <c r="SGM1110" s="15"/>
      <c r="SGN1110" s="15"/>
      <c r="SGQ1110" s="15"/>
      <c r="SGR1110" s="15"/>
      <c r="SGU1110" s="15"/>
      <c r="SGV1110" s="15"/>
      <c r="SGY1110" s="15"/>
      <c r="SGZ1110" s="15"/>
      <c r="SHC1110" s="15"/>
      <c r="SHD1110" s="15"/>
      <c r="SHG1110" s="15"/>
      <c r="SHH1110" s="15"/>
      <c r="SHK1110" s="15"/>
      <c r="SHL1110" s="15"/>
      <c r="SHO1110" s="15"/>
      <c r="SHP1110" s="15"/>
      <c r="SHS1110" s="15"/>
      <c r="SHT1110" s="15"/>
      <c r="SHW1110" s="15"/>
      <c r="SHX1110" s="15"/>
      <c r="SIA1110" s="15"/>
      <c r="SIB1110" s="15"/>
      <c r="SIE1110" s="15"/>
      <c r="SIF1110" s="15"/>
      <c r="SII1110" s="15"/>
      <c r="SIJ1110" s="15"/>
      <c r="SIM1110" s="15"/>
      <c r="SIN1110" s="15"/>
      <c r="SIQ1110" s="15"/>
      <c r="SIR1110" s="15"/>
      <c r="SIU1110" s="15"/>
      <c r="SIV1110" s="15"/>
      <c r="SIY1110" s="15"/>
      <c r="SIZ1110" s="15"/>
      <c r="SJC1110" s="15"/>
      <c r="SJD1110" s="15"/>
      <c r="SJG1110" s="15"/>
      <c r="SJH1110" s="15"/>
      <c r="SJK1110" s="15"/>
      <c r="SJL1110" s="15"/>
      <c r="SJO1110" s="15"/>
      <c r="SJP1110" s="15"/>
      <c r="SJS1110" s="15"/>
      <c r="SJT1110" s="15"/>
      <c r="SJW1110" s="15"/>
      <c r="SJX1110" s="15"/>
      <c r="SKA1110" s="15"/>
      <c r="SKB1110" s="15"/>
      <c r="SKE1110" s="15"/>
      <c r="SKF1110" s="15"/>
      <c r="SKI1110" s="15"/>
      <c r="SKJ1110" s="15"/>
      <c r="SKM1110" s="15"/>
      <c r="SKN1110" s="15"/>
      <c r="SKQ1110" s="15"/>
      <c r="SKR1110" s="15"/>
      <c r="SKU1110" s="15"/>
      <c r="SKV1110" s="15"/>
      <c r="SKY1110" s="15"/>
      <c r="SKZ1110" s="15"/>
      <c r="SLC1110" s="15"/>
      <c r="SLD1110" s="15"/>
      <c r="SLG1110" s="15"/>
      <c r="SLH1110" s="15"/>
      <c r="SLK1110" s="15"/>
      <c r="SLL1110" s="15"/>
      <c r="SLO1110" s="15"/>
      <c r="SLP1110" s="15"/>
      <c r="SLS1110" s="15"/>
      <c r="SLT1110" s="15"/>
      <c r="SLW1110" s="15"/>
      <c r="SLX1110" s="15"/>
      <c r="SMA1110" s="15"/>
      <c r="SMB1110" s="15"/>
      <c r="SME1110" s="15"/>
      <c r="SMF1110" s="15"/>
      <c r="SMI1110" s="15"/>
      <c r="SMJ1110" s="15"/>
      <c r="SMM1110" s="15"/>
      <c r="SMN1110" s="15"/>
      <c r="SMQ1110" s="15"/>
      <c r="SMR1110" s="15"/>
      <c r="SMU1110" s="15"/>
      <c r="SMV1110" s="15"/>
      <c r="SMY1110" s="15"/>
      <c r="SMZ1110" s="15"/>
      <c r="SNC1110" s="15"/>
      <c r="SND1110" s="15"/>
      <c r="SNG1110" s="15"/>
      <c r="SNH1110" s="15"/>
      <c r="SNK1110" s="15"/>
      <c r="SNL1110" s="15"/>
      <c r="SNO1110" s="15"/>
      <c r="SNP1110" s="15"/>
      <c r="SNS1110" s="15"/>
      <c r="SNT1110" s="15"/>
      <c r="SNW1110" s="15"/>
      <c r="SNX1110" s="15"/>
      <c r="SOA1110" s="15"/>
      <c r="SOB1110" s="15"/>
      <c r="SOE1110" s="15"/>
      <c r="SOF1110" s="15"/>
      <c r="SOI1110" s="15"/>
      <c r="SOJ1110" s="15"/>
      <c r="SOM1110" s="15"/>
      <c r="SON1110" s="15"/>
      <c r="SOQ1110" s="15"/>
      <c r="SOR1110" s="15"/>
      <c r="SOU1110" s="15"/>
      <c r="SOV1110" s="15"/>
      <c r="SOY1110" s="15"/>
      <c r="SOZ1110" s="15"/>
      <c r="SPC1110" s="15"/>
      <c r="SPD1110" s="15"/>
      <c r="SPG1110" s="15"/>
      <c r="SPH1110" s="15"/>
      <c r="SPK1110" s="15"/>
      <c r="SPL1110" s="15"/>
      <c r="SPO1110" s="15"/>
      <c r="SPP1110" s="15"/>
      <c r="SPS1110" s="15"/>
      <c r="SPT1110" s="15"/>
      <c r="SPW1110" s="15"/>
      <c r="SPX1110" s="15"/>
      <c r="SQA1110" s="15"/>
      <c r="SQB1110" s="15"/>
      <c r="SQE1110" s="15"/>
      <c r="SQF1110" s="15"/>
      <c r="SQI1110" s="15"/>
      <c r="SQJ1110" s="15"/>
      <c r="SQM1110" s="15"/>
      <c r="SQN1110" s="15"/>
      <c r="SQQ1110" s="15"/>
      <c r="SQR1110" s="15"/>
      <c r="SQU1110" s="15"/>
      <c r="SQV1110" s="15"/>
      <c r="SQY1110" s="15"/>
      <c r="SQZ1110" s="15"/>
      <c r="SRC1110" s="15"/>
      <c r="SRD1110" s="15"/>
      <c r="SRG1110" s="15"/>
      <c r="SRH1110" s="15"/>
      <c r="SRK1110" s="15"/>
      <c r="SRL1110" s="15"/>
      <c r="SRO1110" s="15"/>
      <c r="SRP1110" s="15"/>
      <c r="SRS1110" s="15"/>
      <c r="SRT1110" s="15"/>
      <c r="SRW1110" s="15"/>
      <c r="SRX1110" s="15"/>
      <c r="SSA1110" s="15"/>
      <c r="SSB1110" s="15"/>
      <c r="SSE1110" s="15"/>
      <c r="SSF1110" s="15"/>
      <c r="SSI1110" s="15"/>
      <c r="SSJ1110" s="15"/>
      <c r="SSM1110" s="15"/>
      <c r="SSN1110" s="15"/>
      <c r="SSQ1110" s="15"/>
      <c r="SSR1110" s="15"/>
      <c r="SSU1110" s="15"/>
      <c r="SSV1110" s="15"/>
      <c r="SSY1110" s="15"/>
      <c r="SSZ1110" s="15"/>
      <c r="STC1110" s="15"/>
      <c r="STD1110" s="15"/>
      <c r="STG1110" s="15"/>
      <c r="STH1110" s="15"/>
      <c r="STK1110" s="15"/>
      <c r="STL1110" s="15"/>
      <c r="STO1110" s="15"/>
      <c r="STP1110" s="15"/>
      <c r="STS1110" s="15"/>
      <c r="STT1110" s="15"/>
      <c r="STW1110" s="15"/>
      <c r="STX1110" s="15"/>
      <c r="SUA1110" s="15"/>
      <c r="SUB1110" s="15"/>
      <c r="SUE1110" s="15"/>
      <c r="SUF1110" s="15"/>
      <c r="SUI1110" s="15"/>
      <c r="SUJ1110" s="15"/>
      <c r="SUM1110" s="15"/>
      <c r="SUN1110" s="15"/>
      <c r="SUQ1110" s="15"/>
      <c r="SUR1110" s="15"/>
      <c r="SUU1110" s="15"/>
      <c r="SUV1110" s="15"/>
      <c r="SUY1110" s="15"/>
      <c r="SUZ1110" s="15"/>
      <c r="SVC1110" s="15"/>
      <c r="SVD1110" s="15"/>
      <c r="SVG1110" s="15"/>
      <c r="SVH1110" s="15"/>
      <c r="SVK1110" s="15"/>
      <c r="SVL1110" s="15"/>
      <c r="SVO1110" s="15"/>
      <c r="SVP1110" s="15"/>
      <c r="SVS1110" s="15"/>
      <c r="SVT1110" s="15"/>
      <c r="SVW1110" s="15"/>
      <c r="SVX1110" s="15"/>
      <c r="SWA1110" s="15"/>
      <c r="SWB1110" s="15"/>
      <c r="SWE1110" s="15"/>
      <c r="SWF1110" s="15"/>
      <c r="SWI1110" s="15"/>
      <c r="SWJ1110" s="15"/>
      <c r="SWM1110" s="15"/>
      <c r="SWN1110" s="15"/>
      <c r="SWQ1110" s="15"/>
      <c r="SWR1110" s="15"/>
      <c r="SWU1110" s="15"/>
      <c r="SWV1110" s="15"/>
      <c r="SWY1110" s="15"/>
      <c r="SWZ1110" s="15"/>
      <c r="SXC1110" s="15"/>
      <c r="SXD1110" s="15"/>
      <c r="SXG1110" s="15"/>
      <c r="SXH1110" s="15"/>
      <c r="SXK1110" s="15"/>
      <c r="SXL1110" s="15"/>
      <c r="SXO1110" s="15"/>
      <c r="SXP1110" s="15"/>
      <c r="SXS1110" s="15"/>
      <c r="SXT1110" s="15"/>
      <c r="SXW1110" s="15"/>
      <c r="SXX1110" s="15"/>
      <c r="SYA1110" s="15"/>
      <c r="SYB1110" s="15"/>
      <c r="SYE1110" s="15"/>
      <c r="SYF1110" s="15"/>
      <c r="SYI1110" s="15"/>
      <c r="SYJ1110" s="15"/>
      <c r="SYM1110" s="15"/>
      <c r="SYN1110" s="15"/>
      <c r="SYQ1110" s="15"/>
      <c r="SYR1110" s="15"/>
      <c r="SYU1110" s="15"/>
      <c r="SYV1110" s="15"/>
      <c r="SYY1110" s="15"/>
      <c r="SYZ1110" s="15"/>
      <c r="SZC1110" s="15"/>
      <c r="SZD1110" s="15"/>
      <c r="SZG1110" s="15"/>
      <c r="SZH1110" s="15"/>
      <c r="SZK1110" s="15"/>
      <c r="SZL1110" s="15"/>
      <c r="SZO1110" s="15"/>
      <c r="SZP1110" s="15"/>
      <c r="SZS1110" s="15"/>
      <c r="SZT1110" s="15"/>
      <c r="SZW1110" s="15"/>
      <c r="SZX1110" s="15"/>
      <c r="TAA1110" s="15"/>
      <c r="TAB1110" s="15"/>
      <c r="TAE1110" s="15"/>
      <c r="TAF1110" s="15"/>
      <c r="TAI1110" s="15"/>
      <c r="TAJ1110" s="15"/>
      <c r="TAM1110" s="15"/>
      <c r="TAN1110" s="15"/>
      <c r="TAQ1110" s="15"/>
      <c r="TAR1110" s="15"/>
      <c r="TAU1110" s="15"/>
      <c r="TAV1110" s="15"/>
      <c r="TAY1110" s="15"/>
      <c r="TAZ1110" s="15"/>
      <c r="TBC1110" s="15"/>
      <c r="TBD1110" s="15"/>
      <c r="TBG1110" s="15"/>
      <c r="TBH1110" s="15"/>
      <c r="TBK1110" s="15"/>
      <c r="TBL1110" s="15"/>
      <c r="TBO1110" s="15"/>
      <c r="TBP1110" s="15"/>
      <c r="TBS1110" s="15"/>
      <c r="TBT1110" s="15"/>
      <c r="TBW1110" s="15"/>
      <c r="TBX1110" s="15"/>
      <c r="TCA1110" s="15"/>
      <c r="TCB1110" s="15"/>
      <c r="TCE1110" s="15"/>
      <c r="TCF1110" s="15"/>
      <c r="TCI1110" s="15"/>
      <c r="TCJ1110" s="15"/>
      <c r="TCM1110" s="15"/>
      <c r="TCN1110" s="15"/>
      <c r="TCQ1110" s="15"/>
      <c r="TCR1110" s="15"/>
      <c r="TCU1110" s="15"/>
      <c r="TCV1110" s="15"/>
      <c r="TCY1110" s="15"/>
      <c r="TCZ1110" s="15"/>
      <c r="TDC1110" s="15"/>
      <c r="TDD1110" s="15"/>
      <c r="TDG1110" s="15"/>
      <c r="TDH1110" s="15"/>
      <c r="TDK1110" s="15"/>
      <c r="TDL1110" s="15"/>
      <c r="TDO1110" s="15"/>
      <c r="TDP1110" s="15"/>
      <c r="TDS1110" s="15"/>
      <c r="TDT1110" s="15"/>
      <c r="TDW1110" s="15"/>
      <c r="TDX1110" s="15"/>
      <c r="TEA1110" s="15"/>
      <c r="TEB1110" s="15"/>
      <c r="TEE1110" s="15"/>
      <c r="TEF1110" s="15"/>
      <c r="TEI1110" s="15"/>
      <c r="TEJ1110" s="15"/>
      <c r="TEM1110" s="15"/>
      <c r="TEN1110" s="15"/>
      <c r="TEQ1110" s="15"/>
      <c r="TER1110" s="15"/>
      <c r="TEU1110" s="15"/>
      <c r="TEV1110" s="15"/>
      <c r="TEY1110" s="15"/>
      <c r="TEZ1110" s="15"/>
      <c r="TFC1110" s="15"/>
      <c r="TFD1110" s="15"/>
      <c r="TFG1110" s="15"/>
      <c r="TFH1110" s="15"/>
      <c r="TFK1110" s="15"/>
      <c r="TFL1110" s="15"/>
      <c r="TFO1110" s="15"/>
      <c r="TFP1110" s="15"/>
      <c r="TFS1110" s="15"/>
      <c r="TFT1110" s="15"/>
      <c r="TFW1110" s="15"/>
      <c r="TFX1110" s="15"/>
      <c r="TGA1110" s="15"/>
      <c r="TGB1110" s="15"/>
      <c r="TGE1110" s="15"/>
      <c r="TGF1110" s="15"/>
      <c r="TGI1110" s="15"/>
      <c r="TGJ1110" s="15"/>
      <c r="TGM1110" s="15"/>
      <c r="TGN1110" s="15"/>
      <c r="TGQ1110" s="15"/>
      <c r="TGR1110" s="15"/>
      <c r="TGU1110" s="15"/>
      <c r="TGV1110" s="15"/>
      <c r="TGY1110" s="15"/>
      <c r="TGZ1110" s="15"/>
      <c r="THC1110" s="15"/>
      <c r="THD1110" s="15"/>
      <c r="THG1110" s="15"/>
      <c r="THH1110" s="15"/>
      <c r="THK1110" s="15"/>
      <c r="THL1110" s="15"/>
      <c r="THO1110" s="15"/>
      <c r="THP1110" s="15"/>
      <c r="THS1110" s="15"/>
      <c r="THT1110" s="15"/>
      <c r="THW1110" s="15"/>
      <c r="THX1110" s="15"/>
      <c r="TIA1110" s="15"/>
      <c r="TIB1110" s="15"/>
      <c r="TIE1110" s="15"/>
      <c r="TIF1110" s="15"/>
      <c r="TII1110" s="15"/>
      <c r="TIJ1110" s="15"/>
      <c r="TIM1110" s="15"/>
      <c r="TIN1110" s="15"/>
      <c r="TIQ1110" s="15"/>
      <c r="TIR1110" s="15"/>
      <c r="TIU1110" s="15"/>
      <c r="TIV1110" s="15"/>
      <c r="TIY1110" s="15"/>
      <c r="TIZ1110" s="15"/>
      <c r="TJC1110" s="15"/>
      <c r="TJD1110" s="15"/>
      <c r="TJG1110" s="15"/>
      <c r="TJH1110" s="15"/>
      <c r="TJK1110" s="15"/>
      <c r="TJL1110" s="15"/>
      <c r="TJO1110" s="15"/>
      <c r="TJP1110" s="15"/>
      <c r="TJS1110" s="15"/>
      <c r="TJT1110" s="15"/>
      <c r="TJW1110" s="15"/>
      <c r="TJX1110" s="15"/>
      <c r="TKA1110" s="15"/>
      <c r="TKB1110" s="15"/>
      <c r="TKE1110" s="15"/>
      <c r="TKF1110" s="15"/>
      <c r="TKI1110" s="15"/>
      <c r="TKJ1110" s="15"/>
      <c r="TKM1110" s="15"/>
      <c r="TKN1110" s="15"/>
      <c r="TKQ1110" s="15"/>
      <c r="TKR1110" s="15"/>
      <c r="TKU1110" s="15"/>
      <c r="TKV1110" s="15"/>
      <c r="TKY1110" s="15"/>
      <c r="TKZ1110" s="15"/>
      <c r="TLC1110" s="15"/>
      <c r="TLD1110" s="15"/>
      <c r="TLG1110" s="15"/>
      <c r="TLH1110" s="15"/>
      <c r="TLK1110" s="15"/>
      <c r="TLL1110" s="15"/>
      <c r="TLO1110" s="15"/>
      <c r="TLP1110" s="15"/>
      <c r="TLS1110" s="15"/>
      <c r="TLT1110" s="15"/>
      <c r="TLW1110" s="15"/>
      <c r="TLX1110" s="15"/>
      <c r="TMA1110" s="15"/>
      <c r="TMB1110" s="15"/>
      <c r="TME1110" s="15"/>
      <c r="TMF1110" s="15"/>
      <c r="TMI1110" s="15"/>
      <c r="TMJ1110" s="15"/>
      <c r="TMM1110" s="15"/>
      <c r="TMN1110" s="15"/>
      <c r="TMQ1110" s="15"/>
      <c r="TMR1110" s="15"/>
      <c r="TMU1110" s="15"/>
      <c r="TMV1110" s="15"/>
      <c r="TMY1110" s="15"/>
      <c r="TMZ1110" s="15"/>
      <c r="TNC1110" s="15"/>
      <c r="TND1110" s="15"/>
      <c r="TNG1110" s="15"/>
      <c r="TNH1110" s="15"/>
      <c r="TNK1110" s="15"/>
      <c r="TNL1110" s="15"/>
      <c r="TNO1110" s="15"/>
      <c r="TNP1110" s="15"/>
      <c r="TNS1110" s="15"/>
      <c r="TNT1110" s="15"/>
      <c r="TNW1110" s="15"/>
      <c r="TNX1110" s="15"/>
      <c r="TOA1110" s="15"/>
      <c r="TOB1110" s="15"/>
      <c r="TOE1110" s="15"/>
      <c r="TOF1110" s="15"/>
      <c r="TOI1110" s="15"/>
      <c r="TOJ1110" s="15"/>
      <c r="TOM1110" s="15"/>
      <c r="TON1110" s="15"/>
      <c r="TOQ1110" s="15"/>
      <c r="TOR1110" s="15"/>
      <c r="TOU1110" s="15"/>
      <c r="TOV1110" s="15"/>
      <c r="TOY1110" s="15"/>
      <c r="TOZ1110" s="15"/>
      <c r="TPC1110" s="15"/>
      <c r="TPD1110" s="15"/>
      <c r="TPG1110" s="15"/>
      <c r="TPH1110" s="15"/>
      <c r="TPK1110" s="15"/>
      <c r="TPL1110" s="15"/>
      <c r="TPO1110" s="15"/>
      <c r="TPP1110" s="15"/>
      <c r="TPS1110" s="15"/>
      <c r="TPT1110" s="15"/>
      <c r="TPW1110" s="15"/>
      <c r="TPX1110" s="15"/>
      <c r="TQA1110" s="15"/>
      <c r="TQB1110" s="15"/>
      <c r="TQE1110" s="15"/>
      <c r="TQF1110" s="15"/>
      <c r="TQI1110" s="15"/>
      <c r="TQJ1110" s="15"/>
      <c r="TQM1110" s="15"/>
      <c r="TQN1110" s="15"/>
      <c r="TQQ1110" s="15"/>
      <c r="TQR1110" s="15"/>
      <c r="TQU1110" s="15"/>
      <c r="TQV1110" s="15"/>
      <c r="TQY1110" s="15"/>
      <c r="TQZ1110" s="15"/>
      <c r="TRC1110" s="15"/>
      <c r="TRD1110" s="15"/>
      <c r="TRG1110" s="15"/>
      <c r="TRH1110" s="15"/>
      <c r="TRK1110" s="15"/>
      <c r="TRL1110" s="15"/>
      <c r="TRO1110" s="15"/>
      <c r="TRP1110" s="15"/>
      <c r="TRS1110" s="15"/>
      <c r="TRT1110" s="15"/>
      <c r="TRW1110" s="15"/>
      <c r="TRX1110" s="15"/>
      <c r="TSA1110" s="15"/>
      <c r="TSB1110" s="15"/>
      <c r="TSE1110" s="15"/>
      <c r="TSF1110" s="15"/>
      <c r="TSI1110" s="15"/>
      <c r="TSJ1110" s="15"/>
      <c r="TSM1110" s="15"/>
      <c r="TSN1110" s="15"/>
      <c r="TSQ1110" s="15"/>
      <c r="TSR1110" s="15"/>
      <c r="TSU1110" s="15"/>
      <c r="TSV1110" s="15"/>
      <c r="TSY1110" s="15"/>
      <c r="TSZ1110" s="15"/>
      <c r="TTC1110" s="15"/>
      <c r="TTD1110" s="15"/>
      <c r="TTG1110" s="15"/>
      <c r="TTH1110" s="15"/>
      <c r="TTK1110" s="15"/>
      <c r="TTL1110" s="15"/>
      <c r="TTO1110" s="15"/>
      <c r="TTP1110" s="15"/>
      <c r="TTS1110" s="15"/>
      <c r="TTT1110" s="15"/>
      <c r="TTW1110" s="15"/>
      <c r="TTX1110" s="15"/>
      <c r="TUA1110" s="15"/>
      <c r="TUB1110" s="15"/>
      <c r="TUE1110" s="15"/>
      <c r="TUF1110" s="15"/>
      <c r="TUI1110" s="15"/>
      <c r="TUJ1110" s="15"/>
      <c r="TUM1110" s="15"/>
      <c r="TUN1110" s="15"/>
      <c r="TUQ1110" s="15"/>
      <c r="TUR1110" s="15"/>
      <c r="TUU1110" s="15"/>
      <c r="TUV1110" s="15"/>
      <c r="TUY1110" s="15"/>
      <c r="TUZ1110" s="15"/>
      <c r="TVC1110" s="15"/>
      <c r="TVD1110" s="15"/>
      <c r="TVG1110" s="15"/>
      <c r="TVH1110" s="15"/>
      <c r="TVK1110" s="15"/>
      <c r="TVL1110" s="15"/>
      <c r="TVO1110" s="15"/>
      <c r="TVP1110" s="15"/>
      <c r="TVS1110" s="15"/>
      <c r="TVT1110" s="15"/>
      <c r="TVW1110" s="15"/>
      <c r="TVX1110" s="15"/>
      <c r="TWA1110" s="15"/>
      <c r="TWB1110" s="15"/>
      <c r="TWE1110" s="15"/>
      <c r="TWF1110" s="15"/>
      <c r="TWI1110" s="15"/>
      <c r="TWJ1110" s="15"/>
      <c r="TWM1110" s="15"/>
      <c r="TWN1110" s="15"/>
      <c r="TWQ1110" s="15"/>
      <c r="TWR1110" s="15"/>
      <c r="TWU1110" s="15"/>
      <c r="TWV1110" s="15"/>
      <c r="TWY1110" s="15"/>
      <c r="TWZ1110" s="15"/>
      <c r="TXC1110" s="15"/>
      <c r="TXD1110" s="15"/>
      <c r="TXG1110" s="15"/>
      <c r="TXH1110" s="15"/>
      <c r="TXK1110" s="15"/>
      <c r="TXL1110" s="15"/>
      <c r="TXO1110" s="15"/>
      <c r="TXP1110" s="15"/>
      <c r="TXS1110" s="15"/>
      <c r="TXT1110" s="15"/>
      <c r="TXW1110" s="15"/>
      <c r="TXX1110" s="15"/>
      <c r="TYA1110" s="15"/>
      <c r="TYB1110" s="15"/>
      <c r="TYE1110" s="15"/>
      <c r="TYF1110" s="15"/>
      <c r="TYI1110" s="15"/>
      <c r="TYJ1110" s="15"/>
      <c r="TYM1110" s="15"/>
      <c r="TYN1110" s="15"/>
      <c r="TYQ1110" s="15"/>
      <c r="TYR1110" s="15"/>
      <c r="TYU1110" s="15"/>
      <c r="TYV1110" s="15"/>
      <c r="TYY1110" s="15"/>
      <c r="TYZ1110" s="15"/>
      <c r="TZC1110" s="15"/>
      <c r="TZD1110" s="15"/>
      <c r="TZG1110" s="15"/>
      <c r="TZH1110" s="15"/>
      <c r="TZK1110" s="15"/>
      <c r="TZL1110" s="15"/>
      <c r="TZO1110" s="15"/>
      <c r="TZP1110" s="15"/>
      <c r="TZS1110" s="15"/>
      <c r="TZT1110" s="15"/>
      <c r="TZW1110" s="15"/>
      <c r="TZX1110" s="15"/>
      <c r="UAA1110" s="15"/>
      <c r="UAB1110" s="15"/>
      <c r="UAE1110" s="15"/>
      <c r="UAF1110" s="15"/>
      <c r="UAI1110" s="15"/>
      <c r="UAJ1110" s="15"/>
      <c r="UAM1110" s="15"/>
      <c r="UAN1110" s="15"/>
      <c r="UAQ1110" s="15"/>
      <c r="UAR1110" s="15"/>
      <c r="UAU1110" s="15"/>
      <c r="UAV1110" s="15"/>
      <c r="UAY1110" s="15"/>
      <c r="UAZ1110" s="15"/>
      <c r="UBC1110" s="15"/>
      <c r="UBD1110" s="15"/>
      <c r="UBG1110" s="15"/>
      <c r="UBH1110" s="15"/>
      <c r="UBK1110" s="15"/>
      <c r="UBL1110" s="15"/>
      <c r="UBO1110" s="15"/>
      <c r="UBP1110" s="15"/>
      <c r="UBS1110" s="15"/>
      <c r="UBT1110" s="15"/>
      <c r="UBW1110" s="15"/>
      <c r="UBX1110" s="15"/>
      <c r="UCA1110" s="15"/>
      <c r="UCB1110" s="15"/>
      <c r="UCE1110" s="15"/>
      <c r="UCF1110" s="15"/>
      <c r="UCI1110" s="15"/>
      <c r="UCJ1110" s="15"/>
      <c r="UCM1110" s="15"/>
      <c r="UCN1110" s="15"/>
      <c r="UCQ1110" s="15"/>
      <c r="UCR1110" s="15"/>
      <c r="UCU1110" s="15"/>
      <c r="UCV1110" s="15"/>
      <c r="UCY1110" s="15"/>
      <c r="UCZ1110" s="15"/>
      <c r="UDC1110" s="15"/>
      <c r="UDD1110" s="15"/>
      <c r="UDG1110" s="15"/>
      <c r="UDH1110" s="15"/>
      <c r="UDK1110" s="15"/>
      <c r="UDL1110" s="15"/>
      <c r="UDO1110" s="15"/>
      <c r="UDP1110" s="15"/>
      <c r="UDS1110" s="15"/>
      <c r="UDT1110" s="15"/>
      <c r="UDW1110" s="15"/>
      <c r="UDX1110" s="15"/>
      <c r="UEA1110" s="15"/>
      <c r="UEB1110" s="15"/>
      <c r="UEE1110" s="15"/>
      <c r="UEF1110" s="15"/>
      <c r="UEI1110" s="15"/>
      <c r="UEJ1110" s="15"/>
      <c r="UEM1110" s="15"/>
      <c r="UEN1110" s="15"/>
      <c r="UEQ1110" s="15"/>
      <c r="UER1110" s="15"/>
      <c r="UEU1110" s="15"/>
      <c r="UEV1110" s="15"/>
      <c r="UEY1110" s="15"/>
      <c r="UEZ1110" s="15"/>
      <c r="UFC1110" s="15"/>
      <c r="UFD1110" s="15"/>
      <c r="UFG1110" s="15"/>
      <c r="UFH1110" s="15"/>
      <c r="UFK1110" s="15"/>
      <c r="UFL1110" s="15"/>
      <c r="UFO1110" s="15"/>
      <c r="UFP1110" s="15"/>
      <c r="UFS1110" s="15"/>
      <c r="UFT1110" s="15"/>
      <c r="UFW1110" s="15"/>
      <c r="UFX1110" s="15"/>
      <c r="UGA1110" s="15"/>
      <c r="UGB1110" s="15"/>
      <c r="UGE1110" s="15"/>
      <c r="UGF1110" s="15"/>
      <c r="UGI1110" s="15"/>
      <c r="UGJ1110" s="15"/>
      <c r="UGM1110" s="15"/>
      <c r="UGN1110" s="15"/>
      <c r="UGQ1110" s="15"/>
      <c r="UGR1110" s="15"/>
      <c r="UGU1110" s="15"/>
      <c r="UGV1110" s="15"/>
      <c r="UGY1110" s="15"/>
      <c r="UGZ1110" s="15"/>
      <c r="UHC1110" s="15"/>
      <c r="UHD1110" s="15"/>
      <c r="UHG1110" s="15"/>
      <c r="UHH1110" s="15"/>
      <c r="UHK1110" s="15"/>
      <c r="UHL1110" s="15"/>
      <c r="UHO1110" s="15"/>
      <c r="UHP1110" s="15"/>
      <c r="UHS1110" s="15"/>
      <c r="UHT1110" s="15"/>
      <c r="UHW1110" s="15"/>
      <c r="UHX1110" s="15"/>
      <c r="UIA1110" s="15"/>
      <c r="UIB1110" s="15"/>
      <c r="UIE1110" s="15"/>
      <c r="UIF1110" s="15"/>
      <c r="UII1110" s="15"/>
      <c r="UIJ1110" s="15"/>
      <c r="UIM1110" s="15"/>
      <c r="UIN1110" s="15"/>
      <c r="UIQ1110" s="15"/>
      <c r="UIR1110" s="15"/>
      <c r="UIU1110" s="15"/>
      <c r="UIV1110" s="15"/>
      <c r="UIY1110" s="15"/>
      <c r="UIZ1110" s="15"/>
      <c r="UJC1110" s="15"/>
      <c r="UJD1110" s="15"/>
      <c r="UJG1110" s="15"/>
      <c r="UJH1110" s="15"/>
      <c r="UJK1110" s="15"/>
      <c r="UJL1110" s="15"/>
      <c r="UJO1110" s="15"/>
      <c r="UJP1110" s="15"/>
      <c r="UJS1110" s="15"/>
      <c r="UJT1110" s="15"/>
      <c r="UJW1110" s="15"/>
      <c r="UJX1110" s="15"/>
      <c r="UKA1110" s="15"/>
      <c r="UKB1110" s="15"/>
      <c r="UKE1110" s="15"/>
      <c r="UKF1110" s="15"/>
      <c r="UKI1110" s="15"/>
      <c r="UKJ1110" s="15"/>
      <c r="UKM1110" s="15"/>
      <c r="UKN1110" s="15"/>
      <c r="UKQ1110" s="15"/>
      <c r="UKR1110" s="15"/>
      <c r="UKU1110" s="15"/>
      <c r="UKV1110" s="15"/>
      <c r="UKY1110" s="15"/>
      <c r="UKZ1110" s="15"/>
      <c r="ULC1110" s="15"/>
      <c r="ULD1110" s="15"/>
      <c r="ULG1110" s="15"/>
      <c r="ULH1110" s="15"/>
      <c r="ULK1110" s="15"/>
      <c r="ULL1110" s="15"/>
      <c r="ULO1110" s="15"/>
      <c r="ULP1110" s="15"/>
      <c r="ULS1110" s="15"/>
      <c r="ULT1110" s="15"/>
      <c r="ULW1110" s="15"/>
      <c r="ULX1110" s="15"/>
      <c r="UMA1110" s="15"/>
      <c r="UMB1110" s="15"/>
      <c r="UME1110" s="15"/>
      <c r="UMF1110" s="15"/>
      <c r="UMI1110" s="15"/>
      <c r="UMJ1110" s="15"/>
      <c r="UMM1110" s="15"/>
      <c r="UMN1110" s="15"/>
      <c r="UMQ1110" s="15"/>
      <c r="UMR1110" s="15"/>
      <c r="UMU1110" s="15"/>
      <c r="UMV1110" s="15"/>
      <c r="UMY1110" s="15"/>
      <c r="UMZ1110" s="15"/>
      <c r="UNC1110" s="15"/>
      <c r="UND1110" s="15"/>
      <c r="UNG1110" s="15"/>
      <c r="UNH1110" s="15"/>
      <c r="UNK1110" s="15"/>
      <c r="UNL1110" s="15"/>
      <c r="UNO1110" s="15"/>
      <c r="UNP1110" s="15"/>
      <c r="UNS1110" s="15"/>
      <c r="UNT1110" s="15"/>
      <c r="UNW1110" s="15"/>
      <c r="UNX1110" s="15"/>
      <c r="UOA1110" s="15"/>
      <c r="UOB1110" s="15"/>
      <c r="UOE1110" s="15"/>
      <c r="UOF1110" s="15"/>
      <c r="UOI1110" s="15"/>
      <c r="UOJ1110" s="15"/>
      <c r="UOM1110" s="15"/>
      <c r="UON1110" s="15"/>
      <c r="UOQ1110" s="15"/>
      <c r="UOR1110" s="15"/>
      <c r="UOU1110" s="15"/>
      <c r="UOV1110" s="15"/>
      <c r="UOY1110" s="15"/>
      <c r="UOZ1110" s="15"/>
      <c r="UPC1110" s="15"/>
      <c r="UPD1110" s="15"/>
      <c r="UPG1110" s="15"/>
      <c r="UPH1110" s="15"/>
      <c r="UPK1110" s="15"/>
      <c r="UPL1110" s="15"/>
      <c r="UPO1110" s="15"/>
      <c r="UPP1110" s="15"/>
      <c r="UPS1110" s="15"/>
      <c r="UPT1110" s="15"/>
      <c r="UPW1110" s="15"/>
      <c r="UPX1110" s="15"/>
      <c r="UQA1110" s="15"/>
      <c r="UQB1110" s="15"/>
      <c r="UQE1110" s="15"/>
      <c r="UQF1110" s="15"/>
      <c r="UQI1110" s="15"/>
      <c r="UQJ1110" s="15"/>
      <c r="UQM1110" s="15"/>
      <c r="UQN1110" s="15"/>
      <c r="UQQ1110" s="15"/>
      <c r="UQR1110" s="15"/>
      <c r="UQU1110" s="15"/>
      <c r="UQV1110" s="15"/>
      <c r="UQY1110" s="15"/>
      <c r="UQZ1110" s="15"/>
      <c r="URC1110" s="15"/>
      <c r="URD1110" s="15"/>
      <c r="URG1110" s="15"/>
      <c r="URH1110" s="15"/>
      <c r="URK1110" s="15"/>
      <c r="URL1110" s="15"/>
      <c r="URO1110" s="15"/>
      <c r="URP1110" s="15"/>
      <c r="URS1110" s="15"/>
      <c r="URT1110" s="15"/>
      <c r="URW1110" s="15"/>
      <c r="URX1110" s="15"/>
      <c r="USA1110" s="15"/>
      <c r="USB1110" s="15"/>
      <c r="USE1110" s="15"/>
      <c r="USF1110" s="15"/>
      <c r="USI1110" s="15"/>
      <c r="USJ1110" s="15"/>
      <c r="USM1110" s="15"/>
      <c r="USN1110" s="15"/>
      <c r="USQ1110" s="15"/>
      <c r="USR1110" s="15"/>
      <c r="USU1110" s="15"/>
      <c r="USV1110" s="15"/>
      <c r="USY1110" s="15"/>
      <c r="USZ1110" s="15"/>
      <c r="UTC1110" s="15"/>
      <c r="UTD1110" s="15"/>
      <c r="UTG1110" s="15"/>
      <c r="UTH1110" s="15"/>
      <c r="UTK1110" s="15"/>
      <c r="UTL1110" s="15"/>
      <c r="UTO1110" s="15"/>
      <c r="UTP1110" s="15"/>
      <c r="UTS1110" s="15"/>
      <c r="UTT1110" s="15"/>
      <c r="UTW1110" s="15"/>
      <c r="UTX1110" s="15"/>
      <c r="UUA1110" s="15"/>
      <c r="UUB1110" s="15"/>
      <c r="UUE1110" s="15"/>
      <c r="UUF1110" s="15"/>
      <c r="UUI1110" s="15"/>
      <c r="UUJ1110" s="15"/>
      <c r="UUM1110" s="15"/>
      <c r="UUN1110" s="15"/>
      <c r="UUQ1110" s="15"/>
      <c r="UUR1110" s="15"/>
      <c r="UUU1110" s="15"/>
      <c r="UUV1110" s="15"/>
      <c r="UUY1110" s="15"/>
      <c r="UUZ1110" s="15"/>
      <c r="UVC1110" s="15"/>
      <c r="UVD1110" s="15"/>
      <c r="UVG1110" s="15"/>
      <c r="UVH1110" s="15"/>
      <c r="UVK1110" s="15"/>
      <c r="UVL1110" s="15"/>
      <c r="UVO1110" s="15"/>
      <c r="UVP1110" s="15"/>
      <c r="UVS1110" s="15"/>
      <c r="UVT1110" s="15"/>
      <c r="UVW1110" s="15"/>
      <c r="UVX1110" s="15"/>
      <c r="UWA1110" s="15"/>
      <c r="UWB1110" s="15"/>
      <c r="UWE1110" s="15"/>
      <c r="UWF1110" s="15"/>
      <c r="UWI1110" s="15"/>
      <c r="UWJ1110" s="15"/>
      <c r="UWM1110" s="15"/>
      <c r="UWN1110" s="15"/>
      <c r="UWQ1110" s="15"/>
      <c r="UWR1110" s="15"/>
      <c r="UWU1110" s="15"/>
      <c r="UWV1110" s="15"/>
      <c r="UWY1110" s="15"/>
      <c r="UWZ1110" s="15"/>
      <c r="UXC1110" s="15"/>
      <c r="UXD1110" s="15"/>
      <c r="UXG1110" s="15"/>
      <c r="UXH1110" s="15"/>
      <c r="UXK1110" s="15"/>
      <c r="UXL1110" s="15"/>
      <c r="UXO1110" s="15"/>
      <c r="UXP1110" s="15"/>
      <c r="UXS1110" s="15"/>
      <c r="UXT1110" s="15"/>
      <c r="UXW1110" s="15"/>
      <c r="UXX1110" s="15"/>
      <c r="UYA1110" s="15"/>
      <c r="UYB1110" s="15"/>
      <c r="UYE1110" s="15"/>
      <c r="UYF1110" s="15"/>
      <c r="UYI1110" s="15"/>
      <c r="UYJ1110" s="15"/>
      <c r="UYM1110" s="15"/>
      <c r="UYN1110" s="15"/>
      <c r="UYQ1110" s="15"/>
      <c r="UYR1110" s="15"/>
      <c r="UYU1110" s="15"/>
      <c r="UYV1110" s="15"/>
      <c r="UYY1110" s="15"/>
      <c r="UYZ1110" s="15"/>
      <c r="UZC1110" s="15"/>
      <c r="UZD1110" s="15"/>
      <c r="UZG1110" s="15"/>
      <c r="UZH1110" s="15"/>
      <c r="UZK1110" s="15"/>
      <c r="UZL1110" s="15"/>
      <c r="UZO1110" s="15"/>
      <c r="UZP1110" s="15"/>
      <c r="UZS1110" s="15"/>
      <c r="UZT1110" s="15"/>
      <c r="UZW1110" s="15"/>
      <c r="UZX1110" s="15"/>
      <c r="VAA1110" s="15"/>
      <c r="VAB1110" s="15"/>
      <c r="VAE1110" s="15"/>
      <c r="VAF1110" s="15"/>
      <c r="VAI1110" s="15"/>
      <c r="VAJ1110" s="15"/>
      <c r="VAM1110" s="15"/>
      <c r="VAN1110" s="15"/>
      <c r="VAQ1110" s="15"/>
      <c r="VAR1110" s="15"/>
      <c r="VAU1110" s="15"/>
      <c r="VAV1110" s="15"/>
      <c r="VAY1110" s="15"/>
      <c r="VAZ1110" s="15"/>
      <c r="VBC1110" s="15"/>
      <c r="VBD1110" s="15"/>
      <c r="VBG1110" s="15"/>
      <c r="VBH1110" s="15"/>
      <c r="VBK1110" s="15"/>
      <c r="VBL1110" s="15"/>
      <c r="VBO1110" s="15"/>
      <c r="VBP1110" s="15"/>
      <c r="VBS1110" s="15"/>
      <c r="VBT1110" s="15"/>
      <c r="VBW1110" s="15"/>
      <c r="VBX1110" s="15"/>
      <c r="VCA1110" s="15"/>
      <c r="VCB1110" s="15"/>
      <c r="VCE1110" s="15"/>
      <c r="VCF1110" s="15"/>
      <c r="VCI1110" s="15"/>
      <c r="VCJ1110" s="15"/>
      <c r="VCM1110" s="15"/>
      <c r="VCN1110" s="15"/>
      <c r="VCQ1110" s="15"/>
      <c r="VCR1110" s="15"/>
      <c r="VCU1110" s="15"/>
      <c r="VCV1110" s="15"/>
      <c r="VCY1110" s="15"/>
      <c r="VCZ1110" s="15"/>
      <c r="VDC1110" s="15"/>
      <c r="VDD1110" s="15"/>
      <c r="VDG1110" s="15"/>
      <c r="VDH1110" s="15"/>
      <c r="VDK1110" s="15"/>
      <c r="VDL1110" s="15"/>
      <c r="VDO1110" s="15"/>
      <c r="VDP1110" s="15"/>
      <c r="VDS1110" s="15"/>
      <c r="VDT1110" s="15"/>
      <c r="VDW1110" s="15"/>
      <c r="VDX1110" s="15"/>
      <c r="VEA1110" s="15"/>
      <c r="VEB1110" s="15"/>
      <c r="VEE1110" s="15"/>
      <c r="VEF1110" s="15"/>
      <c r="VEI1110" s="15"/>
      <c r="VEJ1110" s="15"/>
      <c r="VEM1110" s="15"/>
      <c r="VEN1110" s="15"/>
      <c r="VEQ1110" s="15"/>
      <c r="VER1110" s="15"/>
      <c r="VEU1110" s="15"/>
      <c r="VEV1110" s="15"/>
      <c r="VEY1110" s="15"/>
      <c r="VEZ1110" s="15"/>
      <c r="VFC1110" s="15"/>
      <c r="VFD1110" s="15"/>
      <c r="VFG1110" s="15"/>
      <c r="VFH1110" s="15"/>
      <c r="VFK1110" s="15"/>
      <c r="VFL1110" s="15"/>
      <c r="VFO1110" s="15"/>
      <c r="VFP1110" s="15"/>
      <c r="VFS1110" s="15"/>
      <c r="VFT1110" s="15"/>
      <c r="VFW1110" s="15"/>
      <c r="VFX1110" s="15"/>
      <c r="VGA1110" s="15"/>
      <c r="VGB1110" s="15"/>
      <c r="VGE1110" s="15"/>
      <c r="VGF1110" s="15"/>
      <c r="VGI1110" s="15"/>
      <c r="VGJ1110" s="15"/>
      <c r="VGM1110" s="15"/>
      <c r="VGN1110" s="15"/>
      <c r="VGQ1110" s="15"/>
      <c r="VGR1110" s="15"/>
      <c r="VGU1110" s="15"/>
      <c r="VGV1110" s="15"/>
      <c r="VGY1110" s="15"/>
      <c r="VGZ1110" s="15"/>
      <c r="VHC1110" s="15"/>
      <c r="VHD1110" s="15"/>
      <c r="VHG1110" s="15"/>
      <c r="VHH1110" s="15"/>
      <c r="VHK1110" s="15"/>
      <c r="VHL1110" s="15"/>
      <c r="VHO1110" s="15"/>
      <c r="VHP1110" s="15"/>
      <c r="VHS1110" s="15"/>
      <c r="VHT1110" s="15"/>
      <c r="VHW1110" s="15"/>
      <c r="VHX1110" s="15"/>
      <c r="VIA1110" s="15"/>
      <c r="VIB1110" s="15"/>
      <c r="VIE1110" s="15"/>
      <c r="VIF1110" s="15"/>
      <c r="VII1110" s="15"/>
      <c r="VIJ1110" s="15"/>
      <c r="VIM1110" s="15"/>
      <c r="VIN1110" s="15"/>
      <c r="VIQ1110" s="15"/>
      <c r="VIR1110" s="15"/>
      <c r="VIU1110" s="15"/>
      <c r="VIV1110" s="15"/>
      <c r="VIY1110" s="15"/>
      <c r="VIZ1110" s="15"/>
      <c r="VJC1110" s="15"/>
      <c r="VJD1110" s="15"/>
      <c r="VJG1110" s="15"/>
      <c r="VJH1110" s="15"/>
      <c r="VJK1110" s="15"/>
      <c r="VJL1110" s="15"/>
      <c r="VJO1110" s="15"/>
      <c r="VJP1110" s="15"/>
      <c r="VJS1110" s="15"/>
      <c r="VJT1110" s="15"/>
      <c r="VJW1110" s="15"/>
      <c r="VJX1110" s="15"/>
      <c r="VKA1110" s="15"/>
      <c r="VKB1110" s="15"/>
      <c r="VKE1110" s="15"/>
      <c r="VKF1110" s="15"/>
      <c r="VKI1110" s="15"/>
      <c r="VKJ1110" s="15"/>
      <c r="VKM1110" s="15"/>
      <c r="VKN1110" s="15"/>
      <c r="VKQ1110" s="15"/>
      <c r="VKR1110" s="15"/>
      <c r="VKU1110" s="15"/>
      <c r="VKV1110" s="15"/>
      <c r="VKY1110" s="15"/>
      <c r="VKZ1110" s="15"/>
      <c r="VLC1110" s="15"/>
      <c r="VLD1110" s="15"/>
      <c r="VLG1110" s="15"/>
      <c r="VLH1110" s="15"/>
      <c r="VLK1110" s="15"/>
      <c r="VLL1110" s="15"/>
      <c r="VLO1110" s="15"/>
      <c r="VLP1110" s="15"/>
      <c r="VLS1110" s="15"/>
      <c r="VLT1110" s="15"/>
      <c r="VLW1110" s="15"/>
      <c r="VLX1110" s="15"/>
      <c r="VMA1110" s="15"/>
      <c r="VMB1110" s="15"/>
      <c r="VME1110" s="15"/>
      <c r="VMF1110" s="15"/>
      <c r="VMI1110" s="15"/>
      <c r="VMJ1110" s="15"/>
      <c r="VMM1110" s="15"/>
      <c r="VMN1110" s="15"/>
      <c r="VMQ1110" s="15"/>
      <c r="VMR1110" s="15"/>
      <c r="VMU1110" s="15"/>
      <c r="VMV1110" s="15"/>
      <c r="VMY1110" s="15"/>
      <c r="VMZ1110" s="15"/>
      <c r="VNC1110" s="15"/>
      <c r="VND1110" s="15"/>
      <c r="VNG1110" s="15"/>
      <c r="VNH1110" s="15"/>
      <c r="VNK1110" s="15"/>
      <c r="VNL1110" s="15"/>
      <c r="VNO1110" s="15"/>
      <c r="VNP1110" s="15"/>
      <c r="VNS1110" s="15"/>
      <c r="VNT1110" s="15"/>
      <c r="VNW1110" s="15"/>
      <c r="VNX1110" s="15"/>
      <c r="VOA1110" s="15"/>
      <c r="VOB1110" s="15"/>
      <c r="VOE1110" s="15"/>
      <c r="VOF1110" s="15"/>
      <c r="VOI1110" s="15"/>
      <c r="VOJ1110" s="15"/>
      <c r="VOM1110" s="15"/>
      <c r="VON1110" s="15"/>
      <c r="VOQ1110" s="15"/>
      <c r="VOR1110" s="15"/>
      <c r="VOU1110" s="15"/>
      <c r="VOV1110" s="15"/>
      <c r="VOY1110" s="15"/>
      <c r="VOZ1110" s="15"/>
      <c r="VPC1110" s="15"/>
      <c r="VPD1110" s="15"/>
      <c r="VPG1110" s="15"/>
      <c r="VPH1110" s="15"/>
      <c r="VPK1110" s="15"/>
      <c r="VPL1110" s="15"/>
      <c r="VPO1110" s="15"/>
      <c r="VPP1110" s="15"/>
      <c r="VPS1110" s="15"/>
      <c r="VPT1110" s="15"/>
      <c r="VPW1110" s="15"/>
      <c r="VPX1110" s="15"/>
      <c r="VQA1110" s="15"/>
      <c r="VQB1110" s="15"/>
      <c r="VQE1110" s="15"/>
      <c r="VQF1110" s="15"/>
      <c r="VQI1110" s="15"/>
      <c r="VQJ1110" s="15"/>
      <c r="VQM1110" s="15"/>
      <c r="VQN1110" s="15"/>
      <c r="VQQ1110" s="15"/>
      <c r="VQR1110" s="15"/>
      <c r="VQU1110" s="15"/>
      <c r="VQV1110" s="15"/>
      <c r="VQY1110" s="15"/>
      <c r="VQZ1110" s="15"/>
      <c r="VRC1110" s="15"/>
      <c r="VRD1110" s="15"/>
      <c r="VRG1110" s="15"/>
      <c r="VRH1110" s="15"/>
      <c r="VRK1110" s="15"/>
      <c r="VRL1110" s="15"/>
      <c r="VRO1110" s="15"/>
      <c r="VRP1110" s="15"/>
      <c r="VRS1110" s="15"/>
      <c r="VRT1110" s="15"/>
      <c r="VRW1110" s="15"/>
      <c r="VRX1110" s="15"/>
      <c r="VSA1110" s="15"/>
      <c r="VSB1110" s="15"/>
      <c r="VSE1110" s="15"/>
      <c r="VSF1110" s="15"/>
      <c r="VSI1110" s="15"/>
      <c r="VSJ1110" s="15"/>
      <c r="VSM1110" s="15"/>
      <c r="VSN1110" s="15"/>
      <c r="VSQ1110" s="15"/>
      <c r="VSR1110" s="15"/>
      <c r="VSU1110" s="15"/>
      <c r="VSV1110" s="15"/>
      <c r="VSY1110" s="15"/>
      <c r="VSZ1110" s="15"/>
      <c r="VTC1110" s="15"/>
      <c r="VTD1110" s="15"/>
      <c r="VTG1110" s="15"/>
      <c r="VTH1110" s="15"/>
      <c r="VTK1110" s="15"/>
      <c r="VTL1110" s="15"/>
      <c r="VTO1110" s="15"/>
      <c r="VTP1110" s="15"/>
      <c r="VTS1110" s="15"/>
      <c r="VTT1110" s="15"/>
      <c r="VTW1110" s="15"/>
      <c r="VTX1110" s="15"/>
      <c r="VUA1110" s="15"/>
      <c r="VUB1110" s="15"/>
      <c r="VUE1110" s="15"/>
      <c r="VUF1110" s="15"/>
      <c r="VUI1110" s="15"/>
      <c r="VUJ1110" s="15"/>
      <c r="VUM1110" s="15"/>
      <c r="VUN1110" s="15"/>
      <c r="VUQ1110" s="15"/>
      <c r="VUR1110" s="15"/>
      <c r="VUU1110" s="15"/>
      <c r="VUV1110" s="15"/>
      <c r="VUY1110" s="15"/>
      <c r="VUZ1110" s="15"/>
      <c r="VVC1110" s="15"/>
      <c r="VVD1110" s="15"/>
      <c r="VVG1110" s="15"/>
      <c r="VVH1110" s="15"/>
      <c r="VVK1110" s="15"/>
      <c r="VVL1110" s="15"/>
      <c r="VVO1110" s="15"/>
      <c r="VVP1110" s="15"/>
      <c r="VVS1110" s="15"/>
      <c r="VVT1110" s="15"/>
      <c r="VVW1110" s="15"/>
      <c r="VVX1110" s="15"/>
      <c r="VWA1110" s="15"/>
      <c r="VWB1110" s="15"/>
      <c r="VWE1110" s="15"/>
      <c r="VWF1110" s="15"/>
      <c r="VWI1110" s="15"/>
      <c r="VWJ1110" s="15"/>
      <c r="VWM1110" s="15"/>
      <c r="VWN1110" s="15"/>
      <c r="VWQ1110" s="15"/>
      <c r="VWR1110" s="15"/>
      <c r="VWU1110" s="15"/>
      <c r="VWV1110" s="15"/>
      <c r="VWY1110" s="15"/>
      <c r="VWZ1110" s="15"/>
      <c r="VXC1110" s="15"/>
      <c r="VXD1110" s="15"/>
      <c r="VXG1110" s="15"/>
      <c r="VXH1110" s="15"/>
      <c r="VXK1110" s="15"/>
      <c r="VXL1110" s="15"/>
      <c r="VXO1110" s="15"/>
      <c r="VXP1110" s="15"/>
      <c r="VXS1110" s="15"/>
      <c r="VXT1110" s="15"/>
      <c r="VXW1110" s="15"/>
      <c r="VXX1110" s="15"/>
      <c r="VYA1110" s="15"/>
      <c r="VYB1110" s="15"/>
      <c r="VYE1110" s="15"/>
      <c r="VYF1110" s="15"/>
      <c r="VYI1110" s="15"/>
      <c r="VYJ1110" s="15"/>
      <c r="VYM1110" s="15"/>
      <c r="VYN1110" s="15"/>
      <c r="VYQ1110" s="15"/>
      <c r="VYR1110" s="15"/>
      <c r="VYU1110" s="15"/>
      <c r="VYV1110" s="15"/>
      <c r="VYY1110" s="15"/>
      <c r="VYZ1110" s="15"/>
      <c r="VZC1110" s="15"/>
      <c r="VZD1110" s="15"/>
      <c r="VZG1110" s="15"/>
      <c r="VZH1110" s="15"/>
      <c r="VZK1110" s="15"/>
      <c r="VZL1110" s="15"/>
      <c r="VZO1110" s="15"/>
      <c r="VZP1110" s="15"/>
      <c r="VZS1110" s="15"/>
      <c r="VZT1110" s="15"/>
      <c r="VZW1110" s="15"/>
      <c r="VZX1110" s="15"/>
      <c r="WAA1110" s="15"/>
      <c r="WAB1110" s="15"/>
      <c r="WAE1110" s="15"/>
      <c r="WAF1110" s="15"/>
      <c r="WAI1110" s="15"/>
      <c r="WAJ1110" s="15"/>
      <c r="WAM1110" s="15"/>
      <c r="WAN1110" s="15"/>
      <c r="WAQ1110" s="15"/>
      <c r="WAR1110" s="15"/>
      <c r="WAU1110" s="15"/>
      <c r="WAV1110" s="15"/>
      <c r="WAY1110" s="15"/>
      <c r="WAZ1110" s="15"/>
      <c r="WBC1110" s="15"/>
      <c r="WBD1110" s="15"/>
      <c r="WBG1110" s="15"/>
      <c r="WBH1110" s="15"/>
      <c r="WBK1110" s="15"/>
      <c r="WBL1110" s="15"/>
      <c r="WBO1110" s="15"/>
      <c r="WBP1110" s="15"/>
      <c r="WBS1110" s="15"/>
      <c r="WBT1110" s="15"/>
      <c r="WBW1110" s="15"/>
      <c r="WBX1110" s="15"/>
      <c r="WCA1110" s="15"/>
      <c r="WCB1110" s="15"/>
      <c r="WCE1110" s="15"/>
      <c r="WCF1110" s="15"/>
      <c r="WCI1110" s="15"/>
      <c r="WCJ1110" s="15"/>
      <c r="WCM1110" s="15"/>
      <c r="WCN1110" s="15"/>
      <c r="WCQ1110" s="15"/>
      <c r="WCR1110" s="15"/>
      <c r="WCU1110" s="15"/>
      <c r="WCV1110" s="15"/>
      <c r="WCY1110" s="15"/>
      <c r="WCZ1110" s="15"/>
      <c r="WDC1110" s="15"/>
      <c r="WDD1110" s="15"/>
      <c r="WDG1110" s="15"/>
      <c r="WDH1110" s="15"/>
      <c r="WDK1110" s="15"/>
      <c r="WDL1110" s="15"/>
      <c r="WDO1110" s="15"/>
      <c r="WDP1110" s="15"/>
      <c r="WDS1110" s="15"/>
      <c r="WDT1110" s="15"/>
      <c r="WDW1110" s="15"/>
      <c r="WDX1110" s="15"/>
      <c r="WEA1110" s="15"/>
      <c r="WEB1110" s="15"/>
      <c r="WEE1110" s="15"/>
      <c r="WEF1110" s="15"/>
      <c r="WEI1110" s="15"/>
      <c r="WEJ1110" s="15"/>
      <c r="WEM1110" s="15"/>
      <c r="WEN1110" s="15"/>
      <c r="WEQ1110" s="15"/>
      <c r="WER1110" s="15"/>
      <c r="WEU1110" s="15"/>
      <c r="WEV1110" s="15"/>
      <c r="WEY1110" s="15"/>
      <c r="WEZ1110" s="15"/>
      <c r="WFC1110" s="15"/>
      <c r="WFD1110" s="15"/>
      <c r="WFG1110" s="15"/>
      <c r="WFH1110" s="15"/>
      <c r="WFK1110" s="15"/>
      <c r="WFL1110" s="15"/>
      <c r="WFO1110" s="15"/>
      <c r="WFP1110" s="15"/>
      <c r="WFS1110" s="15"/>
      <c r="WFT1110" s="15"/>
      <c r="WFW1110" s="15"/>
      <c r="WFX1110" s="15"/>
      <c r="WGA1110" s="15"/>
      <c r="WGB1110" s="15"/>
      <c r="WGE1110" s="15"/>
      <c r="WGF1110" s="15"/>
      <c r="WGI1110" s="15"/>
      <c r="WGJ1110" s="15"/>
      <c r="WGM1110" s="15"/>
      <c r="WGN1110" s="15"/>
      <c r="WGQ1110" s="15"/>
      <c r="WGR1110" s="15"/>
      <c r="WGU1110" s="15"/>
      <c r="WGV1110" s="15"/>
      <c r="WGY1110" s="15"/>
      <c r="WGZ1110" s="15"/>
      <c r="WHC1110" s="15"/>
      <c r="WHD1110" s="15"/>
      <c r="WHG1110" s="15"/>
      <c r="WHH1110" s="15"/>
      <c r="WHK1110" s="15"/>
      <c r="WHL1110" s="15"/>
      <c r="WHO1110" s="15"/>
      <c r="WHP1110" s="15"/>
      <c r="WHS1110" s="15"/>
      <c r="WHT1110" s="15"/>
      <c r="WHW1110" s="15"/>
      <c r="WHX1110" s="15"/>
      <c r="WIA1110" s="15"/>
      <c r="WIB1110" s="15"/>
      <c r="WIE1110" s="15"/>
      <c r="WIF1110" s="15"/>
      <c r="WII1110" s="15"/>
      <c r="WIJ1110" s="15"/>
      <c r="WIM1110" s="15"/>
      <c r="WIN1110" s="15"/>
      <c r="WIQ1110" s="15"/>
      <c r="WIR1110" s="15"/>
      <c r="WIU1110" s="15"/>
      <c r="WIV1110" s="15"/>
      <c r="WIY1110" s="15"/>
      <c r="WIZ1110" s="15"/>
      <c r="WJC1110" s="15"/>
      <c r="WJD1110" s="15"/>
      <c r="WJG1110" s="15"/>
      <c r="WJH1110" s="15"/>
      <c r="WJK1110" s="15"/>
      <c r="WJL1110" s="15"/>
      <c r="WJO1110" s="15"/>
      <c r="WJP1110" s="15"/>
      <c r="WJS1110" s="15"/>
      <c r="WJT1110" s="15"/>
      <c r="WJW1110" s="15"/>
      <c r="WJX1110" s="15"/>
      <c r="WKA1110" s="15"/>
      <c r="WKB1110" s="15"/>
      <c r="WKE1110" s="15"/>
      <c r="WKF1110" s="15"/>
      <c r="WKI1110" s="15"/>
      <c r="WKJ1110" s="15"/>
      <c r="WKM1110" s="15"/>
      <c r="WKN1110" s="15"/>
      <c r="WKQ1110" s="15"/>
      <c r="WKR1110" s="15"/>
      <c r="WKU1110" s="15"/>
      <c r="WKV1110" s="15"/>
      <c r="WKY1110" s="15"/>
      <c r="WKZ1110" s="15"/>
      <c r="WLC1110" s="15"/>
      <c r="WLD1110" s="15"/>
      <c r="WLG1110" s="15"/>
      <c r="WLH1110" s="15"/>
      <c r="WLK1110" s="15"/>
      <c r="WLL1110" s="15"/>
      <c r="WLO1110" s="15"/>
      <c r="WLP1110" s="15"/>
      <c r="WLS1110" s="15"/>
      <c r="WLT1110" s="15"/>
      <c r="WLW1110" s="15"/>
      <c r="WLX1110" s="15"/>
      <c r="WMA1110" s="15"/>
      <c r="WMB1110" s="15"/>
      <c r="WME1110" s="15"/>
      <c r="WMF1110" s="15"/>
      <c r="WMI1110" s="15"/>
      <c r="WMJ1110" s="15"/>
      <c r="WMM1110" s="15"/>
      <c r="WMN1110" s="15"/>
      <c r="WMQ1110" s="15"/>
      <c r="WMR1110" s="15"/>
      <c r="WMU1110" s="15"/>
      <c r="WMV1110" s="15"/>
      <c r="WMY1110" s="15"/>
      <c r="WMZ1110" s="15"/>
      <c r="WNC1110" s="15"/>
      <c r="WND1110" s="15"/>
      <c r="WNG1110" s="15"/>
      <c r="WNH1110" s="15"/>
      <c r="WNK1110" s="15"/>
      <c r="WNL1110" s="15"/>
      <c r="WNO1110" s="15"/>
      <c r="WNP1110" s="15"/>
      <c r="WNS1110" s="15"/>
      <c r="WNT1110" s="15"/>
      <c r="WNW1110" s="15"/>
      <c r="WNX1110" s="15"/>
      <c r="WOA1110" s="15"/>
      <c r="WOB1110" s="15"/>
      <c r="WOE1110" s="15"/>
      <c r="WOF1110" s="15"/>
      <c r="WOI1110" s="15"/>
      <c r="WOJ1110" s="15"/>
      <c r="WOM1110" s="15"/>
      <c r="WON1110" s="15"/>
      <c r="WOQ1110" s="15"/>
      <c r="WOR1110" s="15"/>
      <c r="WOU1110" s="15"/>
      <c r="WOV1110" s="15"/>
      <c r="WOY1110" s="15"/>
      <c r="WOZ1110" s="15"/>
      <c r="WPC1110" s="15"/>
      <c r="WPD1110" s="15"/>
      <c r="WPG1110" s="15"/>
      <c r="WPH1110" s="15"/>
      <c r="WPK1110" s="15"/>
      <c r="WPL1110" s="15"/>
      <c r="WPO1110" s="15"/>
      <c r="WPP1110" s="15"/>
      <c r="WPS1110" s="15"/>
      <c r="WPT1110" s="15"/>
      <c r="WPW1110" s="15"/>
      <c r="WPX1110" s="15"/>
      <c r="WQA1110" s="15"/>
      <c r="WQB1110" s="15"/>
      <c r="WQE1110" s="15"/>
      <c r="WQF1110" s="15"/>
      <c r="WQI1110" s="15"/>
      <c r="WQJ1110" s="15"/>
      <c r="WQM1110" s="15"/>
      <c r="WQN1110" s="15"/>
      <c r="WQQ1110" s="15"/>
      <c r="WQR1110" s="15"/>
      <c r="WQU1110" s="15"/>
      <c r="WQV1110" s="15"/>
      <c r="WQY1110" s="15"/>
      <c r="WQZ1110" s="15"/>
      <c r="WRC1110" s="15"/>
      <c r="WRD1110" s="15"/>
      <c r="WRG1110" s="15"/>
      <c r="WRH1110" s="15"/>
      <c r="WRK1110" s="15"/>
      <c r="WRL1110" s="15"/>
      <c r="WRO1110" s="15"/>
      <c r="WRP1110" s="15"/>
      <c r="WRS1110" s="15"/>
      <c r="WRT1110" s="15"/>
      <c r="WRW1110" s="15"/>
      <c r="WRX1110" s="15"/>
      <c r="WSA1110" s="15"/>
      <c r="WSB1110" s="15"/>
      <c r="WSE1110" s="15"/>
      <c r="WSF1110" s="15"/>
      <c r="WSI1110" s="15"/>
      <c r="WSJ1110" s="15"/>
      <c r="WSM1110" s="15"/>
      <c r="WSN1110" s="15"/>
      <c r="WSQ1110" s="15"/>
      <c r="WSR1110" s="15"/>
      <c r="WSU1110" s="15"/>
      <c r="WSV1110" s="15"/>
      <c r="WSY1110" s="15"/>
      <c r="WSZ1110" s="15"/>
      <c r="WTC1110" s="15"/>
      <c r="WTD1110" s="15"/>
      <c r="WTG1110" s="15"/>
      <c r="WTH1110" s="15"/>
      <c r="WTK1110" s="15"/>
      <c r="WTL1110" s="15"/>
      <c r="WTO1110" s="15"/>
      <c r="WTP1110" s="15"/>
      <c r="WTS1110" s="15"/>
      <c r="WTT1110" s="15"/>
      <c r="WTW1110" s="15"/>
      <c r="WTX1110" s="15"/>
      <c r="WUA1110" s="15"/>
      <c r="WUB1110" s="15"/>
      <c r="WUE1110" s="15"/>
      <c r="WUF1110" s="15"/>
      <c r="WUI1110" s="15"/>
      <c r="WUJ1110" s="15"/>
      <c r="WUM1110" s="15"/>
      <c r="WUN1110" s="15"/>
      <c r="WUQ1110" s="15"/>
      <c r="WUR1110" s="15"/>
      <c r="WUU1110" s="15"/>
      <c r="WUV1110" s="15"/>
      <c r="WUY1110" s="15"/>
      <c r="WUZ1110" s="15"/>
      <c r="WVC1110" s="15"/>
      <c r="WVD1110" s="15"/>
      <c r="WVG1110" s="15"/>
      <c r="WVH1110" s="15"/>
      <c r="WVK1110" s="15"/>
      <c r="WVL1110" s="15"/>
      <c r="WVO1110" s="15"/>
      <c r="WVP1110" s="15"/>
      <c r="WVS1110" s="15"/>
      <c r="WVT1110" s="15"/>
      <c r="WVW1110" s="15"/>
      <c r="WVX1110" s="15"/>
      <c r="WWA1110" s="15"/>
      <c r="WWB1110" s="15"/>
      <c r="WWE1110" s="15"/>
      <c r="WWF1110" s="15"/>
      <c r="WWI1110" s="15"/>
      <c r="WWJ1110" s="15"/>
      <c r="WWM1110" s="15"/>
      <c r="WWN1110" s="15"/>
      <c r="WWQ1110" s="15"/>
      <c r="WWR1110" s="15"/>
      <c r="WWU1110" s="15"/>
      <c r="WWV1110" s="15"/>
      <c r="WWY1110" s="15"/>
      <c r="WWZ1110" s="15"/>
      <c r="WXC1110" s="15"/>
      <c r="WXD1110" s="15"/>
      <c r="WXG1110" s="15"/>
      <c r="WXH1110" s="15"/>
      <c r="WXK1110" s="15"/>
      <c r="WXL1110" s="15"/>
      <c r="WXO1110" s="15"/>
      <c r="WXP1110" s="15"/>
      <c r="WXS1110" s="15"/>
      <c r="WXT1110" s="15"/>
      <c r="WXW1110" s="15"/>
      <c r="WXX1110" s="15"/>
      <c r="WYA1110" s="15"/>
      <c r="WYB1110" s="15"/>
      <c r="WYE1110" s="15"/>
      <c r="WYF1110" s="15"/>
      <c r="WYI1110" s="15"/>
      <c r="WYJ1110" s="15"/>
      <c r="WYM1110" s="15"/>
      <c r="WYN1110" s="15"/>
      <c r="WYQ1110" s="15"/>
      <c r="WYR1110" s="15"/>
      <c r="WYU1110" s="15"/>
      <c r="WYV1110" s="15"/>
      <c r="WYY1110" s="15"/>
      <c r="WYZ1110" s="15"/>
      <c r="WZC1110" s="15"/>
      <c r="WZD1110" s="15"/>
      <c r="WZG1110" s="15"/>
      <c r="WZH1110" s="15"/>
      <c r="WZK1110" s="15"/>
      <c r="WZL1110" s="15"/>
      <c r="WZO1110" s="15"/>
      <c r="WZP1110" s="15"/>
      <c r="WZS1110" s="15"/>
      <c r="WZT1110" s="15"/>
      <c r="WZW1110" s="15"/>
      <c r="WZX1110" s="15"/>
      <c r="XAA1110" s="15"/>
      <c r="XAB1110" s="15"/>
      <c r="XAE1110" s="15"/>
      <c r="XAF1110" s="15"/>
      <c r="XAI1110" s="15"/>
      <c r="XAJ1110" s="15"/>
      <c r="XAM1110" s="15"/>
      <c r="XAN1110" s="15"/>
      <c r="XAQ1110" s="15"/>
      <c r="XAR1110" s="15"/>
      <c r="XAU1110" s="15"/>
      <c r="XAV1110" s="15"/>
      <c r="XAY1110" s="15"/>
      <c r="XAZ1110" s="15"/>
      <c r="XBC1110" s="15"/>
      <c r="XBD1110" s="15"/>
      <c r="XBG1110" s="15"/>
      <c r="XBH1110" s="15"/>
      <c r="XBK1110" s="15"/>
      <c r="XBL1110" s="15"/>
      <c r="XBO1110" s="15"/>
      <c r="XBP1110" s="15"/>
      <c r="XBS1110" s="15"/>
      <c r="XBT1110" s="15"/>
      <c r="XBW1110" s="15"/>
      <c r="XBX1110" s="15"/>
      <c r="XCA1110" s="15"/>
      <c r="XCB1110" s="15"/>
      <c r="XCE1110" s="15"/>
      <c r="XCF1110" s="15"/>
      <c r="XCI1110" s="15"/>
      <c r="XCJ1110" s="15"/>
      <c r="XCM1110" s="15"/>
      <c r="XCN1110" s="15"/>
      <c r="XCQ1110" s="15"/>
      <c r="XCR1110" s="15"/>
      <c r="XCU1110" s="15"/>
      <c r="XCV1110" s="15"/>
      <c r="XCY1110" s="15"/>
      <c r="XCZ1110" s="15"/>
      <c r="XDC1110" s="15"/>
      <c r="XDD1110" s="15"/>
      <c r="XDG1110" s="15"/>
      <c r="XDH1110" s="15"/>
      <c r="XDK1110" s="15"/>
      <c r="XDL1110" s="15"/>
      <c r="XDO1110" s="15"/>
      <c r="XDP1110" s="15"/>
      <c r="XDS1110" s="15"/>
      <c r="XDT1110" s="15"/>
      <c r="XDW1110" s="15"/>
      <c r="XDX1110" s="15"/>
      <c r="XEA1110" s="15"/>
      <c r="XEB1110" s="15"/>
      <c r="XEE1110" s="15"/>
      <c r="XEF1110" s="15"/>
      <c r="XEI1110" s="15"/>
      <c r="XEJ1110" s="15"/>
      <c r="XEM1110" s="15"/>
      <c r="XEN1110" s="15"/>
      <c r="XEQ1110" s="15"/>
      <c r="XER1110" s="15"/>
      <c r="XEU1110" s="15"/>
      <c r="XEV1110" s="15"/>
      <c r="XEY1110" s="15"/>
      <c r="XEZ1110" s="15"/>
      <c r="XFC1110" s="15"/>
      <c r="XFD1110" s="15"/>
    </row>
    <row r="1111" spans="1:1024 1027:2048 2051:3072 3075:4096 4099:5120 5123:6144 6147:7168 7171:8192 8195:9216 9219:10240 10243:11264 11267:12288 12291:13312 13315:14336 14339:15360 15363:16384" outlineLevel="1" x14ac:dyDescent="0.3">
      <c r="A1111" t="s">
        <v>1842</v>
      </c>
      <c r="B1111" t="s">
        <v>269</v>
      </c>
      <c r="C1111" s="15" t="s">
        <v>10</v>
      </c>
      <c r="D1111" s="15" t="s">
        <v>1843</v>
      </c>
      <c r="E1111" t="s">
        <v>8497</v>
      </c>
      <c r="G1111" s="15"/>
      <c r="H1111" s="15"/>
      <c r="K1111" s="15"/>
      <c r="L1111" s="15"/>
      <c r="O1111" s="15"/>
      <c r="P1111" s="15"/>
      <c r="S1111" s="15"/>
      <c r="T1111" s="15"/>
      <c r="W1111" s="15"/>
      <c r="X1111" s="15"/>
      <c r="AA1111" s="15"/>
      <c r="AB1111" s="15"/>
      <c r="AE1111" s="15"/>
      <c r="AF1111" s="15"/>
      <c r="AI1111" s="15"/>
      <c r="AJ1111" s="15"/>
      <c r="AM1111" s="15"/>
      <c r="AN1111" s="15"/>
      <c r="AQ1111" s="15"/>
      <c r="AR1111" s="15"/>
      <c r="AU1111" s="15"/>
      <c r="AV1111" s="15"/>
      <c r="AY1111" s="15"/>
      <c r="AZ1111" s="15"/>
      <c r="BC1111" s="15"/>
      <c r="BD1111" s="15"/>
      <c r="BG1111" s="15"/>
      <c r="BH1111" s="15"/>
      <c r="BK1111" s="15"/>
      <c r="BL1111" s="15"/>
      <c r="BO1111" s="15"/>
      <c r="BP1111" s="15"/>
      <c r="BS1111" s="15"/>
      <c r="BT1111" s="15"/>
      <c r="BW1111" s="15"/>
      <c r="BX1111" s="15"/>
      <c r="CA1111" s="15"/>
      <c r="CB1111" s="15"/>
      <c r="CE1111" s="15"/>
      <c r="CF1111" s="15"/>
      <c r="CI1111" s="15"/>
      <c r="CJ1111" s="15"/>
      <c r="CM1111" s="15"/>
      <c r="CN1111" s="15"/>
      <c r="CQ1111" s="15"/>
      <c r="CR1111" s="15"/>
      <c r="CU1111" s="15"/>
      <c r="CV1111" s="15"/>
      <c r="CY1111" s="15"/>
      <c r="CZ1111" s="15"/>
      <c r="DC1111" s="15"/>
      <c r="DD1111" s="15"/>
      <c r="DG1111" s="15"/>
      <c r="DH1111" s="15"/>
      <c r="DK1111" s="15"/>
      <c r="DL1111" s="15"/>
      <c r="DO1111" s="15"/>
      <c r="DP1111" s="15"/>
      <c r="DS1111" s="15"/>
      <c r="DT1111" s="15"/>
      <c r="DW1111" s="15"/>
      <c r="DX1111" s="15"/>
      <c r="EA1111" s="15"/>
      <c r="EB1111" s="15"/>
      <c r="EE1111" s="15"/>
      <c r="EF1111" s="15"/>
      <c r="EI1111" s="15"/>
      <c r="EJ1111" s="15"/>
      <c r="EM1111" s="15"/>
      <c r="EN1111" s="15"/>
      <c r="EQ1111" s="15"/>
      <c r="ER1111" s="15"/>
      <c r="EU1111" s="15"/>
      <c r="EV1111" s="15"/>
      <c r="EY1111" s="15"/>
      <c r="EZ1111" s="15"/>
      <c r="FC1111" s="15"/>
      <c r="FD1111" s="15"/>
      <c r="FG1111" s="15"/>
      <c r="FH1111" s="15"/>
      <c r="FK1111" s="15"/>
      <c r="FL1111" s="15"/>
      <c r="FO1111" s="15"/>
      <c r="FP1111" s="15"/>
      <c r="FS1111" s="15"/>
      <c r="FT1111" s="15"/>
      <c r="FW1111" s="15"/>
      <c r="FX1111" s="15"/>
      <c r="GA1111" s="15"/>
      <c r="GB1111" s="15"/>
      <c r="GE1111" s="15"/>
      <c r="GF1111" s="15"/>
      <c r="GI1111" s="15"/>
      <c r="GJ1111" s="15"/>
      <c r="GM1111" s="15"/>
      <c r="GN1111" s="15"/>
      <c r="GQ1111" s="15"/>
      <c r="GR1111" s="15"/>
      <c r="GU1111" s="15"/>
      <c r="GV1111" s="15"/>
      <c r="GY1111" s="15"/>
      <c r="GZ1111" s="15"/>
      <c r="HC1111" s="15"/>
      <c r="HD1111" s="15"/>
      <c r="HG1111" s="15"/>
      <c r="HH1111" s="15"/>
      <c r="HK1111" s="15"/>
      <c r="HL1111" s="15"/>
      <c r="HO1111" s="15"/>
      <c r="HP1111" s="15"/>
      <c r="HS1111" s="15"/>
      <c r="HT1111" s="15"/>
      <c r="HW1111" s="15"/>
      <c r="HX1111" s="15"/>
      <c r="IA1111" s="15"/>
      <c r="IB1111" s="15"/>
      <c r="IE1111" s="15"/>
      <c r="IF1111" s="15"/>
      <c r="II1111" s="15"/>
      <c r="IJ1111" s="15"/>
      <c r="IM1111" s="15"/>
      <c r="IN1111" s="15"/>
      <c r="IQ1111" s="15"/>
      <c r="IR1111" s="15"/>
      <c r="IU1111" s="15"/>
      <c r="IV1111" s="15"/>
      <c r="IY1111" s="15"/>
      <c r="IZ1111" s="15"/>
      <c r="JC1111" s="15"/>
      <c r="JD1111" s="15"/>
      <c r="JG1111" s="15"/>
      <c r="JH1111" s="15"/>
      <c r="JK1111" s="15"/>
      <c r="JL1111" s="15"/>
      <c r="JO1111" s="15"/>
      <c r="JP1111" s="15"/>
      <c r="JS1111" s="15"/>
      <c r="JT1111" s="15"/>
      <c r="JW1111" s="15"/>
      <c r="JX1111" s="15"/>
      <c r="KA1111" s="15"/>
      <c r="KB1111" s="15"/>
      <c r="KE1111" s="15"/>
      <c r="KF1111" s="15"/>
      <c r="KI1111" s="15"/>
      <c r="KJ1111" s="15"/>
      <c r="KM1111" s="15"/>
      <c r="KN1111" s="15"/>
      <c r="KQ1111" s="15"/>
      <c r="KR1111" s="15"/>
      <c r="KU1111" s="15"/>
      <c r="KV1111" s="15"/>
      <c r="KY1111" s="15"/>
      <c r="KZ1111" s="15"/>
      <c r="LC1111" s="15"/>
      <c r="LD1111" s="15"/>
      <c r="LG1111" s="15"/>
      <c r="LH1111" s="15"/>
      <c r="LK1111" s="15"/>
      <c r="LL1111" s="15"/>
      <c r="LO1111" s="15"/>
      <c r="LP1111" s="15"/>
      <c r="LS1111" s="15"/>
      <c r="LT1111" s="15"/>
      <c r="LW1111" s="15"/>
      <c r="LX1111" s="15"/>
      <c r="MA1111" s="15"/>
      <c r="MB1111" s="15"/>
      <c r="ME1111" s="15"/>
      <c r="MF1111" s="15"/>
      <c r="MI1111" s="15"/>
      <c r="MJ1111" s="15"/>
      <c r="MM1111" s="15"/>
      <c r="MN1111" s="15"/>
      <c r="MQ1111" s="15"/>
      <c r="MR1111" s="15"/>
      <c r="MU1111" s="15"/>
      <c r="MV1111" s="15"/>
      <c r="MY1111" s="15"/>
      <c r="MZ1111" s="15"/>
      <c r="NC1111" s="15"/>
      <c r="ND1111" s="15"/>
      <c r="NG1111" s="15"/>
      <c r="NH1111" s="15"/>
      <c r="NK1111" s="15"/>
      <c r="NL1111" s="15"/>
      <c r="NO1111" s="15"/>
      <c r="NP1111" s="15"/>
      <c r="NS1111" s="15"/>
      <c r="NT1111" s="15"/>
      <c r="NW1111" s="15"/>
      <c r="NX1111" s="15"/>
      <c r="OA1111" s="15"/>
      <c r="OB1111" s="15"/>
      <c r="OE1111" s="15"/>
      <c r="OF1111" s="15"/>
      <c r="OI1111" s="15"/>
      <c r="OJ1111" s="15"/>
      <c r="OM1111" s="15"/>
      <c r="ON1111" s="15"/>
      <c r="OQ1111" s="15"/>
      <c r="OR1111" s="15"/>
      <c r="OU1111" s="15"/>
      <c r="OV1111" s="15"/>
      <c r="OY1111" s="15"/>
      <c r="OZ1111" s="15"/>
      <c r="PC1111" s="15"/>
      <c r="PD1111" s="15"/>
      <c r="PG1111" s="15"/>
      <c r="PH1111" s="15"/>
      <c r="PK1111" s="15"/>
      <c r="PL1111" s="15"/>
      <c r="PO1111" s="15"/>
      <c r="PP1111" s="15"/>
      <c r="PS1111" s="15"/>
      <c r="PT1111" s="15"/>
      <c r="PW1111" s="15"/>
      <c r="PX1111" s="15"/>
      <c r="QA1111" s="15"/>
      <c r="QB1111" s="15"/>
      <c r="QE1111" s="15"/>
      <c r="QF1111" s="15"/>
      <c r="QI1111" s="15"/>
      <c r="QJ1111" s="15"/>
      <c r="QM1111" s="15"/>
      <c r="QN1111" s="15"/>
      <c r="QQ1111" s="15"/>
      <c r="QR1111" s="15"/>
      <c r="QU1111" s="15"/>
      <c r="QV1111" s="15"/>
      <c r="QY1111" s="15"/>
      <c r="QZ1111" s="15"/>
      <c r="RC1111" s="15"/>
      <c r="RD1111" s="15"/>
      <c r="RG1111" s="15"/>
      <c r="RH1111" s="15"/>
      <c r="RK1111" s="15"/>
      <c r="RL1111" s="15"/>
      <c r="RO1111" s="15"/>
      <c r="RP1111" s="15"/>
      <c r="RS1111" s="15"/>
      <c r="RT1111" s="15"/>
      <c r="RW1111" s="15"/>
      <c r="RX1111" s="15"/>
      <c r="SA1111" s="15"/>
      <c r="SB1111" s="15"/>
      <c r="SE1111" s="15"/>
      <c r="SF1111" s="15"/>
      <c r="SI1111" s="15"/>
      <c r="SJ1111" s="15"/>
      <c r="SM1111" s="15"/>
      <c r="SN1111" s="15"/>
      <c r="SQ1111" s="15"/>
      <c r="SR1111" s="15"/>
      <c r="SU1111" s="15"/>
      <c r="SV1111" s="15"/>
      <c r="SY1111" s="15"/>
      <c r="SZ1111" s="15"/>
      <c r="TC1111" s="15"/>
      <c r="TD1111" s="15"/>
      <c r="TG1111" s="15"/>
      <c r="TH1111" s="15"/>
      <c r="TK1111" s="15"/>
      <c r="TL1111" s="15"/>
      <c r="TO1111" s="15"/>
      <c r="TP1111" s="15"/>
      <c r="TS1111" s="15"/>
      <c r="TT1111" s="15"/>
      <c r="TW1111" s="15"/>
      <c r="TX1111" s="15"/>
      <c r="UA1111" s="15"/>
      <c r="UB1111" s="15"/>
      <c r="UE1111" s="15"/>
      <c r="UF1111" s="15"/>
      <c r="UI1111" s="15"/>
      <c r="UJ1111" s="15"/>
      <c r="UM1111" s="15"/>
      <c r="UN1111" s="15"/>
      <c r="UQ1111" s="15"/>
      <c r="UR1111" s="15"/>
      <c r="UU1111" s="15"/>
      <c r="UV1111" s="15"/>
      <c r="UY1111" s="15"/>
      <c r="UZ1111" s="15"/>
      <c r="VC1111" s="15"/>
      <c r="VD1111" s="15"/>
      <c r="VG1111" s="15"/>
      <c r="VH1111" s="15"/>
      <c r="VK1111" s="15"/>
      <c r="VL1111" s="15"/>
      <c r="VO1111" s="15"/>
      <c r="VP1111" s="15"/>
      <c r="VS1111" s="15"/>
      <c r="VT1111" s="15"/>
      <c r="VW1111" s="15"/>
      <c r="VX1111" s="15"/>
      <c r="WA1111" s="15"/>
      <c r="WB1111" s="15"/>
      <c r="WE1111" s="15"/>
      <c r="WF1111" s="15"/>
      <c r="WI1111" s="15"/>
      <c r="WJ1111" s="15"/>
      <c r="WM1111" s="15"/>
      <c r="WN1111" s="15"/>
      <c r="WQ1111" s="15"/>
      <c r="WR1111" s="15"/>
      <c r="WU1111" s="15"/>
      <c r="WV1111" s="15"/>
      <c r="WY1111" s="15"/>
      <c r="WZ1111" s="15"/>
      <c r="XC1111" s="15"/>
      <c r="XD1111" s="15"/>
      <c r="XG1111" s="15"/>
      <c r="XH1111" s="15"/>
      <c r="XK1111" s="15"/>
      <c r="XL1111" s="15"/>
      <c r="XO1111" s="15"/>
      <c r="XP1111" s="15"/>
      <c r="XS1111" s="15"/>
      <c r="XT1111" s="15"/>
      <c r="XW1111" s="15"/>
      <c r="XX1111" s="15"/>
      <c r="YA1111" s="15"/>
      <c r="YB1111" s="15"/>
      <c r="YE1111" s="15"/>
      <c r="YF1111" s="15"/>
      <c r="YI1111" s="15"/>
      <c r="YJ1111" s="15"/>
      <c r="YM1111" s="15"/>
      <c r="YN1111" s="15"/>
      <c r="YQ1111" s="15"/>
      <c r="YR1111" s="15"/>
      <c r="YU1111" s="15"/>
      <c r="YV1111" s="15"/>
      <c r="YY1111" s="15"/>
      <c r="YZ1111" s="15"/>
      <c r="ZC1111" s="15"/>
      <c r="ZD1111" s="15"/>
      <c r="ZG1111" s="15"/>
      <c r="ZH1111" s="15"/>
      <c r="ZK1111" s="15"/>
      <c r="ZL1111" s="15"/>
      <c r="ZO1111" s="15"/>
      <c r="ZP1111" s="15"/>
      <c r="ZS1111" s="15"/>
      <c r="ZT1111" s="15"/>
      <c r="ZW1111" s="15"/>
      <c r="ZX1111" s="15"/>
      <c r="AAA1111" s="15"/>
      <c r="AAB1111" s="15"/>
      <c r="AAE1111" s="15"/>
      <c r="AAF1111" s="15"/>
      <c r="AAI1111" s="15"/>
      <c r="AAJ1111" s="15"/>
      <c r="AAM1111" s="15"/>
      <c r="AAN1111" s="15"/>
      <c r="AAQ1111" s="15"/>
      <c r="AAR1111" s="15"/>
      <c r="AAU1111" s="15"/>
      <c r="AAV1111" s="15"/>
      <c r="AAY1111" s="15"/>
      <c r="AAZ1111" s="15"/>
      <c r="ABC1111" s="15"/>
      <c r="ABD1111" s="15"/>
      <c r="ABG1111" s="15"/>
      <c r="ABH1111" s="15"/>
      <c r="ABK1111" s="15"/>
      <c r="ABL1111" s="15"/>
      <c r="ABO1111" s="15"/>
      <c r="ABP1111" s="15"/>
      <c r="ABS1111" s="15"/>
      <c r="ABT1111" s="15"/>
      <c r="ABW1111" s="15"/>
      <c r="ABX1111" s="15"/>
      <c r="ACA1111" s="15"/>
      <c r="ACB1111" s="15"/>
      <c r="ACE1111" s="15"/>
      <c r="ACF1111" s="15"/>
      <c r="ACI1111" s="15"/>
      <c r="ACJ1111" s="15"/>
      <c r="ACM1111" s="15"/>
      <c r="ACN1111" s="15"/>
      <c r="ACQ1111" s="15"/>
      <c r="ACR1111" s="15"/>
      <c r="ACU1111" s="15"/>
      <c r="ACV1111" s="15"/>
      <c r="ACY1111" s="15"/>
      <c r="ACZ1111" s="15"/>
      <c r="ADC1111" s="15"/>
      <c r="ADD1111" s="15"/>
      <c r="ADG1111" s="15"/>
      <c r="ADH1111" s="15"/>
      <c r="ADK1111" s="15"/>
      <c r="ADL1111" s="15"/>
      <c r="ADO1111" s="15"/>
      <c r="ADP1111" s="15"/>
      <c r="ADS1111" s="15"/>
      <c r="ADT1111" s="15"/>
      <c r="ADW1111" s="15"/>
      <c r="ADX1111" s="15"/>
      <c r="AEA1111" s="15"/>
      <c r="AEB1111" s="15"/>
      <c r="AEE1111" s="15"/>
      <c r="AEF1111" s="15"/>
      <c r="AEI1111" s="15"/>
      <c r="AEJ1111" s="15"/>
      <c r="AEM1111" s="15"/>
      <c r="AEN1111" s="15"/>
      <c r="AEQ1111" s="15"/>
      <c r="AER1111" s="15"/>
      <c r="AEU1111" s="15"/>
      <c r="AEV1111" s="15"/>
      <c r="AEY1111" s="15"/>
      <c r="AEZ1111" s="15"/>
      <c r="AFC1111" s="15"/>
      <c r="AFD1111" s="15"/>
      <c r="AFG1111" s="15"/>
      <c r="AFH1111" s="15"/>
      <c r="AFK1111" s="15"/>
      <c r="AFL1111" s="15"/>
      <c r="AFO1111" s="15"/>
      <c r="AFP1111" s="15"/>
      <c r="AFS1111" s="15"/>
      <c r="AFT1111" s="15"/>
      <c r="AFW1111" s="15"/>
      <c r="AFX1111" s="15"/>
      <c r="AGA1111" s="15"/>
      <c r="AGB1111" s="15"/>
      <c r="AGE1111" s="15"/>
      <c r="AGF1111" s="15"/>
      <c r="AGI1111" s="15"/>
      <c r="AGJ1111" s="15"/>
      <c r="AGM1111" s="15"/>
      <c r="AGN1111" s="15"/>
      <c r="AGQ1111" s="15"/>
      <c r="AGR1111" s="15"/>
      <c r="AGU1111" s="15"/>
      <c r="AGV1111" s="15"/>
      <c r="AGY1111" s="15"/>
      <c r="AGZ1111" s="15"/>
      <c r="AHC1111" s="15"/>
      <c r="AHD1111" s="15"/>
      <c r="AHG1111" s="15"/>
      <c r="AHH1111" s="15"/>
      <c r="AHK1111" s="15"/>
      <c r="AHL1111" s="15"/>
      <c r="AHO1111" s="15"/>
      <c r="AHP1111" s="15"/>
      <c r="AHS1111" s="15"/>
      <c r="AHT1111" s="15"/>
      <c r="AHW1111" s="15"/>
      <c r="AHX1111" s="15"/>
      <c r="AIA1111" s="15"/>
      <c r="AIB1111" s="15"/>
      <c r="AIE1111" s="15"/>
      <c r="AIF1111" s="15"/>
      <c r="AII1111" s="15"/>
      <c r="AIJ1111" s="15"/>
      <c r="AIM1111" s="15"/>
      <c r="AIN1111" s="15"/>
      <c r="AIQ1111" s="15"/>
      <c r="AIR1111" s="15"/>
      <c r="AIU1111" s="15"/>
      <c r="AIV1111" s="15"/>
      <c r="AIY1111" s="15"/>
      <c r="AIZ1111" s="15"/>
      <c r="AJC1111" s="15"/>
      <c r="AJD1111" s="15"/>
      <c r="AJG1111" s="15"/>
      <c r="AJH1111" s="15"/>
      <c r="AJK1111" s="15"/>
      <c r="AJL1111" s="15"/>
      <c r="AJO1111" s="15"/>
      <c r="AJP1111" s="15"/>
      <c r="AJS1111" s="15"/>
      <c r="AJT1111" s="15"/>
      <c r="AJW1111" s="15"/>
      <c r="AJX1111" s="15"/>
      <c r="AKA1111" s="15"/>
      <c r="AKB1111" s="15"/>
      <c r="AKE1111" s="15"/>
      <c r="AKF1111" s="15"/>
      <c r="AKI1111" s="15"/>
      <c r="AKJ1111" s="15"/>
      <c r="AKM1111" s="15"/>
      <c r="AKN1111" s="15"/>
      <c r="AKQ1111" s="15"/>
      <c r="AKR1111" s="15"/>
      <c r="AKU1111" s="15"/>
      <c r="AKV1111" s="15"/>
      <c r="AKY1111" s="15"/>
      <c r="AKZ1111" s="15"/>
      <c r="ALC1111" s="15"/>
      <c r="ALD1111" s="15"/>
      <c r="ALG1111" s="15"/>
      <c r="ALH1111" s="15"/>
      <c r="ALK1111" s="15"/>
      <c r="ALL1111" s="15"/>
      <c r="ALO1111" s="15"/>
      <c r="ALP1111" s="15"/>
      <c r="ALS1111" s="15"/>
      <c r="ALT1111" s="15"/>
      <c r="ALW1111" s="15"/>
      <c r="ALX1111" s="15"/>
      <c r="AMA1111" s="15"/>
      <c r="AMB1111" s="15"/>
      <c r="AME1111" s="15"/>
      <c r="AMF1111" s="15"/>
      <c r="AMI1111" s="15"/>
      <c r="AMJ1111" s="15"/>
      <c r="AMM1111" s="15"/>
      <c r="AMN1111" s="15"/>
      <c r="AMQ1111" s="15"/>
      <c r="AMR1111" s="15"/>
      <c r="AMU1111" s="15"/>
      <c r="AMV1111" s="15"/>
      <c r="AMY1111" s="15"/>
      <c r="AMZ1111" s="15"/>
      <c r="ANC1111" s="15"/>
      <c r="AND1111" s="15"/>
      <c r="ANG1111" s="15"/>
      <c r="ANH1111" s="15"/>
      <c r="ANK1111" s="15"/>
      <c r="ANL1111" s="15"/>
      <c r="ANO1111" s="15"/>
      <c r="ANP1111" s="15"/>
      <c r="ANS1111" s="15"/>
      <c r="ANT1111" s="15"/>
      <c r="ANW1111" s="15"/>
      <c r="ANX1111" s="15"/>
      <c r="AOA1111" s="15"/>
      <c r="AOB1111" s="15"/>
      <c r="AOE1111" s="15"/>
      <c r="AOF1111" s="15"/>
      <c r="AOI1111" s="15"/>
      <c r="AOJ1111" s="15"/>
      <c r="AOM1111" s="15"/>
      <c r="AON1111" s="15"/>
      <c r="AOQ1111" s="15"/>
      <c r="AOR1111" s="15"/>
      <c r="AOU1111" s="15"/>
      <c r="AOV1111" s="15"/>
      <c r="AOY1111" s="15"/>
      <c r="AOZ1111" s="15"/>
      <c r="APC1111" s="15"/>
      <c r="APD1111" s="15"/>
      <c r="APG1111" s="15"/>
      <c r="APH1111" s="15"/>
      <c r="APK1111" s="15"/>
      <c r="APL1111" s="15"/>
      <c r="APO1111" s="15"/>
      <c r="APP1111" s="15"/>
      <c r="APS1111" s="15"/>
      <c r="APT1111" s="15"/>
      <c r="APW1111" s="15"/>
      <c r="APX1111" s="15"/>
      <c r="AQA1111" s="15"/>
      <c r="AQB1111" s="15"/>
      <c r="AQE1111" s="15"/>
      <c r="AQF1111" s="15"/>
      <c r="AQI1111" s="15"/>
      <c r="AQJ1111" s="15"/>
      <c r="AQM1111" s="15"/>
      <c r="AQN1111" s="15"/>
      <c r="AQQ1111" s="15"/>
      <c r="AQR1111" s="15"/>
      <c r="AQU1111" s="15"/>
      <c r="AQV1111" s="15"/>
      <c r="AQY1111" s="15"/>
      <c r="AQZ1111" s="15"/>
      <c r="ARC1111" s="15"/>
      <c r="ARD1111" s="15"/>
      <c r="ARG1111" s="15"/>
      <c r="ARH1111" s="15"/>
      <c r="ARK1111" s="15"/>
      <c r="ARL1111" s="15"/>
      <c r="ARO1111" s="15"/>
      <c r="ARP1111" s="15"/>
      <c r="ARS1111" s="15"/>
      <c r="ART1111" s="15"/>
      <c r="ARW1111" s="15"/>
      <c r="ARX1111" s="15"/>
      <c r="ASA1111" s="15"/>
      <c r="ASB1111" s="15"/>
      <c r="ASE1111" s="15"/>
      <c r="ASF1111" s="15"/>
      <c r="ASI1111" s="15"/>
      <c r="ASJ1111" s="15"/>
      <c r="ASM1111" s="15"/>
      <c r="ASN1111" s="15"/>
      <c r="ASQ1111" s="15"/>
      <c r="ASR1111" s="15"/>
      <c r="ASU1111" s="15"/>
      <c r="ASV1111" s="15"/>
      <c r="ASY1111" s="15"/>
      <c r="ASZ1111" s="15"/>
      <c r="ATC1111" s="15"/>
      <c r="ATD1111" s="15"/>
      <c r="ATG1111" s="15"/>
      <c r="ATH1111" s="15"/>
      <c r="ATK1111" s="15"/>
      <c r="ATL1111" s="15"/>
      <c r="ATO1111" s="15"/>
      <c r="ATP1111" s="15"/>
      <c r="ATS1111" s="15"/>
      <c r="ATT1111" s="15"/>
      <c r="ATW1111" s="15"/>
      <c r="ATX1111" s="15"/>
      <c r="AUA1111" s="15"/>
      <c r="AUB1111" s="15"/>
      <c r="AUE1111" s="15"/>
      <c r="AUF1111" s="15"/>
      <c r="AUI1111" s="15"/>
      <c r="AUJ1111" s="15"/>
      <c r="AUM1111" s="15"/>
      <c r="AUN1111" s="15"/>
      <c r="AUQ1111" s="15"/>
      <c r="AUR1111" s="15"/>
      <c r="AUU1111" s="15"/>
      <c r="AUV1111" s="15"/>
      <c r="AUY1111" s="15"/>
      <c r="AUZ1111" s="15"/>
      <c r="AVC1111" s="15"/>
      <c r="AVD1111" s="15"/>
      <c r="AVG1111" s="15"/>
      <c r="AVH1111" s="15"/>
      <c r="AVK1111" s="15"/>
      <c r="AVL1111" s="15"/>
      <c r="AVO1111" s="15"/>
      <c r="AVP1111" s="15"/>
      <c r="AVS1111" s="15"/>
      <c r="AVT1111" s="15"/>
      <c r="AVW1111" s="15"/>
      <c r="AVX1111" s="15"/>
      <c r="AWA1111" s="15"/>
      <c r="AWB1111" s="15"/>
      <c r="AWE1111" s="15"/>
      <c r="AWF1111" s="15"/>
      <c r="AWI1111" s="15"/>
      <c r="AWJ1111" s="15"/>
      <c r="AWM1111" s="15"/>
      <c r="AWN1111" s="15"/>
      <c r="AWQ1111" s="15"/>
      <c r="AWR1111" s="15"/>
      <c r="AWU1111" s="15"/>
      <c r="AWV1111" s="15"/>
      <c r="AWY1111" s="15"/>
      <c r="AWZ1111" s="15"/>
      <c r="AXC1111" s="15"/>
      <c r="AXD1111" s="15"/>
      <c r="AXG1111" s="15"/>
      <c r="AXH1111" s="15"/>
      <c r="AXK1111" s="15"/>
      <c r="AXL1111" s="15"/>
      <c r="AXO1111" s="15"/>
      <c r="AXP1111" s="15"/>
      <c r="AXS1111" s="15"/>
      <c r="AXT1111" s="15"/>
      <c r="AXW1111" s="15"/>
      <c r="AXX1111" s="15"/>
      <c r="AYA1111" s="15"/>
      <c r="AYB1111" s="15"/>
      <c r="AYE1111" s="15"/>
      <c r="AYF1111" s="15"/>
      <c r="AYI1111" s="15"/>
      <c r="AYJ1111" s="15"/>
      <c r="AYM1111" s="15"/>
      <c r="AYN1111" s="15"/>
      <c r="AYQ1111" s="15"/>
      <c r="AYR1111" s="15"/>
      <c r="AYU1111" s="15"/>
      <c r="AYV1111" s="15"/>
      <c r="AYY1111" s="15"/>
      <c r="AYZ1111" s="15"/>
      <c r="AZC1111" s="15"/>
      <c r="AZD1111" s="15"/>
      <c r="AZG1111" s="15"/>
      <c r="AZH1111" s="15"/>
      <c r="AZK1111" s="15"/>
      <c r="AZL1111" s="15"/>
      <c r="AZO1111" s="15"/>
      <c r="AZP1111" s="15"/>
      <c r="AZS1111" s="15"/>
      <c r="AZT1111" s="15"/>
      <c r="AZW1111" s="15"/>
      <c r="AZX1111" s="15"/>
      <c r="BAA1111" s="15"/>
      <c r="BAB1111" s="15"/>
      <c r="BAE1111" s="15"/>
      <c r="BAF1111" s="15"/>
      <c r="BAI1111" s="15"/>
      <c r="BAJ1111" s="15"/>
      <c r="BAM1111" s="15"/>
      <c r="BAN1111" s="15"/>
      <c r="BAQ1111" s="15"/>
      <c r="BAR1111" s="15"/>
      <c r="BAU1111" s="15"/>
      <c r="BAV1111" s="15"/>
      <c r="BAY1111" s="15"/>
      <c r="BAZ1111" s="15"/>
      <c r="BBC1111" s="15"/>
      <c r="BBD1111" s="15"/>
      <c r="BBG1111" s="15"/>
      <c r="BBH1111" s="15"/>
      <c r="BBK1111" s="15"/>
      <c r="BBL1111" s="15"/>
      <c r="BBO1111" s="15"/>
      <c r="BBP1111" s="15"/>
      <c r="BBS1111" s="15"/>
      <c r="BBT1111" s="15"/>
      <c r="BBW1111" s="15"/>
      <c r="BBX1111" s="15"/>
      <c r="BCA1111" s="15"/>
      <c r="BCB1111" s="15"/>
      <c r="BCE1111" s="15"/>
      <c r="BCF1111" s="15"/>
      <c r="BCI1111" s="15"/>
      <c r="BCJ1111" s="15"/>
      <c r="BCM1111" s="15"/>
      <c r="BCN1111" s="15"/>
      <c r="BCQ1111" s="15"/>
      <c r="BCR1111" s="15"/>
      <c r="BCU1111" s="15"/>
      <c r="BCV1111" s="15"/>
      <c r="BCY1111" s="15"/>
      <c r="BCZ1111" s="15"/>
      <c r="BDC1111" s="15"/>
      <c r="BDD1111" s="15"/>
      <c r="BDG1111" s="15"/>
      <c r="BDH1111" s="15"/>
      <c r="BDK1111" s="15"/>
      <c r="BDL1111" s="15"/>
      <c r="BDO1111" s="15"/>
      <c r="BDP1111" s="15"/>
      <c r="BDS1111" s="15"/>
      <c r="BDT1111" s="15"/>
      <c r="BDW1111" s="15"/>
      <c r="BDX1111" s="15"/>
      <c r="BEA1111" s="15"/>
      <c r="BEB1111" s="15"/>
      <c r="BEE1111" s="15"/>
      <c r="BEF1111" s="15"/>
      <c r="BEI1111" s="15"/>
      <c r="BEJ1111" s="15"/>
      <c r="BEM1111" s="15"/>
      <c r="BEN1111" s="15"/>
      <c r="BEQ1111" s="15"/>
      <c r="BER1111" s="15"/>
      <c r="BEU1111" s="15"/>
      <c r="BEV1111" s="15"/>
      <c r="BEY1111" s="15"/>
      <c r="BEZ1111" s="15"/>
      <c r="BFC1111" s="15"/>
      <c r="BFD1111" s="15"/>
      <c r="BFG1111" s="15"/>
      <c r="BFH1111" s="15"/>
      <c r="BFK1111" s="15"/>
      <c r="BFL1111" s="15"/>
      <c r="BFO1111" s="15"/>
      <c r="BFP1111" s="15"/>
      <c r="BFS1111" s="15"/>
      <c r="BFT1111" s="15"/>
      <c r="BFW1111" s="15"/>
      <c r="BFX1111" s="15"/>
      <c r="BGA1111" s="15"/>
      <c r="BGB1111" s="15"/>
      <c r="BGE1111" s="15"/>
      <c r="BGF1111" s="15"/>
      <c r="BGI1111" s="15"/>
      <c r="BGJ1111" s="15"/>
      <c r="BGM1111" s="15"/>
      <c r="BGN1111" s="15"/>
      <c r="BGQ1111" s="15"/>
      <c r="BGR1111" s="15"/>
      <c r="BGU1111" s="15"/>
      <c r="BGV1111" s="15"/>
      <c r="BGY1111" s="15"/>
      <c r="BGZ1111" s="15"/>
      <c r="BHC1111" s="15"/>
      <c r="BHD1111" s="15"/>
      <c r="BHG1111" s="15"/>
      <c r="BHH1111" s="15"/>
      <c r="BHK1111" s="15"/>
      <c r="BHL1111" s="15"/>
      <c r="BHO1111" s="15"/>
      <c r="BHP1111" s="15"/>
      <c r="BHS1111" s="15"/>
      <c r="BHT1111" s="15"/>
      <c r="BHW1111" s="15"/>
      <c r="BHX1111" s="15"/>
      <c r="BIA1111" s="15"/>
      <c r="BIB1111" s="15"/>
      <c r="BIE1111" s="15"/>
      <c r="BIF1111" s="15"/>
      <c r="BII1111" s="15"/>
      <c r="BIJ1111" s="15"/>
      <c r="BIM1111" s="15"/>
      <c r="BIN1111" s="15"/>
      <c r="BIQ1111" s="15"/>
      <c r="BIR1111" s="15"/>
      <c r="BIU1111" s="15"/>
      <c r="BIV1111" s="15"/>
      <c r="BIY1111" s="15"/>
      <c r="BIZ1111" s="15"/>
      <c r="BJC1111" s="15"/>
      <c r="BJD1111" s="15"/>
      <c r="BJG1111" s="15"/>
      <c r="BJH1111" s="15"/>
      <c r="BJK1111" s="15"/>
      <c r="BJL1111" s="15"/>
      <c r="BJO1111" s="15"/>
      <c r="BJP1111" s="15"/>
      <c r="BJS1111" s="15"/>
      <c r="BJT1111" s="15"/>
      <c r="BJW1111" s="15"/>
      <c r="BJX1111" s="15"/>
      <c r="BKA1111" s="15"/>
      <c r="BKB1111" s="15"/>
      <c r="BKE1111" s="15"/>
      <c r="BKF1111" s="15"/>
      <c r="BKI1111" s="15"/>
      <c r="BKJ1111" s="15"/>
      <c r="BKM1111" s="15"/>
      <c r="BKN1111" s="15"/>
      <c r="BKQ1111" s="15"/>
      <c r="BKR1111" s="15"/>
      <c r="BKU1111" s="15"/>
      <c r="BKV1111" s="15"/>
      <c r="BKY1111" s="15"/>
      <c r="BKZ1111" s="15"/>
      <c r="BLC1111" s="15"/>
      <c r="BLD1111" s="15"/>
      <c r="BLG1111" s="15"/>
      <c r="BLH1111" s="15"/>
      <c r="BLK1111" s="15"/>
      <c r="BLL1111" s="15"/>
      <c r="BLO1111" s="15"/>
      <c r="BLP1111" s="15"/>
      <c r="BLS1111" s="15"/>
      <c r="BLT1111" s="15"/>
      <c r="BLW1111" s="15"/>
      <c r="BLX1111" s="15"/>
      <c r="BMA1111" s="15"/>
      <c r="BMB1111" s="15"/>
      <c r="BME1111" s="15"/>
      <c r="BMF1111" s="15"/>
      <c r="BMI1111" s="15"/>
      <c r="BMJ1111" s="15"/>
      <c r="BMM1111" s="15"/>
      <c r="BMN1111" s="15"/>
      <c r="BMQ1111" s="15"/>
      <c r="BMR1111" s="15"/>
      <c r="BMU1111" s="15"/>
      <c r="BMV1111" s="15"/>
      <c r="BMY1111" s="15"/>
      <c r="BMZ1111" s="15"/>
      <c r="BNC1111" s="15"/>
      <c r="BND1111" s="15"/>
      <c r="BNG1111" s="15"/>
      <c r="BNH1111" s="15"/>
      <c r="BNK1111" s="15"/>
      <c r="BNL1111" s="15"/>
      <c r="BNO1111" s="15"/>
      <c r="BNP1111" s="15"/>
      <c r="BNS1111" s="15"/>
      <c r="BNT1111" s="15"/>
      <c r="BNW1111" s="15"/>
      <c r="BNX1111" s="15"/>
      <c r="BOA1111" s="15"/>
      <c r="BOB1111" s="15"/>
      <c r="BOE1111" s="15"/>
      <c r="BOF1111" s="15"/>
      <c r="BOI1111" s="15"/>
      <c r="BOJ1111" s="15"/>
      <c r="BOM1111" s="15"/>
      <c r="BON1111" s="15"/>
      <c r="BOQ1111" s="15"/>
      <c r="BOR1111" s="15"/>
      <c r="BOU1111" s="15"/>
      <c r="BOV1111" s="15"/>
      <c r="BOY1111" s="15"/>
      <c r="BOZ1111" s="15"/>
      <c r="BPC1111" s="15"/>
      <c r="BPD1111" s="15"/>
      <c r="BPG1111" s="15"/>
      <c r="BPH1111" s="15"/>
      <c r="BPK1111" s="15"/>
      <c r="BPL1111" s="15"/>
      <c r="BPO1111" s="15"/>
      <c r="BPP1111" s="15"/>
      <c r="BPS1111" s="15"/>
      <c r="BPT1111" s="15"/>
      <c r="BPW1111" s="15"/>
      <c r="BPX1111" s="15"/>
      <c r="BQA1111" s="15"/>
      <c r="BQB1111" s="15"/>
      <c r="BQE1111" s="15"/>
      <c r="BQF1111" s="15"/>
      <c r="BQI1111" s="15"/>
      <c r="BQJ1111" s="15"/>
      <c r="BQM1111" s="15"/>
      <c r="BQN1111" s="15"/>
      <c r="BQQ1111" s="15"/>
      <c r="BQR1111" s="15"/>
      <c r="BQU1111" s="15"/>
      <c r="BQV1111" s="15"/>
      <c r="BQY1111" s="15"/>
      <c r="BQZ1111" s="15"/>
      <c r="BRC1111" s="15"/>
      <c r="BRD1111" s="15"/>
      <c r="BRG1111" s="15"/>
      <c r="BRH1111" s="15"/>
      <c r="BRK1111" s="15"/>
      <c r="BRL1111" s="15"/>
      <c r="BRO1111" s="15"/>
      <c r="BRP1111" s="15"/>
      <c r="BRS1111" s="15"/>
      <c r="BRT1111" s="15"/>
      <c r="BRW1111" s="15"/>
      <c r="BRX1111" s="15"/>
      <c r="BSA1111" s="15"/>
      <c r="BSB1111" s="15"/>
      <c r="BSE1111" s="15"/>
      <c r="BSF1111" s="15"/>
      <c r="BSI1111" s="15"/>
      <c r="BSJ1111" s="15"/>
      <c r="BSM1111" s="15"/>
      <c r="BSN1111" s="15"/>
      <c r="BSQ1111" s="15"/>
      <c r="BSR1111" s="15"/>
      <c r="BSU1111" s="15"/>
      <c r="BSV1111" s="15"/>
      <c r="BSY1111" s="15"/>
      <c r="BSZ1111" s="15"/>
      <c r="BTC1111" s="15"/>
      <c r="BTD1111" s="15"/>
      <c r="BTG1111" s="15"/>
      <c r="BTH1111" s="15"/>
      <c r="BTK1111" s="15"/>
      <c r="BTL1111" s="15"/>
      <c r="BTO1111" s="15"/>
      <c r="BTP1111" s="15"/>
      <c r="BTS1111" s="15"/>
      <c r="BTT1111" s="15"/>
      <c r="BTW1111" s="15"/>
      <c r="BTX1111" s="15"/>
      <c r="BUA1111" s="15"/>
      <c r="BUB1111" s="15"/>
      <c r="BUE1111" s="15"/>
      <c r="BUF1111" s="15"/>
      <c r="BUI1111" s="15"/>
      <c r="BUJ1111" s="15"/>
      <c r="BUM1111" s="15"/>
      <c r="BUN1111" s="15"/>
      <c r="BUQ1111" s="15"/>
      <c r="BUR1111" s="15"/>
      <c r="BUU1111" s="15"/>
      <c r="BUV1111" s="15"/>
      <c r="BUY1111" s="15"/>
      <c r="BUZ1111" s="15"/>
      <c r="BVC1111" s="15"/>
      <c r="BVD1111" s="15"/>
      <c r="BVG1111" s="15"/>
      <c r="BVH1111" s="15"/>
      <c r="BVK1111" s="15"/>
      <c r="BVL1111" s="15"/>
      <c r="BVO1111" s="15"/>
      <c r="BVP1111" s="15"/>
      <c r="BVS1111" s="15"/>
      <c r="BVT1111" s="15"/>
      <c r="BVW1111" s="15"/>
      <c r="BVX1111" s="15"/>
      <c r="BWA1111" s="15"/>
      <c r="BWB1111" s="15"/>
      <c r="BWE1111" s="15"/>
      <c r="BWF1111" s="15"/>
      <c r="BWI1111" s="15"/>
      <c r="BWJ1111" s="15"/>
      <c r="BWM1111" s="15"/>
      <c r="BWN1111" s="15"/>
      <c r="BWQ1111" s="15"/>
      <c r="BWR1111" s="15"/>
      <c r="BWU1111" s="15"/>
      <c r="BWV1111" s="15"/>
      <c r="BWY1111" s="15"/>
      <c r="BWZ1111" s="15"/>
      <c r="BXC1111" s="15"/>
      <c r="BXD1111" s="15"/>
      <c r="BXG1111" s="15"/>
      <c r="BXH1111" s="15"/>
      <c r="BXK1111" s="15"/>
      <c r="BXL1111" s="15"/>
      <c r="BXO1111" s="15"/>
      <c r="BXP1111" s="15"/>
      <c r="BXS1111" s="15"/>
      <c r="BXT1111" s="15"/>
      <c r="BXW1111" s="15"/>
      <c r="BXX1111" s="15"/>
      <c r="BYA1111" s="15"/>
      <c r="BYB1111" s="15"/>
      <c r="BYE1111" s="15"/>
      <c r="BYF1111" s="15"/>
      <c r="BYI1111" s="15"/>
      <c r="BYJ1111" s="15"/>
      <c r="BYM1111" s="15"/>
      <c r="BYN1111" s="15"/>
      <c r="BYQ1111" s="15"/>
      <c r="BYR1111" s="15"/>
      <c r="BYU1111" s="15"/>
      <c r="BYV1111" s="15"/>
      <c r="BYY1111" s="15"/>
      <c r="BYZ1111" s="15"/>
      <c r="BZC1111" s="15"/>
      <c r="BZD1111" s="15"/>
      <c r="BZG1111" s="15"/>
      <c r="BZH1111" s="15"/>
      <c r="BZK1111" s="15"/>
      <c r="BZL1111" s="15"/>
      <c r="BZO1111" s="15"/>
      <c r="BZP1111" s="15"/>
      <c r="BZS1111" s="15"/>
      <c r="BZT1111" s="15"/>
      <c r="BZW1111" s="15"/>
      <c r="BZX1111" s="15"/>
      <c r="CAA1111" s="15"/>
      <c r="CAB1111" s="15"/>
      <c r="CAE1111" s="15"/>
      <c r="CAF1111" s="15"/>
      <c r="CAI1111" s="15"/>
      <c r="CAJ1111" s="15"/>
      <c r="CAM1111" s="15"/>
      <c r="CAN1111" s="15"/>
      <c r="CAQ1111" s="15"/>
      <c r="CAR1111" s="15"/>
      <c r="CAU1111" s="15"/>
      <c r="CAV1111" s="15"/>
      <c r="CAY1111" s="15"/>
      <c r="CAZ1111" s="15"/>
      <c r="CBC1111" s="15"/>
      <c r="CBD1111" s="15"/>
      <c r="CBG1111" s="15"/>
      <c r="CBH1111" s="15"/>
      <c r="CBK1111" s="15"/>
      <c r="CBL1111" s="15"/>
      <c r="CBO1111" s="15"/>
      <c r="CBP1111" s="15"/>
      <c r="CBS1111" s="15"/>
      <c r="CBT1111" s="15"/>
      <c r="CBW1111" s="15"/>
      <c r="CBX1111" s="15"/>
      <c r="CCA1111" s="15"/>
      <c r="CCB1111" s="15"/>
      <c r="CCE1111" s="15"/>
      <c r="CCF1111" s="15"/>
      <c r="CCI1111" s="15"/>
      <c r="CCJ1111" s="15"/>
      <c r="CCM1111" s="15"/>
      <c r="CCN1111" s="15"/>
      <c r="CCQ1111" s="15"/>
      <c r="CCR1111" s="15"/>
      <c r="CCU1111" s="15"/>
      <c r="CCV1111" s="15"/>
      <c r="CCY1111" s="15"/>
      <c r="CCZ1111" s="15"/>
      <c r="CDC1111" s="15"/>
      <c r="CDD1111" s="15"/>
      <c r="CDG1111" s="15"/>
      <c r="CDH1111" s="15"/>
      <c r="CDK1111" s="15"/>
      <c r="CDL1111" s="15"/>
      <c r="CDO1111" s="15"/>
      <c r="CDP1111" s="15"/>
      <c r="CDS1111" s="15"/>
      <c r="CDT1111" s="15"/>
      <c r="CDW1111" s="15"/>
      <c r="CDX1111" s="15"/>
      <c r="CEA1111" s="15"/>
      <c r="CEB1111" s="15"/>
      <c r="CEE1111" s="15"/>
      <c r="CEF1111" s="15"/>
      <c r="CEI1111" s="15"/>
      <c r="CEJ1111" s="15"/>
      <c r="CEM1111" s="15"/>
      <c r="CEN1111" s="15"/>
      <c r="CEQ1111" s="15"/>
      <c r="CER1111" s="15"/>
      <c r="CEU1111" s="15"/>
      <c r="CEV1111" s="15"/>
      <c r="CEY1111" s="15"/>
      <c r="CEZ1111" s="15"/>
      <c r="CFC1111" s="15"/>
      <c r="CFD1111" s="15"/>
      <c r="CFG1111" s="15"/>
      <c r="CFH1111" s="15"/>
      <c r="CFK1111" s="15"/>
      <c r="CFL1111" s="15"/>
      <c r="CFO1111" s="15"/>
      <c r="CFP1111" s="15"/>
      <c r="CFS1111" s="15"/>
      <c r="CFT1111" s="15"/>
      <c r="CFW1111" s="15"/>
      <c r="CFX1111" s="15"/>
      <c r="CGA1111" s="15"/>
      <c r="CGB1111" s="15"/>
      <c r="CGE1111" s="15"/>
      <c r="CGF1111" s="15"/>
      <c r="CGI1111" s="15"/>
      <c r="CGJ1111" s="15"/>
      <c r="CGM1111" s="15"/>
      <c r="CGN1111" s="15"/>
      <c r="CGQ1111" s="15"/>
      <c r="CGR1111" s="15"/>
      <c r="CGU1111" s="15"/>
      <c r="CGV1111" s="15"/>
      <c r="CGY1111" s="15"/>
      <c r="CGZ1111" s="15"/>
      <c r="CHC1111" s="15"/>
      <c r="CHD1111" s="15"/>
      <c r="CHG1111" s="15"/>
      <c r="CHH1111" s="15"/>
      <c r="CHK1111" s="15"/>
      <c r="CHL1111" s="15"/>
      <c r="CHO1111" s="15"/>
      <c r="CHP1111" s="15"/>
      <c r="CHS1111" s="15"/>
      <c r="CHT1111" s="15"/>
      <c r="CHW1111" s="15"/>
      <c r="CHX1111" s="15"/>
      <c r="CIA1111" s="15"/>
      <c r="CIB1111" s="15"/>
      <c r="CIE1111" s="15"/>
      <c r="CIF1111" s="15"/>
      <c r="CII1111" s="15"/>
      <c r="CIJ1111" s="15"/>
      <c r="CIM1111" s="15"/>
      <c r="CIN1111" s="15"/>
      <c r="CIQ1111" s="15"/>
      <c r="CIR1111" s="15"/>
      <c r="CIU1111" s="15"/>
      <c r="CIV1111" s="15"/>
      <c r="CIY1111" s="15"/>
      <c r="CIZ1111" s="15"/>
      <c r="CJC1111" s="15"/>
      <c r="CJD1111" s="15"/>
      <c r="CJG1111" s="15"/>
      <c r="CJH1111" s="15"/>
      <c r="CJK1111" s="15"/>
      <c r="CJL1111" s="15"/>
      <c r="CJO1111" s="15"/>
      <c r="CJP1111" s="15"/>
      <c r="CJS1111" s="15"/>
      <c r="CJT1111" s="15"/>
      <c r="CJW1111" s="15"/>
      <c r="CJX1111" s="15"/>
      <c r="CKA1111" s="15"/>
      <c r="CKB1111" s="15"/>
      <c r="CKE1111" s="15"/>
      <c r="CKF1111" s="15"/>
      <c r="CKI1111" s="15"/>
      <c r="CKJ1111" s="15"/>
      <c r="CKM1111" s="15"/>
      <c r="CKN1111" s="15"/>
      <c r="CKQ1111" s="15"/>
      <c r="CKR1111" s="15"/>
      <c r="CKU1111" s="15"/>
      <c r="CKV1111" s="15"/>
      <c r="CKY1111" s="15"/>
      <c r="CKZ1111" s="15"/>
      <c r="CLC1111" s="15"/>
      <c r="CLD1111" s="15"/>
      <c r="CLG1111" s="15"/>
      <c r="CLH1111" s="15"/>
      <c r="CLK1111" s="15"/>
      <c r="CLL1111" s="15"/>
      <c r="CLO1111" s="15"/>
      <c r="CLP1111" s="15"/>
      <c r="CLS1111" s="15"/>
      <c r="CLT1111" s="15"/>
      <c r="CLW1111" s="15"/>
      <c r="CLX1111" s="15"/>
      <c r="CMA1111" s="15"/>
      <c r="CMB1111" s="15"/>
      <c r="CME1111" s="15"/>
      <c r="CMF1111" s="15"/>
      <c r="CMI1111" s="15"/>
      <c r="CMJ1111" s="15"/>
      <c r="CMM1111" s="15"/>
      <c r="CMN1111" s="15"/>
      <c r="CMQ1111" s="15"/>
      <c r="CMR1111" s="15"/>
      <c r="CMU1111" s="15"/>
      <c r="CMV1111" s="15"/>
      <c r="CMY1111" s="15"/>
      <c r="CMZ1111" s="15"/>
      <c r="CNC1111" s="15"/>
      <c r="CND1111" s="15"/>
      <c r="CNG1111" s="15"/>
      <c r="CNH1111" s="15"/>
      <c r="CNK1111" s="15"/>
      <c r="CNL1111" s="15"/>
      <c r="CNO1111" s="15"/>
      <c r="CNP1111" s="15"/>
      <c r="CNS1111" s="15"/>
      <c r="CNT1111" s="15"/>
      <c r="CNW1111" s="15"/>
      <c r="CNX1111" s="15"/>
      <c r="COA1111" s="15"/>
      <c r="COB1111" s="15"/>
      <c r="COE1111" s="15"/>
      <c r="COF1111" s="15"/>
      <c r="COI1111" s="15"/>
      <c r="COJ1111" s="15"/>
      <c r="COM1111" s="15"/>
      <c r="CON1111" s="15"/>
      <c r="COQ1111" s="15"/>
      <c r="COR1111" s="15"/>
      <c r="COU1111" s="15"/>
      <c r="COV1111" s="15"/>
      <c r="COY1111" s="15"/>
      <c r="COZ1111" s="15"/>
      <c r="CPC1111" s="15"/>
      <c r="CPD1111" s="15"/>
      <c r="CPG1111" s="15"/>
      <c r="CPH1111" s="15"/>
      <c r="CPK1111" s="15"/>
      <c r="CPL1111" s="15"/>
      <c r="CPO1111" s="15"/>
      <c r="CPP1111" s="15"/>
      <c r="CPS1111" s="15"/>
      <c r="CPT1111" s="15"/>
      <c r="CPW1111" s="15"/>
      <c r="CPX1111" s="15"/>
      <c r="CQA1111" s="15"/>
      <c r="CQB1111" s="15"/>
      <c r="CQE1111" s="15"/>
      <c r="CQF1111" s="15"/>
      <c r="CQI1111" s="15"/>
      <c r="CQJ1111" s="15"/>
      <c r="CQM1111" s="15"/>
      <c r="CQN1111" s="15"/>
      <c r="CQQ1111" s="15"/>
      <c r="CQR1111" s="15"/>
      <c r="CQU1111" s="15"/>
      <c r="CQV1111" s="15"/>
      <c r="CQY1111" s="15"/>
      <c r="CQZ1111" s="15"/>
      <c r="CRC1111" s="15"/>
      <c r="CRD1111" s="15"/>
      <c r="CRG1111" s="15"/>
      <c r="CRH1111" s="15"/>
      <c r="CRK1111" s="15"/>
      <c r="CRL1111" s="15"/>
      <c r="CRO1111" s="15"/>
      <c r="CRP1111" s="15"/>
      <c r="CRS1111" s="15"/>
      <c r="CRT1111" s="15"/>
      <c r="CRW1111" s="15"/>
      <c r="CRX1111" s="15"/>
      <c r="CSA1111" s="15"/>
      <c r="CSB1111" s="15"/>
      <c r="CSE1111" s="15"/>
      <c r="CSF1111" s="15"/>
      <c r="CSI1111" s="15"/>
      <c r="CSJ1111" s="15"/>
      <c r="CSM1111" s="15"/>
      <c r="CSN1111" s="15"/>
      <c r="CSQ1111" s="15"/>
      <c r="CSR1111" s="15"/>
      <c r="CSU1111" s="15"/>
      <c r="CSV1111" s="15"/>
      <c r="CSY1111" s="15"/>
      <c r="CSZ1111" s="15"/>
      <c r="CTC1111" s="15"/>
      <c r="CTD1111" s="15"/>
      <c r="CTG1111" s="15"/>
      <c r="CTH1111" s="15"/>
      <c r="CTK1111" s="15"/>
      <c r="CTL1111" s="15"/>
      <c r="CTO1111" s="15"/>
      <c r="CTP1111" s="15"/>
      <c r="CTS1111" s="15"/>
      <c r="CTT1111" s="15"/>
      <c r="CTW1111" s="15"/>
      <c r="CTX1111" s="15"/>
      <c r="CUA1111" s="15"/>
      <c r="CUB1111" s="15"/>
      <c r="CUE1111" s="15"/>
      <c r="CUF1111" s="15"/>
      <c r="CUI1111" s="15"/>
      <c r="CUJ1111" s="15"/>
      <c r="CUM1111" s="15"/>
      <c r="CUN1111" s="15"/>
      <c r="CUQ1111" s="15"/>
      <c r="CUR1111" s="15"/>
      <c r="CUU1111" s="15"/>
      <c r="CUV1111" s="15"/>
      <c r="CUY1111" s="15"/>
      <c r="CUZ1111" s="15"/>
      <c r="CVC1111" s="15"/>
      <c r="CVD1111" s="15"/>
      <c r="CVG1111" s="15"/>
      <c r="CVH1111" s="15"/>
      <c r="CVK1111" s="15"/>
      <c r="CVL1111" s="15"/>
      <c r="CVO1111" s="15"/>
      <c r="CVP1111" s="15"/>
      <c r="CVS1111" s="15"/>
      <c r="CVT1111" s="15"/>
      <c r="CVW1111" s="15"/>
      <c r="CVX1111" s="15"/>
      <c r="CWA1111" s="15"/>
      <c r="CWB1111" s="15"/>
      <c r="CWE1111" s="15"/>
      <c r="CWF1111" s="15"/>
      <c r="CWI1111" s="15"/>
      <c r="CWJ1111" s="15"/>
      <c r="CWM1111" s="15"/>
      <c r="CWN1111" s="15"/>
      <c r="CWQ1111" s="15"/>
      <c r="CWR1111" s="15"/>
      <c r="CWU1111" s="15"/>
      <c r="CWV1111" s="15"/>
      <c r="CWY1111" s="15"/>
      <c r="CWZ1111" s="15"/>
      <c r="CXC1111" s="15"/>
      <c r="CXD1111" s="15"/>
      <c r="CXG1111" s="15"/>
      <c r="CXH1111" s="15"/>
      <c r="CXK1111" s="15"/>
      <c r="CXL1111" s="15"/>
      <c r="CXO1111" s="15"/>
      <c r="CXP1111" s="15"/>
      <c r="CXS1111" s="15"/>
      <c r="CXT1111" s="15"/>
      <c r="CXW1111" s="15"/>
      <c r="CXX1111" s="15"/>
      <c r="CYA1111" s="15"/>
      <c r="CYB1111" s="15"/>
      <c r="CYE1111" s="15"/>
      <c r="CYF1111" s="15"/>
      <c r="CYI1111" s="15"/>
      <c r="CYJ1111" s="15"/>
      <c r="CYM1111" s="15"/>
      <c r="CYN1111" s="15"/>
      <c r="CYQ1111" s="15"/>
      <c r="CYR1111" s="15"/>
      <c r="CYU1111" s="15"/>
      <c r="CYV1111" s="15"/>
      <c r="CYY1111" s="15"/>
      <c r="CYZ1111" s="15"/>
      <c r="CZC1111" s="15"/>
      <c r="CZD1111" s="15"/>
      <c r="CZG1111" s="15"/>
      <c r="CZH1111" s="15"/>
      <c r="CZK1111" s="15"/>
      <c r="CZL1111" s="15"/>
      <c r="CZO1111" s="15"/>
      <c r="CZP1111" s="15"/>
      <c r="CZS1111" s="15"/>
      <c r="CZT1111" s="15"/>
      <c r="CZW1111" s="15"/>
      <c r="CZX1111" s="15"/>
      <c r="DAA1111" s="15"/>
      <c r="DAB1111" s="15"/>
      <c r="DAE1111" s="15"/>
      <c r="DAF1111" s="15"/>
      <c r="DAI1111" s="15"/>
      <c r="DAJ1111" s="15"/>
      <c r="DAM1111" s="15"/>
      <c r="DAN1111" s="15"/>
      <c r="DAQ1111" s="15"/>
      <c r="DAR1111" s="15"/>
      <c r="DAU1111" s="15"/>
      <c r="DAV1111" s="15"/>
      <c r="DAY1111" s="15"/>
      <c r="DAZ1111" s="15"/>
      <c r="DBC1111" s="15"/>
      <c r="DBD1111" s="15"/>
      <c r="DBG1111" s="15"/>
      <c r="DBH1111" s="15"/>
      <c r="DBK1111" s="15"/>
      <c r="DBL1111" s="15"/>
      <c r="DBO1111" s="15"/>
      <c r="DBP1111" s="15"/>
      <c r="DBS1111" s="15"/>
      <c r="DBT1111" s="15"/>
      <c r="DBW1111" s="15"/>
      <c r="DBX1111" s="15"/>
      <c r="DCA1111" s="15"/>
      <c r="DCB1111" s="15"/>
      <c r="DCE1111" s="15"/>
      <c r="DCF1111" s="15"/>
      <c r="DCI1111" s="15"/>
      <c r="DCJ1111" s="15"/>
      <c r="DCM1111" s="15"/>
      <c r="DCN1111" s="15"/>
      <c r="DCQ1111" s="15"/>
      <c r="DCR1111" s="15"/>
      <c r="DCU1111" s="15"/>
      <c r="DCV1111" s="15"/>
      <c r="DCY1111" s="15"/>
      <c r="DCZ1111" s="15"/>
      <c r="DDC1111" s="15"/>
      <c r="DDD1111" s="15"/>
      <c r="DDG1111" s="15"/>
      <c r="DDH1111" s="15"/>
      <c r="DDK1111" s="15"/>
      <c r="DDL1111" s="15"/>
      <c r="DDO1111" s="15"/>
      <c r="DDP1111" s="15"/>
      <c r="DDS1111" s="15"/>
      <c r="DDT1111" s="15"/>
      <c r="DDW1111" s="15"/>
      <c r="DDX1111" s="15"/>
      <c r="DEA1111" s="15"/>
      <c r="DEB1111" s="15"/>
      <c r="DEE1111" s="15"/>
      <c r="DEF1111" s="15"/>
      <c r="DEI1111" s="15"/>
      <c r="DEJ1111" s="15"/>
      <c r="DEM1111" s="15"/>
      <c r="DEN1111" s="15"/>
      <c r="DEQ1111" s="15"/>
      <c r="DER1111" s="15"/>
      <c r="DEU1111" s="15"/>
      <c r="DEV1111" s="15"/>
      <c r="DEY1111" s="15"/>
      <c r="DEZ1111" s="15"/>
      <c r="DFC1111" s="15"/>
      <c r="DFD1111" s="15"/>
      <c r="DFG1111" s="15"/>
      <c r="DFH1111" s="15"/>
      <c r="DFK1111" s="15"/>
      <c r="DFL1111" s="15"/>
      <c r="DFO1111" s="15"/>
      <c r="DFP1111" s="15"/>
      <c r="DFS1111" s="15"/>
      <c r="DFT1111" s="15"/>
      <c r="DFW1111" s="15"/>
      <c r="DFX1111" s="15"/>
      <c r="DGA1111" s="15"/>
      <c r="DGB1111" s="15"/>
      <c r="DGE1111" s="15"/>
      <c r="DGF1111" s="15"/>
      <c r="DGI1111" s="15"/>
      <c r="DGJ1111" s="15"/>
      <c r="DGM1111" s="15"/>
      <c r="DGN1111" s="15"/>
      <c r="DGQ1111" s="15"/>
      <c r="DGR1111" s="15"/>
      <c r="DGU1111" s="15"/>
      <c r="DGV1111" s="15"/>
      <c r="DGY1111" s="15"/>
      <c r="DGZ1111" s="15"/>
      <c r="DHC1111" s="15"/>
      <c r="DHD1111" s="15"/>
      <c r="DHG1111" s="15"/>
      <c r="DHH1111" s="15"/>
      <c r="DHK1111" s="15"/>
      <c r="DHL1111" s="15"/>
      <c r="DHO1111" s="15"/>
      <c r="DHP1111" s="15"/>
      <c r="DHS1111" s="15"/>
      <c r="DHT1111" s="15"/>
      <c r="DHW1111" s="15"/>
      <c r="DHX1111" s="15"/>
      <c r="DIA1111" s="15"/>
      <c r="DIB1111" s="15"/>
      <c r="DIE1111" s="15"/>
      <c r="DIF1111" s="15"/>
      <c r="DII1111" s="15"/>
      <c r="DIJ1111" s="15"/>
      <c r="DIM1111" s="15"/>
      <c r="DIN1111" s="15"/>
      <c r="DIQ1111" s="15"/>
      <c r="DIR1111" s="15"/>
      <c r="DIU1111" s="15"/>
      <c r="DIV1111" s="15"/>
      <c r="DIY1111" s="15"/>
      <c r="DIZ1111" s="15"/>
      <c r="DJC1111" s="15"/>
      <c r="DJD1111" s="15"/>
      <c r="DJG1111" s="15"/>
      <c r="DJH1111" s="15"/>
      <c r="DJK1111" s="15"/>
      <c r="DJL1111" s="15"/>
      <c r="DJO1111" s="15"/>
      <c r="DJP1111" s="15"/>
      <c r="DJS1111" s="15"/>
      <c r="DJT1111" s="15"/>
      <c r="DJW1111" s="15"/>
      <c r="DJX1111" s="15"/>
      <c r="DKA1111" s="15"/>
      <c r="DKB1111" s="15"/>
      <c r="DKE1111" s="15"/>
      <c r="DKF1111" s="15"/>
      <c r="DKI1111" s="15"/>
      <c r="DKJ1111" s="15"/>
      <c r="DKM1111" s="15"/>
      <c r="DKN1111" s="15"/>
      <c r="DKQ1111" s="15"/>
      <c r="DKR1111" s="15"/>
      <c r="DKU1111" s="15"/>
      <c r="DKV1111" s="15"/>
      <c r="DKY1111" s="15"/>
      <c r="DKZ1111" s="15"/>
      <c r="DLC1111" s="15"/>
      <c r="DLD1111" s="15"/>
      <c r="DLG1111" s="15"/>
      <c r="DLH1111" s="15"/>
      <c r="DLK1111" s="15"/>
      <c r="DLL1111" s="15"/>
      <c r="DLO1111" s="15"/>
      <c r="DLP1111" s="15"/>
      <c r="DLS1111" s="15"/>
      <c r="DLT1111" s="15"/>
      <c r="DLW1111" s="15"/>
      <c r="DLX1111" s="15"/>
      <c r="DMA1111" s="15"/>
      <c r="DMB1111" s="15"/>
      <c r="DME1111" s="15"/>
      <c r="DMF1111" s="15"/>
      <c r="DMI1111" s="15"/>
      <c r="DMJ1111" s="15"/>
      <c r="DMM1111" s="15"/>
      <c r="DMN1111" s="15"/>
      <c r="DMQ1111" s="15"/>
      <c r="DMR1111" s="15"/>
      <c r="DMU1111" s="15"/>
      <c r="DMV1111" s="15"/>
      <c r="DMY1111" s="15"/>
      <c r="DMZ1111" s="15"/>
      <c r="DNC1111" s="15"/>
      <c r="DND1111" s="15"/>
      <c r="DNG1111" s="15"/>
      <c r="DNH1111" s="15"/>
      <c r="DNK1111" s="15"/>
      <c r="DNL1111" s="15"/>
      <c r="DNO1111" s="15"/>
      <c r="DNP1111" s="15"/>
      <c r="DNS1111" s="15"/>
      <c r="DNT1111" s="15"/>
      <c r="DNW1111" s="15"/>
      <c r="DNX1111" s="15"/>
      <c r="DOA1111" s="15"/>
      <c r="DOB1111" s="15"/>
      <c r="DOE1111" s="15"/>
      <c r="DOF1111" s="15"/>
      <c r="DOI1111" s="15"/>
      <c r="DOJ1111" s="15"/>
      <c r="DOM1111" s="15"/>
      <c r="DON1111" s="15"/>
      <c r="DOQ1111" s="15"/>
      <c r="DOR1111" s="15"/>
      <c r="DOU1111" s="15"/>
      <c r="DOV1111" s="15"/>
      <c r="DOY1111" s="15"/>
      <c r="DOZ1111" s="15"/>
      <c r="DPC1111" s="15"/>
      <c r="DPD1111" s="15"/>
      <c r="DPG1111" s="15"/>
      <c r="DPH1111" s="15"/>
      <c r="DPK1111" s="15"/>
      <c r="DPL1111" s="15"/>
      <c r="DPO1111" s="15"/>
      <c r="DPP1111" s="15"/>
      <c r="DPS1111" s="15"/>
      <c r="DPT1111" s="15"/>
      <c r="DPW1111" s="15"/>
      <c r="DPX1111" s="15"/>
      <c r="DQA1111" s="15"/>
      <c r="DQB1111" s="15"/>
      <c r="DQE1111" s="15"/>
      <c r="DQF1111" s="15"/>
      <c r="DQI1111" s="15"/>
      <c r="DQJ1111" s="15"/>
      <c r="DQM1111" s="15"/>
      <c r="DQN1111" s="15"/>
      <c r="DQQ1111" s="15"/>
      <c r="DQR1111" s="15"/>
      <c r="DQU1111" s="15"/>
      <c r="DQV1111" s="15"/>
      <c r="DQY1111" s="15"/>
      <c r="DQZ1111" s="15"/>
      <c r="DRC1111" s="15"/>
      <c r="DRD1111" s="15"/>
      <c r="DRG1111" s="15"/>
      <c r="DRH1111" s="15"/>
      <c r="DRK1111" s="15"/>
      <c r="DRL1111" s="15"/>
      <c r="DRO1111" s="15"/>
      <c r="DRP1111" s="15"/>
      <c r="DRS1111" s="15"/>
      <c r="DRT1111" s="15"/>
      <c r="DRW1111" s="15"/>
      <c r="DRX1111" s="15"/>
      <c r="DSA1111" s="15"/>
      <c r="DSB1111" s="15"/>
      <c r="DSE1111" s="15"/>
      <c r="DSF1111" s="15"/>
      <c r="DSI1111" s="15"/>
      <c r="DSJ1111" s="15"/>
      <c r="DSM1111" s="15"/>
      <c r="DSN1111" s="15"/>
      <c r="DSQ1111" s="15"/>
      <c r="DSR1111" s="15"/>
      <c r="DSU1111" s="15"/>
      <c r="DSV1111" s="15"/>
      <c r="DSY1111" s="15"/>
      <c r="DSZ1111" s="15"/>
      <c r="DTC1111" s="15"/>
      <c r="DTD1111" s="15"/>
      <c r="DTG1111" s="15"/>
      <c r="DTH1111" s="15"/>
      <c r="DTK1111" s="15"/>
      <c r="DTL1111" s="15"/>
      <c r="DTO1111" s="15"/>
      <c r="DTP1111" s="15"/>
      <c r="DTS1111" s="15"/>
      <c r="DTT1111" s="15"/>
      <c r="DTW1111" s="15"/>
      <c r="DTX1111" s="15"/>
      <c r="DUA1111" s="15"/>
      <c r="DUB1111" s="15"/>
      <c r="DUE1111" s="15"/>
      <c r="DUF1111" s="15"/>
      <c r="DUI1111" s="15"/>
      <c r="DUJ1111" s="15"/>
      <c r="DUM1111" s="15"/>
      <c r="DUN1111" s="15"/>
      <c r="DUQ1111" s="15"/>
      <c r="DUR1111" s="15"/>
      <c r="DUU1111" s="15"/>
      <c r="DUV1111" s="15"/>
      <c r="DUY1111" s="15"/>
      <c r="DUZ1111" s="15"/>
      <c r="DVC1111" s="15"/>
      <c r="DVD1111" s="15"/>
      <c r="DVG1111" s="15"/>
      <c r="DVH1111" s="15"/>
      <c r="DVK1111" s="15"/>
      <c r="DVL1111" s="15"/>
      <c r="DVO1111" s="15"/>
      <c r="DVP1111" s="15"/>
      <c r="DVS1111" s="15"/>
      <c r="DVT1111" s="15"/>
      <c r="DVW1111" s="15"/>
      <c r="DVX1111" s="15"/>
      <c r="DWA1111" s="15"/>
      <c r="DWB1111" s="15"/>
      <c r="DWE1111" s="15"/>
      <c r="DWF1111" s="15"/>
      <c r="DWI1111" s="15"/>
      <c r="DWJ1111" s="15"/>
      <c r="DWM1111" s="15"/>
      <c r="DWN1111" s="15"/>
      <c r="DWQ1111" s="15"/>
      <c r="DWR1111" s="15"/>
      <c r="DWU1111" s="15"/>
      <c r="DWV1111" s="15"/>
      <c r="DWY1111" s="15"/>
      <c r="DWZ1111" s="15"/>
      <c r="DXC1111" s="15"/>
      <c r="DXD1111" s="15"/>
      <c r="DXG1111" s="15"/>
      <c r="DXH1111" s="15"/>
      <c r="DXK1111" s="15"/>
      <c r="DXL1111" s="15"/>
      <c r="DXO1111" s="15"/>
      <c r="DXP1111" s="15"/>
      <c r="DXS1111" s="15"/>
      <c r="DXT1111" s="15"/>
      <c r="DXW1111" s="15"/>
      <c r="DXX1111" s="15"/>
      <c r="DYA1111" s="15"/>
      <c r="DYB1111" s="15"/>
      <c r="DYE1111" s="15"/>
      <c r="DYF1111" s="15"/>
      <c r="DYI1111" s="15"/>
      <c r="DYJ1111" s="15"/>
      <c r="DYM1111" s="15"/>
      <c r="DYN1111" s="15"/>
      <c r="DYQ1111" s="15"/>
      <c r="DYR1111" s="15"/>
      <c r="DYU1111" s="15"/>
      <c r="DYV1111" s="15"/>
      <c r="DYY1111" s="15"/>
      <c r="DYZ1111" s="15"/>
      <c r="DZC1111" s="15"/>
      <c r="DZD1111" s="15"/>
      <c r="DZG1111" s="15"/>
      <c r="DZH1111" s="15"/>
      <c r="DZK1111" s="15"/>
      <c r="DZL1111" s="15"/>
      <c r="DZO1111" s="15"/>
      <c r="DZP1111" s="15"/>
      <c r="DZS1111" s="15"/>
      <c r="DZT1111" s="15"/>
      <c r="DZW1111" s="15"/>
      <c r="DZX1111" s="15"/>
      <c r="EAA1111" s="15"/>
      <c r="EAB1111" s="15"/>
      <c r="EAE1111" s="15"/>
      <c r="EAF1111" s="15"/>
      <c r="EAI1111" s="15"/>
      <c r="EAJ1111" s="15"/>
      <c r="EAM1111" s="15"/>
      <c r="EAN1111" s="15"/>
      <c r="EAQ1111" s="15"/>
      <c r="EAR1111" s="15"/>
      <c r="EAU1111" s="15"/>
      <c r="EAV1111" s="15"/>
      <c r="EAY1111" s="15"/>
      <c r="EAZ1111" s="15"/>
      <c r="EBC1111" s="15"/>
      <c r="EBD1111" s="15"/>
      <c r="EBG1111" s="15"/>
      <c r="EBH1111" s="15"/>
      <c r="EBK1111" s="15"/>
      <c r="EBL1111" s="15"/>
      <c r="EBO1111" s="15"/>
      <c r="EBP1111" s="15"/>
      <c r="EBS1111" s="15"/>
      <c r="EBT1111" s="15"/>
      <c r="EBW1111" s="15"/>
      <c r="EBX1111" s="15"/>
      <c r="ECA1111" s="15"/>
      <c r="ECB1111" s="15"/>
      <c r="ECE1111" s="15"/>
      <c r="ECF1111" s="15"/>
      <c r="ECI1111" s="15"/>
      <c r="ECJ1111" s="15"/>
      <c r="ECM1111" s="15"/>
      <c r="ECN1111" s="15"/>
      <c r="ECQ1111" s="15"/>
      <c r="ECR1111" s="15"/>
      <c r="ECU1111" s="15"/>
      <c r="ECV1111" s="15"/>
      <c r="ECY1111" s="15"/>
      <c r="ECZ1111" s="15"/>
      <c r="EDC1111" s="15"/>
      <c r="EDD1111" s="15"/>
      <c r="EDG1111" s="15"/>
      <c r="EDH1111" s="15"/>
      <c r="EDK1111" s="15"/>
      <c r="EDL1111" s="15"/>
      <c r="EDO1111" s="15"/>
      <c r="EDP1111" s="15"/>
      <c r="EDS1111" s="15"/>
      <c r="EDT1111" s="15"/>
      <c r="EDW1111" s="15"/>
      <c r="EDX1111" s="15"/>
      <c r="EEA1111" s="15"/>
      <c r="EEB1111" s="15"/>
      <c r="EEE1111" s="15"/>
      <c r="EEF1111" s="15"/>
      <c r="EEI1111" s="15"/>
      <c r="EEJ1111" s="15"/>
      <c r="EEM1111" s="15"/>
      <c r="EEN1111" s="15"/>
      <c r="EEQ1111" s="15"/>
      <c r="EER1111" s="15"/>
      <c r="EEU1111" s="15"/>
      <c r="EEV1111" s="15"/>
      <c r="EEY1111" s="15"/>
      <c r="EEZ1111" s="15"/>
      <c r="EFC1111" s="15"/>
      <c r="EFD1111" s="15"/>
      <c r="EFG1111" s="15"/>
      <c r="EFH1111" s="15"/>
      <c r="EFK1111" s="15"/>
      <c r="EFL1111" s="15"/>
      <c r="EFO1111" s="15"/>
      <c r="EFP1111" s="15"/>
      <c r="EFS1111" s="15"/>
      <c r="EFT1111" s="15"/>
      <c r="EFW1111" s="15"/>
      <c r="EFX1111" s="15"/>
      <c r="EGA1111" s="15"/>
      <c r="EGB1111" s="15"/>
      <c r="EGE1111" s="15"/>
      <c r="EGF1111" s="15"/>
      <c r="EGI1111" s="15"/>
      <c r="EGJ1111" s="15"/>
      <c r="EGM1111" s="15"/>
      <c r="EGN1111" s="15"/>
      <c r="EGQ1111" s="15"/>
      <c r="EGR1111" s="15"/>
      <c r="EGU1111" s="15"/>
      <c r="EGV1111" s="15"/>
      <c r="EGY1111" s="15"/>
      <c r="EGZ1111" s="15"/>
      <c r="EHC1111" s="15"/>
      <c r="EHD1111" s="15"/>
      <c r="EHG1111" s="15"/>
      <c r="EHH1111" s="15"/>
      <c r="EHK1111" s="15"/>
      <c r="EHL1111" s="15"/>
      <c r="EHO1111" s="15"/>
      <c r="EHP1111" s="15"/>
      <c r="EHS1111" s="15"/>
      <c r="EHT1111" s="15"/>
      <c r="EHW1111" s="15"/>
      <c r="EHX1111" s="15"/>
      <c r="EIA1111" s="15"/>
      <c r="EIB1111" s="15"/>
      <c r="EIE1111" s="15"/>
      <c r="EIF1111" s="15"/>
      <c r="EII1111" s="15"/>
      <c r="EIJ1111" s="15"/>
      <c r="EIM1111" s="15"/>
      <c r="EIN1111" s="15"/>
      <c r="EIQ1111" s="15"/>
      <c r="EIR1111" s="15"/>
      <c r="EIU1111" s="15"/>
      <c r="EIV1111" s="15"/>
      <c r="EIY1111" s="15"/>
      <c r="EIZ1111" s="15"/>
      <c r="EJC1111" s="15"/>
      <c r="EJD1111" s="15"/>
      <c r="EJG1111" s="15"/>
      <c r="EJH1111" s="15"/>
      <c r="EJK1111" s="15"/>
      <c r="EJL1111" s="15"/>
      <c r="EJO1111" s="15"/>
      <c r="EJP1111" s="15"/>
      <c r="EJS1111" s="15"/>
      <c r="EJT1111" s="15"/>
      <c r="EJW1111" s="15"/>
      <c r="EJX1111" s="15"/>
      <c r="EKA1111" s="15"/>
      <c r="EKB1111" s="15"/>
      <c r="EKE1111" s="15"/>
      <c r="EKF1111" s="15"/>
      <c r="EKI1111" s="15"/>
      <c r="EKJ1111" s="15"/>
      <c r="EKM1111" s="15"/>
      <c r="EKN1111" s="15"/>
      <c r="EKQ1111" s="15"/>
      <c r="EKR1111" s="15"/>
      <c r="EKU1111" s="15"/>
      <c r="EKV1111" s="15"/>
      <c r="EKY1111" s="15"/>
      <c r="EKZ1111" s="15"/>
      <c r="ELC1111" s="15"/>
      <c r="ELD1111" s="15"/>
      <c r="ELG1111" s="15"/>
      <c r="ELH1111" s="15"/>
      <c r="ELK1111" s="15"/>
      <c r="ELL1111" s="15"/>
      <c r="ELO1111" s="15"/>
      <c r="ELP1111" s="15"/>
      <c r="ELS1111" s="15"/>
      <c r="ELT1111" s="15"/>
      <c r="ELW1111" s="15"/>
      <c r="ELX1111" s="15"/>
      <c r="EMA1111" s="15"/>
      <c r="EMB1111" s="15"/>
      <c r="EME1111" s="15"/>
      <c r="EMF1111" s="15"/>
      <c r="EMI1111" s="15"/>
      <c r="EMJ1111" s="15"/>
      <c r="EMM1111" s="15"/>
      <c r="EMN1111" s="15"/>
      <c r="EMQ1111" s="15"/>
      <c r="EMR1111" s="15"/>
      <c r="EMU1111" s="15"/>
      <c r="EMV1111" s="15"/>
      <c r="EMY1111" s="15"/>
      <c r="EMZ1111" s="15"/>
      <c r="ENC1111" s="15"/>
      <c r="END1111" s="15"/>
      <c r="ENG1111" s="15"/>
      <c r="ENH1111" s="15"/>
      <c r="ENK1111" s="15"/>
      <c r="ENL1111" s="15"/>
      <c r="ENO1111" s="15"/>
      <c r="ENP1111" s="15"/>
      <c r="ENS1111" s="15"/>
      <c r="ENT1111" s="15"/>
      <c r="ENW1111" s="15"/>
      <c r="ENX1111" s="15"/>
      <c r="EOA1111" s="15"/>
      <c r="EOB1111" s="15"/>
      <c r="EOE1111" s="15"/>
      <c r="EOF1111" s="15"/>
      <c r="EOI1111" s="15"/>
      <c r="EOJ1111" s="15"/>
      <c r="EOM1111" s="15"/>
      <c r="EON1111" s="15"/>
      <c r="EOQ1111" s="15"/>
      <c r="EOR1111" s="15"/>
      <c r="EOU1111" s="15"/>
      <c r="EOV1111" s="15"/>
      <c r="EOY1111" s="15"/>
      <c r="EOZ1111" s="15"/>
      <c r="EPC1111" s="15"/>
      <c r="EPD1111" s="15"/>
      <c r="EPG1111" s="15"/>
      <c r="EPH1111" s="15"/>
      <c r="EPK1111" s="15"/>
      <c r="EPL1111" s="15"/>
      <c r="EPO1111" s="15"/>
      <c r="EPP1111" s="15"/>
      <c r="EPS1111" s="15"/>
      <c r="EPT1111" s="15"/>
      <c r="EPW1111" s="15"/>
      <c r="EPX1111" s="15"/>
      <c r="EQA1111" s="15"/>
      <c r="EQB1111" s="15"/>
      <c r="EQE1111" s="15"/>
      <c r="EQF1111" s="15"/>
      <c r="EQI1111" s="15"/>
      <c r="EQJ1111" s="15"/>
      <c r="EQM1111" s="15"/>
      <c r="EQN1111" s="15"/>
      <c r="EQQ1111" s="15"/>
      <c r="EQR1111" s="15"/>
      <c r="EQU1111" s="15"/>
      <c r="EQV1111" s="15"/>
      <c r="EQY1111" s="15"/>
      <c r="EQZ1111" s="15"/>
      <c r="ERC1111" s="15"/>
      <c r="ERD1111" s="15"/>
      <c r="ERG1111" s="15"/>
      <c r="ERH1111" s="15"/>
      <c r="ERK1111" s="15"/>
      <c r="ERL1111" s="15"/>
      <c r="ERO1111" s="15"/>
      <c r="ERP1111" s="15"/>
      <c r="ERS1111" s="15"/>
      <c r="ERT1111" s="15"/>
      <c r="ERW1111" s="15"/>
      <c r="ERX1111" s="15"/>
      <c r="ESA1111" s="15"/>
      <c r="ESB1111" s="15"/>
      <c r="ESE1111" s="15"/>
      <c r="ESF1111" s="15"/>
      <c r="ESI1111" s="15"/>
      <c r="ESJ1111" s="15"/>
      <c r="ESM1111" s="15"/>
      <c r="ESN1111" s="15"/>
      <c r="ESQ1111" s="15"/>
      <c r="ESR1111" s="15"/>
      <c r="ESU1111" s="15"/>
      <c r="ESV1111" s="15"/>
      <c r="ESY1111" s="15"/>
      <c r="ESZ1111" s="15"/>
      <c r="ETC1111" s="15"/>
      <c r="ETD1111" s="15"/>
      <c r="ETG1111" s="15"/>
      <c r="ETH1111" s="15"/>
      <c r="ETK1111" s="15"/>
      <c r="ETL1111" s="15"/>
      <c r="ETO1111" s="15"/>
      <c r="ETP1111" s="15"/>
      <c r="ETS1111" s="15"/>
      <c r="ETT1111" s="15"/>
      <c r="ETW1111" s="15"/>
      <c r="ETX1111" s="15"/>
      <c r="EUA1111" s="15"/>
      <c r="EUB1111" s="15"/>
      <c r="EUE1111" s="15"/>
      <c r="EUF1111" s="15"/>
      <c r="EUI1111" s="15"/>
      <c r="EUJ1111" s="15"/>
      <c r="EUM1111" s="15"/>
      <c r="EUN1111" s="15"/>
      <c r="EUQ1111" s="15"/>
      <c r="EUR1111" s="15"/>
      <c r="EUU1111" s="15"/>
      <c r="EUV1111" s="15"/>
      <c r="EUY1111" s="15"/>
      <c r="EUZ1111" s="15"/>
      <c r="EVC1111" s="15"/>
      <c r="EVD1111" s="15"/>
      <c r="EVG1111" s="15"/>
      <c r="EVH1111" s="15"/>
      <c r="EVK1111" s="15"/>
      <c r="EVL1111" s="15"/>
      <c r="EVO1111" s="15"/>
      <c r="EVP1111" s="15"/>
      <c r="EVS1111" s="15"/>
      <c r="EVT1111" s="15"/>
      <c r="EVW1111" s="15"/>
      <c r="EVX1111" s="15"/>
      <c r="EWA1111" s="15"/>
      <c r="EWB1111" s="15"/>
      <c r="EWE1111" s="15"/>
      <c r="EWF1111" s="15"/>
      <c r="EWI1111" s="15"/>
      <c r="EWJ1111" s="15"/>
      <c r="EWM1111" s="15"/>
      <c r="EWN1111" s="15"/>
      <c r="EWQ1111" s="15"/>
      <c r="EWR1111" s="15"/>
      <c r="EWU1111" s="15"/>
      <c r="EWV1111" s="15"/>
      <c r="EWY1111" s="15"/>
      <c r="EWZ1111" s="15"/>
      <c r="EXC1111" s="15"/>
      <c r="EXD1111" s="15"/>
      <c r="EXG1111" s="15"/>
      <c r="EXH1111" s="15"/>
      <c r="EXK1111" s="15"/>
      <c r="EXL1111" s="15"/>
      <c r="EXO1111" s="15"/>
      <c r="EXP1111" s="15"/>
      <c r="EXS1111" s="15"/>
      <c r="EXT1111" s="15"/>
      <c r="EXW1111" s="15"/>
      <c r="EXX1111" s="15"/>
      <c r="EYA1111" s="15"/>
      <c r="EYB1111" s="15"/>
      <c r="EYE1111" s="15"/>
      <c r="EYF1111" s="15"/>
      <c r="EYI1111" s="15"/>
      <c r="EYJ1111" s="15"/>
      <c r="EYM1111" s="15"/>
      <c r="EYN1111" s="15"/>
      <c r="EYQ1111" s="15"/>
      <c r="EYR1111" s="15"/>
      <c r="EYU1111" s="15"/>
      <c r="EYV1111" s="15"/>
      <c r="EYY1111" s="15"/>
      <c r="EYZ1111" s="15"/>
      <c r="EZC1111" s="15"/>
      <c r="EZD1111" s="15"/>
      <c r="EZG1111" s="15"/>
      <c r="EZH1111" s="15"/>
      <c r="EZK1111" s="15"/>
      <c r="EZL1111" s="15"/>
      <c r="EZO1111" s="15"/>
      <c r="EZP1111" s="15"/>
      <c r="EZS1111" s="15"/>
      <c r="EZT1111" s="15"/>
      <c r="EZW1111" s="15"/>
      <c r="EZX1111" s="15"/>
      <c r="FAA1111" s="15"/>
      <c r="FAB1111" s="15"/>
      <c r="FAE1111" s="15"/>
      <c r="FAF1111" s="15"/>
      <c r="FAI1111" s="15"/>
      <c r="FAJ1111" s="15"/>
      <c r="FAM1111" s="15"/>
      <c r="FAN1111" s="15"/>
      <c r="FAQ1111" s="15"/>
      <c r="FAR1111" s="15"/>
      <c r="FAU1111" s="15"/>
      <c r="FAV1111" s="15"/>
      <c r="FAY1111" s="15"/>
      <c r="FAZ1111" s="15"/>
      <c r="FBC1111" s="15"/>
      <c r="FBD1111" s="15"/>
      <c r="FBG1111" s="15"/>
      <c r="FBH1111" s="15"/>
      <c r="FBK1111" s="15"/>
      <c r="FBL1111" s="15"/>
      <c r="FBO1111" s="15"/>
      <c r="FBP1111" s="15"/>
      <c r="FBS1111" s="15"/>
      <c r="FBT1111" s="15"/>
      <c r="FBW1111" s="15"/>
      <c r="FBX1111" s="15"/>
      <c r="FCA1111" s="15"/>
      <c r="FCB1111" s="15"/>
      <c r="FCE1111" s="15"/>
      <c r="FCF1111" s="15"/>
      <c r="FCI1111" s="15"/>
      <c r="FCJ1111" s="15"/>
      <c r="FCM1111" s="15"/>
      <c r="FCN1111" s="15"/>
      <c r="FCQ1111" s="15"/>
      <c r="FCR1111" s="15"/>
      <c r="FCU1111" s="15"/>
      <c r="FCV1111" s="15"/>
      <c r="FCY1111" s="15"/>
      <c r="FCZ1111" s="15"/>
      <c r="FDC1111" s="15"/>
      <c r="FDD1111" s="15"/>
      <c r="FDG1111" s="15"/>
      <c r="FDH1111" s="15"/>
      <c r="FDK1111" s="15"/>
      <c r="FDL1111" s="15"/>
      <c r="FDO1111" s="15"/>
      <c r="FDP1111" s="15"/>
      <c r="FDS1111" s="15"/>
      <c r="FDT1111" s="15"/>
      <c r="FDW1111" s="15"/>
      <c r="FDX1111" s="15"/>
      <c r="FEA1111" s="15"/>
      <c r="FEB1111" s="15"/>
      <c r="FEE1111" s="15"/>
      <c r="FEF1111" s="15"/>
      <c r="FEI1111" s="15"/>
      <c r="FEJ1111" s="15"/>
      <c r="FEM1111" s="15"/>
      <c r="FEN1111" s="15"/>
      <c r="FEQ1111" s="15"/>
      <c r="FER1111" s="15"/>
      <c r="FEU1111" s="15"/>
      <c r="FEV1111" s="15"/>
      <c r="FEY1111" s="15"/>
      <c r="FEZ1111" s="15"/>
      <c r="FFC1111" s="15"/>
      <c r="FFD1111" s="15"/>
      <c r="FFG1111" s="15"/>
      <c r="FFH1111" s="15"/>
      <c r="FFK1111" s="15"/>
      <c r="FFL1111" s="15"/>
      <c r="FFO1111" s="15"/>
      <c r="FFP1111" s="15"/>
      <c r="FFS1111" s="15"/>
      <c r="FFT1111" s="15"/>
      <c r="FFW1111" s="15"/>
      <c r="FFX1111" s="15"/>
      <c r="FGA1111" s="15"/>
      <c r="FGB1111" s="15"/>
      <c r="FGE1111" s="15"/>
      <c r="FGF1111" s="15"/>
      <c r="FGI1111" s="15"/>
      <c r="FGJ1111" s="15"/>
      <c r="FGM1111" s="15"/>
      <c r="FGN1111" s="15"/>
      <c r="FGQ1111" s="15"/>
      <c r="FGR1111" s="15"/>
      <c r="FGU1111" s="15"/>
      <c r="FGV1111" s="15"/>
      <c r="FGY1111" s="15"/>
      <c r="FGZ1111" s="15"/>
      <c r="FHC1111" s="15"/>
      <c r="FHD1111" s="15"/>
      <c r="FHG1111" s="15"/>
      <c r="FHH1111" s="15"/>
      <c r="FHK1111" s="15"/>
      <c r="FHL1111" s="15"/>
      <c r="FHO1111" s="15"/>
      <c r="FHP1111" s="15"/>
      <c r="FHS1111" s="15"/>
      <c r="FHT1111" s="15"/>
      <c r="FHW1111" s="15"/>
      <c r="FHX1111" s="15"/>
      <c r="FIA1111" s="15"/>
      <c r="FIB1111" s="15"/>
      <c r="FIE1111" s="15"/>
      <c r="FIF1111" s="15"/>
      <c r="FII1111" s="15"/>
      <c r="FIJ1111" s="15"/>
      <c r="FIM1111" s="15"/>
      <c r="FIN1111" s="15"/>
      <c r="FIQ1111" s="15"/>
      <c r="FIR1111" s="15"/>
      <c r="FIU1111" s="15"/>
      <c r="FIV1111" s="15"/>
      <c r="FIY1111" s="15"/>
      <c r="FIZ1111" s="15"/>
      <c r="FJC1111" s="15"/>
      <c r="FJD1111" s="15"/>
      <c r="FJG1111" s="15"/>
      <c r="FJH1111" s="15"/>
      <c r="FJK1111" s="15"/>
      <c r="FJL1111" s="15"/>
      <c r="FJO1111" s="15"/>
      <c r="FJP1111" s="15"/>
      <c r="FJS1111" s="15"/>
      <c r="FJT1111" s="15"/>
      <c r="FJW1111" s="15"/>
      <c r="FJX1111" s="15"/>
      <c r="FKA1111" s="15"/>
      <c r="FKB1111" s="15"/>
      <c r="FKE1111" s="15"/>
      <c r="FKF1111" s="15"/>
      <c r="FKI1111" s="15"/>
      <c r="FKJ1111" s="15"/>
      <c r="FKM1111" s="15"/>
      <c r="FKN1111" s="15"/>
      <c r="FKQ1111" s="15"/>
      <c r="FKR1111" s="15"/>
      <c r="FKU1111" s="15"/>
      <c r="FKV1111" s="15"/>
      <c r="FKY1111" s="15"/>
      <c r="FKZ1111" s="15"/>
      <c r="FLC1111" s="15"/>
      <c r="FLD1111" s="15"/>
      <c r="FLG1111" s="15"/>
      <c r="FLH1111" s="15"/>
      <c r="FLK1111" s="15"/>
      <c r="FLL1111" s="15"/>
      <c r="FLO1111" s="15"/>
      <c r="FLP1111" s="15"/>
      <c r="FLS1111" s="15"/>
      <c r="FLT1111" s="15"/>
      <c r="FLW1111" s="15"/>
      <c r="FLX1111" s="15"/>
      <c r="FMA1111" s="15"/>
      <c r="FMB1111" s="15"/>
      <c r="FME1111" s="15"/>
      <c r="FMF1111" s="15"/>
      <c r="FMI1111" s="15"/>
      <c r="FMJ1111" s="15"/>
      <c r="FMM1111" s="15"/>
      <c r="FMN1111" s="15"/>
      <c r="FMQ1111" s="15"/>
      <c r="FMR1111" s="15"/>
      <c r="FMU1111" s="15"/>
      <c r="FMV1111" s="15"/>
      <c r="FMY1111" s="15"/>
      <c r="FMZ1111" s="15"/>
      <c r="FNC1111" s="15"/>
      <c r="FND1111" s="15"/>
      <c r="FNG1111" s="15"/>
      <c r="FNH1111" s="15"/>
      <c r="FNK1111" s="15"/>
      <c r="FNL1111" s="15"/>
      <c r="FNO1111" s="15"/>
      <c r="FNP1111" s="15"/>
      <c r="FNS1111" s="15"/>
      <c r="FNT1111" s="15"/>
      <c r="FNW1111" s="15"/>
      <c r="FNX1111" s="15"/>
      <c r="FOA1111" s="15"/>
      <c r="FOB1111" s="15"/>
      <c r="FOE1111" s="15"/>
      <c r="FOF1111" s="15"/>
      <c r="FOI1111" s="15"/>
      <c r="FOJ1111" s="15"/>
      <c r="FOM1111" s="15"/>
      <c r="FON1111" s="15"/>
      <c r="FOQ1111" s="15"/>
      <c r="FOR1111" s="15"/>
      <c r="FOU1111" s="15"/>
      <c r="FOV1111" s="15"/>
      <c r="FOY1111" s="15"/>
      <c r="FOZ1111" s="15"/>
      <c r="FPC1111" s="15"/>
      <c r="FPD1111" s="15"/>
      <c r="FPG1111" s="15"/>
      <c r="FPH1111" s="15"/>
      <c r="FPK1111" s="15"/>
      <c r="FPL1111" s="15"/>
      <c r="FPO1111" s="15"/>
      <c r="FPP1111" s="15"/>
      <c r="FPS1111" s="15"/>
      <c r="FPT1111" s="15"/>
      <c r="FPW1111" s="15"/>
      <c r="FPX1111" s="15"/>
      <c r="FQA1111" s="15"/>
      <c r="FQB1111" s="15"/>
      <c r="FQE1111" s="15"/>
      <c r="FQF1111" s="15"/>
      <c r="FQI1111" s="15"/>
      <c r="FQJ1111" s="15"/>
      <c r="FQM1111" s="15"/>
      <c r="FQN1111" s="15"/>
      <c r="FQQ1111" s="15"/>
      <c r="FQR1111" s="15"/>
      <c r="FQU1111" s="15"/>
      <c r="FQV1111" s="15"/>
      <c r="FQY1111" s="15"/>
      <c r="FQZ1111" s="15"/>
      <c r="FRC1111" s="15"/>
      <c r="FRD1111" s="15"/>
      <c r="FRG1111" s="15"/>
      <c r="FRH1111" s="15"/>
      <c r="FRK1111" s="15"/>
      <c r="FRL1111" s="15"/>
      <c r="FRO1111" s="15"/>
      <c r="FRP1111" s="15"/>
      <c r="FRS1111" s="15"/>
      <c r="FRT1111" s="15"/>
      <c r="FRW1111" s="15"/>
      <c r="FRX1111" s="15"/>
      <c r="FSA1111" s="15"/>
      <c r="FSB1111" s="15"/>
      <c r="FSE1111" s="15"/>
      <c r="FSF1111" s="15"/>
      <c r="FSI1111" s="15"/>
      <c r="FSJ1111" s="15"/>
      <c r="FSM1111" s="15"/>
      <c r="FSN1111" s="15"/>
      <c r="FSQ1111" s="15"/>
      <c r="FSR1111" s="15"/>
      <c r="FSU1111" s="15"/>
      <c r="FSV1111" s="15"/>
      <c r="FSY1111" s="15"/>
      <c r="FSZ1111" s="15"/>
      <c r="FTC1111" s="15"/>
      <c r="FTD1111" s="15"/>
      <c r="FTG1111" s="15"/>
      <c r="FTH1111" s="15"/>
      <c r="FTK1111" s="15"/>
      <c r="FTL1111" s="15"/>
      <c r="FTO1111" s="15"/>
      <c r="FTP1111" s="15"/>
      <c r="FTS1111" s="15"/>
      <c r="FTT1111" s="15"/>
      <c r="FTW1111" s="15"/>
      <c r="FTX1111" s="15"/>
      <c r="FUA1111" s="15"/>
      <c r="FUB1111" s="15"/>
      <c r="FUE1111" s="15"/>
      <c r="FUF1111" s="15"/>
      <c r="FUI1111" s="15"/>
      <c r="FUJ1111" s="15"/>
      <c r="FUM1111" s="15"/>
      <c r="FUN1111" s="15"/>
      <c r="FUQ1111" s="15"/>
      <c r="FUR1111" s="15"/>
      <c r="FUU1111" s="15"/>
      <c r="FUV1111" s="15"/>
      <c r="FUY1111" s="15"/>
      <c r="FUZ1111" s="15"/>
      <c r="FVC1111" s="15"/>
      <c r="FVD1111" s="15"/>
      <c r="FVG1111" s="15"/>
      <c r="FVH1111" s="15"/>
      <c r="FVK1111" s="15"/>
      <c r="FVL1111" s="15"/>
      <c r="FVO1111" s="15"/>
      <c r="FVP1111" s="15"/>
      <c r="FVS1111" s="15"/>
      <c r="FVT1111" s="15"/>
      <c r="FVW1111" s="15"/>
      <c r="FVX1111" s="15"/>
      <c r="FWA1111" s="15"/>
      <c r="FWB1111" s="15"/>
      <c r="FWE1111" s="15"/>
      <c r="FWF1111" s="15"/>
      <c r="FWI1111" s="15"/>
      <c r="FWJ1111" s="15"/>
      <c r="FWM1111" s="15"/>
      <c r="FWN1111" s="15"/>
      <c r="FWQ1111" s="15"/>
      <c r="FWR1111" s="15"/>
      <c r="FWU1111" s="15"/>
      <c r="FWV1111" s="15"/>
      <c r="FWY1111" s="15"/>
      <c r="FWZ1111" s="15"/>
      <c r="FXC1111" s="15"/>
      <c r="FXD1111" s="15"/>
      <c r="FXG1111" s="15"/>
      <c r="FXH1111" s="15"/>
      <c r="FXK1111" s="15"/>
      <c r="FXL1111" s="15"/>
      <c r="FXO1111" s="15"/>
      <c r="FXP1111" s="15"/>
      <c r="FXS1111" s="15"/>
      <c r="FXT1111" s="15"/>
      <c r="FXW1111" s="15"/>
      <c r="FXX1111" s="15"/>
      <c r="FYA1111" s="15"/>
      <c r="FYB1111" s="15"/>
      <c r="FYE1111" s="15"/>
      <c r="FYF1111" s="15"/>
      <c r="FYI1111" s="15"/>
      <c r="FYJ1111" s="15"/>
      <c r="FYM1111" s="15"/>
      <c r="FYN1111" s="15"/>
      <c r="FYQ1111" s="15"/>
      <c r="FYR1111" s="15"/>
      <c r="FYU1111" s="15"/>
      <c r="FYV1111" s="15"/>
      <c r="FYY1111" s="15"/>
      <c r="FYZ1111" s="15"/>
      <c r="FZC1111" s="15"/>
      <c r="FZD1111" s="15"/>
      <c r="FZG1111" s="15"/>
      <c r="FZH1111" s="15"/>
      <c r="FZK1111" s="15"/>
      <c r="FZL1111" s="15"/>
      <c r="FZO1111" s="15"/>
      <c r="FZP1111" s="15"/>
      <c r="FZS1111" s="15"/>
      <c r="FZT1111" s="15"/>
      <c r="FZW1111" s="15"/>
      <c r="FZX1111" s="15"/>
      <c r="GAA1111" s="15"/>
      <c r="GAB1111" s="15"/>
      <c r="GAE1111" s="15"/>
      <c r="GAF1111" s="15"/>
      <c r="GAI1111" s="15"/>
      <c r="GAJ1111" s="15"/>
      <c r="GAM1111" s="15"/>
      <c r="GAN1111" s="15"/>
      <c r="GAQ1111" s="15"/>
      <c r="GAR1111" s="15"/>
      <c r="GAU1111" s="15"/>
      <c r="GAV1111" s="15"/>
      <c r="GAY1111" s="15"/>
      <c r="GAZ1111" s="15"/>
      <c r="GBC1111" s="15"/>
      <c r="GBD1111" s="15"/>
      <c r="GBG1111" s="15"/>
      <c r="GBH1111" s="15"/>
      <c r="GBK1111" s="15"/>
      <c r="GBL1111" s="15"/>
      <c r="GBO1111" s="15"/>
      <c r="GBP1111" s="15"/>
      <c r="GBS1111" s="15"/>
      <c r="GBT1111" s="15"/>
      <c r="GBW1111" s="15"/>
      <c r="GBX1111" s="15"/>
      <c r="GCA1111" s="15"/>
      <c r="GCB1111" s="15"/>
      <c r="GCE1111" s="15"/>
      <c r="GCF1111" s="15"/>
      <c r="GCI1111" s="15"/>
      <c r="GCJ1111" s="15"/>
      <c r="GCM1111" s="15"/>
      <c r="GCN1111" s="15"/>
      <c r="GCQ1111" s="15"/>
      <c r="GCR1111" s="15"/>
      <c r="GCU1111" s="15"/>
      <c r="GCV1111" s="15"/>
      <c r="GCY1111" s="15"/>
      <c r="GCZ1111" s="15"/>
      <c r="GDC1111" s="15"/>
      <c r="GDD1111" s="15"/>
      <c r="GDG1111" s="15"/>
      <c r="GDH1111" s="15"/>
      <c r="GDK1111" s="15"/>
      <c r="GDL1111" s="15"/>
      <c r="GDO1111" s="15"/>
      <c r="GDP1111" s="15"/>
      <c r="GDS1111" s="15"/>
      <c r="GDT1111" s="15"/>
      <c r="GDW1111" s="15"/>
      <c r="GDX1111" s="15"/>
      <c r="GEA1111" s="15"/>
      <c r="GEB1111" s="15"/>
      <c r="GEE1111" s="15"/>
      <c r="GEF1111" s="15"/>
      <c r="GEI1111" s="15"/>
      <c r="GEJ1111" s="15"/>
      <c r="GEM1111" s="15"/>
      <c r="GEN1111" s="15"/>
      <c r="GEQ1111" s="15"/>
      <c r="GER1111" s="15"/>
      <c r="GEU1111" s="15"/>
      <c r="GEV1111" s="15"/>
      <c r="GEY1111" s="15"/>
      <c r="GEZ1111" s="15"/>
      <c r="GFC1111" s="15"/>
      <c r="GFD1111" s="15"/>
      <c r="GFG1111" s="15"/>
      <c r="GFH1111" s="15"/>
      <c r="GFK1111" s="15"/>
      <c r="GFL1111" s="15"/>
      <c r="GFO1111" s="15"/>
      <c r="GFP1111" s="15"/>
      <c r="GFS1111" s="15"/>
      <c r="GFT1111" s="15"/>
      <c r="GFW1111" s="15"/>
      <c r="GFX1111" s="15"/>
      <c r="GGA1111" s="15"/>
      <c r="GGB1111" s="15"/>
      <c r="GGE1111" s="15"/>
      <c r="GGF1111" s="15"/>
      <c r="GGI1111" s="15"/>
      <c r="GGJ1111" s="15"/>
      <c r="GGM1111" s="15"/>
      <c r="GGN1111" s="15"/>
      <c r="GGQ1111" s="15"/>
      <c r="GGR1111" s="15"/>
      <c r="GGU1111" s="15"/>
      <c r="GGV1111" s="15"/>
      <c r="GGY1111" s="15"/>
      <c r="GGZ1111" s="15"/>
      <c r="GHC1111" s="15"/>
      <c r="GHD1111" s="15"/>
      <c r="GHG1111" s="15"/>
      <c r="GHH1111" s="15"/>
      <c r="GHK1111" s="15"/>
      <c r="GHL1111" s="15"/>
      <c r="GHO1111" s="15"/>
      <c r="GHP1111" s="15"/>
      <c r="GHS1111" s="15"/>
      <c r="GHT1111" s="15"/>
      <c r="GHW1111" s="15"/>
      <c r="GHX1111" s="15"/>
      <c r="GIA1111" s="15"/>
      <c r="GIB1111" s="15"/>
      <c r="GIE1111" s="15"/>
      <c r="GIF1111" s="15"/>
      <c r="GII1111" s="15"/>
      <c r="GIJ1111" s="15"/>
      <c r="GIM1111" s="15"/>
      <c r="GIN1111" s="15"/>
      <c r="GIQ1111" s="15"/>
      <c r="GIR1111" s="15"/>
      <c r="GIU1111" s="15"/>
      <c r="GIV1111" s="15"/>
      <c r="GIY1111" s="15"/>
      <c r="GIZ1111" s="15"/>
      <c r="GJC1111" s="15"/>
      <c r="GJD1111" s="15"/>
      <c r="GJG1111" s="15"/>
      <c r="GJH1111" s="15"/>
      <c r="GJK1111" s="15"/>
      <c r="GJL1111" s="15"/>
      <c r="GJO1111" s="15"/>
      <c r="GJP1111" s="15"/>
      <c r="GJS1111" s="15"/>
      <c r="GJT1111" s="15"/>
      <c r="GJW1111" s="15"/>
      <c r="GJX1111" s="15"/>
      <c r="GKA1111" s="15"/>
      <c r="GKB1111" s="15"/>
      <c r="GKE1111" s="15"/>
      <c r="GKF1111" s="15"/>
      <c r="GKI1111" s="15"/>
      <c r="GKJ1111" s="15"/>
      <c r="GKM1111" s="15"/>
      <c r="GKN1111" s="15"/>
      <c r="GKQ1111" s="15"/>
      <c r="GKR1111" s="15"/>
      <c r="GKU1111" s="15"/>
      <c r="GKV1111" s="15"/>
      <c r="GKY1111" s="15"/>
      <c r="GKZ1111" s="15"/>
      <c r="GLC1111" s="15"/>
      <c r="GLD1111" s="15"/>
      <c r="GLG1111" s="15"/>
      <c r="GLH1111" s="15"/>
      <c r="GLK1111" s="15"/>
      <c r="GLL1111" s="15"/>
      <c r="GLO1111" s="15"/>
      <c r="GLP1111" s="15"/>
      <c r="GLS1111" s="15"/>
      <c r="GLT1111" s="15"/>
      <c r="GLW1111" s="15"/>
      <c r="GLX1111" s="15"/>
      <c r="GMA1111" s="15"/>
      <c r="GMB1111" s="15"/>
      <c r="GME1111" s="15"/>
      <c r="GMF1111" s="15"/>
      <c r="GMI1111" s="15"/>
      <c r="GMJ1111" s="15"/>
      <c r="GMM1111" s="15"/>
      <c r="GMN1111" s="15"/>
      <c r="GMQ1111" s="15"/>
      <c r="GMR1111" s="15"/>
      <c r="GMU1111" s="15"/>
      <c r="GMV1111" s="15"/>
      <c r="GMY1111" s="15"/>
      <c r="GMZ1111" s="15"/>
      <c r="GNC1111" s="15"/>
      <c r="GND1111" s="15"/>
      <c r="GNG1111" s="15"/>
      <c r="GNH1111" s="15"/>
      <c r="GNK1111" s="15"/>
      <c r="GNL1111" s="15"/>
      <c r="GNO1111" s="15"/>
      <c r="GNP1111" s="15"/>
      <c r="GNS1111" s="15"/>
      <c r="GNT1111" s="15"/>
      <c r="GNW1111" s="15"/>
      <c r="GNX1111" s="15"/>
      <c r="GOA1111" s="15"/>
      <c r="GOB1111" s="15"/>
      <c r="GOE1111" s="15"/>
      <c r="GOF1111" s="15"/>
      <c r="GOI1111" s="15"/>
      <c r="GOJ1111" s="15"/>
      <c r="GOM1111" s="15"/>
      <c r="GON1111" s="15"/>
      <c r="GOQ1111" s="15"/>
      <c r="GOR1111" s="15"/>
      <c r="GOU1111" s="15"/>
      <c r="GOV1111" s="15"/>
      <c r="GOY1111" s="15"/>
      <c r="GOZ1111" s="15"/>
      <c r="GPC1111" s="15"/>
      <c r="GPD1111" s="15"/>
      <c r="GPG1111" s="15"/>
      <c r="GPH1111" s="15"/>
      <c r="GPK1111" s="15"/>
      <c r="GPL1111" s="15"/>
      <c r="GPO1111" s="15"/>
      <c r="GPP1111" s="15"/>
      <c r="GPS1111" s="15"/>
      <c r="GPT1111" s="15"/>
      <c r="GPW1111" s="15"/>
      <c r="GPX1111" s="15"/>
      <c r="GQA1111" s="15"/>
      <c r="GQB1111" s="15"/>
      <c r="GQE1111" s="15"/>
      <c r="GQF1111" s="15"/>
      <c r="GQI1111" s="15"/>
      <c r="GQJ1111" s="15"/>
      <c r="GQM1111" s="15"/>
      <c r="GQN1111" s="15"/>
      <c r="GQQ1111" s="15"/>
      <c r="GQR1111" s="15"/>
      <c r="GQU1111" s="15"/>
      <c r="GQV1111" s="15"/>
      <c r="GQY1111" s="15"/>
      <c r="GQZ1111" s="15"/>
      <c r="GRC1111" s="15"/>
      <c r="GRD1111" s="15"/>
      <c r="GRG1111" s="15"/>
      <c r="GRH1111" s="15"/>
      <c r="GRK1111" s="15"/>
      <c r="GRL1111" s="15"/>
      <c r="GRO1111" s="15"/>
      <c r="GRP1111" s="15"/>
      <c r="GRS1111" s="15"/>
      <c r="GRT1111" s="15"/>
      <c r="GRW1111" s="15"/>
      <c r="GRX1111" s="15"/>
      <c r="GSA1111" s="15"/>
      <c r="GSB1111" s="15"/>
      <c r="GSE1111" s="15"/>
      <c r="GSF1111" s="15"/>
      <c r="GSI1111" s="15"/>
      <c r="GSJ1111" s="15"/>
      <c r="GSM1111" s="15"/>
      <c r="GSN1111" s="15"/>
      <c r="GSQ1111" s="15"/>
      <c r="GSR1111" s="15"/>
      <c r="GSU1111" s="15"/>
      <c r="GSV1111" s="15"/>
      <c r="GSY1111" s="15"/>
      <c r="GSZ1111" s="15"/>
      <c r="GTC1111" s="15"/>
      <c r="GTD1111" s="15"/>
      <c r="GTG1111" s="15"/>
      <c r="GTH1111" s="15"/>
      <c r="GTK1111" s="15"/>
      <c r="GTL1111" s="15"/>
      <c r="GTO1111" s="15"/>
      <c r="GTP1111" s="15"/>
      <c r="GTS1111" s="15"/>
      <c r="GTT1111" s="15"/>
      <c r="GTW1111" s="15"/>
      <c r="GTX1111" s="15"/>
      <c r="GUA1111" s="15"/>
      <c r="GUB1111" s="15"/>
      <c r="GUE1111" s="15"/>
      <c r="GUF1111" s="15"/>
      <c r="GUI1111" s="15"/>
      <c r="GUJ1111" s="15"/>
      <c r="GUM1111" s="15"/>
      <c r="GUN1111" s="15"/>
      <c r="GUQ1111" s="15"/>
      <c r="GUR1111" s="15"/>
      <c r="GUU1111" s="15"/>
      <c r="GUV1111" s="15"/>
      <c r="GUY1111" s="15"/>
      <c r="GUZ1111" s="15"/>
      <c r="GVC1111" s="15"/>
      <c r="GVD1111" s="15"/>
      <c r="GVG1111" s="15"/>
      <c r="GVH1111" s="15"/>
      <c r="GVK1111" s="15"/>
      <c r="GVL1111" s="15"/>
      <c r="GVO1111" s="15"/>
      <c r="GVP1111" s="15"/>
      <c r="GVS1111" s="15"/>
      <c r="GVT1111" s="15"/>
      <c r="GVW1111" s="15"/>
      <c r="GVX1111" s="15"/>
      <c r="GWA1111" s="15"/>
      <c r="GWB1111" s="15"/>
      <c r="GWE1111" s="15"/>
      <c r="GWF1111" s="15"/>
      <c r="GWI1111" s="15"/>
      <c r="GWJ1111" s="15"/>
      <c r="GWM1111" s="15"/>
      <c r="GWN1111" s="15"/>
      <c r="GWQ1111" s="15"/>
      <c r="GWR1111" s="15"/>
      <c r="GWU1111" s="15"/>
      <c r="GWV1111" s="15"/>
      <c r="GWY1111" s="15"/>
      <c r="GWZ1111" s="15"/>
      <c r="GXC1111" s="15"/>
      <c r="GXD1111" s="15"/>
      <c r="GXG1111" s="15"/>
      <c r="GXH1111" s="15"/>
      <c r="GXK1111" s="15"/>
      <c r="GXL1111" s="15"/>
      <c r="GXO1111" s="15"/>
      <c r="GXP1111" s="15"/>
      <c r="GXS1111" s="15"/>
      <c r="GXT1111" s="15"/>
      <c r="GXW1111" s="15"/>
      <c r="GXX1111" s="15"/>
      <c r="GYA1111" s="15"/>
      <c r="GYB1111" s="15"/>
      <c r="GYE1111" s="15"/>
      <c r="GYF1111" s="15"/>
      <c r="GYI1111" s="15"/>
      <c r="GYJ1111" s="15"/>
      <c r="GYM1111" s="15"/>
      <c r="GYN1111" s="15"/>
      <c r="GYQ1111" s="15"/>
      <c r="GYR1111" s="15"/>
      <c r="GYU1111" s="15"/>
      <c r="GYV1111" s="15"/>
      <c r="GYY1111" s="15"/>
      <c r="GYZ1111" s="15"/>
      <c r="GZC1111" s="15"/>
      <c r="GZD1111" s="15"/>
      <c r="GZG1111" s="15"/>
      <c r="GZH1111" s="15"/>
      <c r="GZK1111" s="15"/>
      <c r="GZL1111" s="15"/>
      <c r="GZO1111" s="15"/>
      <c r="GZP1111" s="15"/>
      <c r="GZS1111" s="15"/>
      <c r="GZT1111" s="15"/>
      <c r="GZW1111" s="15"/>
      <c r="GZX1111" s="15"/>
      <c r="HAA1111" s="15"/>
      <c r="HAB1111" s="15"/>
      <c r="HAE1111" s="15"/>
      <c r="HAF1111" s="15"/>
      <c r="HAI1111" s="15"/>
      <c r="HAJ1111" s="15"/>
      <c r="HAM1111" s="15"/>
      <c r="HAN1111" s="15"/>
      <c r="HAQ1111" s="15"/>
      <c r="HAR1111" s="15"/>
      <c r="HAU1111" s="15"/>
      <c r="HAV1111" s="15"/>
      <c r="HAY1111" s="15"/>
      <c r="HAZ1111" s="15"/>
      <c r="HBC1111" s="15"/>
      <c r="HBD1111" s="15"/>
      <c r="HBG1111" s="15"/>
      <c r="HBH1111" s="15"/>
      <c r="HBK1111" s="15"/>
      <c r="HBL1111" s="15"/>
      <c r="HBO1111" s="15"/>
      <c r="HBP1111" s="15"/>
      <c r="HBS1111" s="15"/>
      <c r="HBT1111" s="15"/>
      <c r="HBW1111" s="15"/>
      <c r="HBX1111" s="15"/>
      <c r="HCA1111" s="15"/>
      <c r="HCB1111" s="15"/>
      <c r="HCE1111" s="15"/>
      <c r="HCF1111" s="15"/>
      <c r="HCI1111" s="15"/>
      <c r="HCJ1111" s="15"/>
      <c r="HCM1111" s="15"/>
      <c r="HCN1111" s="15"/>
      <c r="HCQ1111" s="15"/>
      <c r="HCR1111" s="15"/>
      <c r="HCU1111" s="15"/>
      <c r="HCV1111" s="15"/>
      <c r="HCY1111" s="15"/>
      <c r="HCZ1111" s="15"/>
      <c r="HDC1111" s="15"/>
      <c r="HDD1111" s="15"/>
      <c r="HDG1111" s="15"/>
      <c r="HDH1111" s="15"/>
      <c r="HDK1111" s="15"/>
      <c r="HDL1111" s="15"/>
      <c r="HDO1111" s="15"/>
      <c r="HDP1111" s="15"/>
      <c r="HDS1111" s="15"/>
      <c r="HDT1111" s="15"/>
      <c r="HDW1111" s="15"/>
      <c r="HDX1111" s="15"/>
      <c r="HEA1111" s="15"/>
      <c r="HEB1111" s="15"/>
      <c r="HEE1111" s="15"/>
      <c r="HEF1111" s="15"/>
      <c r="HEI1111" s="15"/>
      <c r="HEJ1111" s="15"/>
      <c r="HEM1111" s="15"/>
      <c r="HEN1111" s="15"/>
      <c r="HEQ1111" s="15"/>
      <c r="HER1111" s="15"/>
      <c r="HEU1111" s="15"/>
      <c r="HEV1111" s="15"/>
      <c r="HEY1111" s="15"/>
      <c r="HEZ1111" s="15"/>
      <c r="HFC1111" s="15"/>
      <c r="HFD1111" s="15"/>
      <c r="HFG1111" s="15"/>
      <c r="HFH1111" s="15"/>
      <c r="HFK1111" s="15"/>
      <c r="HFL1111" s="15"/>
      <c r="HFO1111" s="15"/>
      <c r="HFP1111" s="15"/>
      <c r="HFS1111" s="15"/>
      <c r="HFT1111" s="15"/>
      <c r="HFW1111" s="15"/>
      <c r="HFX1111" s="15"/>
      <c r="HGA1111" s="15"/>
      <c r="HGB1111" s="15"/>
      <c r="HGE1111" s="15"/>
      <c r="HGF1111" s="15"/>
      <c r="HGI1111" s="15"/>
      <c r="HGJ1111" s="15"/>
      <c r="HGM1111" s="15"/>
      <c r="HGN1111" s="15"/>
      <c r="HGQ1111" s="15"/>
      <c r="HGR1111" s="15"/>
      <c r="HGU1111" s="15"/>
      <c r="HGV1111" s="15"/>
      <c r="HGY1111" s="15"/>
      <c r="HGZ1111" s="15"/>
      <c r="HHC1111" s="15"/>
      <c r="HHD1111" s="15"/>
      <c r="HHG1111" s="15"/>
      <c r="HHH1111" s="15"/>
      <c r="HHK1111" s="15"/>
      <c r="HHL1111" s="15"/>
      <c r="HHO1111" s="15"/>
      <c r="HHP1111" s="15"/>
      <c r="HHS1111" s="15"/>
      <c r="HHT1111" s="15"/>
      <c r="HHW1111" s="15"/>
      <c r="HHX1111" s="15"/>
      <c r="HIA1111" s="15"/>
      <c r="HIB1111" s="15"/>
      <c r="HIE1111" s="15"/>
      <c r="HIF1111" s="15"/>
      <c r="HII1111" s="15"/>
      <c r="HIJ1111" s="15"/>
      <c r="HIM1111" s="15"/>
      <c r="HIN1111" s="15"/>
      <c r="HIQ1111" s="15"/>
      <c r="HIR1111" s="15"/>
      <c r="HIU1111" s="15"/>
      <c r="HIV1111" s="15"/>
      <c r="HIY1111" s="15"/>
      <c r="HIZ1111" s="15"/>
      <c r="HJC1111" s="15"/>
      <c r="HJD1111" s="15"/>
      <c r="HJG1111" s="15"/>
      <c r="HJH1111" s="15"/>
      <c r="HJK1111" s="15"/>
      <c r="HJL1111" s="15"/>
      <c r="HJO1111" s="15"/>
      <c r="HJP1111" s="15"/>
      <c r="HJS1111" s="15"/>
      <c r="HJT1111" s="15"/>
      <c r="HJW1111" s="15"/>
      <c r="HJX1111" s="15"/>
      <c r="HKA1111" s="15"/>
      <c r="HKB1111" s="15"/>
      <c r="HKE1111" s="15"/>
      <c r="HKF1111" s="15"/>
      <c r="HKI1111" s="15"/>
      <c r="HKJ1111" s="15"/>
      <c r="HKM1111" s="15"/>
      <c r="HKN1111" s="15"/>
      <c r="HKQ1111" s="15"/>
      <c r="HKR1111" s="15"/>
      <c r="HKU1111" s="15"/>
      <c r="HKV1111" s="15"/>
      <c r="HKY1111" s="15"/>
      <c r="HKZ1111" s="15"/>
      <c r="HLC1111" s="15"/>
      <c r="HLD1111" s="15"/>
      <c r="HLG1111" s="15"/>
      <c r="HLH1111" s="15"/>
      <c r="HLK1111" s="15"/>
      <c r="HLL1111" s="15"/>
      <c r="HLO1111" s="15"/>
      <c r="HLP1111" s="15"/>
      <c r="HLS1111" s="15"/>
      <c r="HLT1111" s="15"/>
      <c r="HLW1111" s="15"/>
      <c r="HLX1111" s="15"/>
      <c r="HMA1111" s="15"/>
      <c r="HMB1111" s="15"/>
      <c r="HME1111" s="15"/>
      <c r="HMF1111" s="15"/>
      <c r="HMI1111" s="15"/>
      <c r="HMJ1111" s="15"/>
      <c r="HMM1111" s="15"/>
      <c r="HMN1111" s="15"/>
      <c r="HMQ1111" s="15"/>
      <c r="HMR1111" s="15"/>
      <c r="HMU1111" s="15"/>
      <c r="HMV1111" s="15"/>
      <c r="HMY1111" s="15"/>
      <c r="HMZ1111" s="15"/>
      <c r="HNC1111" s="15"/>
      <c r="HND1111" s="15"/>
      <c r="HNG1111" s="15"/>
      <c r="HNH1111" s="15"/>
      <c r="HNK1111" s="15"/>
      <c r="HNL1111" s="15"/>
      <c r="HNO1111" s="15"/>
      <c r="HNP1111" s="15"/>
      <c r="HNS1111" s="15"/>
      <c r="HNT1111" s="15"/>
      <c r="HNW1111" s="15"/>
      <c r="HNX1111" s="15"/>
      <c r="HOA1111" s="15"/>
      <c r="HOB1111" s="15"/>
      <c r="HOE1111" s="15"/>
      <c r="HOF1111" s="15"/>
      <c r="HOI1111" s="15"/>
      <c r="HOJ1111" s="15"/>
      <c r="HOM1111" s="15"/>
      <c r="HON1111" s="15"/>
      <c r="HOQ1111" s="15"/>
      <c r="HOR1111" s="15"/>
      <c r="HOU1111" s="15"/>
      <c r="HOV1111" s="15"/>
      <c r="HOY1111" s="15"/>
      <c r="HOZ1111" s="15"/>
      <c r="HPC1111" s="15"/>
      <c r="HPD1111" s="15"/>
      <c r="HPG1111" s="15"/>
      <c r="HPH1111" s="15"/>
      <c r="HPK1111" s="15"/>
      <c r="HPL1111" s="15"/>
      <c r="HPO1111" s="15"/>
      <c r="HPP1111" s="15"/>
      <c r="HPS1111" s="15"/>
      <c r="HPT1111" s="15"/>
      <c r="HPW1111" s="15"/>
      <c r="HPX1111" s="15"/>
      <c r="HQA1111" s="15"/>
      <c r="HQB1111" s="15"/>
      <c r="HQE1111" s="15"/>
      <c r="HQF1111" s="15"/>
      <c r="HQI1111" s="15"/>
      <c r="HQJ1111" s="15"/>
      <c r="HQM1111" s="15"/>
      <c r="HQN1111" s="15"/>
      <c r="HQQ1111" s="15"/>
      <c r="HQR1111" s="15"/>
      <c r="HQU1111" s="15"/>
      <c r="HQV1111" s="15"/>
      <c r="HQY1111" s="15"/>
      <c r="HQZ1111" s="15"/>
      <c r="HRC1111" s="15"/>
      <c r="HRD1111" s="15"/>
      <c r="HRG1111" s="15"/>
      <c r="HRH1111" s="15"/>
      <c r="HRK1111" s="15"/>
      <c r="HRL1111" s="15"/>
      <c r="HRO1111" s="15"/>
      <c r="HRP1111" s="15"/>
      <c r="HRS1111" s="15"/>
      <c r="HRT1111" s="15"/>
      <c r="HRW1111" s="15"/>
      <c r="HRX1111" s="15"/>
      <c r="HSA1111" s="15"/>
      <c r="HSB1111" s="15"/>
      <c r="HSE1111" s="15"/>
      <c r="HSF1111" s="15"/>
      <c r="HSI1111" s="15"/>
      <c r="HSJ1111" s="15"/>
      <c r="HSM1111" s="15"/>
      <c r="HSN1111" s="15"/>
      <c r="HSQ1111" s="15"/>
      <c r="HSR1111" s="15"/>
      <c r="HSU1111" s="15"/>
      <c r="HSV1111" s="15"/>
      <c r="HSY1111" s="15"/>
      <c r="HSZ1111" s="15"/>
      <c r="HTC1111" s="15"/>
      <c r="HTD1111" s="15"/>
      <c r="HTG1111" s="15"/>
      <c r="HTH1111" s="15"/>
      <c r="HTK1111" s="15"/>
      <c r="HTL1111" s="15"/>
      <c r="HTO1111" s="15"/>
      <c r="HTP1111" s="15"/>
      <c r="HTS1111" s="15"/>
      <c r="HTT1111" s="15"/>
      <c r="HTW1111" s="15"/>
      <c r="HTX1111" s="15"/>
      <c r="HUA1111" s="15"/>
      <c r="HUB1111" s="15"/>
      <c r="HUE1111" s="15"/>
      <c r="HUF1111" s="15"/>
      <c r="HUI1111" s="15"/>
      <c r="HUJ1111" s="15"/>
      <c r="HUM1111" s="15"/>
      <c r="HUN1111" s="15"/>
      <c r="HUQ1111" s="15"/>
      <c r="HUR1111" s="15"/>
      <c r="HUU1111" s="15"/>
      <c r="HUV1111" s="15"/>
      <c r="HUY1111" s="15"/>
      <c r="HUZ1111" s="15"/>
      <c r="HVC1111" s="15"/>
      <c r="HVD1111" s="15"/>
      <c r="HVG1111" s="15"/>
      <c r="HVH1111" s="15"/>
      <c r="HVK1111" s="15"/>
      <c r="HVL1111" s="15"/>
      <c r="HVO1111" s="15"/>
      <c r="HVP1111" s="15"/>
      <c r="HVS1111" s="15"/>
      <c r="HVT1111" s="15"/>
      <c r="HVW1111" s="15"/>
      <c r="HVX1111" s="15"/>
      <c r="HWA1111" s="15"/>
      <c r="HWB1111" s="15"/>
      <c r="HWE1111" s="15"/>
      <c r="HWF1111" s="15"/>
      <c r="HWI1111" s="15"/>
      <c r="HWJ1111" s="15"/>
      <c r="HWM1111" s="15"/>
      <c r="HWN1111" s="15"/>
      <c r="HWQ1111" s="15"/>
      <c r="HWR1111" s="15"/>
      <c r="HWU1111" s="15"/>
      <c r="HWV1111" s="15"/>
      <c r="HWY1111" s="15"/>
      <c r="HWZ1111" s="15"/>
      <c r="HXC1111" s="15"/>
      <c r="HXD1111" s="15"/>
      <c r="HXG1111" s="15"/>
      <c r="HXH1111" s="15"/>
      <c r="HXK1111" s="15"/>
      <c r="HXL1111" s="15"/>
      <c r="HXO1111" s="15"/>
      <c r="HXP1111" s="15"/>
      <c r="HXS1111" s="15"/>
      <c r="HXT1111" s="15"/>
      <c r="HXW1111" s="15"/>
      <c r="HXX1111" s="15"/>
      <c r="HYA1111" s="15"/>
      <c r="HYB1111" s="15"/>
      <c r="HYE1111" s="15"/>
      <c r="HYF1111" s="15"/>
      <c r="HYI1111" s="15"/>
      <c r="HYJ1111" s="15"/>
      <c r="HYM1111" s="15"/>
      <c r="HYN1111" s="15"/>
      <c r="HYQ1111" s="15"/>
      <c r="HYR1111" s="15"/>
      <c r="HYU1111" s="15"/>
      <c r="HYV1111" s="15"/>
      <c r="HYY1111" s="15"/>
      <c r="HYZ1111" s="15"/>
      <c r="HZC1111" s="15"/>
      <c r="HZD1111" s="15"/>
      <c r="HZG1111" s="15"/>
      <c r="HZH1111" s="15"/>
      <c r="HZK1111" s="15"/>
      <c r="HZL1111" s="15"/>
      <c r="HZO1111" s="15"/>
      <c r="HZP1111" s="15"/>
      <c r="HZS1111" s="15"/>
      <c r="HZT1111" s="15"/>
      <c r="HZW1111" s="15"/>
      <c r="HZX1111" s="15"/>
      <c r="IAA1111" s="15"/>
      <c r="IAB1111" s="15"/>
      <c r="IAE1111" s="15"/>
      <c r="IAF1111" s="15"/>
      <c r="IAI1111" s="15"/>
      <c r="IAJ1111" s="15"/>
      <c r="IAM1111" s="15"/>
      <c r="IAN1111" s="15"/>
      <c r="IAQ1111" s="15"/>
      <c r="IAR1111" s="15"/>
      <c r="IAU1111" s="15"/>
      <c r="IAV1111" s="15"/>
      <c r="IAY1111" s="15"/>
      <c r="IAZ1111" s="15"/>
      <c r="IBC1111" s="15"/>
      <c r="IBD1111" s="15"/>
      <c r="IBG1111" s="15"/>
      <c r="IBH1111" s="15"/>
      <c r="IBK1111" s="15"/>
      <c r="IBL1111" s="15"/>
      <c r="IBO1111" s="15"/>
      <c r="IBP1111" s="15"/>
      <c r="IBS1111" s="15"/>
      <c r="IBT1111" s="15"/>
      <c r="IBW1111" s="15"/>
      <c r="IBX1111" s="15"/>
      <c r="ICA1111" s="15"/>
      <c r="ICB1111" s="15"/>
      <c r="ICE1111" s="15"/>
      <c r="ICF1111" s="15"/>
      <c r="ICI1111" s="15"/>
      <c r="ICJ1111" s="15"/>
      <c r="ICM1111" s="15"/>
      <c r="ICN1111" s="15"/>
      <c r="ICQ1111" s="15"/>
      <c r="ICR1111" s="15"/>
      <c r="ICU1111" s="15"/>
      <c r="ICV1111" s="15"/>
      <c r="ICY1111" s="15"/>
      <c r="ICZ1111" s="15"/>
      <c r="IDC1111" s="15"/>
      <c r="IDD1111" s="15"/>
      <c r="IDG1111" s="15"/>
      <c r="IDH1111" s="15"/>
      <c r="IDK1111" s="15"/>
      <c r="IDL1111" s="15"/>
      <c r="IDO1111" s="15"/>
      <c r="IDP1111" s="15"/>
      <c r="IDS1111" s="15"/>
      <c r="IDT1111" s="15"/>
      <c r="IDW1111" s="15"/>
      <c r="IDX1111" s="15"/>
      <c r="IEA1111" s="15"/>
      <c r="IEB1111" s="15"/>
      <c r="IEE1111" s="15"/>
      <c r="IEF1111" s="15"/>
      <c r="IEI1111" s="15"/>
      <c r="IEJ1111" s="15"/>
      <c r="IEM1111" s="15"/>
      <c r="IEN1111" s="15"/>
      <c r="IEQ1111" s="15"/>
      <c r="IER1111" s="15"/>
      <c r="IEU1111" s="15"/>
      <c r="IEV1111" s="15"/>
      <c r="IEY1111" s="15"/>
      <c r="IEZ1111" s="15"/>
      <c r="IFC1111" s="15"/>
      <c r="IFD1111" s="15"/>
      <c r="IFG1111" s="15"/>
      <c r="IFH1111" s="15"/>
      <c r="IFK1111" s="15"/>
      <c r="IFL1111" s="15"/>
      <c r="IFO1111" s="15"/>
      <c r="IFP1111" s="15"/>
      <c r="IFS1111" s="15"/>
      <c r="IFT1111" s="15"/>
      <c r="IFW1111" s="15"/>
      <c r="IFX1111" s="15"/>
      <c r="IGA1111" s="15"/>
      <c r="IGB1111" s="15"/>
      <c r="IGE1111" s="15"/>
      <c r="IGF1111" s="15"/>
      <c r="IGI1111" s="15"/>
      <c r="IGJ1111" s="15"/>
      <c r="IGM1111" s="15"/>
      <c r="IGN1111" s="15"/>
      <c r="IGQ1111" s="15"/>
      <c r="IGR1111" s="15"/>
      <c r="IGU1111" s="15"/>
      <c r="IGV1111" s="15"/>
      <c r="IGY1111" s="15"/>
      <c r="IGZ1111" s="15"/>
      <c r="IHC1111" s="15"/>
      <c r="IHD1111" s="15"/>
      <c r="IHG1111" s="15"/>
      <c r="IHH1111" s="15"/>
      <c r="IHK1111" s="15"/>
      <c r="IHL1111" s="15"/>
      <c r="IHO1111" s="15"/>
      <c r="IHP1111" s="15"/>
      <c r="IHS1111" s="15"/>
      <c r="IHT1111" s="15"/>
      <c r="IHW1111" s="15"/>
      <c r="IHX1111" s="15"/>
      <c r="IIA1111" s="15"/>
      <c r="IIB1111" s="15"/>
      <c r="IIE1111" s="15"/>
      <c r="IIF1111" s="15"/>
      <c r="III1111" s="15"/>
      <c r="IIJ1111" s="15"/>
      <c r="IIM1111" s="15"/>
      <c r="IIN1111" s="15"/>
      <c r="IIQ1111" s="15"/>
      <c r="IIR1111" s="15"/>
      <c r="IIU1111" s="15"/>
      <c r="IIV1111" s="15"/>
      <c r="IIY1111" s="15"/>
      <c r="IIZ1111" s="15"/>
      <c r="IJC1111" s="15"/>
      <c r="IJD1111" s="15"/>
      <c r="IJG1111" s="15"/>
      <c r="IJH1111" s="15"/>
      <c r="IJK1111" s="15"/>
      <c r="IJL1111" s="15"/>
      <c r="IJO1111" s="15"/>
      <c r="IJP1111" s="15"/>
      <c r="IJS1111" s="15"/>
      <c r="IJT1111" s="15"/>
      <c r="IJW1111" s="15"/>
      <c r="IJX1111" s="15"/>
      <c r="IKA1111" s="15"/>
      <c r="IKB1111" s="15"/>
      <c r="IKE1111" s="15"/>
      <c r="IKF1111" s="15"/>
      <c r="IKI1111" s="15"/>
      <c r="IKJ1111" s="15"/>
      <c r="IKM1111" s="15"/>
      <c r="IKN1111" s="15"/>
      <c r="IKQ1111" s="15"/>
      <c r="IKR1111" s="15"/>
      <c r="IKU1111" s="15"/>
      <c r="IKV1111" s="15"/>
      <c r="IKY1111" s="15"/>
      <c r="IKZ1111" s="15"/>
      <c r="ILC1111" s="15"/>
      <c r="ILD1111" s="15"/>
      <c r="ILG1111" s="15"/>
      <c r="ILH1111" s="15"/>
      <c r="ILK1111" s="15"/>
      <c r="ILL1111" s="15"/>
      <c r="ILO1111" s="15"/>
      <c r="ILP1111" s="15"/>
      <c r="ILS1111" s="15"/>
      <c r="ILT1111" s="15"/>
      <c r="ILW1111" s="15"/>
      <c r="ILX1111" s="15"/>
      <c r="IMA1111" s="15"/>
      <c r="IMB1111" s="15"/>
      <c r="IME1111" s="15"/>
      <c r="IMF1111" s="15"/>
      <c r="IMI1111" s="15"/>
      <c r="IMJ1111" s="15"/>
      <c r="IMM1111" s="15"/>
      <c r="IMN1111" s="15"/>
      <c r="IMQ1111" s="15"/>
      <c r="IMR1111" s="15"/>
      <c r="IMU1111" s="15"/>
      <c r="IMV1111" s="15"/>
      <c r="IMY1111" s="15"/>
      <c r="IMZ1111" s="15"/>
      <c r="INC1111" s="15"/>
      <c r="IND1111" s="15"/>
      <c r="ING1111" s="15"/>
      <c r="INH1111" s="15"/>
      <c r="INK1111" s="15"/>
      <c r="INL1111" s="15"/>
      <c r="INO1111" s="15"/>
      <c r="INP1111" s="15"/>
      <c r="INS1111" s="15"/>
      <c r="INT1111" s="15"/>
      <c r="INW1111" s="15"/>
      <c r="INX1111" s="15"/>
      <c r="IOA1111" s="15"/>
      <c r="IOB1111" s="15"/>
      <c r="IOE1111" s="15"/>
      <c r="IOF1111" s="15"/>
      <c r="IOI1111" s="15"/>
      <c r="IOJ1111" s="15"/>
      <c r="IOM1111" s="15"/>
      <c r="ION1111" s="15"/>
      <c r="IOQ1111" s="15"/>
      <c r="IOR1111" s="15"/>
      <c r="IOU1111" s="15"/>
      <c r="IOV1111" s="15"/>
      <c r="IOY1111" s="15"/>
      <c r="IOZ1111" s="15"/>
      <c r="IPC1111" s="15"/>
      <c r="IPD1111" s="15"/>
      <c r="IPG1111" s="15"/>
      <c r="IPH1111" s="15"/>
      <c r="IPK1111" s="15"/>
      <c r="IPL1111" s="15"/>
      <c r="IPO1111" s="15"/>
      <c r="IPP1111" s="15"/>
      <c r="IPS1111" s="15"/>
      <c r="IPT1111" s="15"/>
      <c r="IPW1111" s="15"/>
      <c r="IPX1111" s="15"/>
      <c r="IQA1111" s="15"/>
      <c r="IQB1111" s="15"/>
      <c r="IQE1111" s="15"/>
      <c r="IQF1111" s="15"/>
      <c r="IQI1111" s="15"/>
      <c r="IQJ1111" s="15"/>
      <c r="IQM1111" s="15"/>
      <c r="IQN1111" s="15"/>
      <c r="IQQ1111" s="15"/>
      <c r="IQR1111" s="15"/>
      <c r="IQU1111" s="15"/>
      <c r="IQV1111" s="15"/>
      <c r="IQY1111" s="15"/>
      <c r="IQZ1111" s="15"/>
      <c r="IRC1111" s="15"/>
      <c r="IRD1111" s="15"/>
      <c r="IRG1111" s="15"/>
      <c r="IRH1111" s="15"/>
      <c r="IRK1111" s="15"/>
      <c r="IRL1111" s="15"/>
      <c r="IRO1111" s="15"/>
      <c r="IRP1111" s="15"/>
      <c r="IRS1111" s="15"/>
      <c r="IRT1111" s="15"/>
      <c r="IRW1111" s="15"/>
      <c r="IRX1111" s="15"/>
      <c r="ISA1111" s="15"/>
      <c r="ISB1111" s="15"/>
      <c r="ISE1111" s="15"/>
      <c r="ISF1111" s="15"/>
      <c r="ISI1111" s="15"/>
      <c r="ISJ1111" s="15"/>
      <c r="ISM1111" s="15"/>
      <c r="ISN1111" s="15"/>
      <c r="ISQ1111" s="15"/>
      <c r="ISR1111" s="15"/>
      <c r="ISU1111" s="15"/>
      <c r="ISV1111" s="15"/>
      <c r="ISY1111" s="15"/>
      <c r="ISZ1111" s="15"/>
      <c r="ITC1111" s="15"/>
      <c r="ITD1111" s="15"/>
      <c r="ITG1111" s="15"/>
      <c r="ITH1111" s="15"/>
      <c r="ITK1111" s="15"/>
      <c r="ITL1111" s="15"/>
      <c r="ITO1111" s="15"/>
      <c r="ITP1111" s="15"/>
      <c r="ITS1111" s="15"/>
      <c r="ITT1111" s="15"/>
      <c r="ITW1111" s="15"/>
      <c r="ITX1111" s="15"/>
      <c r="IUA1111" s="15"/>
      <c r="IUB1111" s="15"/>
      <c r="IUE1111" s="15"/>
      <c r="IUF1111" s="15"/>
      <c r="IUI1111" s="15"/>
      <c r="IUJ1111" s="15"/>
      <c r="IUM1111" s="15"/>
      <c r="IUN1111" s="15"/>
      <c r="IUQ1111" s="15"/>
      <c r="IUR1111" s="15"/>
      <c r="IUU1111" s="15"/>
      <c r="IUV1111" s="15"/>
      <c r="IUY1111" s="15"/>
      <c r="IUZ1111" s="15"/>
      <c r="IVC1111" s="15"/>
      <c r="IVD1111" s="15"/>
      <c r="IVG1111" s="15"/>
      <c r="IVH1111" s="15"/>
      <c r="IVK1111" s="15"/>
      <c r="IVL1111" s="15"/>
      <c r="IVO1111" s="15"/>
      <c r="IVP1111" s="15"/>
      <c r="IVS1111" s="15"/>
      <c r="IVT1111" s="15"/>
      <c r="IVW1111" s="15"/>
      <c r="IVX1111" s="15"/>
      <c r="IWA1111" s="15"/>
      <c r="IWB1111" s="15"/>
      <c r="IWE1111" s="15"/>
      <c r="IWF1111" s="15"/>
      <c r="IWI1111" s="15"/>
      <c r="IWJ1111" s="15"/>
      <c r="IWM1111" s="15"/>
      <c r="IWN1111" s="15"/>
      <c r="IWQ1111" s="15"/>
      <c r="IWR1111" s="15"/>
      <c r="IWU1111" s="15"/>
      <c r="IWV1111" s="15"/>
      <c r="IWY1111" s="15"/>
      <c r="IWZ1111" s="15"/>
      <c r="IXC1111" s="15"/>
      <c r="IXD1111" s="15"/>
      <c r="IXG1111" s="15"/>
      <c r="IXH1111" s="15"/>
      <c r="IXK1111" s="15"/>
      <c r="IXL1111" s="15"/>
      <c r="IXO1111" s="15"/>
      <c r="IXP1111" s="15"/>
      <c r="IXS1111" s="15"/>
      <c r="IXT1111" s="15"/>
      <c r="IXW1111" s="15"/>
      <c r="IXX1111" s="15"/>
      <c r="IYA1111" s="15"/>
      <c r="IYB1111" s="15"/>
      <c r="IYE1111" s="15"/>
      <c r="IYF1111" s="15"/>
      <c r="IYI1111" s="15"/>
      <c r="IYJ1111" s="15"/>
      <c r="IYM1111" s="15"/>
      <c r="IYN1111" s="15"/>
      <c r="IYQ1111" s="15"/>
      <c r="IYR1111" s="15"/>
      <c r="IYU1111" s="15"/>
      <c r="IYV1111" s="15"/>
      <c r="IYY1111" s="15"/>
      <c r="IYZ1111" s="15"/>
      <c r="IZC1111" s="15"/>
      <c r="IZD1111" s="15"/>
      <c r="IZG1111" s="15"/>
      <c r="IZH1111" s="15"/>
      <c r="IZK1111" s="15"/>
      <c r="IZL1111" s="15"/>
      <c r="IZO1111" s="15"/>
      <c r="IZP1111" s="15"/>
      <c r="IZS1111" s="15"/>
      <c r="IZT1111" s="15"/>
      <c r="IZW1111" s="15"/>
      <c r="IZX1111" s="15"/>
      <c r="JAA1111" s="15"/>
      <c r="JAB1111" s="15"/>
      <c r="JAE1111" s="15"/>
      <c r="JAF1111" s="15"/>
      <c r="JAI1111" s="15"/>
      <c r="JAJ1111" s="15"/>
      <c r="JAM1111" s="15"/>
      <c r="JAN1111" s="15"/>
      <c r="JAQ1111" s="15"/>
      <c r="JAR1111" s="15"/>
      <c r="JAU1111" s="15"/>
      <c r="JAV1111" s="15"/>
      <c r="JAY1111" s="15"/>
      <c r="JAZ1111" s="15"/>
      <c r="JBC1111" s="15"/>
      <c r="JBD1111" s="15"/>
      <c r="JBG1111" s="15"/>
      <c r="JBH1111" s="15"/>
      <c r="JBK1111" s="15"/>
      <c r="JBL1111" s="15"/>
      <c r="JBO1111" s="15"/>
      <c r="JBP1111" s="15"/>
      <c r="JBS1111" s="15"/>
      <c r="JBT1111" s="15"/>
      <c r="JBW1111" s="15"/>
      <c r="JBX1111" s="15"/>
      <c r="JCA1111" s="15"/>
      <c r="JCB1111" s="15"/>
      <c r="JCE1111" s="15"/>
      <c r="JCF1111" s="15"/>
      <c r="JCI1111" s="15"/>
      <c r="JCJ1111" s="15"/>
      <c r="JCM1111" s="15"/>
      <c r="JCN1111" s="15"/>
      <c r="JCQ1111" s="15"/>
      <c r="JCR1111" s="15"/>
      <c r="JCU1111" s="15"/>
      <c r="JCV1111" s="15"/>
      <c r="JCY1111" s="15"/>
      <c r="JCZ1111" s="15"/>
      <c r="JDC1111" s="15"/>
      <c r="JDD1111" s="15"/>
      <c r="JDG1111" s="15"/>
      <c r="JDH1111" s="15"/>
      <c r="JDK1111" s="15"/>
      <c r="JDL1111" s="15"/>
      <c r="JDO1111" s="15"/>
      <c r="JDP1111" s="15"/>
      <c r="JDS1111" s="15"/>
      <c r="JDT1111" s="15"/>
      <c r="JDW1111" s="15"/>
      <c r="JDX1111" s="15"/>
      <c r="JEA1111" s="15"/>
      <c r="JEB1111" s="15"/>
      <c r="JEE1111" s="15"/>
      <c r="JEF1111" s="15"/>
      <c r="JEI1111" s="15"/>
      <c r="JEJ1111" s="15"/>
      <c r="JEM1111" s="15"/>
      <c r="JEN1111" s="15"/>
      <c r="JEQ1111" s="15"/>
      <c r="JER1111" s="15"/>
      <c r="JEU1111" s="15"/>
      <c r="JEV1111" s="15"/>
      <c r="JEY1111" s="15"/>
      <c r="JEZ1111" s="15"/>
      <c r="JFC1111" s="15"/>
      <c r="JFD1111" s="15"/>
      <c r="JFG1111" s="15"/>
      <c r="JFH1111" s="15"/>
      <c r="JFK1111" s="15"/>
      <c r="JFL1111" s="15"/>
      <c r="JFO1111" s="15"/>
      <c r="JFP1111" s="15"/>
      <c r="JFS1111" s="15"/>
      <c r="JFT1111" s="15"/>
      <c r="JFW1111" s="15"/>
      <c r="JFX1111" s="15"/>
      <c r="JGA1111" s="15"/>
      <c r="JGB1111" s="15"/>
      <c r="JGE1111" s="15"/>
      <c r="JGF1111" s="15"/>
      <c r="JGI1111" s="15"/>
      <c r="JGJ1111" s="15"/>
      <c r="JGM1111" s="15"/>
      <c r="JGN1111" s="15"/>
      <c r="JGQ1111" s="15"/>
      <c r="JGR1111" s="15"/>
      <c r="JGU1111" s="15"/>
      <c r="JGV1111" s="15"/>
      <c r="JGY1111" s="15"/>
      <c r="JGZ1111" s="15"/>
      <c r="JHC1111" s="15"/>
      <c r="JHD1111" s="15"/>
      <c r="JHG1111" s="15"/>
      <c r="JHH1111" s="15"/>
      <c r="JHK1111" s="15"/>
      <c r="JHL1111" s="15"/>
      <c r="JHO1111" s="15"/>
      <c r="JHP1111" s="15"/>
      <c r="JHS1111" s="15"/>
      <c r="JHT1111" s="15"/>
      <c r="JHW1111" s="15"/>
      <c r="JHX1111" s="15"/>
      <c r="JIA1111" s="15"/>
      <c r="JIB1111" s="15"/>
      <c r="JIE1111" s="15"/>
      <c r="JIF1111" s="15"/>
      <c r="JII1111" s="15"/>
      <c r="JIJ1111" s="15"/>
      <c r="JIM1111" s="15"/>
      <c r="JIN1111" s="15"/>
      <c r="JIQ1111" s="15"/>
      <c r="JIR1111" s="15"/>
      <c r="JIU1111" s="15"/>
      <c r="JIV1111" s="15"/>
      <c r="JIY1111" s="15"/>
      <c r="JIZ1111" s="15"/>
      <c r="JJC1111" s="15"/>
      <c r="JJD1111" s="15"/>
      <c r="JJG1111" s="15"/>
      <c r="JJH1111" s="15"/>
      <c r="JJK1111" s="15"/>
      <c r="JJL1111" s="15"/>
      <c r="JJO1111" s="15"/>
      <c r="JJP1111" s="15"/>
      <c r="JJS1111" s="15"/>
      <c r="JJT1111" s="15"/>
      <c r="JJW1111" s="15"/>
      <c r="JJX1111" s="15"/>
      <c r="JKA1111" s="15"/>
      <c r="JKB1111" s="15"/>
      <c r="JKE1111" s="15"/>
      <c r="JKF1111" s="15"/>
      <c r="JKI1111" s="15"/>
      <c r="JKJ1111" s="15"/>
      <c r="JKM1111" s="15"/>
      <c r="JKN1111" s="15"/>
      <c r="JKQ1111" s="15"/>
      <c r="JKR1111" s="15"/>
      <c r="JKU1111" s="15"/>
      <c r="JKV1111" s="15"/>
      <c r="JKY1111" s="15"/>
      <c r="JKZ1111" s="15"/>
      <c r="JLC1111" s="15"/>
      <c r="JLD1111" s="15"/>
      <c r="JLG1111" s="15"/>
      <c r="JLH1111" s="15"/>
      <c r="JLK1111" s="15"/>
      <c r="JLL1111" s="15"/>
      <c r="JLO1111" s="15"/>
      <c r="JLP1111" s="15"/>
      <c r="JLS1111" s="15"/>
      <c r="JLT1111" s="15"/>
      <c r="JLW1111" s="15"/>
      <c r="JLX1111" s="15"/>
      <c r="JMA1111" s="15"/>
      <c r="JMB1111" s="15"/>
      <c r="JME1111" s="15"/>
      <c r="JMF1111" s="15"/>
      <c r="JMI1111" s="15"/>
      <c r="JMJ1111" s="15"/>
      <c r="JMM1111" s="15"/>
      <c r="JMN1111" s="15"/>
      <c r="JMQ1111" s="15"/>
      <c r="JMR1111" s="15"/>
      <c r="JMU1111" s="15"/>
      <c r="JMV1111" s="15"/>
      <c r="JMY1111" s="15"/>
      <c r="JMZ1111" s="15"/>
      <c r="JNC1111" s="15"/>
      <c r="JND1111" s="15"/>
      <c r="JNG1111" s="15"/>
      <c r="JNH1111" s="15"/>
      <c r="JNK1111" s="15"/>
      <c r="JNL1111" s="15"/>
      <c r="JNO1111" s="15"/>
      <c r="JNP1111" s="15"/>
      <c r="JNS1111" s="15"/>
      <c r="JNT1111" s="15"/>
      <c r="JNW1111" s="15"/>
      <c r="JNX1111" s="15"/>
      <c r="JOA1111" s="15"/>
      <c r="JOB1111" s="15"/>
      <c r="JOE1111" s="15"/>
      <c r="JOF1111" s="15"/>
      <c r="JOI1111" s="15"/>
      <c r="JOJ1111" s="15"/>
      <c r="JOM1111" s="15"/>
      <c r="JON1111" s="15"/>
      <c r="JOQ1111" s="15"/>
      <c r="JOR1111" s="15"/>
      <c r="JOU1111" s="15"/>
      <c r="JOV1111" s="15"/>
      <c r="JOY1111" s="15"/>
      <c r="JOZ1111" s="15"/>
      <c r="JPC1111" s="15"/>
      <c r="JPD1111" s="15"/>
      <c r="JPG1111" s="15"/>
      <c r="JPH1111" s="15"/>
      <c r="JPK1111" s="15"/>
      <c r="JPL1111" s="15"/>
      <c r="JPO1111" s="15"/>
      <c r="JPP1111" s="15"/>
      <c r="JPS1111" s="15"/>
      <c r="JPT1111" s="15"/>
      <c r="JPW1111" s="15"/>
      <c r="JPX1111" s="15"/>
      <c r="JQA1111" s="15"/>
      <c r="JQB1111" s="15"/>
      <c r="JQE1111" s="15"/>
      <c r="JQF1111" s="15"/>
      <c r="JQI1111" s="15"/>
      <c r="JQJ1111" s="15"/>
      <c r="JQM1111" s="15"/>
      <c r="JQN1111" s="15"/>
      <c r="JQQ1111" s="15"/>
      <c r="JQR1111" s="15"/>
      <c r="JQU1111" s="15"/>
      <c r="JQV1111" s="15"/>
      <c r="JQY1111" s="15"/>
      <c r="JQZ1111" s="15"/>
      <c r="JRC1111" s="15"/>
      <c r="JRD1111" s="15"/>
      <c r="JRG1111" s="15"/>
      <c r="JRH1111" s="15"/>
      <c r="JRK1111" s="15"/>
      <c r="JRL1111" s="15"/>
      <c r="JRO1111" s="15"/>
      <c r="JRP1111" s="15"/>
      <c r="JRS1111" s="15"/>
      <c r="JRT1111" s="15"/>
      <c r="JRW1111" s="15"/>
      <c r="JRX1111" s="15"/>
      <c r="JSA1111" s="15"/>
      <c r="JSB1111" s="15"/>
      <c r="JSE1111" s="15"/>
      <c r="JSF1111" s="15"/>
      <c r="JSI1111" s="15"/>
      <c r="JSJ1111" s="15"/>
      <c r="JSM1111" s="15"/>
      <c r="JSN1111" s="15"/>
      <c r="JSQ1111" s="15"/>
      <c r="JSR1111" s="15"/>
      <c r="JSU1111" s="15"/>
      <c r="JSV1111" s="15"/>
      <c r="JSY1111" s="15"/>
      <c r="JSZ1111" s="15"/>
      <c r="JTC1111" s="15"/>
      <c r="JTD1111" s="15"/>
      <c r="JTG1111" s="15"/>
      <c r="JTH1111" s="15"/>
      <c r="JTK1111" s="15"/>
      <c r="JTL1111" s="15"/>
      <c r="JTO1111" s="15"/>
      <c r="JTP1111" s="15"/>
      <c r="JTS1111" s="15"/>
      <c r="JTT1111" s="15"/>
      <c r="JTW1111" s="15"/>
      <c r="JTX1111" s="15"/>
      <c r="JUA1111" s="15"/>
      <c r="JUB1111" s="15"/>
      <c r="JUE1111" s="15"/>
      <c r="JUF1111" s="15"/>
      <c r="JUI1111" s="15"/>
      <c r="JUJ1111" s="15"/>
      <c r="JUM1111" s="15"/>
      <c r="JUN1111" s="15"/>
      <c r="JUQ1111" s="15"/>
      <c r="JUR1111" s="15"/>
      <c r="JUU1111" s="15"/>
      <c r="JUV1111" s="15"/>
      <c r="JUY1111" s="15"/>
      <c r="JUZ1111" s="15"/>
      <c r="JVC1111" s="15"/>
      <c r="JVD1111" s="15"/>
      <c r="JVG1111" s="15"/>
      <c r="JVH1111" s="15"/>
      <c r="JVK1111" s="15"/>
      <c r="JVL1111" s="15"/>
      <c r="JVO1111" s="15"/>
      <c r="JVP1111" s="15"/>
      <c r="JVS1111" s="15"/>
      <c r="JVT1111" s="15"/>
      <c r="JVW1111" s="15"/>
      <c r="JVX1111" s="15"/>
      <c r="JWA1111" s="15"/>
      <c r="JWB1111" s="15"/>
      <c r="JWE1111" s="15"/>
      <c r="JWF1111" s="15"/>
      <c r="JWI1111" s="15"/>
      <c r="JWJ1111" s="15"/>
      <c r="JWM1111" s="15"/>
      <c r="JWN1111" s="15"/>
      <c r="JWQ1111" s="15"/>
      <c r="JWR1111" s="15"/>
      <c r="JWU1111" s="15"/>
      <c r="JWV1111" s="15"/>
      <c r="JWY1111" s="15"/>
      <c r="JWZ1111" s="15"/>
      <c r="JXC1111" s="15"/>
      <c r="JXD1111" s="15"/>
      <c r="JXG1111" s="15"/>
      <c r="JXH1111" s="15"/>
      <c r="JXK1111" s="15"/>
      <c r="JXL1111" s="15"/>
      <c r="JXO1111" s="15"/>
      <c r="JXP1111" s="15"/>
      <c r="JXS1111" s="15"/>
      <c r="JXT1111" s="15"/>
      <c r="JXW1111" s="15"/>
      <c r="JXX1111" s="15"/>
      <c r="JYA1111" s="15"/>
      <c r="JYB1111" s="15"/>
      <c r="JYE1111" s="15"/>
      <c r="JYF1111" s="15"/>
      <c r="JYI1111" s="15"/>
      <c r="JYJ1111" s="15"/>
      <c r="JYM1111" s="15"/>
      <c r="JYN1111" s="15"/>
      <c r="JYQ1111" s="15"/>
      <c r="JYR1111" s="15"/>
      <c r="JYU1111" s="15"/>
      <c r="JYV1111" s="15"/>
      <c r="JYY1111" s="15"/>
      <c r="JYZ1111" s="15"/>
      <c r="JZC1111" s="15"/>
      <c r="JZD1111" s="15"/>
      <c r="JZG1111" s="15"/>
      <c r="JZH1111" s="15"/>
      <c r="JZK1111" s="15"/>
      <c r="JZL1111" s="15"/>
      <c r="JZO1111" s="15"/>
      <c r="JZP1111" s="15"/>
      <c r="JZS1111" s="15"/>
      <c r="JZT1111" s="15"/>
      <c r="JZW1111" s="15"/>
      <c r="JZX1111" s="15"/>
      <c r="KAA1111" s="15"/>
      <c r="KAB1111" s="15"/>
      <c r="KAE1111" s="15"/>
      <c r="KAF1111" s="15"/>
      <c r="KAI1111" s="15"/>
      <c r="KAJ1111" s="15"/>
      <c r="KAM1111" s="15"/>
      <c r="KAN1111" s="15"/>
      <c r="KAQ1111" s="15"/>
      <c r="KAR1111" s="15"/>
      <c r="KAU1111" s="15"/>
      <c r="KAV1111" s="15"/>
      <c r="KAY1111" s="15"/>
      <c r="KAZ1111" s="15"/>
      <c r="KBC1111" s="15"/>
      <c r="KBD1111" s="15"/>
      <c r="KBG1111" s="15"/>
      <c r="KBH1111" s="15"/>
      <c r="KBK1111" s="15"/>
      <c r="KBL1111" s="15"/>
      <c r="KBO1111" s="15"/>
      <c r="KBP1111" s="15"/>
      <c r="KBS1111" s="15"/>
      <c r="KBT1111" s="15"/>
      <c r="KBW1111" s="15"/>
      <c r="KBX1111" s="15"/>
      <c r="KCA1111" s="15"/>
      <c r="KCB1111" s="15"/>
      <c r="KCE1111" s="15"/>
      <c r="KCF1111" s="15"/>
      <c r="KCI1111" s="15"/>
      <c r="KCJ1111" s="15"/>
      <c r="KCM1111" s="15"/>
      <c r="KCN1111" s="15"/>
      <c r="KCQ1111" s="15"/>
      <c r="KCR1111" s="15"/>
      <c r="KCU1111" s="15"/>
      <c r="KCV1111" s="15"/>
      <c r="KCY1111" s="15"/>
      <c r="KCZ1111" s="15"/>
      <c r="KDC1111" s="15"/>
      <c r="KDD1111" s="15"/>
      <c r="KDG1111" s="15"/>
      <c r="KDH1111" s="15"/>
      <c r="KDK1111" s="15"/>
      <c r="KDL1111" s="15"/>
      <c r="KDO1111" s="15"/>
      <c r="KDP1111" s="15"/>
      <c r="KDS1111" s="15"/>
      <c r="KDT1111" s="15"/>
      <c r="KDW1111" s="15"/>
      <c r="KDX1111" s="15"/>
      <c r="KEA1111" s="15"/>
      <c r="KEB1111" s="15"/>
      <c r="KEE1111" s="15"/>
      <c r="KEF1111" s="15"/>
      <c r="KEI1111" s="15"/>
      <c r="KEJ1111" s="15"/>
      <c r="KEM1111" s="15"/>
      <c r="KEN1111" s="15"/>
      <c r="KEQ1111" s="15"/>
      <c r="KER1111" s="15"/>
      <c r="KEU1111" s="15"/>
      <c r="KEV1111" s="15"/>
      <c r="KEY1111" s="15"/>
      <c r="KEZ1111" s="15"/>
      <c r="KFC1111" s="15"/>
      <c r="KFD1111" s="15"/>
      <c r="KFG1111" s="15"/>
      <c r="KFH1111" s="15"/>
      <c r="KFK1111" s="15"/>
      <c r="KFL1111" s="15"/>
      <c r="KFO1111" s="15"/>
      <c r="KFP1111" s="15"/>
      <c r="KFS1111" s="15"/>
      <c r="KFT1111" s="15"/>
      <c r="KFW1111" s="15"/>
      <c r="KFX1111" s="15"/>
      <c r="KGA1111" s="15"/>
      <c r="KGB1111" s="15"/>
      <c r="KGE1111" s="15"/>
      <c r="KGF1111" s="15"/>
      <c r="KGI1111" s="15"/>
      <c r="KGJ1111" s="15"/>
      <c r="KGM1111" s="15"/>
      <c r="KGN1111" s="15"/>
      <c r="KGQ1111" s="15"/>
      <c r="KGR1111" s="15"/>
      <c r="KGU1111" s="15"/>
      <c r="KGV1111" s="15"/>
      <c r="KGY1111" s="15"/>
      <c r="KGZ1111" s="15"/>
      <c r="KHC1111" s="15"/>
      <c r="KHD1111" s="15"/>
      <c r="KHG1111" s="15"/>
      <c r="KHH1111" s="15"/>
      <c r="KHK1111" s="15"/>
      <c r="KHL1111" s="15"/>
      <c r="KHO1111" s="15"/>
      <c r="KHP1111" s="15"/>
      <c r="KHS1111" s="15"/>
      <c r="KHT1111" s="15"/>
      <c r="KHW1111" s="15"/>
      <c r="KHX1111" s="15"/>
      <c r="KIA1111" s="15"/>
      <c r="KIB1111" s="15"/>
      <c r="KIE1111" s="15"/>
      <c r="KIF1111" s="15"/>
      <c r="KII1111" s="15"/>
      <c r="KIJ1111" s="15"/>
      <c r="KIM1111" s="15"/>
      <c r="KIN1111" s="15"/>
      <c r="KIQ1111" s="15"/>
      <c r="KIR1111" s="15"/>
      <c r="KIU1111" s="15"/>
      <c r="KIV1111" s="15"/>
      <c r="KIY1111" s="15"/>
      <c r="KIZ1111" s="15"/>
      <c r="KJC1111" s="15"/>
      <c r="KJD1111" s="15"/>
      <c r="KJG1111" s="15"/>
      <c r="KJH1111" s="15"/>
      <c r="KJK1111" s="15"/>
      <c r="KJL1111" s="15"/>
      <c r="KJO1111" s="15"/>
      <c r="KJP1111" s="15"/>
      <c r="KJS1111" s="15"/>
      <c r="KJT1111" s="15"/>
      <c r="KJW1111" s="15"/>
      <c r="KJX1111" s="15"/>
      <c r="KKA1111" s="15"/>
      <c r="KKB1111" s="15"/>
      <c r="KKE1111" s="15"/>
      <c r="KKF1111" s="15"/>
      <c r="KKI1111" s="15"/>
      <c r="KKJ1111" s="15"/>
      <c r="KKM1111" s="15"/>
      <c r="KKN1111" s="15"/>
      <c r="KKQ1111" s="15"/>
      <c r="KKR1111" s="15"/>
      <c r="KKU1111" s="15"/>
      <c r="KKV1111" s="15"/>
      <c r="KKY1111" s="15"/>
      <c r="KKZ1111" s="15"/>
      <c r="KLC1111" s="15"/>
      <c r="KLD1111" s="15"/>
      <c r="KLG1111" s="15"/>
      <c r="KLH1111" s="15"/>
      <c r="KLK1111" s="15"/>
      <c r="KLL1111" s="15"/>
      <c r="KLO1111" s="15"/>
      <c r="KLP1111" s="15"/>
      <c r="KLS1111" s="15"/>
      <c r="KLT1111" s="15"/>
      <c r="KLW1111" s="15"/>
      <c r="KLX1111" s="15"/>
      <c r="KMA1111" s="15"/>
      <c r="KMB1111" s="15"/>
      <c r="KME1111" s="15"/>
      <c r="KMF1111" s="15"/>
      <c r="KMI1111" s="15"/>
      <c r="KMJ1111" s="15"/>
      <c r="KMM1111" s="15"/>
      <c r="KMN1111" s="15"/>
      <c r="KMQ1111" s="15"/>
      <c r="KMR1111" s="15"/>
      <c r="KMU1111" s="15"/>
      <c r="KMV1111" s="15"/>
      <c r="KMY1111" s="15"/>
      <c r="KMZ1111" s="15"/>
      <c r="KNC1111" s="15"/>
      <c r="KND1111" s="15"/>
      <c r="KNG1111" s="15"/>
      <c r="KNH1111" s="15"/>
      <c r="KNK1111" s="15"/>
      <c r="KNL1111" s="15"/>
      <c r="KNO1111" s="15"/>
      <c r="KNP1111" s="15"/>
      <c r="KNS1111" s="15"/>
      <c r="KNT1111" s="15"/>
      <c r="KNW1111" s="15"/>
      <c r="KNX1111" s="15"/>
      <c r="KOA1111" s="15"/>
      <c r="KOB1111" s="15"/>
      <c r="KOE1111" s="15"/>
      <c r="KOF1111" s="15"/>
      <c r="KOI1111" s="15"/>
      <c r="KOJ1111" s="15"/>
      <c r="KOM1111" s="15"/>
      <c r="KON1111" s="15"/>
      <c r="KOQ1111" s="15"/>
      <c r="KOR1111" s="15"/>
      <c r="KOU1111" s="15"/>
      <c r="KOV1111" s="15"/>
      <c r="KOY1111" s="15"/>
      <c r="KOZ1111" s="15"/>
      <c r="KPC1111" s="15"/>
      <c r="KPD1111" s="15"/>
      <c r="KPG1111" s="15"/>
      <c r="KPH1111" s="15"/>
      <c r="KPK1111" s="15"/>
      <c r="KPL1111" s="15"/>
      <c r="KPO1111" s="15"/>
      <c r="KPP1111" s="15"/>
      <c r="KPS1111" s="15"/>
      <c r="KPT1111" s="15"/>
      <c r="KPW1111" s="15"/>
      <c r="KPX1111" s="15"/>
      <c r="KQA1111" s="15"/>
      <c r="KQB1111" s="15"/>
      <c r="KQE1111" s="15"/>
      <c r="KQF1111" s="15"/>
      <c r="KQI1111" s="15"/>
      <c r="KQJ1111" s="15"/>
      <c r="KQM1111" s="15"/>
      <c r="KQN1111" s="15"/>
      <c r="KQQ1111" s="15"/>
      <c r="KQR1111" s="15"/>
      <c r="KQU1111" s="15"/>
      <c r="KQV1111" s="15"/>
      <c r="KQY1111" s="15"/>
      <c r="KQZ1111" s="15"/>
      <c r="KRC1111" s="15"/>
      <c r="KRD1111" s="15"/>
      <c r="KRG1111" s="15"/>
      <c r="KRH1111" s="15"/>
      <c r="KRK1111" s="15"/>
      <c r="KRL1111" s="15"/>
      <c r="KRO1111" s="15"/>
      <c r="KRP1111" s="15"/>
      <c r="KRS1111" s="15"/>
      <c r="KRT1111" s="15"/>
      <c r="KRW1111" s="15"/>
      <c r="KRX1111" s="15"/>
      <c r="KSA1111" s="15"/>
      <c r="KSB1111" s="15"/>
      <c r="KSE1111" s="15"/>
      <c r="KSF1111" s="15"/>
      <c r="KSI1111" s="15"/>
      <c r="KSJ1111" s="15"/>
      <c r="KSM1111" s="15"/>
      <c r="KSN1111" s="15"/>
      <c r="KSQ1111" s="15"/>
      <c r="KSR1111" s="15"/>
      <c r="KSU1111" s="15"/>
      <c r="KSV1111" s="15"/>
      <c r="KSY1111" s="15"/>
      <c r="KSZ1111" s="15"/>
      <c r="KTC1111" s="15"/>
      <c r="KTD1111" s="15"/>
      <c r="KTG1111" s="15"/>
      <c r="KTH1111" s="15"/>
      <c r="KTK1111" s="15"/>
      <c r="KTL1111" s="15"/>
      <c r="KTO1111" s="15"/>
      <c r="KTP1111" s="15"/>
      <c r="KTS1111" s="15"/>
      <c r="KTT1111" s="15"/>
      <c r="KTW1111" s="15"/>
      <c r="KTX1111" s="15"/>
      <c r="KUA1111" s="15"/>
      <c r="KUB1111" s="15"/>
      <c r="KUE1111" s="15"/>
      <c r="KUF1111" s="15"/>
      <c r="KUI1111" s="15"/>
      <c r="KUJ1111" s="15"/>
      <c r="KUM1111" s="15"/>
      <c r="KUN1111" s="15"/>
      <c r="KUQ1111" s="15"/>
      <c r="KUR1111" s="15"/>
      <c r="KUU1111" s="15"/>
      <c r="KUV1111" s="15"/>
      <c r="KUY1111" s="15"/>
      <c r="KUZ1111" s="15"/>
      <c r="KVC1111" s="15"/>
      <c r="KVD1111" s="15"/>
      <c r="KVG1111" s="15"/>
      <c r="KVH1111" s="15"/>
      <c r="KVK1111" s="15"/>
      <c r="KVL1111" s="15"/>
      <c r="KVO1111" s="15"/>
      <c r="KVP1111" s="15"/>
      <c r="KVS1111" s="15"/>
      <c r="KVT1111" s="15"/>
      <c r="KVW1111" s="15"/>
      <c r="KVX1111" s="15"/>
      <c r="KWA1111" s="15"/>
      <c r="KWB1111" s="15"/>
      <c r="KWE1111" s="15"/>
      <c r="KWF1111" s="15"/>
      <c r="KWI1111" s="15"/>
      <c r="KWJ1111" s="15"/>
      <c r="KWM1111" s="15"/>
      <c r="KWN1111" s="15"/>
      <c r="KWQ1111" s="15"/>
      <c r="KWR1111" s="15"/>
      <c r="KWU1111" s="15"/>
      <c r="KWV1111" s="15"/>
      <c r="KWY1111" s="15"/>
      <c r="KWZ1111" s="15"/>
      <c r="KXC1111" s="15"/>
      <c r="KXD1111" s="15"/>
      <c r="KXG1111" s="15"/>
      <c r="KXH1111" s="15"/>
      <c r="KXK1111" s="15"/>
      <c r="KXL1111" s="15"/>
      <c r="KXO1111" s="15"/>
      <c r="KXP1111" s="15"/>
      <c r="KXS1111" s="15"/>
      <c r="KXT1111" s="15"/>
      <c r="KXW1111" s="15"/>
      <c r="KXX1111" s="15"/>
      <c r="KYA1111" s="15"/>
      <c r="KYB1111" s="15"/>
      <c r="KYE1111" s="15"/>
      <c r="KYF1111" s="15"/>
      <c r="KYI1111" s="15"/>
      <c r="KYJ1111" s="15"/>
      <c r="KYM1111" s="15"/>
      <c r="KYN1111" s="15"/>
      <c r="KYQ1111" s="15"/>
      <c r="KYR1111" s="15"/>
      <c r="KYU1111" s="15"/>
      <c r="KYV1111" s="15"/>
      <c r="KYY1111" s="15"/>
      <c r="KYZ1111" s="15"/>
      <c r="KZC1111" s="15"/>
      <c r="KZD1111" s="15"/>
      <c r="KZG1111" s="15"/>
      <c r="KZH1111" s="15"/>
      <c r="KZK1111" s="15"/>
      <c r="KZL1111" s="15"/>
      <c r="KZO1111" s="15"/>
      <c r="KZP1111" s="15"/>
      <c r="KZS1111" s="15"/>
      <c r="KZT1111" s="15"/>
      <c r="KZW1111" s="15"/>
      <c r="KZX1111" s="15"/>
      <c r="LAA1111" s="15"/>
      <c r="LAB1111" s="15"/>
      <c r="LAE1111" s="15"/>
      <c r="LAF1111" s="15"/>
      <c r="LAI1111" s="15"/>
      <c r="LAJ1111" s="15"/>
      <c r="LAM1111" s="15"/>
      <c r="LAN1111" s="15"/>
      <c r="LAQ1111" s="15"/>
      <c r="LAR1111" s="15"/>
      <c r="LAU1111" s="15"/>
      <c r="LAV1111" s="15"/>
      <c r="LAY1111" s="15"/>
      <c r="LAZ1111" s="15"/>
      <c r="LBC1111" s="15"/>
      <c r="LBD1111" s="15"/>
      <c r="LBG1111" s="15"/>
      <c r="LBH1111" s="15"/>
      <c r="LBK1111" s="15"/>
      <c r="LBL1111" s="15"/>
      <c r="LBO1111" s="15"/>
      <c r="LBP1111" s="15"/>
      <c r="LBS1111" s="15"/>
      <c r="LBT1111" s="15"/>
      <c r="LBW1111" s="15"/>
      <c r="LBX1111" s="15"/>
      <c r="LCA1111" s="15"/>
      <c r="LCB1111" s="15"/>
      <c r="LCE1111" s="15"/>
      <c r="LCF1111" s="15"/>
      <c r="LCI1111" s="15"/>
      <c r="LCJ1111" s="15"/>
      <c r="LCM1111" s="15"/>
      <c r="LCN1111" s="15"/>
      <c r="LCQ1111" s="15"/>
      <c r="LCR1111" s="15"/>
      <c r="LCU1111" s="15"/>
      <c r="LCV1111" s="15"/>
      <c r="LCY1111" s="15"/>
      <c r="LCZ1111" s="15"/>
      <c r="LDC1111" s="15"/>
      <c r="LDD1111" s="15"/>
      <c r="LDG1111" s="15"/>
      <c r="LDH1111" s="15"/>
      <c r="LDK1111" s="15"/>
      <c r="LDL1111" s="15"/>
      <c r="LDO1111" s="15"/>
      <c r="LDP1111" s="15"/>
      <c r="LDS1111" s="15"/>
      <c r="LDT1111" s="15"/>
      <c r="LDW1111" s="15"/>
      <c r="LDX1111" s="15"/>
      <c r="LEA1111" s="15"/>
      <c r="LEB1111" s="15"/>
      <c r="LEE1111" s="15"/>
      <c r="LEF1111" s="15"/>
      <c r="LEI1111" s="15"/>
      <c r="LEJ1111" s="15"/>
      <c r="LEM1111" s="15"/>
      <c r="LEN1111" s="15"/>
      <c r="LEQ1111" s="15"/>
      <c r="LER1111" s="15"/>
      <c r="LEU1111" s="15"/>
      <c r="LEV1111" s="15"/>
      <c r="LEY1111" s="15"/>
      <c r="LEZ1111" s="15"/>
      <c r="LFC1111" s="15"/>
      <c r="LFD1111" s="15"/>
      <c r="LFG1111" s="15"/>
      <c r="LFH1111" s="15"/>
      <c r="LFK1111" s="15"/>
      <c r="LFL1111" s="15"/>
      <c r="LFO1111" s="15"/>
      <c r="LFP1111" s="15"/>
      <c r="LFS1111" s="15"/>
      <c r="LFT1111" s="15"/>
      <c r="LFW1111" s="15"/>
      <c r="LFX1111" s="15"/>
      <c r="LGA1111" s="15"/>
      <c r="LGB1111" s="15"/>
      <c r="LGE1111" s="15"/>
      <c r="LGF1111" s="15"/>
      <c r="LGI1111" s="15"/>
      <c r="LGJ1111" s="15"/>
      <c r="LGM1111" s="15"/>
      <c r="LGN1111" s="15"/>
      <c r="LGQ1111" s="15"/>
      <c r="LGR1111" s="15"/>
      <c r="LGU1111" s="15"/>
      <c r="LGV1111" s="15"/>
      <c r="LGY1111" s="15"/>
      <c r="LGZ1111" s="15"/>
      <c r="LHC1111" s="15"/>
      <c r="LHD1111" s="15"/>
      <c r="LHG1111" s="15"/>
      <c r="LHH1111" s="15"/>
      <c r="LHK1111" s="15"/>
      <c r="LHL1111" s="15"/>
      <c r="LHO1111" s="15"/>
      <c r="LHP1111" s="15"/>
      <c r="LHS1111" s="15"/>
      <c r="LHT1111" s="15"/>
      <c r="LHW1111" s="15"/>
      <c r="LHX1111" s="15"/>
      <c r="LIA1111" s="15"/>
      <c r="LIB1111" s="15"/>
      <c r="LIE1111" s="15"/>
      <c r="LIF1111" s="15"/>
      <c r="LII1111" s="15"/>
      <c r="LIJ1111" s="15"/>
      <c r="LIM1111" s="15"/>
      <c r="LIN1111" s="15"/>
      <c r="LIQ1111" s="15"/>
      <c r="LIR1111" s="15"/>
      <c r="LIU1111" s="15"/>
      <c r="LIV1111" s="15"/>
      <c r="LIY1111" s="15"/>
      <c r="LIZ1111" s="15"/>
      <c r="LJC1111" s="15"/>
      <c r="LJD1111" s="15"/>
      <c r="LJG1111" s="15"/>
      <c r="LJH1111" s="15"/>
      <c r="LJK1111" s="15"/>
      <c r="LJL1111" s="15"/>
      <c r="LJO1111" s="15"/>
      <c r="LJP1111" s="15"/>
      <c r="LJS1111" s="15"/>
      <c r="LJT1111" s="15"/>
      <c r="LJW1111" s="15"/>
      <c r="LJX1111" s="15"/>
      <c r="LKA1111" s="15"/>
      <c r="LKB1111" s="15"/>
      <c r="LKE1111" s="15"/>
      <c r="LKF1111" s="15"/>
      <c r="LKI1111" s="15"/>
      <c r="LKJ1111" s="15"/>
      <c r="LKM1111" s="15"/>
      <c r="LKN1111" s="15"/>
      <c r="LKQ1111" s="15"/>
      <c r="LKR1111" s="15"/>
      <c r="LKU1111" s="15"/>
      <c r="LKV1111" s="15"/>
      <c r="LKY1111" s="15"/>
      <c r="LKZ1111" s="15"/>
      <c r="LLC1111" s="15"/>
      <c r="LLD1111" s="15"/>
      <c r="LLG1111" s="15"/>
      <c r="LLH1111" s="15"/>
      <c r="LLK1111" s="15"/>
      <c r="LLL1111" s="15"/>
      <c r="LLO1111" s="15"/>
      <c r="LLP1111" s="15"/>
      <c r="LLS1111" s="15"/>
      <c r="LLT1111" s="15"/>
      <c r="LLW1111" s="15"/>
      <c r="LLX1111" s="15"/>
      <c r="LMA1111" s="15"/>
      <c r="LMB1111" s="15"/>
      <c r="LME1111" s="15"/>
      <c r="LMF1111" s="15"/>
      <c r="LMI1111" s="15"/>
      <c r="LMJ1111" s="15"/>
      <c r="LMM1111" s="15"/>
      <c r="LMN1111" s="15"/>
      <c r="LMQ1111" s="15"/>
      <c r="LMR1111" s="15"/>
      <c r="LMU1111" s="15"/>
      <c r="LMV1111" s="15"/>
      <c r="LMY1111" s="15"/>
      <c r="LMZ1111" s="15"/>
      <c r="LNC1111" s="15"/>
      <c r="LND1111" s="15"/>
      <c r="LNG1111" s="15"/>
      <c r="LNH1111" s="15"/>
      <c r="LNK1111" s="15"/>
      <c r="LNL1111" s="15"/>
      <c r="LNO1111" s="15"/>
      <c r="LNP1111" s="15"/>
      <c r="LNS1111" s="15"/>
      <c r="LNT1111" s="15"/>
      <c r="LNW1111" s="15"/>
      <c r="LNX1111" s="15"/>
      <c r="LOA1111" s="15"/>
      <c r="LOB1111" s="15"/>
      <c r="LOE1111" s="15"/>
      <c r="LOF1111" s="15"/>
      <c r="LOI1111" s="15"/>
      <c r="LOJ1111" s="15"/>
      <c r="LOM1111" s="15"/>
      <c r="LON1111" s="15"/>
      <c r="LOQ1111" s="15"/>
      <c r="LOR1111" s="15"/>
      <c r="LOU1111" s="15"/>
      <c r="LOV1111" s="15"/>
      <c r="LOY1111" s="15"/>
      <c r="LOZ1111" s="15"/>
      <c r="LPC1111" s="15"/>
      <c r="LPD1111" s="15"/>
      <c r="LPG1111" s="15"/>
      <c r="LPH1111" s="15"/>
      <c r="LPK1111" s="15"/>
      <c r="LPL1111" s="15"/>
      <c r="LPO1111" s="15"/>
      <c r="LPP1111" s="15"/>
      <c r="LPS1111" s="15"/>
      <c r="LPT1111" s="15"/>
      <c r="LPW1111" s="15"/>
      <c r="LPX1111" s="15"/>
      <c r="LQA1111" s="15"/>
      <c r="LQB1111" s="15"/>
      <c r="LQE1111" s="15"/>
      <c r="LQF1111" s="15"/>
      <c r="LQI1111" s="15"/>
      <c r="LQJ1111" s="15"/>
      <c r="LQM1111" s="15"/>
      <c r="LQN1111" s="15"/>
      <c r="LQQ1111" s="15"/>
      <c r="LQR1111" s="15"/>
      <c r="LQU1111" s="15"/>
      <c r="LQV1111" s="15"/>
      <c r="LQY1111" s="15"/>
      <c r="LQZ1111" s="15"/>
      <c r="LRC1111" s="15"/>
      <c r="LRD1111" s="15"/>
      <c r="LRG1111" s="15"/>
      <c r="LRH1111" s="15"/>
      <c r="LRK1111" s="15"/>
      <c r="LRL1111" s="15"/>
      <c r="LRO1111" s="15"/>
      <c r="LRP1111" s="15"/>
      <c r="LRS1111" s="15"/>
      <c r="LRT1111" s="15"/>
      <c r="LRW1111" s="15"/>
      <c r="LRX1111" s="15"/>
      <c r="LSA1111" s="15"/>
      <c r="LSB1111" s="15"/>
      <c r="LSE1111" s="15"/>
      <c r="LSF1111" s="15"/>
      <c r="LSI1111" s="15"/>
      <c r="LSJ1111" s="15"/>
      <c r="LSM1111" s="15"/>
      <c r="LSN1111" s="15"/>
      <c r="LSQ1111" s="15"/>
      <c r="LSR1111" s="15"/>
      <c r="LSU1111" s="15"/>
      <c r="LSV1111" s="15"/>
      <c r="LSY1111" s="15"/>
      <c r="LSZ1111" s="15"/>
      <c r="LTC1111" s="15"/>
      <c r="LTD1111" s="15"/>
      <c r="LTG1111" s="15"/>
      <c r="LTH1111" s="15"/>
      <c r="LTK1111" s="15"/>
      <c r="LTL1111" s="15"/>
      <c r="LTO1111" s="15"/>
      <c r="LTP1111" s="15"/>
      <c r="LTS1111" s="15"/>
      <c r="LTT1111" s="15"/>
      <c r="LTW1111" s="15"/>
      <c r="LTX1111" s="15"/>
      <c r="LUA1111" s="15"/>
      <c r="LUB1111" s="15"/>
      <c r="LUE1111" s="15"/>
      <c r="LUF1111" s="15"/>
      <c r="LUI1111" s="15"/>
      <c r="LUJ1111" s="15"/>
      <c r="LUM1111" s="15"/>
      <c r="LUN1111" s="15"/>
      <c r="LUQ1111" s="15"/>
      <c r="LUR1111" s="15"/>
      <c r="LUU1111" s="15"/>
      <c r="LUV1111" s="15"/>
      <c r="LUY1111" s="15"/>
      <c r="LUZ1111" s="15"/>
      <c r="LVC1111" s="15"/>
      <c r="LVD1111" s="15"/>
      <c r="LVG1111" s="15"/>
      <c r="LVH1111" s="15"/>
      <c r="LVK1111" s="15"/>
      <c r="LVL1111" s="15"/>
      <c r="LVO1111" s="15"/>
      <c r="LVP1111" s="15"/>
      <c r="LVS1111" s="15"/>
      <c r="LVT1111" s="15"/>
      <c r="LVW1111" s="15"/>
      <c r="LVX1111" s="15"/>
      <c r="LWA1111" s="15"/>
      <c r="LWB1111" s="15"/>
      <c r="LWE1111" s="15"/>
      <c r="LWF1111" s="15"/>
      <c r="LWI1111" s="15"/>
      <c r="LWJ1111" s="15"/>
      <c r="LWM1111" s="15"/>
      <c r="LWN1111" s="15"/>
      <c r="LWQ1111" s="15"/>
      <c r="LWR1111" s="15"/>
      <c r="LWU1111" s="15"/>
      <c r="LWV1111" s="15"/>
      <c r="LWY1111" s="15"/>
      <c r="LWZ1111" s="15"/>
      <c r="LXC1111" s="15"/>
      <c r="LXD1111" s="15"/>
      <c r="LXG1111" s="15"/>
      <c r="LXH1111" s="15"/>
      <c r="LXK1111" s="15"/>
      <c r="LXL1111" s="15"/>
      <c r="LXO1111" s="15"/>
      <c r="LXP1111" s="15"/>
      <c r="LXS1111" s="15"/>
      <c r="LXT1111" s="15"/>
      <c r="LXW1111" s="15"/>
      <c r="LXX1111" s="15"/>
      <c r="LYA1111" s="15"/>
      <c r="LYB1111" s="15"/>
      <c r="LYE1111" s="15"/>
      <c r="LYF1111" s="15"/>
      <c r="LYI1111" s="15"/>
      <c r="LYJ1111" s="15"/>
      <c r="LYM1111" s="15"/>
      <c r="LYN1111" s="15"/>
      <c r="LYQ1111" s="15"/>
      <c r="LYR1111" s="15"/>
      <c r="LYU1111" s="15"/>
      <c r="LYV1111" s="15"/>
      <c r="LYY1111" s="15"/>
      <c r="LYZ1111" s="15"/>
      <c r="LZC1111" s="15"/>
      <c r="LZD1111" s="15"/>
      <c r="LZG1111" s="15"/>
      <c r="LZH1111" s="15"/>
      <c r="LZK1111" s="15"/>
      <c r="LZL1111" s="15"/>
      <c r="LZO1111" s="15"/>
      <c r="LZP1111" s="15"/>
      <c r="LZS1111" s="15"/>
      <c r="LZT1111" s="15"/>
      <c r="LZW1111" s="15"/>
      <c r="LZX1111" s="15"/>
      <c r="MAA1111" s="15"/>
      <c r="MAB1111" s="15"/>
      <c r="MAE1111" s="15"/>
      <c r="MAF1111" s="15"/>
      <c r="MAI1111" s="15"/>
      <c r="MAJ1111" s="15"/>
      <c r="MAM1111" s="15"/>
      <c r="MAN1111" s="15"/>
      <c r="MAQ1111" s="15"/>
      <c r="MAR1111" s="15"/>
      <c r="MAU1111" s="15"/>
      <c r="MAV1111" s="15"/>
      <c r="MAY1111" s="15"/>
      <c r="MAZ1111" s="15"/>
      <c r="MBC1111" s="15"/>
      <c r="MBD1111" s="15"/>
      <c r="MBG1111" s="15"/>
      <c r="MBH1111" s="15"/>
      <c r="MBK1111" s="15"/>
      <c r="MBL1111" s="15"/>
      <c r="MBO1111" s="15"/>
      <c r="MBP1111" s="15"/>
      <c r="MBS1111" s="15"/>
      <c r="MBT1111" s="15"/>
      <c r="MBW1111" s="15"/>
      <c r="MBX1111" s="15"/>
      <c r="MCA1111" s="15"/>
      <c r="MCB1111" s="15"/>
      <c r="MCE1111" s="15"/>
      <c r="MCF1111" s="15"/>
      <c r="MCI1111" s="15"/>
      <c r="MCJ1111" s="15"/>
      <c r="MCM1111" s="15"/>
      <c r="MCN1111" s="15"/>
      <c r="MCQ1111" s="15"/>
      <c r="MCR1111" s="15"/>
      <c r="MCU1111" s="15"/>
      <c r="MCV1111" s="15"/>
      <c r="MCY1111" s="15"/>
      <c r="MCZ1111" s="15"/>
      <c r="MDC1111" s="15"/>
      <c r="MDD1111" s="15"/>
      <c r="MDG1111" s="15"/>
      <c r="MDH1111" s="15"/>
      <c r="MDK1111" s="15"/>
      <c r="MDL1111" s="15"/>
      <c r="MDO1111" s="15"/>
      <c r="MDP1111" s="15"/>
      <c r="MDS1111" s="15"/>
      <c r="MDT1111" s="15"/>
      <c r="MDW1111" s="15"/>
      <c r="MDX1111" s="15"/>
      <c r="MEA1111" s="15"/>
      <c r="MEB1111" s="15"/>
      <c r="MEE1111" s="15"/>
      <c r="MEF1111" s="15"/>
      <c r="MEI1111" s="15"/>
      <c r="MEJ1111" s="15"/>
      <c r="MEM1111" s="15"/>
      <c r="MEN1111" s="15"/>
      <c r="MEQ1111" s="15"/>
      <c r="MER1111" s="15"/>
      <c r="MEU1111" s="15"/>
      <c r="MEV1111" s="15"/>
      <c r="MEY1111" s="15"/>
      <c r="MEZ1111" s="15"/>
      <c r="MFC1111" s="15"/>
      <c r="MFD1111" s="15"/>
      <c r="MFG1111" s="15"/>
      <c r="MFH1111" s="15"/>
      <c r="MFK1111" s="15"/>
      <c r="MFL1111" s="15"/>
      <c r="MFO1111" s="15"/>
      <c r="MFP1111" s="15"/>
      <c r="MFS1111" s="15"/>
      <c r="MFT1111" s="15"/>
      <c r="MFW1111" s="15"/>
      <c r="MFX1111" s="15"/>
      <c r="MGA1111" s="15"/>
      <c r="MGB1111" s="15"/>
      <c r="MGE1111" s="15"/>
      <c r="MGF1111" s="15"/>
      <c r="MGI1111" s="15"/>
      <c r="MGJ1111" s="15"/>
      <c r="MGM1111" s="15"/>
      <c r="MGN1111" s="15"/>
      <c r="MGQ1111" s="15"/>
      <c r="MGR1111" s="15"/>
      <c r="MGU1111" s="15"/>
      <c r="MGV1111" s="15"/>
      <c r="MGY1111" s="15"/>
      <c r="MGZ1111" s="15"/>
      <c r="MHC1111" s="15"/>
      <c r="MHD1111" s="15"/>
      <c r="MHG1111" s="15"/>
      <c r="MHH1111" s="15"/>
      <c r="MHK1111" s="15"/>
      <c r="MHL1111" s="15"/>
      <c r="MHO1111" s="15"/>
      <c r="MHP1111" s="15"/>
      <c r="MHS1111" s="15"/>
      <c r="MHT1111" s="15"/>
      <c r="MHW1111" s="15"/>
      <c r="MHX1111" s="15"/>
      <c r="MIA1111" s="15"/>
      <c r="MIB1111" s="15"/>
      <c r="MIE1111" s="15"/>
      <c r="MIF1111" s="15"/>
      <c r="MII1111" s="15"/>
      <c r="MIJ1111" s="15"/>
      <c r="MIM1111" s="15"/>
      <c r="MIN1111" s="15"/>
      <c r="MIQ1111" s="15"/>
      <c r="MIR1111" s="15"/>
      <c r="MIU1111" s="15"/>
      <c r="MIV1111" s="15"/>
      <c r="MIY1111" s="15"/>
      <c r="MIZ1111" s="15"/>
      <c r="MJC1111" s="15"/>
      <c r="MJD1111" s="15"/>
      <c r="MJG1111" s="15"/>
      <c r="MJH1111" s="15"/>
      <c r="MJK1111" s="15"/>
      <c r="MJL1111" s="15"/>
      <c r="MJO1111" s="15"/>
      <c r="MJP1111" s="15"/>
      <c r="MJS1111" s="15"/>
      <c r="MJT1111" s="15"/>
      <c r="MJW1111" s="15"/>
      <c r="MJX1111" s="15"/>
      <c r="MKA1111" s="15"/>
      <c r="MKB1111" s="15"/>
      <c r="MKE1111" s="15"/>
      <c r="MKF1111" s="15"/>
      <c r="MKI1111" s="15"/>
      <c r="MKJ1111" s="15"/>
      <c r="MKM1111" s="15"/>
      <c r="MKN1111" s="15"/>
      <c r="MKQ1111" s="15"/>
      <c r="MKR1111" s="15"/>
      <c r="MKU1111" s="15"/>
      <c r="MKV1111" s="15"/>
      <c r="MKY1111" s="15"/>
      <c r="MKZ1111" s="15"/>
      <c r="MLC1111" s="15"/>
      <c r="MLD1111" s="15"/>
      <c r="MLG1111" s="15"/>
      <c r="MLH1111" s="15"/>
      <c r="MLK1111" s="15"/>
      <c r="MLL1111" s="15"/>
      <c r="MLO1111" s="15"/>
      <c r="MLP1111" s="15"/>
      <c r="MLS1111" s="15"/>
      <c r="MLT1111" s="15"/>
      <c r="MLW1111" s="15"/>
      <c r="MLX1111" s="15"/>
      <c r="MMA1111" s="15"/>
      <c r="MMB1111" s="15"/>
      <c r="MME1111" s="15"/>
      <c r="MMF1111" s="15"/>
      <c r="MMI1111" s="15"/>
      <c r="MMJ1111" s="15"/>
      <c r="MMM1111" s="15"/>
      <c r="MMN1111" s="15"/>
      <c r="MMQ1111" s="15"/>
      <c r="MMR1111" s="15"/>
      <c r="MMU1111" s="15"/>
      <c r="MMV1111" s="15"/>
      <c r="MMY1111" s="15"/>
      <c r="MMZ1111" s="15"/>
      <c r="MNC1111" s="15"/>
      <c r="MND1111" s="15"/>
      <c r="MNG1111" s="15"/>
      <c r="MNH1111" s="15"/>
      <c r="MNK1111" s="15"/>
      <c r="MNL1111" s="15"/>
      <c r="MNO1111" s="15"/>
      <c r="MNP1111" s="15"/>
      <c r="MNS1111" s="15"/>
      <c r="MNT1111" s="15"/>
      <c r="MNW1111" s="15"/>
      <c r="MNX1111" s="15"/>
      <c r="MOA1111" s="15"/>
      <c r="MOB1111" s="15"/>
      <c r="MOE1111" s="15"/>
      <c r="MOF1111" s="15"/>
      <c r="MOI1111" s="15"/>
      <c r="MOJ1111" s="15"/>
      <c r="MOM1111" s="15"/>
      <c r="MON1111" s="15"/>
      <c r="MOQ1111" s="15"/>
      <c r="MOR1111" s="15"/>
      <c r="MOU1111" s="15"/>
      <c r="MOV1111" s="15"/>
      <c r="MOY1111" s="15"/>
      <c r="MOZ1111" s="15"/>
      <c r="MPC1111" s="15"/>
      <c r="MPD1111" s="15"/>
      <c r="MPG1111" s="15"/>
      <c r="MPH1111" s="15"/>
      <c r="MPK1111" s="15"/>
      <c r="MPL1111" s="15"/>
      <c r="MPO1111" s="15"/>
      <c r="MPP1111" s="15"/>
      <c r="MPS1111" s="15"/>
      <c r="MPT1111" s="15"/>
      <c r="MPW1111" s="15"/>
      <c r="MPX1111" s="15"/>
      <c r="MQA1111" s="15"/>
      <c r="MQB1111" s="15"/>
      <c r="MQE1111" s="15"/>
      <c r="MQF1111" s="15"/>
      <c r="MQI1111" s="15"/>
      <c r="MQJ1111" s="15"/>
      <c r="MQM1111" s="15"/>
      <c r="MQN1111" s="15"/>
      <c r="MQQ1111" s="15"/>
      <c r="MQR1111" s="15"/>
      <c r="MQU1111" s="15"/>
      <c r="MQV1111" s="15"/>
      <c r="MQY1111" s="15"/>
      <c r="MQZ1111" s="15"/>
      <c r="MRC1111" s="15"/>
      <c r="MRD1111" s="15"/>
      <c r="MRG1111" s="15"/>
      <c r="MRH1111" s="15"/>
      <c r="MRK1111" s="15"/>
      <c r="MRL1111" s="15"/>
      <c r="MRO1111" s="15"/>
      <c r="MRP1111" s="15"/>
      <c r="MRS1111" s="15"/>
      <c r="MRT1111" s="15"/>
      <c r="MRW1111" s="15"/>
      <c r="MRX1111" s="15"/>
      <c r="MSA1111" s="15"/>
      <c r="MSB1111" s="15"/>
      <c r="MSE1111" s="15"/>
      <c r="MSF1111" s="15"/>
      <c r="MSI1111" s="15"/>
      <c r="MSJ1111" s="15"/>
      <c r="MSM1111" s="15"/>
      <c r="MSN1111" s="15"/>
      <c r="MSQ1111" s="15"/>
      <c r="MSR1111" s="15"/>
      <c r="MSU1111" s="15"/>
      <c r="MSV1111" s="15"/>
      <c r="MSY1111" s="15"/>
      <c r="MSZ1111" s="15"/>
      <c r="MTC1111" s="15"/>
      <c r="MTD1111" s="15"/>
      <c r="MTG1111" s="15"/>
      <c r="MTH1111" s="15"/>
      <c r="MTK1111" s="15"/>
      <c r="MTL1111" s="15"/>
      <c r="MTO1111" s="15"/>
      <c r="MTP1111" s="15"/>
      <c r="MTS1111" s="15"/>
      <c r="MTT1111" s="15"/>
      <c r="MTW1111" s="15"/>
      <c r="MTX1111" s="15"/>
      <c r="MUA1111" s="15"/>
      <c r="MUB1111" s="15"/>
      <c r="MUE1111" s="15"/>
      <c r="MUF1111" s="15"/>
      <c r="MUI1111" s="15"/>
      <c r="MUJ1111" s="15"/>
      <c r="MUM1111" s="15"/>
      <c r="MUN1111" s="15"/>
      <c r="MUQ1111" s="15"/>
      <c r="MUR1111" s="15"/>
      <c r="MUU1111" s="15"/>
      <c r="MUV1111" s="15"/>
      <c r="MUY1111" s="15"/>
      <c r="MUZ1111" s="15"/>
      <c r="MVC1111" s="15"/>
      <c r="MVD1111" s="15"/>
      <c r="MVG1111" s="15"/>
      <c r="MVH1111" s="15"/>
      <c r="MVK1111" s="15"/>
      <c r="MVL1111" s="15"/>
      <c r="MVO1111" s="15"/>
      <c r="MVP1111" s="15"/>
      <c r="MVS1111" s="15"/>
      <c r="MVT1111" s="15"/>
      <c r="MVW1111" s="15"/>
      <c r="MVX1111" s="15"/>
      <c r="MWA1111" s="15"/>
      <c r="MWB1111" s="15"/>
      <c r="MWE1111" s="15"/>
      <c r="MWF1111" s="15"/>
      <c r="MWI1111" s="15"/>
      <c r="MWJ1111" s="15"/>
      <c r="MWM1111" s="15"/>
      <c r="MWN1111" s="15"/>
      <c r="MWQ1111" s="15"/>
      <c r="MWR1111" s="15"/>
      <c r="MWU1111" s="15"/>
      <c r="MWV1111" s="15"/>
      <c r="MWY1111" s="15"/>
      <c r="MWZ1111" s="15"/>
      <c r="MXC1111" s="15"/>
      <c r="MXD1111" s="15"/>
      <c r="MXG1111" s="15"/>
      <c r="MXH1111" s="15"/>
      <c r="MXK1111" s="15"/>
      <c r="MXL1111" s="15"/>
      <c r="MXO1111" s="15"/>
      <c r="MXP1111" s="15"/>
      <c r="MXS1111" s="15"/>
      <c r="MXT1111" s="15"/>
      <c r="MXW1111" s="15"/>
      <c r="MXX1111" s="15"/>
      <c r="MYA1111" s="15"/>
      <c r="MYB1111" s="15"/>
      <c r="MYE1111" s="15"/>
      <c r="MYF1111" s="15"/>
      <c r="MYI1111" s="15"/>
      <c r="MYJ1111" s="15"/>
      <c r="MYM1111" s="15"/>
      <c r="MYN1111" s="15"/>
      <c r="MYQ1111" s="15"/>
      <c r="MYR1111" s="15"/>
      <c r="MYU1111" s="15"/>
      <c r="MYV1111" s="15"/>
      <c r="MYY1111" s="15"/>
      <c r="MYZ1111" s="15"/>
      <c r="MZC1111" s="15"/>
      <c r="MZD1111" s="15"/>
      <c r="MZG1111" s="15"/>
      <c r="MZH1111" s="15"/>
      <c r="MZK1111" s="15"/>
      <c r="MZL1111" s="15"/>
      <c r="MZO1111" s="15"/>
      <c r="MZP1111" s="15"/>
      <c r="MZS1111" s="15"/>
      <c r="MZT1111" s="15"/>
      <c r="MZW1111" s="15"/>
      <c r="MZX1111" s="15"/>
      <c r="NAA1111" s="15"/>
      <c r="NAB1111" s="15"/>
      <c r="NAE1111" s="15"/>
      <c r="NAF1111" s="15"/>
      <c r="NAI1111" s="15"/>
      <c r="NAJ1111" s="15"/>
      <c r="NAM1111" s="15"/>
      <c r="NAN1111" s="15"/>
      <c r="NAQ1111" s="15"/>
      <c r="NAR1111" s="15"/>
      <c r="NAU1111" s="15"/>
      <c r="NAV1111" s="15"/>
      <c r="NAY1111" s="15"/>
      <c r="NAZ1111" s="15"/>
      <c r="NBC1111" s="15"/>
      <c r="NBD1111" s="15"/>
      <c r="NBG1111" s="15"/>
      <c r="NBH1111" s="15"/>
      <c r="NBK1111" s="15"/>
      <c r="NBL1111" s="15"/>
      <c r="NBO1111" s="15"/>
      <c r="NBP1111" s="15"/>
      <c r="NBS1111" s="15"/>
      <c r="NBT1111" s="15"/>
      <c r="NBW1111" s="15"/>
      <c r="NBX1111" s="15"/>
      <c r="NCA1111" s="15"/>
      <c r="NCB1111" s="15"/>
      <c r="NCE1111" s="15"/>
      <c r="NCF1111" s="15"/>
      <c r="NCI1111" s="15"/>
      <c r="NCJ1111" s="15"/>
      <c r="NCM1111" s="15"/>
      <c r="NCN1111" s="15"/>
      <c r="NCQ1111" s="15"/>
      <c r="NCR1111" s="15"/>
      <c r="NCU1111" s="15"/>
      <c r="NCV1111" s="15"/>
      <c r="NCY1111" s="15"/>
      <c r="NCZ1111" s="15"/>
      <c r="NDC1111" s="15"/>
      <c r="NDD1111" s="15"/>
      <c r="NDG1111" s="15"/>
      <c r="NDH1111" s="15"/>
      <c r="NDK1111" s="15"/>
      <c r="NDL1111" s="15"/>
      <c r="NDO1111" s="15"/>
      <c r="NDP1111" s="15"/>
      <c r="NDS1111" s="15"/>
      <c r="NDT1111" s="15"/>
      <c r="NDW1111" s="15"/>
      <c r="NDX1111" s="15"/>
      <c r="NEA1111" s="15"/>
      <c r="NEB1111" s="15"/>
      <c r="NEE1111" s="15"/>
      <c r="NEF1111" s="15"/>
      <c r="NEI1111" s="15"/>
      <c r="NEJ1111" s="15"/>
      <c r="NEM1111" s="15"/>
      <c r="NEN1111" s="15"/>
      <c r="NEQ1111" s="15"/>
      <c r="NER1111" s="15"/>
      <c r="NEU1111" s="15"/>
      <c r="NEV1111" s="15"/>
      <c r="NEY1111" s="15"/>
      <c r="NEZ1111" s="15"/>
      <c r="NFC1111" s="15"/>
      <c r="NFD1111" s="15"/>
      <c r="NFG1111" s="15"/>
      <c r="NFH1111" s="15"/>
      <c r="NFK1111" s="15"/>
      <c r="NFL1111" s="15"/>
      <c r="NFO1111" s="15"/>
      <c r="NFP1111" s="15"/>
      <c r="NFS1111" s="15"/>
      <c r="NFT1111" s="15"/>
      <c r="NFW1111" s="15"/>
      <c r="NFX1111" s="15"/>
      <c r="NGA1111" s="15"/>
      <c r="NGB1111" s="15"/>
      <c r="NGE1111" s="15"/>
      <c r="NGF1111" s="15"/>
      <c r="NGI1111" s="15"/>
      <c r="NGJ1111" s="15"/>
      <c r="NGM1111" s="15"/>
      <c r="NGN1111" s="15"/>
      <c r="NGQ1111" s="15"/>
      <c r="NGR1111" s="15"/>
      <c r="NGU1111" s="15"/>
      <c r="NGV1111" s="15"/>
      <c r="NGY1111" s="15"/>
      <c r="NGZ1111" s="15"/>
      <c r="NHC1111" s="15"/>
      <c r="NHD1111" s="15"/>
      <c r="NHG1111" s="15"/>
      <c r="NHH1111" s="15"/>
      <c r="NHK1111" s="15"/>
      <c r="NHL1111" s="15"/>
      <c r="NHO1111" s="15"/>
      <c r="NHP1111" s="15"/>
      <c r="NHS1111" s="15"/>
      <c r="NHT1111" s="15"/>
      <c r="NHW1111" s="15"/>
      <c r="NHX1111" s="15"/>
      <c r="NIA1111" s="15"/>
      <c r="NIB1111" s="15"/>
      <c r="NIE1111" s="15"/>
      <c r="NIF1111" s="15"/>
      <c r="NII1111" s="15"/>
      <c r="NIJ1111" s="15"/>
      <c r="NIM1111" s="15"/>
      <c r="NIN1111" s="15"/>
      <c r="NIQ1111" s="15"/>
      <c r="NIR1111" s="15"/>
      <c r="NIU1111" s="15"/>
      <c r="NIV1111" s="15"/>
      <c r="NIY1111" s="15"/>
      <c r="NIZ1111" s="15"/>
      <c r="NJC1111" s="15"/>
      <c r="NJD1111" s="15"/>
      <c r="NJG1111" s="15"/>
      <c r="NJH1111" s="15"/>
      <c r="NJK1111" s="15"/>
      <c r="NJL1111" s="15"/>
      <c r="NJO1111" s="15"/>
      <c r="NJP1111" s="15"/>
      <c r="NJS1111" s="15"/>
      <c r="NJT1111" s="15"/>
      <c r="NJW1111" s="15"/>
      <c r="NJX1111" s="15"/>
      <c r="NKA1111" s="15"/>
      <c r="NKB1111" s="15"/>
      <c r="NKE1111" s="15"/>
      <c r="NKF1111" s="15"/>
      <c r="NKI1111" s="15"/>
      <c r="NKJ1111" s="15"/>
      <c r="NKM1111" s="15"/>
      <c r="NKN1111" s="15"/>
      <c r="NKQ1111" s="15"/>
      <c r="NKR1111" s="15"/>
      <c r="NKU1111" s="15"/>
      <c r="NKV1111" s="15"/>
      <c r="NKY1111" s="15"/>
      <c r="NKZ1111" s="15"/>
      <c r="NLC1111" s="15"/>
      <c r="NLD1111" s="15"/>
      <c r="NLG1111" s="15"/>
      <c r="NLH1111" s="15"/>
      <c r="NLK1111" s="15"/>
      <c r="NLL1111" s="15"/>
      <c r="NLO1111" s="15"/>
      <c r="NLP1111" s="15"/>
      <c r="NLS1111" s="15"/>
      <c r="NLT1111" s="15"/>
      <c r="NLW1111" s="15"/>
      <c r="NLX1111" s="15"/>
      <c r="NMA1111" s="15"/>
      <c r="NMB1111" s="15"/>
      <c r="NME1111" s="15"/>
      <c r="NMF1111" s="15"/>
      <c r="NMI1111" s="15"/>
      <c r="NMJ1111" s="15"/>
      <c r="NMM1111" s="15"/>
      <c r="NMN1111" s="15"/>
      <c r="NMQ1111" s="15"/>
      <c r="NMR1111" s="15"/>
      <c r="NMU1111" s="15"/>
      <c r="NMV1111" s="15"/>
      <c r="NMY1111" s="15"/>
      <c r="NMZ1111" s="15"/>
      <c r="NNC1111" s="15"/>
      <c r="NND1111" s="15"/>
      <c r="NNG1111" s="15"/>
      <c r="NNH1111" s="15"/>
      <c r="NNK1111" s="15"/>
      <c r="NNL1111" s="15"/>
      <c r="NNO1111" s="15"/>
      <c r="NNP1111" s="15"/>
      <c r="NNS1111" s="15"/>
      <c r="NNT1111" s="15"/>
      <c r="NNW1111" s="15"/>
      <c r="NNX1111" s="15"/>
      <c r="NOA1111" s="15"/>
      <c r="NOB1111" s="15"/>
      <c r="NOE1111" s="15"/>
      <c r="NOF1111" s="15"/>
      <c r="NOI1111" s="15"/>
      <c r="NOJ1111" s="15"/>
      <c r="NOM1111" s="15"/>
      <c r="NON1111" s="15"/>
      <c r="NOQ1111" s="15"/>
      <c r="NOR1111" s="15"/>
      <c r="NOU1111" s="15"/>
      <c r="NOV1111" s="15"/>
      <c r="NOY1111" s="15"/>
      <c r="NOZ1111" s="15"/>
      <c r="NPC1111" s="15"/>
      <c r="NPD1111" s="15"/>
      <c r="NPG1111" s="15"/>
      <c r="NPH1111" s="15"/>
      <c r="NPK1111" s="15"/>
      <c r="NPL1111" s="15"/>
      <c r="NPO1111" s="15"/>
      <c r="NPP1111" s="15"/>
      <c r="NPS1111" s="15"/>
      <c r="NPT1111" s="15"/>
      <c r="NPW1111" s="15"/>
      <c r="NPX1111" s="15"/>
      <c r="NQA1111" s="15"/>
      <c r="NQB1111" s="15"/>
      <c r="NQE1111" s="15"/>
      <c r="NQF1111" s="15"/>
      <c r="NQI1111" s="15"/>
      <c r="NQJ1111" s="15"/>
      <c r="NQM1111" s="15"/>
      <c r="NQN1111" s="15"/>
      <c r="NQQ1111" s="15"/>
      <c r="NQR1111" s="15"/>
      <c r="NQU1111" s="15"/>
      <c r="NQV1111" s="15"/>
      <c r="NQY1111" s="15"/>
      <c r="NQZ1111" s="15"/>
      <c r="NRC1111" s="15"/>
      <c r="NRD1111" s="15"/>
      <c r="NRG1111" s="15"/>
      <c r="NRH1111" s="15"/>
      <c r="NRK1111" s="15"/>
      <c r="NRL1111" s="15"/>
      <c r="NRO1111" s="15"/>
      <c r="NRP1111" s="15"/>
      <c r="NRS1111" s="15"/>
      <c r="NRT1111" s="15"/>
      <c r="NRW1111" s="15"/>
      <c r="NRX1111" s="15"/>
      <c r="NSA1111" s="15"/>
      <c r="NSB1111" s="15"/>
      <c r="NSE1111" s="15"/>
      <c r="NSF1111" s="15"/>
      <c r="NSI1111" s="15"/>
      <c r="NSJ1111" s="15"/>
      <c r="NSM1111" s="15"/>
      <c r="NSN1111" s="15"/>
      <c r="NSQ1111" s="15"/>
      <c r="NSR1111" s="15"/>
      <c r="NSU1111" s="15"/>
      <c r="NSV1111" s="15"/>
      <c r="NSY1111" s="15"/>
      <c r="NSZ1111" s="15"/>
      <c r="NTC1111" s="15"/>
      <c r="NTD1111" s="15"/>
      <c r="NTG1111" s="15"/>
      <c r="NTH1111" s="15"/>
      <c r="NTK1111" s="15"/>
      <c r="NTL1111" s="15"/>
      <c r="NTO1111" s="15"/>
      <c r="NTP1111" s="15"/>
      <c r="NTS1111" s="15"/>
      <c r="NTT1111" s="15"/>
      <c r="NTW1111" s="15"/>
      <c r="NTX1111" s="15"/>
      <c r="NUA1111" s="15"/>
      <c r="NUB1111" s="15"/>
      <c r="NUE1111" s="15"/>
      <c r="NUF1111" s="15"/>
      <c r="NUI1111" s="15"/>
      <c r="NUJ1111" s="15"/>
      <c r="NUM1111" s="15"/>
      <c r="NUN1111" s="15"/>
      <c r="NUQ1111" s="15"/>
      <c r="NUR1111" s="15"/>
      <c r="NUU1111" s="15"/>
      <c r="NUV1111" s="15"/>
      <c r="NUY1111" s="15"/>
      <c r="NUZ1111" s="15"/>
      <c r="NVC1111" s="15"/>
      <c r="NVD1111" s="15"/>
      <c r="NVG1111" s="15"/>
      <c r="NVH1111" s="15"/>
      <c r="NVK1111" s="15"/>
      <c r="NVL1111" s="15"/>
      <c r="NVO1111" s="15"/>
      <c r="NVP1111" s="15"/>
      <c r="NVS1111" s="15"/>
      <c r="NVT1111" s="15"/>
      <c r="NVW1111" s="15"/>
      <c r="NVX1111" s="15"/>
      <c r="NWA1111" s="15"/>
      <c r="NWB1111" s="15"/>
      <c r="NWE1111" s="15"/>
      <c r="NWF1111" s="15"/>
      <c r="NWI1111" s="15"/>
      <c r="NWJ1111" s="15"/>
      <c r="NWM1111" s="15"/>
      <c r="NWN1111" s="15"/>
      <c r="NWQ1111" s="15"/>
      <c r="NWR1111" s="15"/>
      <c r="NWU1111" s="15"/>
      <c r="NWV1111" s="15"/>
      <c r="NWY1111" s="15"/>
      <c r="NWZ1111" s="15"/>
      <c r="NXC1111" s="15"/>
      <c r="NXD1111" s="15"/>
      <c r="NXG1111" s="15"/>
      <c r="NXH1111" s="15"/>
      <c r="NXK1111" s="15"/>
      <c r="NXL1111" s="15"/>
      <c r="NXO1111" s="15"/>
      <c r="NXP1111" s="15"/>
      <c r="NXS1111" s="15"/>
      <c r="NXT1111" s="15"/>
      <c r="NXW1111" s="15"/>
      <c r="NXX1111" s="15"/>
      <c r="NYA1111" s="15"/>
      <c r="NYB1111" s="15"/>
      <c r="NYE1111" s="15"/>
      <c r="NYF1111" s="15"/>
      <c r="NYI1111" s="15"/>
      <c r="NYJ1111" s="15"/>
      <c r="NYM1111" s="15"/>
      <c r="NYN1111" s="15"/>
      <c r="NYQ1111" s="15"/>
      <c r="NYR1111" s="15"/>
      <c r="NYU1111" s="15"/>
      <c r="NYV1111" s="15"/>
      <c r="NYY1111" s="15"/>
      <c r="NYZ1111" s="15"/>
      <c r="NZC1111" s="15"/>
      <c r="NZD1111" s="15"/>
      <c r="NZG1111" s="15"/>
      <c r="NZH1111" s="15"/>
      <c r="NZK1111" s="15"/>
      <c r="NZL1111" s="15"/>
      <c r="NZO1111" s="15"/>
      <c r="NZP1111" s="15"/>
      <c r="NZS1111" s="15"/>
      <c r="NZT1111" s="15"/>
      <c r="NZW1111" s="15"/>
      <c r="NZX1111" s="15"/>
      <c r="OAA1111" s="15"/>
      <c r="OAB1111" s="15"/>
      <c r="OAE1111" s="15"/>
      <c r="OAF1111" s="15"/>
      <c r="OAI1111" s="15"/>
      <c r="OAJ1111" s="15"/>
      <c r="OAM1111" s="15"/>
      <c r="OAN1111" s="15"/>
      <c r="OAQ1111" s="15"/>
      <c r="OAR1111" s="15"/>
      <c r="OAU1111" s="15"/>
      <c r="OAV1111" s="15"/>
      <c r="OAY1111" s="15"/>
      <c r="OAZ1111" s="15"/>
      <c r="OBC1111" s="15"/>
      <c r="OBD1111" s="15"/>
      <c r="OBG1111" s="15"/>
      <c r="OBH1111" s="15"/>
      <c r="OBK1111" s="15"/>
      <c r="OBL1111" s="15"/>
      <c r="OBO1111" s="15"/>
      <c r="OBP1111" s="15"/>
      <c r="OBS1111" s="15"/>
      <c r="OBT1111" s="15"/>
      <c r="OBW1111" s="15"/>
      <c r="OBX1111" s="15"/>
      <c r="OCA1111" s="15"/>
      <c r="OCB1111" s="15"/>
      <c r="OCE1111" s="15"/>
      <c r="OCF1111" s="15"/>
      <c r="OCI1111" s="15"/>
      <c r="OCJ1111" s="15"/>
      <c r="OCM1111" s="15"/>
      <c r="OCN1111" s="15"/>
      <c r="OCQ1111" s="15"/>
      <c r="OCR1111" s="15"/>
      <c r="OCU1111" s="15"/>
      <c r="OCV1111" s="15"/>
      <c r="OCY1111" s="15"/>
      <c r="OCZ1111" s="15"/>
      <c r="ODC1111" s="15"/>
      <c r="ODD1111" s="15"/>
      <c r="ODG1111" s="15"/>
      <c r="ODH1111" s="15"/>
      <c r="ODK1111" s="15"/>
      <c r="ODL1111" s="15"/>
      <c r="ODO1111" s="15"/>
      <c r="ODP1111" s="15"/>
      <c r="ODS1111" s="15"/>
      <c r="ODT1111" s="15"/>
      <c r="ODW1111" s="15"/>
      <c r="ODX1111" s="15"/>
      <c r="OEA1111" s="15"/>
      <c r="OEB1111" s="15"/>
      <c r="OEE1111" s="15"/>
      <c r="OEF1111" s="15"/>
      <c r="OEI1111" s="15"/>
      <c r="OEJ1111" s="15"/>
      <c r="OEM1111" s="15"/>
      <c r="OEN1111" s="15"/>
      <c r="OEQ1111" s="15"/>
      <c r="OER1111" s="15"/>
      <c r="OEU1111" s="15"/>
      <c r="OEV1111" s="15"/>
      <c r="OEY1111" s="15"/>
      <c r="OEZ1111" s="15"/>
      <c r="OFC1111" s="15"/>
      <c r="OFD1111" s="15"/>
      <c r="OFG1111" s="15"/>
      <c r="OFH1111" s="15"/>
      <c r="OFK1111" s="15"/>
      <c r="OFL1111" s="15"/>
      <c r="OFO1111" s="15"/>
      <c r="OFP1111" s="15"/>
      <c r="OFS1111" s="15"/>
      <c r="OFT1111" s="15"/>
      <c r="OFW1111" s="15"/>
      <c r="OFX1111" s="15"/>
      <c r="OGA1111" s="15"/>
      <c r="OGB1111" s="15"/>
      <c r="OGE1111" s="15"/>
      <c r="OGF1111" s="15"/>
      <c r="OGI1111" s="15"/>
      <c r="OGJ1111" s="15"/>
      <c r="OGM1111" s="15"/>
      <c r="OGN1111" s="15"/>
      <c r="OGQ1111" s="15"/>
      <c r="OGR1111" s="15"/>
      <c r="OGU1111" s="15"/>
      <c r="OGV1111" s="15"/>
      <c r="OGY1111" s="15"/>
      <c r="OGZ1111" s="15"/>
      <c r="OHC1111" s="15"/>
      <c r="OHD1111" s="15"/>
      <c r="OHG1111" s="15"/>
      <c r="OHH1111" s="15"/>
      <c r="OHK1111" s="15"/>
      <c r="OHL1111" s="15"/>
      <c r="OHO1111" s="15"/>
      <c r="OHP1111" s="15"/>
      <c r="OHS1111" s="15"/>
      <c r="OHT1111" s="15"/>
      <c r="OHW1111" s="15"/>
      <c r="OHX1111" s="15"/>
      <c r="OIA1111" s="15"/>
      <c r="OIB1111" s="15"/>
      <c r="OIE1111" s="15"/>
      <c r="OIF1111" s="15"/>
      <c r="OII1111" s="15"/>
      <c r="OIJ1111" s="15"/>
      <c r="OIM1111" s="15"/>
      <c r="OIN1111" s="15"/>
      <c r="OIQ1111" s="15"/>
      <c r="OIR1111" s="15"/>
      <c r="OIU1111" s="15"/>
      <c r="OIV1111" s="15"/>
      <c r="OIY1111" s="15"/>
      <c r="OIZ1111" s="15"/>
      <c r="OJC1111" s="15"/>
      <c r="OJD1111" s="15"/>
      <c r="OJG1111" s="15"/>
      <c r="OJH1111" s="15"/>
      <c r="OJK1111" s="15"/>
      <c r="OJL1111" s="15"/>
      <c r="OJO1111" s="15"/>
      <c r="OJP1111" s="15"/>
      <c r="OJS1111" s="15"/>
      <c r="OJT1111" s="15"/>
      <c r="OJW1111" s="15"/>
      <c r="OJX1111" s="15"/>
      <c r="OKA1111" s="15"/>
      <c r="OKB1111" s="15"/>
      <c r="OKE1111" s="15"/>
      <c r="OKF1111" s="15"/>
      <c r="OKI1111" s="15"/>
      <c r="OKJ1111" s="15"/>
      <c r="OKM1111" s="15"/>
      <c r="OKN1111" s="15"/>
      <c r="OKQ1111" s="15"/>
      <c r="OKR1111" s="15"/>
      <c r="OKU1111" s="15"/>
      <c r="OKV1111" s="15"/>
      <c r="OKY1111" s="15"/>
      <c r="OKZ1111" s="15"/>
      <c r="OLC1111" s="15"/>
      <c r="OLD1111" s="15"/>
      <c r="OLG1111" s="15"/>
      <c r="OLH1111" s="15"/>
      <c r="OLK1111" s="15"/>
      <c r="OLL1111" s="15"/>
      <c r="OLO1111" s="15"/>
      <c r="OLP1111" s="15"/>
      <c r="OLS1111" s="15"/>
      <c r="OLT1111" s="15"/>
      <c r="OLW1111" s="15"/>
      <c r="OLX1111" s="15"/>
      <c r="OMA1111" s="15"/>
      <c r="OMB1111" s="15"/>
      <c r="OME1111" s="15"/>
      <c r="OMF1111" s="15"/>
      <c r="OMI1111" s="15"/>
      <c r="OMJ1111" s="15"/>
      <c r="OMM1111" s="15"/>
      <c r="OMN1111" s="15"/>
      <c r="OMQ1111" s="15"/>
      <c r="OMR1111" s="15"/>
      <c r="OMU1111" s="15"/>
      <c r="OMV1111" s="15"/>
      <c r="OMY1111" s="15"/>
      <c r="OMZ1111" s="15"/>
      <c r="ONC1111" s="15"/>
      <c r="OND1111" s="15"/>
      <c r="ONG1111" s="15"/>
      <c r="ONH1111" s="15"/>
      <c r="ONK1111" s="15"/>
      <c r="ONL1111" s="15"/>
      <c r="ONO1111" s="15"/>
      <c r="ONP1111" s="15"/>
      <c r="ONS1111" s="15"/>
      <c r="ONT1111" s="15"/>
      <c r="ONW1111" s="15"/>
      <c r="ONX1111" s="15"/>
      <c r="OOA1111" s="15"/>
      <c r="OOB1111" s="15"/>
      <c r="OOE1111" s="15"/>
      <c r="OOF1111" s="15"/>
      <c r="OOI1111" s="15"/>
      <c r="OOJ1111" s="15"/>
      <c r="OOM1111" s="15"/>
      <c r="OON1111" s="15"/>
      <c r="OOQ1111" s="15"/>
      <c r="OOR1111" s="15"/>
      <c r="OOU1111" s="15"/>
      <c r="OOV1111" s="15"/>
      <c r="OOY1111" s="15"/>
      <c r="OOZ1111" s="15"/>
      <c r="OPC1111" s="15"/>
      <c r="OPD1111" s="15"/>
      <c r="OPG1111" s="15"/>
      <c r="OPH1111" s="15"/>
      <c r="OPK1111" s="15"/>
      <c r="OPL1111" s="15"/>
      <c r="OPO1111" s="15"/>
      <c r="OPP1111" s="15"/>
      <c r="OPS1111" s="15"/>
      <c r="OPT1111" s="15"/>
      <c r="OPW1111" s="15"/>
      <c r="OPX1111" s="15"/>
      <c r="OQA1111" s="15"/>
      <c r="OQB1111" s="15"/>
      <c r="OQE1111" s="15"/>
      <c r="OQF1111" s="15"/>
      <c r="OQI1111" s="15"/>
      <c r="OQJ1111" s="15"/>
      <c r="OQM1111" s="15"/>
      <c r="OQN1111" s="15"/>
      <c r="OQQ1111" s="15"/>
      <c r="OQR1111" s="15"/>
      <c r="OQU1111" s="15"/>
      <c r="OQV1111" s="15"/>
      <c r="OQY1111" s="15"/>
      <c r="OQZ1111" s="15"/>
      <c r="ORC1111" s="15"/>
      <c r="ORD1111" s="15"/>
      <c r="ORG1111" s="15"/>
      <c r="ORH1111" s="15"/>
      <c r="ORK1111" s="15"/>
      <c r="ORL1111" s="15"/>
      <c r="ORO1111" s="15"/>
      <c r="ORP1111" s="15"/>
      <c r="ORS1111" s="15"/>
      <c r="ORT1111" s="15"/>
      <c r="ORW1111" s="15"/>
      <c r="ORX1111" s="15"/>
      <c r="OSA1111" s="15"/>
      <c r="OSB1111" s="15"/>
      <c r="OSE1111" s="15"/>
      <c r="OSF1111" s="15"/>
      <c r="OSI1111" s="15"/>
      <c r="OSJ1111" s="15"/>
      <c r="OSM1111" s="15"/>
      <c r="OSN1111" s="15"/>
      <c r="OSQ1111" s="15"/>
      <c r="OSR1111" s="15"/>
      <c r="OSU1111" s="15"/>
      <c r="OSV1111" s="15"/>
      <c r="OSY1111" s="15"/>
      <c r="OSZ1111" s="15"/>
      <c r="OTC1111" s="15"/>
      <c r="OTD1111" s="15"/>
      <c r="OTG1111" s="15"/>
      <c r="OTH1111" s="15"/>
      <c r="OTK1111" s="15"/>
      <c r="OTL1111" s="15"/>
      <c r="OTO1111" s="15"/>
      <c r="OTP1111" s="15"/>
      <c r="OTS1111" s="15"/>
      <c r="OTT1111" s="15"/>
      <c r="OTW1111" s="15"/>
      <c r="OTX1111" s="15"/>
      <c r="OUA1111" s="15"/>
      <c r="OUB1111" s="15"/>
      <c r="OUE1111" s="15"/>
      <c r="OUF1111" s="15"/>
      <c r="OUI1111" s="15"/>
      <c r="OUJ1111" s="15"/>
      <c r="OUM1111" s="15"/>
      <c r="OUN1111" s="15"/>
      <c r="OUQ1111" s="15"/>
      <c r="OUR1111" s="15"/>
      <c r="OUU1111" s="15"/>
      <c r="OUV1111" s="15"/>
      <c r="OUY1111" s="15"/>
      <c r="OUZ1111" s="15"/>
      <c r="OVC1111" s="15"/>
      <c r="OVD1111" s="15"/>
      <c r="OVG1111" s="15"/>
      <c r="OVH1111" s="15"/>
      <c r="OVK1111" s="15"/>
      <c r="OVL1111" s="15"/>
      <c r="OVO1111" s="15"/>
      <c r="OVP1111" s="15"/>
      <c r="OVS1111" s="15"/>
      <c r="OVT1111" s="15"/>
      <c r="OVW1111" s="15"/>
      <c r="OVX1111" s="15"/>
      <c r="OWA1111" s="15"/>
      <c r="OWB1111" s="15"/>
      <c r="OWE1111" s="15"/>
      <c r="OWF1111" s="15"/>
      <c r="OWI1111" s="15"/>
      <c r="OWJ1111" s="15"/>
      <c r="OWM1111" s="15"/>
      <c r="OWN1111" s="15"/>
      <c r="OWQ1111" s="15"/>
      <c r="OWR1111" s="15"/>
      <c r="OWU1111" s="15"/>
      <c r="OWV1111" s="15"/>
      <c r="OWY1111" s="15"/>
      <c r="OWZ1111" s="15"/>
      <c r="OXC1111" s="15"/>
      <c r="OXD1111" s="15"/>
      <c r="OXG1111" s="15"/>
      <c r="OXH1111" s="15"/>
      <c r="OXK1111" s="15"/>
      <c r="OXL1111" s="15"/>
      <c r="OXO1111" s="15"/>
      <c r="OXP1111" s="15"/>
      <c r="OXS1111" s="15"/>
      <c r="OXT1111" s="15"/>
      <c r="OXW1111" s="15"/>
      <c r="OXX1111" s="15"/>
      <c r="OYA1111" s="15"/>
      <c r="OYB1111" s="15"/>
      <c r="OYE1111" s="15"/>
      <c r="OYF1111" s="15"/>
      <c r="OYI1111" s="15"/>
      <c r="OYJ1111" s="15"/>
      <c r="OYM1111" s="15"/>
      <c r="OYN1111" s="15"/>
      <c r="OYQ1111" s="15"/>
      <c r="OYR1111" s="15"/>
      <c r="OYU1111" s="15"/>
      <c r="OYV1111" s="15"/>
      <c r="OYY1111" s="15"/>
      <c r="OYZ1111" s="15"/>
      <c r="OZC1111" s="15"/>
      <c r="OZD1111" s="15"/>
      <c r="OZG1111" s="15"/>
      <c r="OZH1111" s="15"/>
      <c r="OZK1111" s="15"/>
      <c r="OZL1111" s="15"/>
      <c r="OZO1111" s="15"/>
      <c r="OZP1111" s="15"/>
      <c r="OZS1111" s="15"/>
      <c r="OZT1111" s="15"/>
      <c r="OZW1111" s="15"/>
      <c r="OZX1111" s="15"/>
      <c r="PAA1111" s="15"/>
      <c r="PAB1111" s="15"/>
      <c r="PAE1111" s="15"/>
      <c r="PAF1111" s="15"/>
      <c r="PAI1111" s="15"/>
      <c r="PAJ1111" s="15"/>
      <c r="PAM1111" s="15"/>
      <c r="PAN1111" s="15"/>
      <c r="PAQ1111" s="15"/>
      <c r="PAR1111" s="15"/>
      <c r="PAU1111" s="15"/>
      <c r="PAV1111" s="15"/>
      <c r="PAY1111" s="15"/>
      <c r="PAZ1111" s="15"/>
      <c r="PBC1111" s="15"/>
      <c r="PBD1111" s="15"/>
      <c r="PBG1111" s="15"/>
      <c r="PBH1111" s="15"/>
      <c r="PBK1111" s="15"/>
      <c r="PBL1111" s="15"/>
      <c r="PBO1111" s="15"/>
      <c r="PBP1111" s="15"/>
      <c r="PBS1111" s="15"/>
      <c r="PBT1111" s="15"/>
      <c r="PBW1111" s="15"/>
      <c r="PBX1111" s="15"/>
      <c r="PCA1111" s="15"/>
      <c r="PCB1111" s="15"/>
      <c r="PCE1111" s="15"/>
      <c r="PCF1111" s="15"/>
      <c r="PCI1111" s="15"/>
      <c r="PCJ1111" s="15"/>
      <c r="PCM1111" s="15"/>
      <c r="PCN1111" s="15"/>
      <c r="PCQ1111" s="15"/>
      <c r="PCR1111" s="15"/>
      <c r="PCU1111" s="15"/>
      <c r="PCV1111" s="15"/>
      <c r="PCY1111" s="15"/>
      <c r="PCZ1111" s="15"/>
      <c r="PDC1111" s="15"/>
      <c r="PDD1111" s="15"/>
      <c r="PDG1111" s="15"/>
      <c r="PDH1111" s="15"/>
      <c r="PDK1111" s="15"/>
      <c r="PDL1111" s="15"/>
      <c r="PDO1111" s="15"/>
      <c r="PDP1111" s="15"/>
      <c r="PDS1111" s="15"/>
      <c r="PDT1111" s="15"/>
      <c r="PDW1111" s="15"/>
      <c r="PDX1111" s="15"/>
      <c r="PEA1111" s="15"/>
      <c r="PEB1111" s="15"/>
      <c r="PEE1111" s="15"/>
      <c r="PEF1111" s="15"/>
      <c r="PEI1111" s="15"/>
      <c r="PEJ1111" s="15"/>
      <c r="PEM1111" s="15"/>
      <c r="PEN1111" s="15"/>
      <c r="PEQ1111" s="15"/>
      <c r="PER1111" s="15"/>
      <c r="PEU1111" s="15"/>
      <c r="PEV1111" s="15"/>
      <c r="PEY1111" s="15"/>
      <c r="PEZ1111" s="15"/>
      <c r="PFC1111" s="15"/>
      <c r="PFD1111" s="15"/>
      <c r="PFG1111" s="15"/>
      <c r="PFH1111" s="15"/>
      <c r="PFK1111" s="15"/>
      <c r="PFL1111" s="15"/>
      <c r="PFO1111" s="15"/>
      <c r="PFP1111" s="15"/>
      <c r="PFS1111" s="15"/>
      <c r="PFT1111" s="15"/>
      <c r="PFW1111" s="15"/>
      <c r="PFX1111" s="15"/>
      <c r="PGA1111" s="15"/>
      <c r="PGB1111" s="15"/>
      <c r="PGE1111" s="15"/>
      <c r="PGF1111" s="15"/>
      <c r="PGI1111" s="15"/>
      <c r="PGJ1111" s="15"/>
      <c r="PGM1111" s="15"/>
      <c r="PGN1111" s="15"/>
      <c r="PGQ1111" s="15"/>
      <c r="PGR1111" s="15"/>
      <c r="PGU1111" s="15"/>
      <c r="PGV1111" s="15"/>
      <c r="PGY1111" s="15"/>
      <c r="PGZ1111" s="15"/>
      <c r="PHC1111" s="15"/>
      <c r="PHD1111" s="15"/>
      <c r="PHG1111" s="15"/>
      <c r="PHH1111" s="15"/>
      <c r="PHK1111" s="15"/>
      <c r="PHL1111" s="15"/>
      <c r="PHO1111" s="15"/>
      <c r="PHP1111" s="15"/>
      <c r="PHS1111" s="15"/>
      <c r="PHT1111" s="15"/>
      <c r="PHW1111" s="15"/>
      <c r="PHX1111" s="15"/>
      <c r="PIA1111" s="15"/>
      <c r="PIB1111" s="15"/>
      <c r="PIE1111" s="15"/>
      <c r="PIF1111" s="15"/>
      <c r="PII1111" s="15"/>
      <c r="PIJ1111" s="15"/>
      <c r="PIM1111" s="15"/>
      <c r="PIN1111" s="15"/>
      <c r="PIQ1111" s="15"/>
      <c r="PIR1111" s="15"/>
      <c r="PIU1111" s="15"/>
      <c r="PIV1111" s="15"/>
      <c r="PIY1111" s="15"/>
      <c r="PIZ1111" s="15"/>
      <c r="PJC1111" s="15"/>
      <c r="PJD1111" s="15"/>
      <c r="PJG1111" s="15"/>
      <c r="PJH1111" s="15"/>
      <c r="PJK1111" s="15"/>
      <c r="PJL1111" s="15"/>
      <c r="PJO1111" s="15"/>
      <c r="PJP1111" s="15"/>
      <c r="PJS1111" s="15"/>
      <c r="PJT1111" s="15"/>
      <c r="PJW1111" s="15"/>
      <c r="PJX1111" s="15"/>
      <c r="PKA1111" s="15"/>
      <c r="PKB1111" s="15"/>
      <c r="PKE1111" s="15"/>
      <c r="PKF1111" s="15"/>
      <c r="PKI1111" s="15"/>
      <c r="PKJ1111" s="15"/>
      <c r="PKM1111" s="15"/>
      <c r="PKN1111" s="15"/>
      <c r="PKQ1111" s="15"/>
      <c r="PKR1111" s="15"/>
      <c r="PKU1111" s="15"/>
      <c r="PKV1111" s="15"/>
      <c r="PKY1111" s="15"/>
      <c r="PKZ1111" s="15"/>
      <c r="PLC1111" s="15"/>
      <c r="PLD1111" s="15"/>
      <c r="PLG1111" s="15"/>
      <c r="PLH1111" s="15"/>
      <c r="PLK1111" s="15"/>
      <c r="PLL1111" s="15"/>
      <c r="PLO1111" s="15"/>
      <c r="PLP1111" s="15"/>
      <c r="PLS1111" s="15"/>
      <c r="PLT1111" s="15"/>
      <c r="PLW1111" s="15"/>
      <c r="PLX1111" s="15"/>
      <c r="PMA1111" s="15"/>
      <c r="PMB1111" s="15"/>
      <c r="PME1111" s="15"/>
      <c r="PMF1111" s="15"/>
      <c r="PMI1111" s="15"/>
      <c r="PMJ1111" s="15"/>
      <c r="PMM1111" s="15"/>
      <c r="PMN1111" s="15"/>
      <c r="PMQ1111" s="15"/>
      <c r="PMR1111" s="15"/>
      <c r="PMU1111" s="15"/>
      <c r="PMV1111" s="15"/>
      <c r="PMY1111" s="15"/>
      <c r="PMZ1111" s="15"/>
      <c r="PNC1111" s="15"/>
      <c r="PND1111" s="15"/>
      <c r="PNG1111" s="15"/>
      <c r="PNH1111" s="15"/>
      <c r="PNK1111" s="15"/>
      <c r="PNL1111" s="15"/>
      <c r="PNO1111" s="15"/>
      <c r="PNP1111" s="15"/>
      <c r="PNS1111" s="15"/>
      <c r="PNT1111" s="15"/>
      <c r="PNW1111" s="15"/>
      <c r="PNX1111" s="15"/>
      <c r="POA1111" s="15"/>
      <c r="POB1111" s="15"/>
      <c r="POE1111" s="15"/>
      <c r="POF1111" s="15"/>
      <c r="POI1111" s="15"/>
      <c r="POJ1111" s="15"/>
      <c r="POM1111" s="15"/>
      <c r="PON1111" s="15"/>
      <c r="POQ1111" s="15"/>
      <c r="POR1111" s="15"/>
      <c r="POU1111" s="15"/>
      <c r="POV1111" s="15"/>
      <c r="POY1111" s="15"/>
      <c r="POZ1111" s="15"/>
      <c r="PPC1111" s="15"/>
      <c r="PPD1111" s="15"/>
      <c r="PPG1111" s="15"/>
      <c r="PPH1111" s="15"/>
      <c r="PPK1111" s="15"/>
      <c r="PPL1111" s="15"/>
      <c r="PPO1111" s="15"/>
      <c r="PPP1111" s="15"/>
      <c r="PPS1111" s="15"/>
      <c r="PPT1111" s="15"/>
      <c r="PPW1111" s="15"/>
      <c r="PPX1111" s="15"/>
      <c r="PQA1111" s="15"/>
      <c r="PQB1111" s="15"/>
      <c r="PQE1111" s="15"/>
      <c r="PQF1111" s="15"/>
      <c r="PQI1111" s="15"/>
      <c r="PQJ1111" s="15"/>
      <c r="PQM1111" s="15"/>
      <c r="PQN1111" s="15"/>
      <c r="PQQ1111" s="15"/>
      <c r="PQR1111" s="15"/>
      <c r="PQU1111" s="15"/>
      <c r="PQV1111" s="15"/>
      <c r="PQY1111" s="15"/>
      <c r="PQZ1111" s="15"/>
      <c r="PRC1111" s="15"/>
      <c r="PRD1111" s="15"/>
      <c r="PRG1111" s="15"/>
      <c r="PRH1111" s="15"/>
      <c r="PRK1111" s="15"/>
      <c r="PRL1111" s="15"/>
      <c r="PRO1111" s="15"/>
      <c r="PRP1111" s="15"/>
      <c r="PRS1111" s="15"/>
      <c r="PRT1111" s="15"/>
      <c r="PRW1111" s="15"/>
      <c r="PRX1111" s="15"/>
      <c r="PSA1111" s="15"/>
      <c r="PSB1111" s="15"/>
      <c r="PSE1111" s="15"/>
      <c r="PSF1111" s="15"/>
      <c r="PSI1111" s="15"/>
      <c r="PSJ1111" s="15"/>
      <c r="PSM1111" s="15"/>
      <c r="PSN1111" s="15"/>
      <c r="PSQ1111" s="15"/>
      <c r="PSR1111" s="15"/>
      <c r="PSU1111" s="15"/>
      <c r="PSV1111" s="15"/>
      <c r="PSY1111" s="15"/>
      <c r="PSZ1111" s="15"/>
      <c r="PTC1111" s="15"/>
      <c r="PTD1111" s="15"/>
      <c r="PTG1111" s="15"/>
      <c r="PTH1111" s="15"/>
      <c r="PTK1111" s="15"/>
      <c r="PTL1111" s="15"/>
      <c r="PTO1111" s="15"/>
      <c r="PTP1111" s="15"/>
      <c r="PTS1111" s="15"/>
      <c r="PTT1111" s="15"/>
      <c r="PTW1111" s="15"/>
      <c r="PTX1111" s="15"/>
      <c r="PUA1111" s="15"/>
      <c r="PUB1111" s="15"/>
      <c r="PUE1111" s="15"/>
      <c r="PUF1111" s="15"/>
      <c r="PUI1111" s="15"/>
      <c r="PUJ1111" s="15"/>
      <c r="PUM1111" s="15"/>
      <c r="PUN1111" s="15"/>
      <c r="PUQ1111" s="15"/>
      <c r="PUR1111" s="15"/>
      <c r="PUU1111" s="15"/>
      <c r="PUV1111" s="15"/>
      <c r="PUY1111" s="15"/>
      <c r="PUZ1111" s="15"/>
      <c r="PVC1111" s="15"/>
      <c r="PVD1111" s="15"/>
      <c r="PVG1111" s="15"/>
      <c r="PVH1111" s="15"/>
      <c r="PVK1111" s="15"/>
      <c r="PVL1111" s="15"/>
      <c r="PVO1111" s="15"/>
      <c r="PVP1111" s="15"/>
      <c r="PVS1111" s="15"/>
      <c r="PVT1111" s="15"/>
      <c r="PVW1111" s="15"/>
      <c r="PVX1111" s="15"/>
      <c r="PWA1111" s="15"/>
      <c r="PWB1111" s="15"/>
      <c r="PWE1111" s="15"/>
      <c r="PWF1111" s="15"/>
      <c r="PWI1111" s="15"/>
      <c r="PWJ1111" s="15"/>
      <c r="PWM1111" s="15"/>
      <c r="PWN1111" s="15"/>
      <c r="PWQ1111" s="15"/>
      <c r="PWR1111" s="15"/>
      <c r="PWU1111" s="15"/>
      <c r="PWV1111" s="15"/>
      <c r="PWY1111" s="15"/>
      <c r="PWZ1111" s="15"/>
      <c r="PXC1111" s="15"/>
      <c r="PXD1111" s="15"/>
      <c r="PXG1111" s="15"/>
      <c r="PXH1111" s="15"/>
      <c r="PXK1111" s="15"/>
      <c r="PXL1111" s="15"/>
      <c r="PXO1111" s="15"/>
      <c r="PXP1111" s="15"/>
      <c r="PXS1111" s="15"/>
      <c r="PXT1111" s="15"/>
      <c r="PXW1111" s="15"/>
      <c r="PXX1111" s="15"/>
      <c r="PYA1111" s="15"/>
      <c r="PYB1111" s="15"/>
      <c r="PYE1111" s="15"/>
      <c r="PYF1111" s="15"/>
      <c r="PYI1111" s="15"/>
      <c r="PYJ1111" s="15"/>
      <c r="PYM1111" s="15"/>
      <c r="PYN1111" s="15"/>
      <c r="PYQ1111" s="15"/>
      <c r="PYR1111" s="15"/>
      <c r="PYU1111" s="15"/>
      <c r="PYV1111" s="15"/>
      <c r="PYY1111" s="15"/>
      <c r="PYZ1111" s="15"/>
      <c r="PZC1111" s="15"/>
      <c r="PZD1111" s="15"/>
      <c r="PZG1111" s="15"/>
      <c r="PZH1111" s="15"/>
      <c r="PZK1111" s="15"/>
      <c r="PZL1111" s="15"/>
      <c r="PZO1111" s="15"/>
      <c r="PZP1111" s="15"/>
      <c r="PZS1111" s="15"/>
      <c r="PZT1111" s="15"/>
      <c r="PZW1111" s="15"/>
      <c r="PZX1111" s="15"/>
      <c r="QAA1111" s="15"/>
      <c r="QAB1111" s="15"/>
      <c r="QAE1111" s="15"/>
      <c r="QAF1111" s="15"/>
      <c r="QAI1111" s="15"/>
      <c r="QAJ1111" s="15"/>
      <c r="QAM1111" s="15"/>
      <c r="QAN1111" s="15"/>
      <c r="QAQ1111" s="15"/>
      <c r="QAR1111" s="15"/>
      <c r="QAU1111" s="15"/>
      <c r="QAV1111" s="15"/>
      <c r="QAY1111" s="15"/>
      <c r="QAZ1111" s="15"/>
      <c r="QBC1111" s="15"/>
      <c r="QBD1111" s="15"/>
      <c r="QBG1111" s="15"/>
      <c r="QBH1111" s="15"/>
      <c r="QBK1111" s="15"/>
      <c r="QBL1111" s="15"/>
      <c r="QBO1111" s="15"/>
      <c r="QBP1111" s="15"/>
      <c r="QBS1111" s="15"/>
      <c r="QBT1111" s="15"/>
      <c r="QBW1111" s="15"/>
      <c r="QBX1111" s="15"/>
      <c r="QCA1111" s="15"/>
      <c r="QCB1111" s="15"/>
      <c r="QCE1111" s="15"/>
      <c r="QCF1111" s="15"/>
      <c r="QCI1111" s="15"/>
      <c r="QCJ1111" s="15"/>
      <c r="QCM1111" s="15"/>
      <c r="QCN1111" s="15"/>
      <c r="QCQ1111" s="15"/>
      <c r="QCR1111" s="15"/>
      <c r="QCU1111" s="15"/>
      <c r="QCV1111" s="15"/>
      <c r="QCY1111" s="15"/>
      <c r="QCZ1111" s="15"/>
      <c r="QDC1111" s="15"/>
      <c r="QDD1111" s="15"/>
      <c r="QDG1111" s="15"/>
      <c r="QDH1111" s="15"/>
      <c r="QDK1111" s="15"/>
      <c r="QDL1111" s="15"/>
      <c r="QDO1111" s="15"/>
      <c r="QDP1111" s="15"/>
      <c r="QDS1111" s="15"/>
      <c r="QDT1111" s="15"/>
      <c r="QDW1111" s="15"/>
      <c r="QDX1111" s="15"/>
      <c r="QEA1111" s="15"/>
      <c r="QEB1111" s="15"/>
      <c r="QEE1111" s="15"/>
      <c r="QEF1111" s="15"/>
      <c r="QEI1111" s="15"/>
      <c r="QEJ1111" s="15"/>
      <c r="QEM1111" s="15"/>
      <c r="QEN1111" s="15"/>
      <c r="QEQ1111" s="15"/>
      <c r="QER1111" s="15"/>
      <c r="QEU1111" s="15"/>
      <c r="QEV1111" s="15"/>
      <c r="QEY1111" s="15"/>
      <c r="QEZ1111" s="15"/>
      <c r="QFC1111" s="15"/>
      <c r="QFD1111" s="15"/>
      <c r="QFG1111" s="15"/>
      <c r="QFH1111" s="15"/>
      <c r="QFK1111" s="15"/>
      <c r="QFL1111" s="15"/>
      <c r="QFO1111" s="15"/>
      <c r="QFP1111" s="15"/>
      <c r="QFS1111" s="15"/>
      <c r="QFT1111" s="15"/>
      <c r="QFW1111" s="15"/>
      <c r="QFX1111" s="15"/>
      <c r="QGA1111" s="15"/>
      <c r="QGB1111" s="15"/>
      <c r="QGE1111" s="15"/>
      <c r="QGF1111" s="15"/>
      <c r="QGI1111" s="15"/>
      <c r="QGJ1111" s="15"/>
      <c r="QGM1111" s="15"/>
      <c r="QGN1111" s="15"/>
      <c r="QGQ1111" s="15"/>
      <c r="QGR1111" s="15"/>
      <c r="QGU1111" s="15"/>
      <c r="QGV1111" s="15"/>
      <c r="QGY1111" s="15"/>
      <c r="QGZ1111" s="15"/>
      <c r="QHC1111" s="15"/>
      <c r="QHD1111" s="15"/>
      <c r="QHG1111" s="15"/>
      <c r="QHH1111" s="15"/>
      <c r="QHK1111" s="15"/>
      <c r="QHL1111" s="15"/>
      <c r="QHO1111" s="15"/>
      <c r="QHP1111" s="15"/>
      <c r="QHS1111" s="15"/>
      <c r="QHT1111" s="15"/>
      <c r="QHW1111" s="15"/>
      <c r="QHX1111" s="15"/>
      <c r="QIA1111" s="15"/>
      <c r="QIB1111" s="15"/>
      <c r="QIE1111" s="15"/>
      <c r="QIF1111" s="15"/>
      <c r="QII1111" s="15"/>
      <c r="QIJ1111" s="15"/>
      <c r="QIM1111" s="15"/>
      <c r="QIN1111" s="15"/>
      <c r="QIQ1111" s="15"/>
      <c r="QIR1111" s="15"/>
      <c r="QIU1111" s="15"/>
      <c r="QIV1111" s="15"/>
      <c r="QIY1111" s="15"/>
      <c r="QIZ1111" s="15"/>
      <c r="QJC1111" s="15"/>
      <c r="QJD1111" s="15"/>
      <c r="QJG1111" s="15"/>
      <c r="QJH1111" s="15"/>
      <c r="QJK1111" s="15"/>
      <c r="QJL1111" s="15"/>
      <c r="QJO1111" s="15"/>
      <c r="QJP1111" s="15"/>
      <c r="QJS1111" s="15"/>
      <c r="QJT1111" s="15"/>
      <c r="QJW1111" s="15"/>
      <c r="QJX1111" s="15"/>
      <c r="QKA1111" s="15"/>
      <c r="QKB1111" s="15"/>
      <c r="QKE1111" s="15"/>
      <c r="QKF1111" s="15"/>
      <c r="QKI1111" s="15"/>
      <c r="QKJ1111" s="15"/>
      <c r="QKM1111" s="15"/>
      <c r="QKN1111" s="15"/>
      <c r="QKQ1111" s="15"/>
      <c r="QKR1111" s="15"/>
      <c r="QKU1111" s="15"/>
      <c r="QKV1111" s="15"/>
      <c r="QKY1111" s="15"/>
      <c r="QKZ1111" s="15"/>
      <c r="QLC1111" s="15"/>
      <c r="QLD1111" s="15"/>
      <c r="QLG1111" s="15"/>
      <c r="QLH1111" s="15"/>
      <c r="QLK1111" s="15"/>
      <c r="QLL1111" s="15"/>
      <c r="QLO1111" s="15"/>
      <c r="QLP1111" s="15"/>
      <c r="QLS1111" s="15"/>
      <c r="QLT1111" s="15"/>
      <c r="QLW1111" s="15"/>
      <c r="QLX1111" s="15"/>
      <c r="QMA1111" s="15"/>
      <c r="QMB1111" s="15"/>
      <c r="QME1111" s="15"/>
      <c r="QMF1111" s="15"/>
      <c r="QMI1111" s="15"/>
      <c r="QMJ1111" s="15"/>
      <c r="QMM1111" s="15"/>
      <c r="QMN1111" s="15"/>
      <c r="QMQ1111" s="15"/>
      <c r="QMR1111" s="15"/>
      <c r="QMU1111" s="15"/>
      <c r="QMV1111" s="15"/>
      <c r="QMY1111" s="15"/>
      <c r="QMZ1111" s="15"/>
      <c r="QNC1111" s="15"/>
      <c r="QND1111" s="15"/>
      <c r="QNG1111" s="15"/>
      <c r="QNH1111" s="15"/>
      <c r="QNK1111" s="15"/>
      <c r="QNL1111" s="15"/>
      <c r="QNO1111" s="15"/>
      <c r="QNP1111" s="15"/>
      <c r="QNS1111" s="15"/>
      <c r="QNT1111" s="15"/>
      <c r="QNW1111" s="15"/>
      <c r="QNX1111" s="15"/>
      <c r="QOA1111" s="15"/>
      <c r="QOB1111" s="15"/>
      <c r="QOE1111" s="15"/>
      <c r="QOF1111" s="15"/>
      <c r="QOI1111" s="15"/>
      <c r="QOJ1111" s="15"/>
      <c r="QOM1111" s="15"/>
      <c r="QON1111" s="15"/>
      <c r="QOQ1111" s="15"/>
      <c r="QOR1111" s="15"/>
      <c r="QOU1111" s="15"/>
      <c r="QOV1111" s="15"/>
      <c r="QOY1111" s="15"/>
      <c r="QOZ1111" s="15"/>
      <c r="QPC1111" s="15"/>
      <c r="QPD1111" s="15"/>
      <c r="QPG1111" s="15"/>
      <c r="QPH1111" s="15"/>
      <c r="QPK1111" s="15"/>
      <c r="QPL1111" s="15"/>
      <c r="QPO1111" s="15"/>
      <c r="QPP1111" s="15"/>
      <c r="QPS1111" s="15"/>
      <c r="QPT1111" s="15"/>
      <c r="QPW1111" s="15"/>
      <c r="QPX1111" s="15"/>
      <c r="QQA1111" s="15"/>
      <c r="QQB1111" s="15"/>
      <c r="QQE1111" s="15"/>
      <c r="QQF1111" s="15"/>
      <c r="QQI1111" s="15"/>
      <c r="QQJ1111" s="15"/>
      <c r="QQM1111" s="15"/>
      <c r="QQN1111" s="15"/>
      <c r="QQQ1111" s="15"/>
      <c r="QQR1111" s="15"/>
      <c r="QQU1111" s="15"/>
      <c r="QQV1111" s="15"/>
      <c r="QQY1111" s="15"/>
      <c r="QQZ1111" s="15"/>
      <c r="QRC1111" s="15"/>
      <c r="QRD1111" s="15"/>
      <c r="QRG1111" s="15"/>
      <c r="QRH1111" s="15"/>
      <c r="QRK1111" s="15"/>
      <c r="QRL1111" s="15"/>
      <c r="QRO1111" s="15"/>
      <c r="QRP1111" s="15"/>
      <c r="QRS1111" s="15"/>
      <c r="QRT1111" s="15"/>
      <c r="QRW1111" s="15"/>
      <c r="QRX1111" s="15"/>
      <c r="QSA1111" s="15"/>
      <c r="QSB1111" s="15"/>
      <c r="QSE1111" s="15"/>
      <c r="QSF1111" s="15"/>
      <c r="QSI1111" s="15"/>
      <c r="QSJ1111" s="15"/>
      <c r="QSM1111" s="15"/>
      <c r="QSN1111" s="15"/>
      <c r="QSQ1111" s="15"/>
      <c r="QSR1111" s="15"/>
      <c r="QSU1111" s="15"/>
      <c r="QSV1111" s="15"/>
      <c r="QSY1111" s="15"/>
      <c r="QSZ1111" s="15"/>
      <c r="QTC1111" s="15"/>
      <c r="QTD1111" s="15"/>
      <c r="QTG1111" s="15"/>
      <c r="QTH1111" s="15"/>
      <c r="QTK1111" s="15"/>
      <c r="QTL1111" s="15"/>
      <c r="QTO1111" s="15"/>
      <c r="QTP1111" s="15"/>
      <c r="QTS1111" s="15"/>
      <c r="QTT1111" s="15"/>
      <c r="QTW1111" s="15"/>
      <c r="QTX1111" s="15"/>
      <c r="QUA1111" s="15"/>
      <c r="QUB1111" s="15"/>
      <c r="QUE1111" s="15"/>
      <c r="QUF1111" s="15"/>
      <c r="QUI1111" s="15"/>
      <c r="QUJ1111" s="15"/>
      <c r="QUM1111" s="15"/>
      <c r="QUN1111" s="15"/>
      <c r="QUQ1111" s="15"/>
      <c r="QUR1111" s="15"/>
      <c r="QUU1111" s="15"/>
      <c r="QUV1111" s="15"/>
      <c r="QUY1111" s="15"/>
      <c r="QUZ1111" s="15"/>
      <c r="QVC1111" s="15"/>
      <c r="QVD1111" s="15"/>
      <c r="QVG1111" s="15"/>
      <c r="QVH1111" s="15"/>
      <c r="QVK1111" s="15"/>
      <c r="QVL1111" s="15"/>
      <c r="QVO1111" s="15"/>
      <c r="QVP1111" s="15"/>
      <c r="QVS1111" s="15"/>
      <c r="QVT1111" s="15"/>
      <c r="QVW1111" s="15"/>
      <c r="QVX1111" s="15"/>
      <c r="QWA1111" s="15"/>
      <c r="QWB1111" s="15"/>
      <c r="QWE1111" s="15"/>
      <c r="QWF1111" s="15"/>
      <c r="QWI1111" s="15"/>
      <c r="QWJ1111" s="15"/>
      <c r="QWM1111" s="15"/>
      <c r="QWN1111" s="15"/>
      <c r="QWQ1111" s="15"/>
      <c r="QWR1111" s="15"/>
      <c r="QWU1111" s="15"/>
      <c r="QWV1111" s="15"/>
      <c r="QWY1111" s="15"/>
      <c r="QWZ1111" s="15"/>
      <c r="QXC1111" s="15"/>
      <c r="QXD1111" s="15"/>
      <c r="QXG1111" s="15"/>
      <c r="QXH1111" s="15"/>
      <c r="QXK1111" s="15"/>
      <c r="QXL1111" s="15"/>
      <c r="QXO1111" s="15"/>
      <c r="QXP1111" s="15"/>
      <c r="QXS1111" s="15"/>
      <c r="QXT1111" s="15"/>
      <c r="QXW1111" s="15"/>
      <c r="QXX1111" s="15"/>
      <c r="QYA1111" s="15"/>
      <c r="QYB1111" s="15"/>
      <c r="QYE1111" s="15"/>
      <c r="QYF1111" s="15"/>
      <c r="QYI1111" s="15"/>
      <c r="QYJ1111" s="15"/>
      <c r="QYM1111" s="15"/>
      <c r="QYN1111" s="15"/>
      <c r="QYQ1111" s="15"/>
      <c r="QYR1111" s="15"/>
      <c r="QYU1111" s="15"/>
      <c r="QYV1111" s="15"/>
      <c r="QYY1111" s="15"/>
      <c r="QYZ1111" s="15"/>
      <c r="QZC1111" s="15"/>
      <c r="QZD1111" s="15"/>
      <c r="QZG1111" s="15"/>
      <c r="QZH1111" s="15"/>
      <c r="QZK1111" s="15"/>
      <c r="QZL1111" s="15"/>
      <c r="QZO1111" s="15"/>
      <c r="QZP1111" s="15"/>
      <c r="QZS1111" s="15"/>
      <c r="QZT1111" s="15"/>
      <c r="QZW1111" s="15"/>
      <c r="QZX1111" s="15"/>
      <c r="RAA1111" s="15"/>
      <c r="RAB1111" s="15"/>
      <c r="RAE1111" s="15"/>
      <c r="RAF1111" s="15"/>
      <c r="RAI1111" s="15"/>
      <c r="RAJ1111" s="15"/>
      <c r="RAM1111" s="15"/>
      <c r="RAN1111" s="15"/>
      <c r="RAQ1111" s="15"/>
      <c r="RAR1111" s="15"/>
      <c r="RAU1111" s="15"/>
      <c r="RAV1111" s="15"/>
      <c r="RAY1111" s="15"/>
      <c r="RAZ1111" s="15"/>
      <c r="RBC1111" s="15"/>
      <c r="RBD1111" s="15"/>
      <c r="RBG1111" s="15"/>
      <c r="RBH1111" s="15"/>
      <c r="RBK1111" s="15"/>
      <c r="RBL1111" s="15"/>
      <c r="RBO1111" s="15"/>
      <c r="RBP1111" s="15"/>
      <c r="RBS1111" s="15"/>
      <c r="RBT1111" s="15"/>
      <c r="RBW1111" s="15"/>
      <c r="RBX1111" s="15"/>
      <c r="RCA1111" s="15"/>
      <c r="RCB1111" s="15"/>
      <c r="RCE1111" s="15"/>
      <c r="RCF1111" s="15"/>
      <c r="RCI1111" s="15"/>
      <c r="RCJ1111" s="15"/>
      <c r="RCM1111" s="15"/>
      <c r="RCN1111" s="15"/>
      <c r="RCQ1111" s="15"/>
      <c r="RCR1111" s="15"/>
      <c r="RCU1111" s="15"/>
      <c r="RCV1111" s="15"/>
      <c r="RCY1111" s="15"/>
      <c r="RCZ1111" s="15"/>
      <c r="RDC1111" s="15"/>
      <c r="RDD1111" s="15"/>
      <c r="RDG1111" s="15"/>
      <c r="RDH1111" s="15"/>
      <c r="RDK1111" s="15"/>
      <c r="RDL1111" s="15"/>
      <c r="RDO1111" s="15"/>
      <c r="RDP1111" s="15"/>
      <c r="RDS1111" s="15"/>
      <c r="RDT1111" s="15"/>
      <c r="RDW1111" s="15"/>
      <c r="RDX1111" s="15"/>
      <c r="REA1111" s="15"/>
      <c r="REB1111" s="15"/>
      <c r="REE1111" s="15"/>
      <c r="REF1111" s="15"/>
      <c r="REI1111" s="15"/>
      <c r="REJ1111" s="15"/>
      <c r="REM1111" s="15"/>
      <c r="REN1111" s="15"/>
      <c r="REQ1111" s="15"/>
      <c r="RER1111" s="15"/>
      <c r="REU1111" s="15"/>
      <c r="REV1111" s="15"/>
      <c r="REY1111" s="15"/>
      <c r="REZ1111" s="15"/>
      <c r="RFC1111" s="15"/>
      <c r="RFD1111" s="15"/>
      <c r="RFG1111" s="15"/>
      <c r="RFH1111" s="15"/>
      <c r="RFK1111" s="15"/>
      <c r="RFL1111" s="15"/>
      <c r="RFO1111" s="15"/>
      <c r="RFP1111" s="15"/>
      <c r="RFS1111" s="15"/>
      <c r="RFT1111" s="15"/>
      <c r="RFW1111" s="15"/>
      <c r="RFX1111" s="15"/>
      <c r="RGA1111" s="15"/>
      <c r="RGB1111" s="15"/>
      <c r="RGE1111" s="15"/>
      <c r="RGF1111" s="15"/>
      <c r="RGI1111" s="15"/>
      <c r="RGJ1111" s="15"/>
      <c r="RGM1111" s="15"/>
      <c r="RGN1111" s="15"/>
      <c r="RGQ1111" s="15"/>
      <c r="RGR1111" s="15"/>
      <c r="RGU1111" s="15"/>
      <c r="RGV1111" s="15"/>
      <c r="RGY1111" s="15"/>
      <c r="RGZ1111" s="15"/>
      <c r="RHC1111" s="15"/>
      <c r="RHD1111" s="15"/>
      <c r="RHG1111" s="15"/>
      <c r="RHH1111" s="15"/>
      <c r="RHK1111" s="15"/>
      <c r="RHL1111" s="15"/>
      <c r="RHO1111" s="15"/>
      <c r="RHP1111" s="15"/>
      <c r="RHS1111" s="15"/>
      <c r="RHT1111" s="15"/>
      <c r="RHW1111" s="15"/>
      <c r="RHX1111" s="15"/>
      <c r="RIA1111" s="15"/>
      <c r="RIB1111" s="15"/>
      <c r="RIE1111" s="15"/>
      <c r="RIF1111" s="15"/>
      <c r="RII1111" s="15"/>
      <c r="RIJ1111" s="15"/>
      <c r="RIM1111" s="15"/>
      <c r="RIN1111" s="15"/>
      <c r="RIQ1111" s="15"/>
      <c r="RIR1111" s="15"/>
      <c r="RIU1111" s="15"/>
      <c r="RIV1111" s="15"/>
      <c r="RIY1111" s="15"/>
      <c r="RIZ1111" s="15"/>
      <c r="RJC1111" s="15"/>
      <c r="RJD1111" s="15"/>
      <c r="RJG1111" s="15"/>
      <c r="RJH1111" s="15"/>
      <c r="RJK1111" s="15"/>
      <c r="RJL1111" s="15"/>
      <c r="RJO1111" s="15"/>
      <c r="RJP1111" s="15"/>
      <c r="RJS1111" s="15"/>
      <c r="RJT1111" s="15"/>
      <c r="RJW1111" s="15"/>
      <c r="RJX1111" s="15"/>
      <c r="RKA1111" s="15"/>
      <c r="RKB1111" s="15"/>
      <c r="RKE1111" s="15"/>
      <c r="RKF1111" s="15"/>
      <c r="RKI1111" s="15"/>
      <c r="RKJ1111" s="15"/>
      <c r="RKM1111" s="15"/>
      <c r="RKN1111" s="15"/>
      <c r="RKQ1111" s="15"/>
      <c r="RKR1111" s="15"/>
      <c r="RKU1111" s="15"/>
      <c r="RKV1111" s="15"/>
      <c r="RKY1111" s="15"/>
      <c r="RKZ1111" s="15"/>
      <c r="RLC1111" s="15"/>
      <c r="RLD1111" s="15"/>
      <c r="RLG1111" s="15"/>
      <c r="RLH1111" s="15"/>
      <c r="RLK1111" s="15"/>
      <c r="RLL1111" s="15"/>
      <c r="RLO1111" s="15"/>
      <c r="RLP1111" s="15"/>
      <c r="RLS1111" s="15"/>
      <c r="RLT1111" s="15"/>
      <c r="RLW1111" s="15"/>
      <c r="RLX1111" s="15"/>
      <c r="RMA1111" s="15"/>
      <c r="RMB1111" s="15"/>
      <c r="RME1111" s="15"/>
      <c r="RMF1111" s="15"/>
      <c r="RMI1111" s="15"/>
      <c r="RMJ1111" s="15"/>
      <c r="RMM1111" s="15"/>
      <c r="RMN1111" s="15"/>
      <c r="RMQ1111" s="15"/>
      <c r="RMR1111" s="15"/>
      <c r="RMU1111" s="15"/>
      <c r="RMV1111" s="15"/>
      <c r="RMY1111" s="15"/>
      <c r="RMZ1111" s="15"/>
      <c r="RNC1111" s="15"/>
      <c r="RND1111" s="15"/>
      <c r="RNG1111" s="15"/>
      <c r="RNH1111" s="15"/>
      <c r="RNK1111" s="15"/>
      <c r="RNL1111" s="15"/>
      <c r="RNO1111" s="15"/>
      <c r="RNP1111" s="15"/>
      <c r="RNS1111" s="15"/>
      <c r="RNT1111" s="15"/>
      <c r="RNW1111" s="15"/>
      <c r="RNX1111" s="15"/>
      <c r="ROA1111" s="15"/>
      <c r="ROB1111" s="15"/>
      <c r="ROE1111" s="15"/>
      <c r="ROF1111" s="15"/>
      <c r="ROI1111" s="15"/>
      <c r="ROJ1111" s="15"/>
      <c r="ROM1111" s="15"/>
      <c r="RON1111" s="15"/>
      <c r="ROQ1111" s="15"/>
      <c r="ROR1111" s="15"/>
      <c r="ROU1111" s="15"/>
      <c r="ROV1111" s="15"/>
      <c r="ROY1111" s="15"/>
      <c r="ROZ1111" s="15"/>
      <c r="RPC1111" s="15"/>
      <c r="RPD1111" s="15"/>
      <c r="RPG1111" s="15"/>
      <c r="RPH1111" s="15"/>
      <c r="RPK1111" s="15"/>
      <c r="RPL1111" s="15"/>
      <c r="RPO1111" s="15"/>
      <c r="RPP1111" s="15"/>
      <c r="RPS1111" s="15"/>
      <c r="RPT1111" s="15"/>
      <c r="RPW1111" s="15"/>
      <c r="RPX1111" s="15"/>
      <c r="RQA1111" s="15"/>
      <c r="RQB1111" s="15"/>
      <c r="RQE1111" s="15"/>
      <c r="RQF1111" s="15"/>
      <c r="RQI1111" s="15"/>
      <c r="RQJ1111" s="15"/>
      <c r="RQM1111" s="15"/>
      <c r="RQN1111" s="15"/>
      <c r="RQQ1111" s="15"/>
      <c r="RQR1111" s="15"/>
      <c r="RQU1111" s="15"/>
      <c r="RQV1111" s="15"/>
      <c r="RQY1111" s="15"/>
      <c r="RQZ1111" s="15"/>
      <c r="RRC1111" s="15"/>
      <c r="RRD1111" s="15"/>
      <c r="RRG1111" s="15"/>
      <c r="RRH1111" s="15"/>
      <c r="RRK1111" s="15"/>
      <c r="RRL1111" s="15"/>
      <c r="RRO1111" s="15"/>
      <c r="RRP1111" s="15"/>
      <c r="RRS1111" s="15"/>
      <c r="RRT1111" s="15"/>
      <c r="RRW1111" s="15"/>
      <c r="RRX1111" s="15"/>
      <c r="RSA1111" s="15"/>
      <c r="RSB1111" s="15"/>
      <c r="RSE1111" s="15"/>
      <c r="RSF1111" s="15"/>
      <c r="RSI1111" s="15"/>
      <c r="RSJ1111" s="15"/>
      <c r="RSM1111" s="15"/>
      <c r="RSN1111" s="15"/>
      <c r="RSQ1111" s="15"/>
      <c r="RSR1111" s="15"/>
      <c r="RSU1111" s="15"/>
      <c r="RSV1111" s="15"/>
      <c r="RSY1111" s="15"/>
      <c r="RSZ1111" s="15"/>
      <c r="RTC1111" s="15"/>
      <c r="RTD1111" s="15"/>
      <c r="RTG1111" s="15"/>
      <c r="RTH1111" s="15"/>
      <c r="RTK1111" s="15"/>
      <c r="RTL1111" s="15"/>
      <c r="RTO1111" s="15"/>
      <c r="RTP1111" s="15"/>
      <c r="RTS1111" s="15"/>
      <c r="RTT1111" s="15"/>
      <c r="RTW1111" s="15"/>
      <c r="RTX1111" s="15"/>
      <c r="RUA1111" s="15"/>
      <c r="RUB1111" s="15"/>
      <c r="RUE1111" s="15"/>
      <c r="RUF1111" s="15"/>
      <c r="RUI1111" s="15"/>
      <c r="RUJ1111" s="15"/>
      <c r="RUM1111" s="15"/>
      <c r="RUN1111" s="15"/>
      <c r="RUQ1111" s="15"/>
      <c r="RUR1111" s="15"/>
      <c r="RUU1111" s="15"/>
      <c r="RUV1111" s="15"/>
      <c r="RUY1111" s="15"/>
      <c r="RUZ1111" s="15"/>
      <c r="RVC1111" s="15"/>
      <c r="RVD1111" s="15"/>
      <c r="RVG1111" s="15"/>
      <c r="RVH1111" s="15"/>
      <c r="RVK1111" s="15"/>
      <c r="RVL1111" s="15"/>
      <c r="RVO1111" s="15"/>
      <c r="RVP1111" s="15"/>
      <c r="RVS1111" s="15"/>
      <c r="RVT1111" s="15"/>
      <c r="RVW1111" s="15"/>
      <c r="RVX1111" s="15"/>
      <c r="RWA1111" s="15"/>
      <c r="RWB1111" s="15"/>
      <c r="RWE1111" s="15"/>
      <c r="RWF1111" s="15"/>
      <c r="RWI1111" s="15"/>
      <c r="RWJ1111" s="15"/>
      <c r="RWM1111" s="15"/>
      <c r="RWN1111" s="15"/>
      <c r="RWQ1111" s="15"/>
      <c r="RWR1111" s="15"/>
      <c r="RWU1111" s="15"/>
      <c r="RWV1111" s="15"/>
      <c r="RWY1111" s="15"/>
      <c r="RWZ1111" s="15"/>
      <c r="RXC1111" s="15"/>
      <c r="RXD1111" s="15"/>
      <c r="RXG1111" s="15"/>
      <c r="RXH1111" s="15"/>
      <c r="RXK1111" s="15"/>
      <c r="RXL1111" s="15"/>
      <c r="RXO1111" s="15"/>
      <c r="RXP1111" s="15"/>
      <c r="RXS1111" s="15"/>
      <c r="RXT1111" s="15"/>
      <c r="RXW1111" s="15"/>
      <c r="RXX1111" s="15"/>
      <c r="RYA1111" s="15"/>
      <c r="RYB1111" s="15"/>
      <c r="RYE1111" s="15"/>
      <c r="RYF1111" s="15"/>
      <c r="RYI1111" s="15"/>
      <c r="RYJ1111" s="15"/>
      <c r="RYM1111" s="15"/>
      <c r="RYN1111" s="15"/>
      <c r="RYQ1111" s="15"/>
      <c r="RYR1111" s="15"/>
      <c r="RYU1111" s="15"/>
      <c r="RYV1111" s="15"/>
      <c r="RYY1111" s="15"/>
      <c r="RYZ1111" s="15"/>
      <c r="RZC1111" s="15"/>
      <c r="RZD1111" s="15"/>
      <c r="RZG1111" s="15"/>
      <c r="RZH1111" s="15"/>
      <c r="RZK1111" s="15"/>
      <c r="RZL1111" s="15"/>
      <c r="RZO1111" s="15"/>
      <c r="RZP1111" s="15"/>
      <c r="RZS1111" s="15"/>
      <c r="RZT1111" s="15"/>
      <c r="RZW1111" s="15"/>
      <c r="RZX1111" s="15"/>
      <c r="SAA1111" s="15"/>
      <c r="SAB1111" s="15"/>
      <c r="SAE1111" s="15"/>
      <c r="SAF1111" s="15"/>
      <c r="SAI1111" s="15"/>
      <c r="SAJ1111" s="15"/>
      <c r="SAM1111" s="15"/>
      <c r="SAN1111" s="15"/>
      <c r="SAQ1111" s="15"/>
      <c r="SAR1111" s="15"/>
      <c r="SAU1111" s="15"/>
      <c r="SAV1111" s="15"/>
      <c r="SAY1111" s="15"/>
      <c r="SAZ1111" s="15"/>
      <c r="SBC1111" s="15"/>
      <c r="SBD1111" s="15"/>
      <c r="SBG1111" s="15"/>
      <c r="SBH1111" s="15"/>
      <c r="SBK1111" s="15"/>
      <c r="SBL1111" s="15"/>
      <c r="SBO1111" s="15"/>
      <c r="SBP1111" s="15"/>
      <c r="SBS1111" s="15"/>
      <c r="SBT1111" s="15"/>
      <c r="SBW1111" s="15"/>
      <c r="SBX1111" s="15"/>
      <c r="SCA1111" s="15"/>
      <c r="SCB1111" s="15"/>
      <c r="SCE1111" s="15"/>
      <c r="SCF1111" s="15"/>
      <c r="SCI1111" s="15"/>
      <c r="SCJ1111" s="15"/>
      <c r="SCM1111" s="15"/>
      <c r="SCN1111" s="15"/>
      <c r="SCQ1111" s="15"/>
      <c r="SCR1111" s="15"/>
      <c r="SCU1111" s="15"/>
      <c r="SCV1111" s="15"/>
      <c r="SCY1111" s="15"/>
      <c r="SCZ1111" s="15"/>
      <c r="SDC1111" s="15"/>
      <c r="SDD1111" s="15"/>
      <c r="SDG1111" s="15"/>
      <c r="SDH1111" s="15"/>
      <c r="SDK1111" s="15"/>
      <c r="SDL1111" s="15"/>
      <c r="SDO1111" s="15"/>
      <c r="SDP1111" s="15"/>
      <c r="SDS1111" s="15"/>
      <c r="SDT1111" s="15"/>
      <c r="SDW1111" s="15"/>
      <c r="SDX1111" s="15"/>
      <c r="SEA1111" s="15"/>
      <c r="SEB1111" s="15"/>
      <c r="SEE1111" s="15"/>
      <c r="SEF1111" s="15"/>
      <c r="SEI1111" s="15"/>
      <c r="SEJ1111" s="15"/>
      <c r="SEM1111" s="15"/>
      <c r="SEN1111" s="15"/>
      <c r="SEQ1111" s="15"/>
      <c r="SER1111" s="15"/>
      <c r="SEU1111" s="15"/>
      <c r="SEV1111" s="15"/>
      <c r="SEY1111" s="15"/>
      <c r="SEZ1111" s="15"/>
      <c r="SFC1111" s="15"/>
      <c r="SFD1111" s="15"/>
      <c r="SFG1111" s="15"/>
      <c r="SFH1111" s="15"/>
      <c r="SFK1111" s="15"/>
      <c r="SFL1111" s="15"/>
      <c r="SFO1111" s="15"/>
      <c r="SFP1111" s="15"/>
      <c r="SFS1111" s="15"/>
      <c r="SFT1111" s="15"/>
      <c r="SFW1111" s="15"/>
      <c r="SFX1111" s="15"/>
      <c r="SGA1111" s="15"/>
      <c r="SGB1111" s="15"/>
      <c r="SGE1111" s="15"/>
      <c r="SGF1111" s="15"/>
      <c r="SGI1111" s="15"/>
      <c r="SGJ1111" s="15"/>
      <c r="SGM1111" s="15"/>
      <c r="SGN1111" s="15"/>
      <c r="SGQ1111" s="15"/>
      <c r="SGR1111" s="15"/>
      <c r="SGU1111" s="15"/>
      <c r="SGV1111" s="15"/>
      <c r="SGY1111" s="15"/>
      <c r="SGZ1111" s="15"/>
      <c r="SHC1111" s="15"/>
      <c r="SHD1111" s="15"/>
      <c r="SHG1111" s="15"/>
      <c r="SHH1111" s="15"/>
      <c r="SHK1111" s="15"/>
      <c r="SHL1111" s="15"/>
      <c r="SHO1111" s="15"/>
      <c r="SHP1111" s="15"/>
      <c r="SHS1111" s="15"/>
      <c r="SHT1111" s="15"/>
      <c r="SHW1111" s="15"/>
      <c r="SHX1111" s="15"/>
      <c r="SIA1111" s="15"/>
      <c r="SIB1111" s="15"/>
      <c r="SIE1111" s="15"/>
      <c r="SIF1111" s="15"/>
      <c r="SII1111" s="15"/>
      <c r="SIJ1111" s="15"/>
      <c r="SIM1111" s="15"/>
      <c r="SIN1111" s="15"/>
      <c r="SIQ1111" s="15"/>
      <c r="SIR1111" s="15"/>
      <c r="SIU1111" s="15"/>
      <c r="SIV1111" s="15"/>
      <c r="SIY1111" s="15"/>
      <c r="SIZ1111" s="15"/>
      <c r="SJC1111" s="15"/>
      <c r="SJD1111" s="15"/>
      <c r="SJG1111" s="15"/>
      <c r="SJH1111" s="15"/>
      <c r="SJK1111" s="15"/>
      <c r="SJL1111" s="15"/>
      <c r="SJO1111" s="15"/>
      <c r="SJP1111" s="15"/>
      <c r="SJS1111" s="15"/>
      <c r="SJT1111" s="15"/>
      <c r="SJW1111" s="15"/>
      <c r="SJX1111" s="15"/>
      <c r="SKA1111" s="15"/>
      <c r="SKB1111" s="15"/>
      <c r="SKE1111" s="15"/>
      <c r="SKF1111" s="15"/>
      <c r="SKI1111" s="15"/>
      <c r="SKJ1111" s="15"/>
      <c r="SKM1111" s="15"/>
      <c r="SKN1111" s="15"/>
      <c r="SKQ1111" s="15"/>
      <c r="SKR1111" s="15"/>
      <c r="SKU1111" s="15"/>
      <c r="SKV1111" s="15"/>
      <c r="SKY1111" s="15"/>
      <c r="SKZ1111" s="15"/>
      <c r="SLC1111" s="15"/>
      <c r="SLD1111" s="15"/>
      <c r="SLG1111" s="15"/>
      <c r="SLH1111" s="15"/>
      <c r="SLK1111" s="15"/>
      <c r="SLL1111" s="15"/>
      <c r="SLO1111" s="15"/>
      <c r="SLP1111" s="15"/>
      <c r="SLS1111" s="15"/>
      <c r="SLT1111" s="15"/>
      <c r="SLW1111" s="15"/>
      <c r="SLX1111" s="15"/>
      <c r="SMA1111" s="15"/>
      <c r="SMB1111" s="15"/>
      <c r="SME1111" s="15"/>
      <c r="SMF1111" s="15"/>
      <c r="SMI1111" s="15"/>
      <c r="SMJ1111" s="15"/>
      <c r="SMM1111" s="15"/>
      <c r="SMN1111" s="15"/>
      <c r="SMQ1111" s="15"/>
      <c r="SMR1111" s="15"/>
      <c r="SMU1111" s="15"/>
      <c r="SMV1111" s="15"/>
      <c r="SMY1111" s="15"/>
      <c r="SMZ1111" s="15"/>
      <c r="SNC1111" s="15"/>
      <c r="SND1111" s="15"/>
      <c r="SNG1111" s="15"/>
      <c r="SNH1111" s="15"/>
      <c r="SNK1111" s="15"/>
      <c r="SNL1111" s="15"/>
      <c r="SNO1111" s="15"/>
      <c r="SNP1111" s="15"/>
      <c r="SNS1111" s="15"/>
      <c r="SNT1111" s="15"/>
      <c r="SNW1111" s="15"/>
      <c r="SNX1111" s="15"/>
      <c r="SOA1111" s="15"/>
      <c r="SOB1111" s="15"/>
      <c r="SOE1111" s="15"/>
      <c r="SOF1111" s="15"/>
      <c r="SOI1111" s="15"/>
      <c r="SOJ1111" s="15"/>
      <c r="SOM1111" s="15"/>
      <c r="SON1111" s="15"/>
      <c r="SOQ1111" s="15"/>
      <c r="SOR1111" s="15"/>
      <c r="SOU1111" s="15"/>
      <c r="SOV1111" s="15"/>
      <c r="SOY1111" s="15"/>
      <c r="SOZ1111" s="15"/>
      <c r="SPC1111" s="15"/>
      <c r="SPD1111" s="15"/>
      <c r="SPG1111" s="15"/>
      <c r="SPH1111" s="15"/>
      <c r="SPK1111" s="15"/>
      <c r="SPL1111" s="15"/>
      <c r="SPO1111" s="15"/>
      <c r="SPP1111" s="15"/>
      <c r="SPS1111" s="15"/>
      <c r="SPT1111" s="15"/>
      <c r="SPW1111" s="15"/>
      <c r="SPX1111" s="15"/>
      <c r="SQA1111" s="15"/>
      <c r="SQB1111" s="15"/>
      <c r="SQE1111" s="15"/>
      <c r="SQF1111" s="15"/>
      <c r="SQI1111" s="15"/>
      <c r="SQJ1111" s="15"/>
      <c r="SQM1111" s="15"/>
      <c r="SQN1111" s="15"/>
      <c r="SQQ1111" s="15"/>
      <c r="SQR1111" s="15"/>
      <c r="SQU1111" s="15"/>
      <c r="SQV1111" s="15"/>
      <c r="SQY1111" s="15"/>
      <c r="SQZ1111" s="15"/>
      <c r="SRC1111" s="15"/>
      <c r="SRD1111" s="15"/>
      <c r="SRG1111" s="15"/>
      <c r="SRH1111" s="15"/>
      <c r="SRK1111" s="15"/>
      <c r="SRL1111" s="15"/>
      <c r="SRO1111" s="15"/>
      <c r="SRP1111" s="15"/>
      <c r="SRS1111" s="15"/>
      <c r="SRT1111" s="15"/>
      <c r="SRW1111" s="15"/>
      <c r="SRX1111" s="15"/>
      <c r="SSA1111" s="15"/>
      <c r="SSB1111" s="15"/>
      <c r="SSE1111" s="15"/>
      <c r="SSF1111" s="15"/>
      <c r="SSI1111" s="15"/>
      <c r="SSJ1111" s="15"/>
      <c r="SSM1111" s="15"/>
      <c r="SSN1111" s="15"/>
      <c r="SSQ1111" s="15"/>
      <c r="SSR1111" s="15"/>
      <c r="SSU1111" s="15"/>
      <c r="SSV1111" s="15"/>
      <c r="SSY1111" s="15"/>
      <c r="SSZ1111" s="15"/>
      <c r="STC1111" s="15"/>
      <c r="STD1111" s="15"/>
      <c r="STG1111" s="15"/>
      <c r="STH1111" s="15"/>
      <c r="STK1111" s="15"/>
      <c r="STL1111" s="15"/>
      <c r="STO1111" s="15"/>
      <c r="STP1111" s="15"/>
      <c r="STS1111" s="15"/>
      <c r="STT1111" s="15"/>
      <c r="STW1111" s="15"/>
      <c r="STX1111" s="15"/>
      <c r="SUA1111" s="15"/>
      <c r="SUB1111" s="15"/>
      <c r="SUE1111" s="15"/>
      <c r="SUF1111" s="15"/>
      <c r="SUI1111" s="15"/>
      <c r="SUJ1111" s="15"/>
      <c r="SUM1111" s="15"/>
      <c r="SUN1111" s="15"/>
      <c r="SUQ1111" s="15"/>
      <c r="SUR1111" s="15"/>
      <c r="SUU1111" s="15"/>
      <c r="SUV1111" s="15"/>
      <c r="SUY1111" s="15"/>
      <c r="SUZ1111" s="15"/>
      <c r="SVC1111" s="15"/>
      <c r="SVD1111" s="15"/>
      <c r="SVG1111" s="15"/>
      <c r="SVH1111" s="15"/>
      <c r="SVK1111" s="15"/>
      <c r="SVL1111" s="15"/>
      <c r="SVO1111" s="15"/>
      <c r="SVP1111" s="15"/>
      <c r="SVS1111" s="15"/>
      <c r="SVT1111" s="15"/>
      <c r="SVW1111" s="15"/>
      <c r="SVX1111" s="15"/>
      <c r="SWA1111" s="15"/>
      <c r="SWB1111" s="15"/>
      <c r="SWE1111" s="15"/>
      <c r="SWF1111" s="15"/>
      <c r="SWI1111" s="15"/>
      <c r="SWJ1111" s="15"/>
      <c r="SWM1111" s="15"/>
      <c r="SWN1111" s="15"/>
      <c r="SWQ1111" s="15"/>
      <c r="SWR1111" s="15"/>
      <c r="SWU1111" s="15"/>
      <c r="SWV1111" s="15"/>
      <c r="SWY1111" s="15"/>
      <c r="SWZ1111" s="15"/>
      <c r="SXC1111" s="15"/>
      <c r="SXD1111" s="15"/>
      <c r="SXG1111" s="15"/>
      <c r="SXH1111" s="15"/>
      <c r="SXK1111" s="15"/>
      <c r="SXL1111" s="15"/>
      <c r="SXO1111" s="15"/>
      <c r="SXP1111" s="15"/>
      <c r="SXS1111" s="15"/>
      <c r="SXT1111" s="15"/>
      <c r="SXW1111" s="15"/>
      <c r="SXX1111" s="15"/>
      <c r="SYA1111" s="15"/>
      <c r="SYB1111" s="15"/>
      <c r="SYE1111" s="15"/>
      <c r="SYF1111" s="15"/>
      <c r="SYI1111" s="15"/>
      <c r="SYJ1111" s="15"/>
      <c r="SYM1111" s="15"/>
      <c r="SYN1111" s="15"/>
      <c r="SYQ1111" s="15"/>
      <c r="SYR1111" s="15"/>
      <c r="SYU1111" s="15"/>
      <c r="SYV1111" s="15"/>
      <c r="SYY1111" s="15"/>
      <c r="SYZ1111" s="15"/>
      <c r="SZC1111" s="15"/>
      <c r="SZD1111" s="15"/>
      <c r="SZG1111" s="15"/>
      <c r="SZH1111" s="15"/>
      <c r="SZK1111" s="15"/>
      <c r="SZL1111" s="15"/>
      <c r="SZO1111" s="15"/>
      <c r="SZP1111" s="15"/>
      <c r="SZS1111" s="15"/>
      <c r="SZT1111" s="15"/>
      <c r="SZW1111" s="15"/>
      <c r="SZX1111" s="15"/>
      <c r="TAA1111" s="15"/>
      <c r="TAB1111" s="15"/>
      <c r="TAE1111" s="15"/>
      <c r="TAF1111" s="15"/>
      <c r="TAI1111" s="15"/>
      <c r="TAJ1111" s="15"/>
      <c r="TAM1111" s="15"/>
      <c r="TAN1111" s="15"/>
      <c r="TAQ1111" s="15"/>
      <c r="TAR1111" s="15"/>
      <c r="TAU1111" s="15"/>
      <c r="TAV1111" s="15"/>
      <c r="TAY1111" s="15"/>
      <c r="TAZ1111" s="15"/>
      <c r="TBC1111" s="15"/>
      <c r="TBD1111" s="15"/>
      <c r="TBG1111" s="15"/>
      <c r="TBH1111" s="15"/>
      <c r="TBK1111" s="15"/>
      <c r="TBL1111" s="15"/>
      <c r="TBO1111" s="15"/>
      <c r="TBP1111" s="15"/>
      <c r="TBS1111" s="15"/>
      <c r="TBT1111" s="15"/>
      <c r="TBW1111" s="15"/>
      <c r="TBX1111" s="15"/>
      <c r="TCA1111" s="15"/>
      <c r="TCB1111" s="15"/>
      <c r="TCE1111" s="15"/>
      <c r="TCF1111" s="15"/>
      <c r="TCI1111" s="15"/>
      <c r="TCJ1111" s="15"/>
      <c r="TCM1111" s="15"/>
      <c r="TCN1111" s="15"/>
      <c r="TCQ1111" s="15"/>
      <c r="TCR1111" s="15"/>
      <c r="TCU1111" s="15"/>
      <c r="TCV1111" s="15"/>
      <c r="TCY1111" s="15"/>
      <c r="TCZ1111" s="15"/>
      <c r="TDC1111" s="15"/>
      <c r="TDD1111" s="15"/>
      <c r="TDG1111" s="15"/>
      <c r="TDH1111" s="15"/>
      <c r="TDK1111" s="15"/>
      <c r="TDL1111" s="15"/>
      <c r="TDO1111" s="15"/>
      <c r="TDP1111" s="15"/>
      <c r="TDS1111" s="15"/>
      <c r="TDT1111" s="15"/>
      <c r="TDW1111" s="15"/>
      <c r="TDX1111" s="15"/>
      <c r="TEA1111" s="15"/>
      <c r="TEB1111" s="15"/>
      <c r="TEE1111" s="15"/>
      <c r="TEF1111" s="15"/>
      <c r="TEI1111" s="15"/>
      <c r="TEJ1111" s="15"/>
      <c r="TEM1111" s="15"/>
      <c r="TEN1111" s="15"/>
      <c r="TEQ1111" s="15"/>
      <c r="TER1111" s="15"/>
      <c r="TEU1111" s="15"/>
      <c r="TEV1111" s="15"/>
      <c r="TEY1111" s="15"/>
      <c r="TEZ1111" s="15"/>
      <c r="TFC1111" s="15"/>
      <c r="TFD1111" s="15"/>
      <c r="TFG1111" s="15"/>
      <c r="TFH1111" s="15"/>
      <c r="TFK1111" s="15"/>
      <c r="TFL1111" s="15"/>
      <c r="TFO1111" s="15"/>
      <c r="TFP1111" s="15"/>
      <c r="TFS1111" s="15"/>
      <c r="TFT1111" s="15"/>
      <c r="TFW1111" s="15"/>
      <c r="TFX1111" s="15"/>
      <c r="TGA1111" s="15"/>
      <c r="TGB1111" s="15"/>
      <c r="TGE1111" s="15"/>
      <c r="TGF1111" s="15"/>
      <c r="TGI1111" s="15"/>
      <c r="TGJ1111" s="15"/>
      <c r="TGM1111" s="15"/>
      <c r="TGN1111" s="15"/>
      <c r="TGQ1111" s="15"/>
      <c r="TGR1111" s="15"/>
      <c r="TGU1111" s="15"/>
      <c r="TGV1111" s="15"/>
      <c r="TGY1111" s="15"/>
      <c r="TGZ1111" s="15"/>
      <c r="THC1111" s="15"/>
      <c r="THD1111" s="15"/>
      <c r="THG1111" s="15"/>
      <c r="THH1111" s="15"/>
      <c r="THK1111" s="15"/>
      <c r="THL1111" s="15"/>
      <c r="THO1111" s="15"/>
      <c r="THP1111" s="15"/>
      <c r="THS1111" s="15"/>
      <c r="THT1111" s="15"/>
      <c r="THW1111" s="15"/>
      <c r="THX1111" s="15"/>
      <c r="TIA1111" s="15"/>
      <c r="TIB1111" s="15"/>
      <c r="TIE1111" s="15"/>
      <c r="TIF1111" s="15"/>
      <c r="TII1111" s="15"/>
      <c r="TIJ1111" s="15"/>
      <c r="TIM1111" s="15"/>
      <c r="TIN1111" s="15"/>
      <c r="TIQ1111" s="15"/>
      <c r="TIR1111" s="15"/>
      <c r="TIU1111" s="15"/>
      <c r="TIV1111" s="15"/>
      <c r="TIY1111" s="15"/>
      <c r="TIZ1111" s="15"/>
      <c r="TJC1111" s="15"/>
      <c r="TJD1111" s="15"/>
      <c r="TJG1111" s="15"/>
      <c r="TJH1111" s="15"/>
      <c r="TJK1111" s="15"/>
      <c r="TJL1111" s="15"/>
      <c r="TJO1111" s="15"/>
      <c r="TJP1111" s="15"/>
      <c r="TJS1111" s="15"/>
      <c r="TJT1111" s="15"/>
      <c r="TJW1111" s="15"/>
      <c r="TJX1111" s="15"/>
      <c r="TKA1111" s="15"/>
      <c r="TKB1111" s="15"/>
      <c r="TKE1111" s="15"/>
      <c r="TKF1111" s="15"/>
      <c r="TKI1111" s="15"/>
      <c r="TKJ1111" s="15"/>
      <c r="TKM1111" s="15"/>
      <c r="TKN1111" s="15"/>
      <c r="TKQ1111" s="15"/>
      <c r="TKR1111" s="15"/>
      <c r="TKU1111" s="15"/>
      <c r="TKV1111" s="15"/>
      <c r="TKY1111" s="15"/>
      <c r="TKZ1111" s="15"/>
      <c r="TLC1111" s="15"/>
      <c r="TLD1111" s="15"/>
      <c r="TLG1111" s="15"/>
      <c r="TLH1111" s="15"/>
      <c r="TLK1111" s="15"/>
      <c r="TLL1111" s="15"/>
      <c r="TLO1111" s="15"/>
      <c r="TLP1111" s="15"/>
      <c r="TLS1111" s="15"/>
      <c r="TLT1111" s="15"/>
      <c r="TLW1111" s="15"/>
      <c r="TLX1111" s="15"/>
      <c r="TMA1111" s="15"/>
      <c r="TMB1111" s="15"/>
      <c r="TME1111" s="15"/>
      <c r="TMF1111" s="15"/>
      <c r="TMI1111" s="15"/>
      <c r="TMJ1111" s="15"/>
      <c r="TMM1111" s="15"/>
      <c r="TMN1111" s="15"/>
      <c r="TMQ1111" s="15"/>
      <c r="TMR1111" s="15"/>
      <c r="TMU1111" s="15"/>
      <c r="TMV1111" s="15"/>
      <c r="TMY1111" s="15"/>
      <c r="TMZ1111" s="15"/>
      <c r="TNC1111" s="15"/>
      <c r="TND1111" s="15"/>
      <c r="TNG1111" s="15"/>
      <c r="TNH1111" s="15"/>
      <c r="TNK1111" s="15"/>
      <c r="TNL1111" s="15"/>
      <c r="TNO1111" s="15"/>
      <c r="TNP1111" s="15"/>
      <c r="TNS1111" s="15"/>
      <c r="TNT1111" s="15"/>
      <c r="TNW1111" s="15"/>
      <c r="TNX1111" s="15"/>
      <c r="TOA1111" s="15"/>
      <c r="TOB1111" s="15"/>
      <c r="TOE1111" s="15"/>
      <c r="TOF1111" s="15"/>
      <c r="TOI1111" s="15"/>
      <c r="TOJ1111" s="15"/>
      <c r="TOM1111" s="15"/>
      <c r="TON1111" s="15"/>
      <c r="TOQ1111" s="15"/>
      <c r="TOR1111" s="15"/>
      <c r="TOU1111" s="15"/>
      <c r="TOV1111" s="15"/>
      <c r="TOY1111" s="15"/>
      <c r="TOZ1111" s="15"/>
      <c r="TPC1111" s="15"/>
      <c r="TPD1111" s="15"/>
      <c r="TPG1111" s="15"/>
      <c r="TPH1111" s="15"/>
      <c r="TPK1111" s="15"/>
      <c r="TPL1111" s="15"/>
      <c r="TPO1111" s="15"/>
      <c r="TPP1111" s="15"/>
      <c r="TPS1111" s="15"/>
      <c r="TPT1111" s="15"/>
      <c r="TPW1111" s="15"/>
      <c r="TPX1111" s="15"/>
      <c r="TQA1111" s="15"/>
      <c r="TQB1111" s="15"/>
      <c r="TQE1111" s="15"/>
      <c r="TQF1111" s="15"/>
      <c r="TQI1111" s="15"/>
      <c r="TQJ1111" s="15"/>
      <c r="TQM1111" s="15"/>
      <c r="TQN1111" s="15"/>
      <c r="TQQ1111" s="15"/>
      <c r="TQR1111" s="15"/>
      <c r="TQU1111" s="15"/>
      <c r="TQV1111" s="15"/>
      <c r="TQY1111" s="15"/>
      <c r="TQZ1111" s="15"/>
      <c r="TRC1111" s="15"/>
      <c r="TRD1111" s="15"/>
      <c r="TRG1111" s="15"/>
      <c r="TRH1111" s="15"/>
      <c r="TRK1111" s="15"/>
      <c r="TRL1111" s="15"/>
      <c r="TRO1111" s="15"/>
      <c r="TRP1111" s="15"/>
      <c r="TRS1111" s="15"/>
      <c r="TRT1111" s="15"/>
      <c r="TRW1111" s="15"/>
      <c r="TRX1111" s="15"/>
      <c r="TSA1111" s="15"/>
      <c r="TSB1111" s="15"/>
      <c r="TSE1111" s="15"/>
      <c r="TSF1111" s="15"/>
      <c r="TSI1111" s="15"/>
      <c r="TSJ1111" s="15"/>
      <c r="TSM1111" s="15"/>
      <c r="TSN1111" s="15"/>
      <c r="TSQ1111" s="15"/>
      <c r="TSR1111" s="15"/>
      <c r="TSU1111" s="15"/>
      <c r="TSV1111" s="15"/>
      <c r="TSY1111" s="15"/>
      <c r="TSZ1111" s="15"/>
      <c r="TTC1111" s="15"/>
      <c r="TTD1111" s="15"/>
      <c r="TTG1111" s="15"/>
      <c r="TTH1111" s="15"/>
      <c r="TTK1111" s="15"/>
      <c r="TTL1111" s="15"/>
      <c r="TTO1111" s="15"/>
      <c r="TTP1111" s="15"/>
      <c r="TTS1111" s="15"/>
      <c r="TTT1111" s="15"/>
      <c r="TTW1111" s="15"/>
      <c r="TTX1111" s="15"/>
      <c r="TUA1111" s="15"/>
      <c r="TUB1111" s="15"/>
      <c r="TUE1111" s="15"/>
      <c r="TUF1111" s="15"/>
      <c r="TUI1111" s="15"/>
      <c r="TUJ1111" s="15"/>
      <c r="TUM1111" s="15"/>
      <c r="TUN1111" s="15"/>
      <c r="TUQ1111" s="15"/>
      <c r="TUR1111" s="15"/>
      <c r="TUU1111" s="15"/>
      <c r="TUV1111" s="15"/>
      <c r="TUY1111" s="15"/>
      <c r="TUZ1111" s="15"/>
      <c r="TVC1111" s="15"/>
      <c r="TVD1111" s="15"/>
      <c r="TVG1111" s="15"/>
      <c r="TVH1111" s="15"/>
      <c r="TVK1111" s="15"/>
      <c r="TVL1111" s="15"/>
      <c r="TVO1111" s="15"/>
      <c r="TVP1111" s="15"/>
      <c r="TVS1111" s="15"/>
      <c r="TVT1111" s="15"/>
      <c r="TVW1111" s="15"/>
      <c r="TVX1111" s="15"/>
      <c r="TWA1111" s="15"/>
      <c r="TWB1111" s="15"/>
      <c r="TWE1111" s="15"/>
      <c r="TWF1111" s="15"/>
      <c r="TWI1111" s="15"/>
      <c r="TWJ1111" s="15"/>
      <c r="TWM1111" s="15"/>
      <c r="TWN1111" s="15"/>
      <c r="TWQ1111" s="15"/>
      <c r="TWR1111" s="15"/>
      <c r="TWU1111" s="15"/>
      <c r="TWV1111" s="15"/>
      <c r="TWY1111" s="15"/>
      <c r="TWZ1111" s="15"/>
      <c r="TXC1111" s="15"/>
      <c r="TXD1111" s="15"/>
      <c r="TXG1111" s="15"/>
      <c r="TXH1111" s="15"/>
      <c r="TXK1111" s="15"/>
      <c r="TXL1111" s="15"/>
      <c r="TXO1111" s="15"/>
      <c r="TXP1111" s="15"/>
      <c r="TXS1111" s="15"/>
      <c r="TXT1111" s="15"/>
      <c r="TXW1111" s="15"/>
      <c r="TXX1111" s="15"/>
      <c r="TYA1111" s="15"/>
      <c r="TYB1111" s="15"/>
      <c r="TYE1111" s="15"/>
      <c r="TYF1111" s="15"/>
      <c r="TYI1111" s="15"/>
      <c r="TYJ1111" s="15"/>
      <c r="TYM1111" s="15"/>
      <c r="TYN1111" s="15"/>
      <c r="TYQ1111" s="15"/>
      <c r="TYR1111" s="15"/>
      <c r="TYU1111" s="15"/>
      <c r="TYV1111" s="15"/>
      <c r="TYY1111" s="15"/>
      <c r="TYZ1111" s="15"/>
      <c r="TZC1111" s="15"/>
      <c r="TZD1111" s="15"/>
      <c r="TZG1111" s="15"/>
      <c r="TZH1111" s="15"/>
      <c r="TZK1111" s="15"/>
      <c r="TZL1111" s="15"/>
      <c r="TZO1111" s="15"/>
      <c r="TZP1111" s="15"/>
      <c r="TZS1111" s="15"/>
      <c r="TZT1111" s="15"/>
      <c r="TZW1111" s="15"/>
      <c r="TZX1111" s="15"/>
      <c r="UAA1111" s="15"/>
      <c r="UAB1111" s="15"/>
      <c r="UAE1111" s="15"/>
      <c r="UAF1111" s="15"/>
      <c r="UAI1111" s="15"/>
      <c r="UAJ1111" s="15"/>
      <c r="UAM1111" s="15"/>
      <c r="UAN1111" s="15"/>
      <c r="UAQ1111" s="15"/>
      <c r="UAR1111" s="15"/>
      <c r="UAU1111" s="15"/>
      <c r="UAV1111" s="15"/>
      <c r="UAY1111" s="15"/>
      <c r="UAZ1111" s="15"/>
      <c r="UBC1111" s="15"/>
      <c r="UBD1111" s="15"/>
      <c r="UBG1111" s="15"/>
      <c r="UBH1111" s="15"/>
      <c r="UBK1111" s="15"/>
      <c r="UBL1111" s="15"/>
      <c r="UBO1111" s="15"/>
      <c r="UBP1111" s="15"/>
      <c r="UBS1111" s="15"/>
      <c r="UBT1111" s="15"/>
      <c r="UBW1111" s="15"/>
      <c r="UBX1111" s="15"/>
      <c r="UCA1111" s="15"/>
      <c r="UCB1111" s="15"/>
      <c r="UCE1111" s="15"/>
      <c r="UCF1111" s="15"/>
      <c r="UCI1111" s="15"/>
      <c r="UCJ1111" s="15"/>
      <c r="UCM1111" s="15"/>
      <c r="UCN1111" s="15"/>
      <c r="UCQ1111" s="15"/>
      <c r="UCR1111" s="15"/>
      <c r="UCU1111" s="15"/>
      <c r="UCV1111" s="15"/>
      <c r="UCY1111" s="15"/>
      <c r="UCZ1111" s="15"/>
      <c r="UDC1111" s="15"/>
      <c r="UDD1111" s="15"/>
      <c r="UDG1111" s="15"/>
      <c r="UDH1111" s="15"/>
      <c r="UDK1111" s="15"/>
      <c r="UDL1111" s="15"/>
      <c r="UDO1111" s="15"/>
      <c r="UDP1111" s="15"/>
      <c r="UDS1111" s="15"/>
      <c r="UDT1111" s="15"/>
      <c r="UDW1111" s="15"/>
      <c r="UDX1111" s="15"/>
      <c r="UEA1111" s="15"/>
      <c r="UEB1111" s="15"/>
      <c r="UEE1111" s="15"/>
      <c r="UEF1111" s="15"/>
      <c r="UEI1111" s="15"/>
      <c r="UEJ1111" s="15"/>
      <c r="UEM1111" s="15"/>
      <c r="UEN1111" s="15"/>
      <c r="UEQ1111" s="15"/>
      <c r="UER1111" s="15"/>
      <c r="UEU1111" s="15"/>
      <c r="UEV1111" s="15"/>
      <c r="UEY1111" s="15"/>
      <c r="UEZ1111" s="15"/>
      <c r="UFC1111" s="15"/>
      <c r="UFD1111" s="15"/>
      <c r="UFG1111" s="15"/>
      <c r="UFH1111" s="15"/>
      <c r="UFK1111" s="15"/>
      <c r="UFL1111" s="15"/>
      <c r="UFO1111" s="15"/>
      <c r="UFP1111" s="15"/>
      <c r="UFS1111" s="15"/>
      <c r="UFT1111" s="15"/>
      <c r="UFW1111" s="15"/>
      <c r="UFX1111" s="15"/>
      <c r="UGA1111" s="15"/>
      <c r="UGB1111" s="15"/>
      <c r="UGE1111" s="15"/>
      <c r="UGF1111" s="15"/>
      <c r="UGI1111" s="15"/>
      <c r="UGJ1111" s="15"/>
      <c r="UGM1111" s="15"/>
      <c r="UGN1111" s="15"/>
      <c r="UGQ1111" s="15"/>
      <c r="UGR1111" s="15"/>
      <c r="UGU1111" s="15"/>
      <c r="UGV1111" s="15"/>
      <c r="UGY1111" s="15"/>
      <c r="UGZ1111" s="15"/>
      <c r="UHC1111" s="15"/>
      <c r="UHD1111" s="15"/>
      <c r="UHG1111" s="15"/>
      <c r="UHH1111" s="15"/>
      <c r="UHK1111" s="15"/>
      <c r="UHL1111" s="15"/>
      <c r="UHO1111" s="15"/>
      <c r="UHP1111" s="15"/>
      <c r="UHS1111" s="15"/>
      <c r="UHT1111" s="15"/>
      <c r="UHW1111" s="15"/>
      <c r="UHX1111" s="15"/>
      <c r="UIA1111" s="15"/>
      <c r="UIB1111" s="15"/>
      <c r="UIE1111" s="15"/>
      <c r="UIF1111" s="15"/>
      <c r="UII1111" s="15"/>
      <c r="UIJ1111" s="15"/>
      <c r="UIM1111" s="15"/>
      <c r="UIN1111" s="15"/>
      <c r="UIQ1111" s="15"/>
      <c r="UIR1111" s="15"/>
      <c r="UIU1111" s="15"/>
      <c r="UIV1111" s="15"/>
      <c r="UIY1111" s="15"/>
      <c r="UIZ1111" s="15"/>
      <c r="UJC1111" s="15"/>
      <c r="UJD1111" s="15"/>
      <c r="UJG1111" s="15"/>
      <c r="UJH1111" s="15"/>
      <c r="UJK1111" s="15"/>
      <c r="UJL1111" s="15"/>
      <c r="UJO1111" s="15"/>
      <c r="UJP1111" s="15"/>
      <c r="UJS1111" s="15"/>
      <c r="UJT1111" s="15"/>
      <c r="UJW1111" s="15"/>
      <c r="UJX1111" s="15"/>
      <c r="UKA1111" s="15"/>
      <c r="UKB1111" s="15"/>
      <c r="UKE1111" s="15"/>
      <c r="UKF1111" s="15"/>
      <c r="UKI1111" s="15"/>
      <c r="UKJ1111" s="15"/>
      <c r="UKM1111" s="15"/>
      <c r="UKN1111" s="15"/>
      <c r="UKQ1111" s="15"/>
      <c r="UKR1111" s="15"/>
      <c r="UKU1111" s="15"/>
      <c r="UKV1111" s="15"/>
      <c r="UKY1111" s="15"/>
      <c r="UKZ1111" s="15"/>
      <c r="ULC1111" s="15"/>
      <c r="ULD1111" s="15"/>
      <c r="ULG1111" s="15"/>
      <c r="ULH1111" s="15"/>
      <c r="ULK1111" s="15"/>
      <c r="ULL1111" s="15"/>
      <c r="ULO1111" s="15"/>
      <c r="ULP1111" s="15"/>
      <c r="ULS1111" s="15"/>
      <c r="ULT1111" s="15"/>
      <c r="ULW1111" s="15"/>
      <c r="ULX1111" s="15"/>
      <c r="UMA1111" s="15"/>
      <c r="UMB1111" s="15"/>
      <c r="UME1111" s="15"/>
      <c r="UMF1111" s="15"/>
      <c r="UMI1111" s="15"/>
      <c r="UMJ1111" s="15"/>
      <c r="UMM1111" s="15"/>
      <c r="UMN1111" s="15"/>
      <c r="UMQ1111" s="15"/>
      <c r="UMR1111" s="15"/>
      <c r="UMU1111" s="15"/>
      <c r="UMV1111" s="15"/>
      <c r="UMY1111" s="15"/>
      <c r="UMZ1111" s="15"/>
      <c r="UNC1111" s="15"/>
      <c r="UND1111" s="15"/>
      <c r="UNG1111" s="15"/>
      <c r="UNH1111" s="15"/>
      <c r="UNK1111" s="15"/>
      <c r="UNL1111" s="15"/>
      <c r="UNO1111" s="15"/>
      <c r="UNP1111" s="15"/>
      <c r="UNS1111" s="15"/>
      <c r="UNT1111" s="15"/>
      <c r="UNW1111" s="15"/>
      <c r="UNX1111" s="15"/>
      <c r="UOA1111" s="15"/>
      <c r="UOB1111" s="15"/>
      <c r="UOE1111" s="15"/>
      <c r="UOF1111" s="15"/>
      <c r="UOI1111" s="15"/>
      <c r="UOJ1111" s="15"/>
      <c r="UOM1111" s="15"/>
      <c r="UON1111" s="15"/>
      <c r="UOQ1111" s="15"/>
      <c r="UOR1111" s="15"/>
      <c r="UOU1111" s="15"/>
      <c r="UOV1111" s="15"/>
      <c r="UOY1111" s="15"/>
      <c r="UOZ1111" s="15"/>
      <c r="UPC1111" s="15"/>
      <c r="UPD1111" s="15"/>
      <c r="UPG1111" s="15"/>
      <c r="UPH1111" s="15"/>
      <c r="UPK1111" s="15"/>
      <c r="UPL1111" s="15"/>
      <c r="UPO1111" s="15"/>
      <c r="UPP1111" s="15"/>
      <c r="UPS1111" s="15"/>
      <c r="UPT1111" s="15"/>
      <c r="UPW1111" s="15"/>
      <c r="UPX1111" s="15"/>
      <c r="UQA1111" s="15"/>
      <c r="UQB1111" s="15"/>
      <c r="UQE1111" s="15"/>
      <c r="UQF1111" s="15"/>
      <c r="UQI1111" s="15"/>
      <c r="UQJ1111" s="15"/>
      <c r="UQM1111" s="15"/>
      <c r="UQN1111" s="15"/>
      <c r="UQQ1111" s="15"/>
      <c r="UQR1111" s="15"/>
      <c r="UQU1111" s="15"/>
      <c r="UQV1111" s="15"/>
      <c r="UQY1111" s="15"/>
      <c r="UQZ1111" s="15"/>
      <c r="URC1111" s="15"/>
      <c r="URD1111" s="15"/>
      <c r="URG1111" s="15"/>
      <c r="URH1111" s="15"/>
      <c r="URK1111" s="15"/>
      <c r="URL1111" s="15"/>
      <c r="URO1111" s="15"/>
      <c r="URP1111" s="15"/>
      <c r="URS1111" s="15"/>
      <c r="URT1111" s="15"/>
      <c r="URW1111" s="15"/>
      <c r="URX1111" s="15"/>
      <c r="USA1111" s="15"/>
      <c r="USB1111" s="15"/>
      <c r="USE1111" s="15"/>
      <c r="USF1111" s="15"/>
      <c r="USI1111" s="15"/>
      <c r="USJ1111" s="15"/>
      <c r="USM1111" s="15"/>
      <c r="USN1111" s="15"/>
      <c r="USQ1111" s="15"/>
      <c r="USR1111" s="15"/>
      <c r="USU1111" s="15"/>
      <c r="USV1111" s="15"/>
      <c r="USY1111" s="15"/>
      <c r="USZ1111" s="15"/>
      <c r="UTC1111" s="15"/>
      <c r="UTD1111" s="15"/>
      <c r="UTG1111" s="15"/>
      <c r="UTH1111" s="15"/>
      <c r="UTK1111" s="15"/>
      <c r="UTL1111" s="15"/>
      <c r="UTO1111" s="15"/>
      <c r="UTP1111" s="15"/>
      <c r="UTS1111" s="15"/>
      <c r="UTT1111" s="15"/>
      <c r="UTW1111" s="15"/>
      <c r="UTX1111" s="15"/>
      <c r="UUA1111" s="15"/>
      <c r="UUB1111" s="15"/>
      <c r="UUE1111" s="15"/>
      <c r="UUF1111" s="15"/>
      <c r="UUI1111" s="15"/>
      <c r="UUJ1111" s="15"/>
      <c r="UUM1111" s="15"/>
      <c r="UUN1111" s="15"/>
      <c r="UUQ1111" s="15"/>
      <c r="UUR1111" s="15"/>
      <c r="UUU1111" s="15"/>
      <c r="UUV1111" s="15"/>
      <c r="UUY1111" s="15"/>
      <c r="UUZ1111" s="15"/>
      <c r="UVC1111" s="15"/>
      <c r="UVD1111" s="15"/>
      <c r="UVG1111" s="15"/>
      <c r="UVH1111" s="15"/>
      <c r="UVK1111" s="15"/>
      <c r="UVL1111" s="15"/>
      <c r="UVO1111" s="15"/>
      <c r="UVP1111" s="15"/>
      <c r="UVS1111" s="15"/>
      <c r="UVT1111" s="15"/>
      <c r="UVW1111" s="15"/>
      <c r="UVX1111" s="15"/>
      <c r="UWA1111" s="15"/>
      <c r="UWB1111" s="15"/>
      <c r="UWE1111" s="15"/>
      <c r="UWF1111" s="15"/>
      <c r="UWI1111" s="15"/>
      <c r="UWJ1111" s="15"/>
      <c r="UWM1111" s="15"/>
      <c r="UWN1111" s="15"/>
      <c r="UWQ1111" s="15"/>
      <c r="UWR1111" s="15"/>
      <c r="UWU1111" s="15"/>
      <c r="UWV1111" s="15"/>
      <c r="UWY1111" s="15"/>
      <c r="UWZ1111" s="15"/>
      <c r="UXC1111" s="15"/>
      <c r="UXD1111" s="15"/>
      <c r="UXG1111" s="15"/>
      <c r="UXH1111" s="15"/>
      <c r="UXK1111" s="15"/>
      <c r="UXL1111" s="15"/>
      <c r="UXO1111" s="15"/>
      <c r="UXP1111" s="15"/>
      <c r="UXS1111" s="15"/>
      <c r="UXT1111" s="15"/>
      <c r="UXW1111" s="15"/>
      <c r="UXX1111" s="15"/>
      <c r="UYA1111" s="15"/>
      <c r="UYB1111" s="15"/>
      <c r="UYE1111" s="15"/>
      <c r="UYF1111" s="15"/>
      <c r="UYI1111" s="15"/>
      <c r="UYJ1111" s="15"/>
      <c r="UYM1111" s="15"/>
      <c r="UYN1111" s="15"/>
      <c r="UYQ1111" s="15"/>
      <c r="UYR1111" s="15"/>
      <c r="UYU1111" s="15"/>
      <c r="UYV1111" s="15"/>
      <c r="UYY1111" s="15"/>
      <c r="UYZ1111" s="15"/>
      <c r="UZC1111" s="15"/>
      <c r="UZD1111" s="15"/>
      <c r="UZG1111" s="15"/>
      <c r="UZH1111" s="15"/>
      <c r="UZK1111" s="15"/>
      <c r="UZL1111" s="15"/>
      <c r="UZO1111" s="15"/>
      <c r="UZP1111" s="15"/>
      <c r="UZS1111" s="15"/>
      <c r="UZT1111" s="15"/>
      <c r="UZW1111" s="15"/>
      <c r="UZX1111" s="15"/>
      <c r="VAA1111" s="15"/>
      <c r="VAB1111" s="15"/>
      <c r="VAE1111" s="15"/>
      <c r="VAF1111" s="15"/>
      <c r="VAI1111" s="15"/>
      <c r="VAJ1111" s="15"/>
      <c r="VAM1111" s="15"/>
      <c r="VAN1111" s="15"/>
      <c r="VAQ1111" s="15"/>
      <c r="VAR1111" s="15"/>
      <c r="VAU1111" s="15"/>
      <c r="VAV1111" s="15"/>
      <c r="VAY1111" s="15"/>
      <c r="VAZ1111" s="15"/>
      <c r="VBC1111" s="15"/>
      <c r="VBD1111" s="15"/>
      <c r="VBG1111" s="15"/>
      <c r="VBH1111" s="15"/>
      <c r="VBK1111" s="15"/>
      <c r="VBL1111" s="15"/>
      <c r="VBO1111" s="15"/>
      <c r="VBP1111" s="15"/>
      <c r="VBS1111" s="15"/>
      <c r="VBT1111" s="15"/>
      <c r="VBW1111" s="15"/>
      <c r="VBX1111" s="15"/>
      <c r="VCA1111" s="15"/>
      <c r="VCB1111" s="15"/>
      <c r="VCE1111" s="15"/>
      <c r="VCF1111" s="15"/>
      <c r="VCI1111" s="15"/>
      <c r="VCJ1111" s="15"/>
      <c r="VCM1111" s="15"/>
      <c r="VCN1111" s="15"/>
      <c r="VCQ1111" s="15"/>
      <c r="VCR1111" s="15"/>
      <c r="VCU1111" s="15"/>
      <c r="VCV1111" s="15"/>
      <c r="VCY1111" s="15"/>
      <c r="VCZ1111" s="15"/>
      <c r="VDC1111" s="15"/>
      <c r="VDD1111" s="15"/>
      <c r="VDG1111" s="15"/>
      <c r="VDH1111" s="15"/>
      <c r="VDK1111" s="15"/>
      <c r="VDL1111" s="15"/>
      <c r="VDO1111" s="15"/>
      <c r="VDP1111" s="15"/>
      <c r="VDS1111" s="15"/>
      <c r="VDT1111" s="15"/>
      <c r="VDW1111" s="15"/>
      <c r="VDX1111" s="15"/>
      <c r="VEA1111" s="15"/>
      <c r="VEB1111" s="15"/>
      <c r="VEE1111" s="15"/>
      <c r="VEF1111" s="15"/>
      <c r="VEI1111" s="15"/>
      <c r="VEJ1111" s="15"/>
      <c r="VEM1111" s="15"/>
      <c r="VEN1111" s="15"/>
      <c r="VEQ1111" s="15"/>
      <c r="VER1111" s="15"/>
      <c r="VEU1111" s="15"/>
      <c r="VEV1111" s="15"/>
      <c r="VEY1111" s="15"/>
      <c r="VEZ1111" s="15"/>
      <c r="VFC1111" s="15"/>
      <c r="VFD1111" s="15"/>
      <c r="VFG1111" s="15"/>
      <c r="VFH1111" s="15"/>
      <c r="VFK1111" s="15"/>
      <c r="VFL1111" s="15"/>
      <c r="VFO1111" s="15"/>
      <c r="VFP1111" s="15"/>
      <c r="VFS1111" s="15"/>
      <c r="VFT1111" s="15"/>
      <c r="VFW1111" s="15"/>
      <c r="VFX1111" s="15"/>
      <c r="VGA1111" s="15"/>
      <c r="VGB1111" s="15"/>
      <c r="VGE1111" s="15"/>
      <c r="VGF1111" s="15"/>
      <c r="VGI1111" s="15"/>
      <c r="VGJ1111" s="15"/>
      <c r="VGM1111" s="15"/>
      <c r="VGN1111" s="15"/>
      <c r="VGQ1111" s="15"/>
      <c r="VGR1111" s="15"/>
      <c r="VGU1111" s="15"/>
      <c r="VGV1111" s="15"/>
      <c r="VGY1111" s="15"/>
      <c r="VGZ1111" s="15"/>
      <c r="VHC1111" s="15"/>
      <c r="VHD1111" s="15"/>
      <c r="VHG1111" s="15"/>
      <c r="VHH1111" s="15"/>
      <c r="VHK1111" s="15"/>
      <c r="VHL1111" s="15"/>
      <c r="VHO1111" s="15"/>
      <c r="VHP1111" s="15"/>
      <c r="VHS1111" s="15"/>
      <c r="VHT1111" s="15"/>
      <c r="VHW1111" s="15"/>
      <c r="VHX1111" s="15"/>
      <c r="VIA1111" s="15"/>
      <c r="VIB1111" s="15"/>
      <c r="VIE1111" s="15"/>
      <c r="VIF1111" s="15"/>
      <c r="VII1111" s="15"/>
      <c r="VIJ1111" s="15"/>
      <c r="VIM1111" s="15"/>
      <c r="VIN1111" s="15"/>
      <c r="VIQ1111" s="15"/>
      <c r="VIR1111" s="15"/>
      <c r="VIU1111" s="15"/>
      <c r="VIV1111" s="15"/>
      <c r="VIY1111" s="15"/>
      <c r="VIZ1111" s="15"/>
      <c r="VJC1111" s="15"/>
      <c r="VJD1111" s="15"/>
      <c r="VJG1111" s="15"/>
      <c r="VJH1111" s="15"/>
      <c r="VJK1111" s="15"/>
      <c r="VJL1111" s="15"/>
      <c r="VJO1111" s="15"/>
      <c r="VJP1111" s="15"/>
      <c r="VJS1111" s="15"/>
      <c r="VJT1111" s="15"/>
      <c r="VJW1111" s="15"/>
      <c r="VJX1111" s="15"/>
      <c r="VKA1111" s="15"/>
      <c r="VKB1111" s="15"/>
      <c r="VKE1111" s="15"/>
      <c r="VKF1111" s="15"/>
      <c r="VKI1111" s="15"/>
      <c r="VKJ1111" s="15"/>
      <c r="VKM1111" s="15"/>
      <c r="VKN1111" s="15"/>
      <c r="VKQ1111" s="15"/>
      <c r="VKR1111" s="15"/>
      <c r="VKU1111" s="15"/>
      <c r="VKV1111" s="15"/>
      <c r="VKY1111" s="15"/>
      <c r="VKZ1111" s="15"/>
      <c r="VLC1111" s="15"/>
      <c r="VLD1111" s="15"/>
      <c r="VLG1111" s="15"/>
      <c r="VLH1111" s="15"/>
      <c r="VLK1111" s="15"/>
      <c r="VLL1111" s="15"/>
      <c r="VLO1111" s="15"/>
      <c r="VLP1111" s="15"/>
      <c r="VLS1111" s="15"/>
      <c r="VLT1111" s="15"/>
      <c r="VLW1111" s="15"/>
      <c r="VLX1111" s="15"/>
      <c r="VMA1111" s="15"/>
      <c r="VMB1111" s="15"/>
      <c r="VME1111" s="15"/>
      <c r="VMF1111" s="15"/>
      <c r="VMI1111" s="15"/>
      <c r="VMJ1111" s="15"/>
      <c r="VMM1111" s="15"/>
      <c r="VMN1111" s="15"/>
      <c r="VMQ1111" s="15"/>
      <c r="VMR1111" s="15"/>
      <c r="VMU1111" s="15"/>
      <c r="VMV1111" s="15"/>
      <c r="VMY1111" s="15"/>
      <c r="VMZ1111" s="15"/>
      <c r="VNC1111" s="15"/>
      <c r="VND1111" s="15"/>
      <c r="VNG1111" s="15"/>
      <c r="VNH1111" s="15"/>
      <c r="VNK1111" s="15"/>
      <c r="VNL1111" s="15"/>
      <c r="VNO1111" s="15"/>
      <c r="VNP1111" s="15"/>
      <c r="VNS1111" s="15"/>
      <c r="VNT1111" s="15"/>
      <c r="VNW1111" s="15"/>
      <c r="VNX1111" s="15"/>
      <c r="VOA1111" s="15"/>
      <c r="VOB1111" s="15"/>
      <c r="VOE1111" s="15"/>
      <c r="VOF1111" s="15"/>
      <c r="VOI1111" s="15"/>
      <c r="VOJ1111" s="15"/>
      <c r="VOM1111" s="15"/>
      <c r="VON1111" s="15"/>
      <c r="VOQ1111" s="15"/>
      <c r="VOR1111" s="15"/>
      <c r="VOU1111" s="15"/>
      <c r="VOV1111" s="15"/>
      <c r="VOY1111" s="15"/>
      <c r="VOZ1111" s="15"/>
      <c r="VPC1111" s="15"/>
      <c r="VPD1111" s="15"/>
      <c r="VPG1111" s="15"/>
      <c r="VPH1111" s="15"/>
      <c r="VPK1111" s="15"/>
      <c r="VPL1111" s="15"/>
      <c r="VPO1111" s="15"/>
      <c r="VPP1111" s="15"/>
      <c r="VPS1111" s="15"/>
      <c r="VPT1111" s="15"/>
      <c r="VPW1111" s="15"/>
      <c r="VPX1111" s="15"/>
      <c r="VQA1111" s="15"/>
      <c r="VQB1111" s="15"/>
      <c r="VQE1111" s="15"/>
      <c r="VQF1111" s="15"/>
      <c r="VQI1111" s="15"/>
      <c r="VQJ1111" s="15"/>
      <c r="VQM1111" s="15"/>
      <c r="VQN1111" s="15"/>
      <c r="VQQ1111" s="15"/>
      <c r="VQR1111" s="15"/>
      <c r="VQU1111" s="15"/>
      <c r="VQV1111" s="15"/>
      <c r="VQY1111" s="15"/>
      <c r="VQZ1111" s="15"/>
      <c r="VRC1111" s="15"/>
      <c r="VRD1111" s="15"/>
      <c r="VRG1111" s="15"/>
      <c r="VRH1111" s="15"/>
      <c r="VRK1111" s="15"/>
      <c r="VRL1111" s="15"/>
      <c r="VRO1111" s="15"/>
      <c r="VRP1111" s="15"/>
      <c r="VRS1111" s="15"/>
      <c r="VRT1111" s="15"/>
      <c r="VRW1111" s="15"/>
      <c r="VRX1111" s="15"/>
      <c r="VSA1111" s="15"/>
      <c r="VSB1111" s="15"/>
      <c r="VSE1111" s="15"/>
      <c r="VSF1111" s="15"/>
      <c r="VSI1111" s="15"/>
      <c r="VSJ1111" s="15"/>
      <c r="VSM1111" s="15"/>
      <c r="VSN1111" s="15"/>
      <c r="VSQ1111" s="15"/>
      <c r="VSR1111" s="15"/>
      <c r="VSU1111" s="15"/>
      <c r="VSV1111" s="15"/>
      <c r="VSY1111" s="15"/>
      <c r="VSZ1111" s="15"/>
      <c r="VTC1111" s="15"/>
      <c r="VTD1111" s="15"/>
      <c r="VTG1111" s="15"/>
      <c r="VTH1111" s="15"/>
      <c r="VTK1111" s="15"/>
      <c r="VTL1111" s="15"/>
      <c r="VTO1111" s="15"/>
      <c r="VTP1111" s="15"/>
      <c r="VTS1111" s="15"/>
      <c r="VTT1111" s="15"/>
      <c r="VTW1111" s="15"/>
      <c r="VTX1111" s="15"/>
      <c r="VUA1111" s="15"/>
      <c r="VUB1111" s="15"/>
      <c r="VUE1111" s="15"/>
      <c r="VUF1111" s="15"/>
      <c r="VUI1111" s="15"/>
      <c r="VUJ1111" s="15"/>
      <c r="VUM1111" s="15"/>
      <c r="VUN1111" s="15"/>
      <c r="VUQ1111" s="15"/>
      <c r="VUR1111" s="15"/>
      <c r="VUU1111" s="15"/>
      <c r="VUV1111" s="15"/>
      <c r="VUY1111" s="15"/>
      <c r="VUZ1111" s="15"/>
      <c r="VVC1111" s="15"/>
      <c r="VVD1111" s="15"/>
      <c r="VVG1111" s="15"/>
      <c r="VVH1111" s="15"/>
      <c r="VVK1111" s="15"/>
      <c r="VVL1111" s="15"/>
      <c r="VVO1111" s="15"/>
      <c r="VVP1111" s="15"/>
      <c r="VVS1111" s="15"/>
      <c r="VVT1111" s="15"/>
      <c r="VVW1111" s="15"/>
      <c r="VVX1111" s="15"/>
      <c r="VWA1111" s="15"/>
      <c r="VWB1111" s="15"/>
      <c r="VWE1111" s="15"/>
      <c r="VWF1111" s="15"/>
      <c r="VWI1111" s="15"/>
      <c r="VWJ1111" s="15"/>
      <c r="VWM1111" s="15"/>
      <c r="VWN1111" s="15"/>
      <c r="VWQ1111" s="15"/>
      <c r="VWR1111" s="15"/>
      <c r="VWU1111" s="15"/>
      <c r="VWV1111" s="15"/>
      <c r="VWY1111" s="15"/>
      <c r="VWZ1111" s="15"/>
      <c r="VXC1111" s="15"/>
      <c r="VXD1111" s="15"/>
      <c r="VXG1111" s="15"/>
      <c r="VXH1111" s="15"/>
      <c r="VXK1111" s="15"/>
      <c r="VXL1111" s="15"/>
      <c r="VXO1111" s="15"/>
      <c r="VXP1111" s="15"/>
      <c r="VXS1111" s="15"/>
      <c r="VXT1111" s="15"/>
      <c r="VXW1111" s="15"/>
      <c r="VXX1111" s="15"/>
      <c r="VYA1111" s="15"/>
      <c r="VYB1111" s="15"/>
      <c r="VYE1111" s="15"/>
      <c r="VYF1111" s="15"/>
      <c r="VYI1111" s="15"/>
      <c r="VYJ1111" s="15"/>
      <c r="VYM1111" s="15"/>
      <c r="VYN1111" s="15"/>
      <c r="VYQ1111" s="15"/>
      <c r="VYR1111" s="15"/>
      <c r="VYU1111" s="15"/>
      <c r="VYV1111" s="15"/>
      <c r="VYY1111" s="15"/>
      <c r="VYZ1111" s="15"/>
      <c r="VZC1111" s="15"/>
      <c r="VZD1111" s="15"/>
      <c r="VZG1111" s="15"/>
      <c r="VZH1111" s="15"/>
      <c r="VZK1111" s="15"/>
      <c r="VZL1111" s="15"/>
      <c r="VZO1111" s="15"/>
      <c r="VZP1111" s="15"/>
      <c r="VZS1111" s="15"/>
      <c r="VZT1111" s="15"/>
      <c r="VZW1111" s="15"/>
      <c r="VZX1111" s="15"/>
      <c r="WAA1111" s="15"/>
      <c r="WAB1111" s="15"/>
      <c r="WAE1111" s="15"/>
      <c r="WAF1111" s="15"/>
      <c r="WAI1111" s="15"/>
      <c r="WAJ1111" s="15"/>
      <c r="WAM1111" s="15"/>
      <c r="WAN1111" s="15"/>
      <c r="WAQ1111" s="15"/>
      <c r="WAR1111" s="15"/>
      <c r="WAU1111" s="15"/>
      <c r="WAV1111" s="15"/>
      <c r="WAY1111" s="15"/>
      <c r="WAZ1111" s="15"/>
      <c r="WBC1111" s="15"/>
      <c r="WBD1111" s="15"/>
      <c r="WBG1111" s="15"/>
      <c r="WBH1111" s="15"/>
      <c r="WBK1111" s="15"/>
      <c r="WBL1111" s="15"/>
      <c r="WBO1111" s="15"/>
      <c r="WBP1111" s="15"/>
      <c r="WBS1111" s="15"/>
      <c r="WBT1111" s="15"/>
      <c r="WBW1111" s="15"/>
      <c r="WBX1111" s="15"/>
      <c r="WCA1111" s="15"/>
      <c r="WCB1111" s="15"/>
      <c r="WCE1111" s="15"/>
      <c r="WCF1111" s="15"/>
      <c r="WCI1111" s="15"/>
      <c r="WCJ1111" s="15"/>
      <c r="WCM1111" s="15"/>
      <c r="WCN1111" s="15"/>
      <c r="WCQ1111" s="15"/>
      <c r="WCR1111" s="15"/>
      <c r="WCU1111" s="15"/>
      <c r="WCV1111" s="15"/>
      <c r="WCY1111" s="15"/>
      <c r="WCZ1111" s="15"/>
      <c r="WDC1111" s="15"/>
      <c r="WDD1111" s="15"/>
      <c r="WDG1111" s="15"/>
      <c r="WDH1111" s="15"/>
      <c r="WDK1111" s="15"/>
      <c r="WDL1111" s="15"/>
      <c r="WDO1111" s="15"/>
      <c r="WDP1111" s="15"/>
      <c r="WDS1111" s="15"/>
      <c r="WDT1111" s="15"/>
      <c r="WDW1111" s="15"/>
      <c r="WDX1111" s="15"/>
      <c r="WEA1111" s="15"/>
      <c r="WEB1111" s="15"/>
      <c r="WEE1111" s="15"/>
      <c r="WEF1111" s="15"/>
      <c r="WEI1111" s="15"/>
      <c r="WEJ1111" s="15"/>
      <c r="WEM1111" s="15"/>
      <c r="WEN1111" s="15"/>
      <c r="WEQ1111" s="15"/>
      <c r="WER1111" s="15"/>
      <c r="WEU1111" s="15"/>
      <c r="WEV1111" s="15"/>
      <c r="WEY1111" s="15"/>
      <c r="WEZ1111" s="15"/>
      <c r="WFC1111" s="15"/>
      <c r="WFD1111" s="15"/>
      <c r="WFG1111" s="15"/>
      <c r="WFH1111" s="15"/>
      <c r="WFK1111" s="15"/>
      <c r="WFL1111" s="15"/>
      <c r="WFO1111" s="15"/>
      <c r="WFP1111" s="15"/>
      <c r="WFS1111" s="15"/>
      <c r="WFT1111" s="15"/>
      <c r="WFW1111" s="15"/>
      <c r="WFX1111" s="15"/>
      <c r="WGA1111" s="15"/>
      <c r="WGB1111" s="15"/>
      <c r="WGE1111" s="15"/>
      <c r="WGF1111" s="15"/>
      <c r="WGI1111" s="15"/>
      <c r="WGJ1111" s="15"/>
      <c r="WGM1111" s="15"/>
      <c r="WGN1111" s="15"/>
      <c r="WGQ1111" s="15"/>
      <c r="WGR1111" s="15"/>
      <c r="WGU1111" s="15"/>
      <c r="WGV1111" s="15"/>
      <c r="WGY1111" s="15"/>
      <c r="WGZ1111" s="15"/>
      <c r="WHC1111" s="15"/>
      <c r="WHD1111" s="15"/>
      <c r="WHG1111" s="15"/>
      <c r="WHH1111" s="15"/>
      <c r="WHK1111" s="15"/>
      <c r="WHL1111" s="15"/>
      <c r="WHO1111" s="15"/>
      <c r="WHP1111" s="15"/>
      <c r="WHS1111" s="15"/>
      <c r="WHT1111" s="15"/>
      <c r="WHW1111" s="15"/>
      <c r="WHX1111" s="15"/>
      <c r="WIA1111" s="15"/>
      <c r="WIB1111" s="15"/>
      <c r="WIE1111" s="15"/>
      <c r="WIF1111" s="15"/>
      <c r="WII1111" s="15"/>
      <c r="WIJ1111" s="15"/>
      <c r="WIM1111" s="15"/>
      <c r="WIN1111" s="15"/>
      <c r="WIQ1111" s="15"/>
      <c r="WIR1111" s="15"/>
      <c r="WIU1111" s="15"/>
      <c r="WIV1111" s="15"/>
      <c r="WIY1111" s="15"/>
      <c r="WIZ1111" s="15"/>
      <c r="WJC1111" s="15"/>
      <c r="WJD1111" s="15"/>
      <c r="WJG1111" s="15"/>
      <c r="WJH1111" s="15"/>
      <c r="WJK1111" s="15"/>
      <c r="WJL1111" s="15"/>
      <c r="WJO1111" s="15"/>
      <c r="WJP1111" s="15"/>
      <c r="WJS1111" s="15"/>
      <c r="WJT1111" s="15"/>
      <c r="WJW1111" s="15"/>
      <c r="WJX1111" s="15"/>
      <c r="WKA1111" s="15"/>
      <c r="WKB1111" s="15"/>
      <c r="WKE1111" s="15"/>
      <c r="WKF1111" s="15"/>
      <c r="WKI1111" s="15"/>
      <c r="WKJ1111" s="15"/>
      <c r="WKM1111" s="15"/>
      <c r="WKN1111" s="15"/>
      <c r="WKQ1111" s="15"/>
      <c r="WKR1111" s="15"/>
      <c r="WKU1111" s="15"/>
      <c r="WKV1111" s="15"/>
      <c r="WKY1111" s="15"/>
      <c r="WKZ1111" s="15"/>
      <c r="WLC1111" s="15"/>
      <c r="WLD1111" s="15"/>
      <c r="WLG1111" s="15"/>
      <c r="WLH1111" s="15"/>
      <c r="WLK1111" s="15"/>
      <c r="WLL1111" s="15"/>
      <c r="WLO1111" s="15"/>
      <c r="WLP1111" s="15"/>
      <c r="WLS1111" s="15"/>
      <c r="WLT1111" s="15"/>
      <c r="WLW1111" s="15"/>
      <c r="WLX1111" s="15"/>
      <c r="WMA1111" s="15"/>
      <c r="WMB1111" s="15"/>
      <c r="WME1111" s="15"/>
      <c r="WMF1111" s="15"/>
      <c r="WMI1111" s="15"/>
      <c r="WMJ1111" s="15"/>
      <c r="WMM1111" s="15"/>
      <c r="WMN1111" s="15"/>
      <c r="WMQ1111" s="15"/>
      <c r="WMR1111" s="15"/>
      <c r="WMU1111" s="15"/>
      <c r="WMV1111" s="15"/>
      <c r="WMY1111" s="15"/>
      <c r="WMZ1111" s="15"/>
      <c r="WNC1111" s="15"/>
      <c r="WND1111" s="15"/>
      <c r="WNG1111" s="15"/>
      <c r="WNH1111" s="15"/>
      <c r="WNK1111" s="15"/>
      <c r="WNL1111" s="15"/>
      <c r="WNO1111" s="15"/>
      <c r="WNP1111" s="15"/>
      <c r="WNS1111" s="15"/>
      <c r="WNT1111" s="15"/>
      <c r="WNW1111" s="15"/>
      <c r="WNX1111" s="15"/>
      <c r="WOA1111" s="15"/>
      <c r="WOB1111" s="15"/>
      <c r="WOE1111" s="15"/>
      <c r="WOF1111" s="15"/>
      <c r="WOI1111" s="15"/>
      <c r="WOJ1111" s="15"/>
      <c r="WOM1111" s="15"/>
      <c r="WON1111" s="15"/>
      <c r="WOQ1111" s="15"/>
      <c r="WOR1111" s="15"/>
      <c r="WOU1111" s="15"/>
      <c r="WOV1111" s="15"/>
      <c r="WOY1111" s="15"/>
      <c r="WOZ1111" s="15"/>
      <c r="WPC1111" s="15"/>
      <c r="WPD1111" s="15"/>
      <c r="WPG1111" s="15"/>
      <c r="WPH1111" s="15"/>
      <c r="WPK1111" s="15"/>
      <c r="WPL1111" s="15"/>
      <c r="WPO1111" s="15"/>
      <c r="WPP1111" s="15"/>
      <c r="WPS1111" s="15"/>
      <c r="WPT1111" s="15"/>
      <c r="WPW1111" s="15"/>
      <c r="WPX1111" s="15"/>
      <c r="WQA1111" s="15"/>
      <c r="WQB1111" s="15"/>
      <c r="WQE1111" s="15"/>
      <c r="WQF1111" s="15"/>
      <c r="WQI1111" s="15"/>
      <c r="WQJ1111" s="15"/>
      <c r="WQM1111" s="15"/>
      <c r="WQN1111" s="15"/>
      <c r="WQQ1111" s="15"/>
      <c r="WQR1111" s="15"/>
      <c r="WQU1111" s="15"/>
      <c r="WQV1111" s="15"/>
      <c r="WQY1111" s="15"/>
      <c r="WQZ1111" s="15"/>
      <c r="WRC1111" s="15"/>
      <c r="WRD1111" s="15"/>
      <c r="WRG1111" s="15"/>
      <c r="WRH1111" s="15"/>
      <c r="WRK1111" s="15"/>
      <c r="WRL1111" s="15"/>
      <c r="WRO1111" s="15"/>
      <c r="WRP1111" s="15"/>
      <c r="WRS1111" s="15"/>
      <c r="WRT1111" s="15"/>
      <c r="WRW1111" s="15"/>
      <c r="WRX1111" s="15"/>
      <c r="WSA1111" s="15"/>
      <c r="WSB1111" s="15"/>
      <c r="WSE1111" s="15"/>
      <c r="WSF1111" s="15"/>
      <c r="WSI1111" s="15"/>
      <c r="WSJ1111" s="15"/>
      <c r="WSM1111" s="15"/>
      <c r="WSN1111" s="15"/>
      <c r="WSQ1111" s="15"/>
      <c r="WSR1111" s="15"/>
      <c r="WSU1111" s="15"/>
      <c r="WSV1111" s="15"/>
      <c r="WSY1111" s="15"/>
      <c r="WSZ1111" s="15"/>
      <c r="WTC1111" s="15"/>
      <c r="WTD1111" s="15"/>
      <c r="WTG1111" s="15"/>
      <c r="WTH1111" s="15"/>
      <c r="WTK1111" s="15"/>
      <c r="WTL1111" s="15"/>
      <c r="WTO1111" s="15"/>
      <c r="WTP1111" s="15"/>
      <c r="WTS1111" s="15"/>
      <c r="WTT1111" s="15"/>
      <c r="WTW1111" s="15"/>
      <c r="WTX1111" s="15"/>
      <c r="WUA1111" s="15"/>
      <c r="WUB1111" s="15"/>
      <c r="WUE1111" s="15"/>
      <c r="WUF1111" s="15"/>
      <c r="WUI1111" s="15"/>
      <c r="WUJ1111" s="15"/>
      <c r="WUM1111" s="15"/>
      <c r="WUN1111" s="15"/>
      <c r="WUQ1111" s="15"/>
      <c r="WUR1111" s="15"/>
      <c r="WUU1111" s="15"/>
      <c r="WUV1111" s="15"/>
      <c r="WUY1111" s="15"/>
      <c r="WUZ1111" s="15"/>
      <c r="WVC1111" s="15"/>
      <c r="WVD1111" s="15"/>
      <c r="WVG1111" s="15"/>
      <c r="WVH1111" s="15"/>
      <c r="WVK1111" s="15"/>
      <c r="WVL1111" s="15"/>
      <c r="WVO1111" s="15"/>
      <c r="WVP1111" s="15"/>
      <c r="WVS1111" s="15"/>
      <c r="WVT1111" s="15"/>
      <c r="WVW1111" s="15"/>
      <c r="WVX1111" s="15"/>
      <c r="WWA1111" s="15"/>
      <c r="WWB1111" s="15"/>
      <c r="WWE1111" s="15"/>
      <c r="WWF1111" s="15"/>
      <c r="WWI1111" s="15"/>
      <c r="WWJ1111" s="15"/>
      <c r="WWM1111" s="15"/>
      <c r="WWN1111" s="15"/>
      <c r="WWQ1111" s="15"/>
      <c r="WWR1111" s="15"/>
      <c r="WWU1111" s="15"/>
      <c r="WWV1111" s="15"/>
      <c r="WWY1111" s="15"/>
      <c r="WWZ1111" s="15"/>
      <c r="WXC1111" s="15"/>
      <c r="WXD1111" s="15"/>
      <c r="WXG1111" s="15"/>
      <c r="WXH1111" s="15"/>
      <c r="WXK1111" s="15"/>
      <c r="WXL1111" s="15"/>
      <c r="WXO1111" s="15"/>
      <c r="WXP1111" s="15"/>
      <c r="WXS1111" s="15"/>
      <c r="WXT1111" s="15"/>
      <c r="WXW1111" s="15"/>
      <c r="WXX1111" s="15"/>
      <c r="WYA1111" s="15"/>
      <c r="WYB1111" s="15"/>
      <c r="WYE1111" s="15"/>
      <c r="WYF1111" s="15"/>
      <c r="WYI1111" s="15"/>
      <c r="WYJ1111" s="15"/>
      <c r="WYM1111" s="15"/>
      <c r="WYN1111" s="15"/>
      <c r="WYQ1111" s="15"/>
      <c r="WYR1111" s="15"/>
      <c r="WYU1111" s="15"/>
      <c r="WYV1111" s="15"/>
      <c r="WYY1111" s="15"/>
      <c r="WYZ1111" s="15"/>
      <c r="WZC1111" s="15"/>
      <c r="WZD1111" s="15"/>
      <c r="WZG1111" s="15"/>
      <c r="WZH1111" s="15"/>
      <c r="WZK1111" s="15"/>
      <c r="WZL1111" s="15"/>
      <c r="WZO1111" s="15"/>
      <c r="WZP1111" s="15"/>
      <c r="WZS1111" s="15"/>
      <c r="WZT1111" s="15"/>
      <c r="WZW1111" s="15"/>
      <c r="WZX1111" s="15"/>
      <c r="XAA1111" s="15"/>
      <c r="XAB1111" s="15"/>
      <c r="XAE1111" s="15"/>
      <c r="XAF1111" s="15"/>
      <c r="XAI1111" s="15"/>
      <c r="XAJ1111" s="15"/>
      <c r="XAM1111" s="15"/>
      <c r="XAN1111" s="15"/>
      <c r="XAQ1111" s="15"/>
      <c r="XAR1111" s="15"/>
      <c r="XAU1111" s="15"/>
      <c r="XAV1111" s="15"/>
      <c r="XAY1111" s="15"/>
      <c r="XAZ1111" s="15"/>
      <c r="XBC1111" s="15"/>
      <c r="XBD1111" s="15"/>
      <c r="XBG1111" s="15"/>
      <c r="XBH1111" s="15"/>
      <c r="XBK1111" s="15"/>
      <c r="XBL1111" s="15"/>
      <c r="XBO1111" s="15"/>
      <c r="XBP1111" s="15"/>
      <c r="XBS1111" s="15"/>
      <c r="XBT1111" s="15"/>
      <c r="XBW1111" s="15"/>
      <c r="XBX1111" s="15"/>
      <c r="XCA1111" s="15"/>
      <c r="XCB1111" s="15"/>
      <c r="XCE1111" s="15"/>
      <c r="XCF1111" s="15"/>
      <c r="XCI1111" s="15"/>
      <c r="XCJ1111" s="15"/>
      <c r="XCM1111" s="15"/>
      <c r="XCN1111" s="15"/>
      <c r="XCQ1111" s="15"/>
      <c r="XCR1111" s="15"/>
      <c r="XCU1111" s="15"/>
      <c r="XCV1111" s="15"/>
      <c r="XCY1111" s="15"/>
      <c r="XCZ1111" s="15"/>
      <c r="XDC1111" s="15"/>
      <c r="XDD1111" s="15"/>
      <c r="XDG1111" s="15"/>
      <c r="XDH1111" s="15"/>
      <c r="XDK1111" s="15"/>
      <c r="XDL1111" s="15"/>
      <c r="XDO1111" s="15"/>
      <c r="XDP1111" s="15"/>
      <c r="XDS1111" s="15"/>
      <c r="XDT1111" s="15"/>
      <c r="XDW1111" s="15"/>
      <c r="XDX1111" s="15"/>
      <c r="XEA1111" s="15"/>
      <c r="XEB1111" s="15"/>
      <c r="XEE1111" s="15"/>
      <c r="XEF1111" s="15"/>
      <c r="XEI1111" s="15"/>
      <c r="XEJ1111" s="15"/>
      <c r="XEM1111" s="15"/>
      <c r="XEN1111" s="15"/>
      <c r="XEQ1111" s="15"/>
      <c r="XER1111" s="15"/>
      <c r="XEU1111" s="15"/>
      <c r="XEV1111" s="15"/>
      <c r="XEY1111" s="15"/>
      <c r="XEZ1111" s="15"/>
      <c r="XFC1111" s="15"/>
      <c r="XFD1111" s="15"/>
    </row>
    <row r="1112" spans="1:1024 1027:2048 2051:3072 3075:4096 4099:5120 5123:6144 6147:7168 7171:8192 8195:9216 9219:10240 10243:11264 11267:12288 12291:13312 13315:14336 14339:15360 15363:16384" outlineLevel="1" x14ac:dyDescent="0.3">
      <c r="A1112" t="s">
        <v>1844</v>
      </c>
      <c r="B1112" t="s">
        <v>269</v>
      </c>
      <c r="C1112" s="15" t="s">
        <v>10</v>
      </c>
      <c r="D1112" s="15" t="s">
        <v>1845</v>
      </c>
      <c r="E1112" t="s">
        <v>8500</v>
      </c>
      <c r="G1112" s="15"/>
      <c r="H1112" s="15"/>
      <c r="K1112" s="15"/>
      <c r="L1112" s="15"/>
      <c r="O1112" s="15"/>
      <c r="P1112" s="15"/>
      <c r="S1112" s="15"/>
      <c r="T1112" s="15"/>
      <c r="W1112" s="15"/>
      <c r="X1112" s="15"/>
      <c r="AA1112" s="15"/>
      <c r="AB1112" s="15"/>
      <c r="AE1112" s="15"/>
      <c r="AF1112" s="15"/>
      <c r="AI1112" s="15"/>
      <c r="AJ1112" s="15"/>
      <c r="AM1112" s="15"/>
      <c r="AN1112" s="15"/>
      <c r="AQ1112" s="15"/>
      <c r="AR1112" s="15"/>
      <c r="AU1112" s="15"/>
      <c r="AV1112" s="15"/>
      <c r="AY1112" s="15"/>
      <c r="AZ1112" s="15"/>
      <c r="BC1112" s="15"/>
      <c r="BD1112" s="15"/>
      <c r="BG1112" s="15"/>
      <c r="BH1112" s="15"/>
      <c r="BK1112" s="15"/>
      <c r="BL1112" s="15"/>
      <c r="BO1112" s="15"/>
      <c r="BP1112" s="15"/>
      <c r="BS1112" s="15"/>
      <c r="BT1112" s="15"/>
      <c r="BW1112" s="15"/>
      <c r="BX1112" s="15"/>
      <c r="CA1112" s="15"/>
      <c r="CB1112" s="15"/>
      <c r="CE1112" s="15"/>
      <c r="CF1112" s="15"/>
      <c r="CI1112" s="15"/>
      <c r="CJ1112" s="15"/>
      <c r="CM1112" s="15"/>
      <c r="CN1112" s="15"/>
      <c r="CQ1112" s="15"/>
      <c r="CR1112" s="15"/>
      <c r="CU1112" s="15"/>
      <c r="CV1112" s="15"/>
      <c r="CY1112" s="15"/>
      <c r="CZ1112" s="15"/>
      <c r="DC1112" s="15"/>
      <c r="DD1112" s="15"/>
      <c r="DG1112" s="15"/>
      <c r="DH1112" s="15"/>
      <c r="DK1112" s="15"/>
      <c r="DL1112" s="15"/>
      <c r="DO1112" s="15"/>
      <c r="DP1112" s="15"/>
      <c r="DS1112" s="15"/>
      <c r="DT1112" s="15"/>
      <c r="DW1112" s="15"/>
      <c r="DX1112" s="15"/>
      <c r="EA1112" s="15"/>
      <c r="EB1112" s="15"/>
      <c r="EE1112" s="15"/>
      <c r="EF1112" s="15"/>
      <c r="EI1112" s="15"/>
      <c r="EJ1112" s="15"/>
      <c r="EM1112" s="15"/>
      <c r="EN1112" s="15"/>
      <c r="EQ1112" s="15"/>
      <c r="ER1112" s="15"/>
      <c r="EU1112" s="15"/>
      <c r="EV1112" s="15"/>
      <c r="EY1112" s="15"/>
      <c r="EZ1112" s="15"/>
      <c r="FC1112" s="15"/>
      <c r="FD1112" s="15"/>
      <c r="FG1112" s="15"/>
      <c r="FH1112" s="15"/>
      <c r="FK1112" s="15"/>
      <c r="FL1112" s="15"/>
      <c r="FO1112" s="15"/>
      <c r="FP1112" s="15"/>
      <c r="FS1112" s="15"/>
      <c r="FT1112" s="15"/>
      <c r="FW1112" s="15"/>
      <c r="FX1112" s="15"/>
      <c r="GA1112" s="15"/>
      <c r="GB1112" s="15"/>
      <c r="GE1112" s="15"/>
      <c r="GF1112" s="15"/>
      <c r="GI1112" s="15"/>
      <c r="GJ1112" s="15"/>
      <c r="GM1112" s="15"/>
      <c r="GN1112" s="15"/>
      <c r="GQ1112" s="15"/>
      <c r="GR1112" s="15"/>
      <c r="GU1112" s="15"/>
      <c r="GV1112" s="15"/>
      <c r="GY1112" s="15"/>
      <c r="GZ1112" s="15"/>
      <c r="HC1112" s="15"/>
      <c r="HD1112" s="15"/>
      <c r="HG1112" s="15"/>
      <c r="HH1112" s="15"/>
      <c r="HK1112" s="15"/>
      <c r="HL1112" s="15"/>
      <c r="HO1112" s="15"/>
      <c r="HP1112" s="15"/>
      <c r="HS1112" s="15"/>
      <c r="HT1112" s="15"/>
      <c r="HW1112" s="15"/>
      <c r="HX1112" s="15"/>
      <c r="IA1112" s="15"/>
      <c r="IB1112" s="15"/>
      <c r="IE1112" s="15"/>
      <c r="IF1112" s="15"/>
      <c r="II1112" s="15"/>
      <c r="IJ1112" s="15"/>
      <c r="IM1112" s="15"/>
      <c r="IN1112" s="15"/>
      <c r="IQ1112" s="15"/>
      <c r="IR1112" s="15"/>
      <c r="IU1112" s="15"/>
      <c r="IV1112" s="15"/>
      <c r="IY1112" s="15"/>
      <c r="IZ1112" s="15"/>
      <c r="JC1112" s="15"/>
      <c r="JD1112" s="15"/>
      <c r="JG1112" s="15"/>
      <c r="JH1112" s="15"/>
      <c r="JK1112" s="15"/>
      <c r="JL1112" s="15"/>
      <c r="JO1112" s="15"/>
      <c r="JP1112" s="15"/>
      <c r="JS1112" s="15"/>
      <c r="JT1112" s="15"/>
      <c r="JW1112" s="15"/>
      <c r="JX1112" s="15"/>
      <c r="KA1112" s="15"/>
      <c r="KB1112" s="15"/>
      <c r="KE1112" s="15"/>
      <c r="KF1112" s="15"/>
      <c r="KI1112" s="15"/>
      <c r="KJ1112" s="15"/>
      <c r="KM1112" s="15"/>
      <c r="KN1112" s="15"/>
      <c r="KQ1112" s="15"/>
      <c r="KR1112" s="15"/>
      <c r="KU1112" s="15"/>
      <c r="KV1112" s="15"/>
      <c r="KY1112" s="15"/>
      <c r="KZ1112" s="15"/>
      <c r="LC1112" s="15"/>
      <c r="LD1112" s="15"/>
      <c r="LG1112" s="15"/>
      <c r="LH1112" s="15"/>
      <c r="LK1112" s="15"/>
      <c r="LL1112" s="15"/>
      <c r="LO1112" s="15"/>
      <c r="LP1112" s="15"/>
      <c r="LS1112" s="15"/>
      <c r="LT1112" s="15"/>
      <c r="LW1112" s="15"/>
      <c r="LX1112" s="15"/>
      <c r="MA1112" s="15"/>
      <c r="MB1112" s="15"/>
      <c r="ME1112" s="15"/>
      <c r="MF1112" s="15"/>
      <c r="MI1112" s="15"/>
      <c r="MJ1112" s="15"/>
      <c r="MM1112" s="15"/>
      <c r="MN1112" s="15"/>
      <c r="MQ1112" s="15"/>
      <c r="MR1112" s="15"/>
      <c r="MU1112" s="15"/>
      <c r="MV1112" s="15"/>
      <c r="MY1112" s="15"/>
      <c r="MZ1112" s="15"/>
      <c r="NC1112" s="15"/>
      <c r="ND1112" s="15"/>
      <c r="NG1112" s="15"/>
      <c r="NH1112" s="15"/>
      <c r="NK1112" s="15"/>
      <c r="NL1112" s="15"/>
      <c r="NO1112" s="15"/>
      <c r="NP1112" s="15"/>
      <c r="NS1112" s="15"/>
      <c r="NT1112" s="15"/>
      <c r="NW1112" s="15"/>
      <c r="NX1112" s="15"/>
      <c r="OA1112" s="15"/>
      <c r="OB1112" s="15"/>
      <c r="OE1112" s="15"/>
      <c r="OF1112" s="15"/>
      <c r="OI1112" s="15"/>
      <c r="OJ1112" s="15"/>
      <c r="OM1112" s="15"/>
      <c r="ON1112" s="15"/>
      <c r="OQ1112" s="15"/>
      <c r="OR1112" s="15"/>
      <c r="OU1112" s="15"/>
      <c r="OV1112" s="15"/>
      <c r="OY1112" s="15"/>
      <c r="OZ1112" s="15"/>
      <c r="PC1112" s="15"/>
      <c r="PD1112" s="15"/>
      <c r="PG1112" s="15"/>
      <c r="PH1112" s="15"/>
      <c r="PK1112" s="15"/>
      <c r="PL1112" s="15"/>
      <c r="PO1112" s="15"/>
      <c r="PP1112" s="15"/>
      <c r="PS1112" s="15"/>
      <c r="PT1112" s="15"/>
      <c r="PW1112" s="15"/>
      <c r="PX1112" s="15"/>
      <c r="QA1112" s="15"/>
      <c r="QB1112" s="15"/>
      <c r="QE1112" s="15"/>
      <c r="QF1112" s="15"/>
      <c r="QI1112" s="15"/>
      <c r="QJ1112" s="15"/>
      <c r="QM1112" s="15"/>
      <c r="QN1112" s="15"/>
      <c r="QQ1112" s="15"/>
      <c r="QR1112" s="15"/>
      <c r="QU1112" s="15"/>
      <c r="QV1112" s="15"/>
      <c r="QY1112" s="15"/>
      <c r="QZ1112" s="15"/>
      <c r="RC1112" s="15"/>
      <c r="RD1112" s="15"/>
      <c r="RG1112" s="15"/>
      <c r="RH1112" s="15"/>
      <c r="RK1112" s="15"/>
      <c r="RL1112" s="15"/>
      <c r="RO1112" s="15"/>
      <c r="RP1112" s="15"/>
      <c r="RS1112" s="15"/>
      <c r="RT1112" s="15"/>
      <c r="RW1112" s="15"/>
      <c r="RX1112" s="15"/>
      <c r="SA1112" s="15"/>
      <c r="SB1112" s="15"/>
      <c r="SE1112" s="15"/>
      <c r="SF1112" s="15"/>
      <c r="SI1112" s="15"/>
      <c r="SJ1112" s="15"/>
      <c r="SM1112" s="15"/>
      <c r="SN1112" s="15"/>
      <c r="SQ1112" s="15"/>
      <c r="SR1112" s="15"/>
      <c r="SU1112" s="15"/>
      <c r="SV1112" s="15"/>
      <c r="SY1112" s="15"/>
      <c r="SZ1112" s="15"/>
      <c r="TC1112" s="15"/>
      <c r="TD1112" s="15"/>
      <c r="TG1112" s="15"/>
      <c r="TH1112" s="15"/>
      <c r="TK1112" s="15"/>
      <c r="TL1112" s="15"/>
      <c r="TO1112" s="15"/>
      <c r="TP1112" s="15"/>
      <c r="TS1112" s="15"/>
      <c r="TT1112" s="15"/>
      <c r="TW1112" s="15"/>
      <c r="TX1112" s="15"/>
      <c r="UA1112" s="15"/>
      <c r="UB1112" s="15"/>
      <c r="UE1112" s="15"/>
      <c r="UF1112" s="15"/>
      <c r="UI1112" s="15"/>
      <c r="UJ1112" s="15"/>
      <c r="UM1112" s="15"/>
      <c r="UN1112" s="15"/>
      <c r="UQ1112" s="15"/>
      <c r="UR1112" s="15"/>
      <c r="UU1112" s="15"/>
      <c r="UV1112" s="15"/>
      <c r="UY1112" s="15"/>
      <c r="UZ1112" s="15"/>
      <c r="VC1112" s="15"/>
      <c r="VD1112" s="15"/>
      <c r="VG1112" s="15"/>
      <c r="VH1112" s="15"/>
      <c r="VK1112" s="15"/>
      <c r="VL1112" s="15"/>
      <c r="VO1112" s="15"/>
      <c r="VP1112" s="15"/>
      <c r="VS1112" s="15"/>
      <c r="VT1112" s="15"/>
      <c r="VW1112" s="15"/>
      <c r="VX1112" s="15"/>
      <c r="WA1112" s="15"/>
      <c r="WB1112" s="15"/>
      <c r="WE1112" s="15"/>
      <c r="WF1112" s="15"/>
      <c r="WI1112" s="15"/>
      <c r="WJ1112" s="15"/>
      <c r="WM1112" s="15"/>
      <c r="WN1112" s="15"/>
      <c r="WQ1112" s="15"/>
      <c r="WR1112" s="15"/>
      <c r="WU1112" s="15"/>
      <c r="WV1112" s="15"/>
      <c r="WY1112" s="15"/>
      <c r="WZ1112" s="15"/>
      <c r="XC1112" s="15"/>
      <c r="XD1112" s="15"/>
      <c r="XG1112" s="15"/>
      <c r="XH1112" s="15"/>
      <c r="XK1112" s="15"/>
      <c r="XL1112" s="15"/>
      <c r="XO1112" s="15"/>
      <c r="XP1112" s="15"/>
      <c r="XS1112" s="15"/>
      <c r="XT1112" s="15"/>
      <c r="XW1112" s="15"/>
      <c r="XX1112" s="15"/>
      <c r="YA1112" s="15"/>
      <c r="YB1112" s="15"/>
      <c r="YE1112" s="15"/>
      <c r="YF1112" s="15"/>
      <c r="YI1112" s="15"/>
      <c r="YJ1112" s="15"/>
      <c r="YM1112" s="15"/>
      <c r="YN1112" s="15"/>
      <c r="YQ1112" s="15"/>
      <c r="YR1112" s="15"/>
      <c r="YU1112" s="15"/>
      <c r="YV1112" s="15"/>
      <c r="YY1112" s="15"/>
      <c r="YZ1112" s="15"/>
      <c r="ZC1112" s="15"/>
      <c r="ZD1112" s="15"/>
      <c r="ZG1112" s="15"/>
      <c r="ZH1112" s="15"/>
      <c r="ZK1112" s="15"/>
      <c r="ZL1112" s="15"/>
      <c r="ZO1112" s="15"/>
      <c r="ZP1112" s="15"/>
      <c r="ZS1112" s="15"/>
      <c r="ZT1112" s="15"/>
      <c r="ZW1112" s="15"/>
      <c r="ZX1112" s="15"/>
      <c r="AAA1112" s="15"/>
      <c r="AAB1112" s="15"/>
      <c r="AAE1112" s="15"/>
      <c r="AAF1112" s="15"/>
      <c r="AAI1112" s="15"/>
      <c r="AAJ1112" s="15"/>
      <c r="AAM1112" s="15"/>
      <c r="AAN1112" s="15"/>
      <c r="AAQ1112" s="15"/>
      <c r="AAR1112" s="15"/>
      <c r="AAU1112" s="15"/>
      <c r="AAV1112" s="15"/>
      <c r="AAY1112" s="15"/>
      <c r="AAZ1112" s="15"/>
      <c r="ABC1112" s="15"/>
      <c r="ABD1112" s="15"/>
      <c r="ABG1112" s="15"/>
      <c r="ABH1112" s="15"/>
      <c r="ABK1112" s="15"/>
      <c r="ABL1112" s="15"/>
      <c r="ABO1112" s="15"/>
      <c r="ABP1112" s="15"/>
      <c r="ABS1112" s="15"/>
      <c r="ABT1112" s="15"/>
      <c r="ABW1112" s="15"/>
      <c r="ABX1112" s="15"/>
      <c r="ACA1112" s="15"/>
      <c r="ACB1112" s="15"/>
      <c r="ACE1112" s="15"/>
      <c r="ACF1112" s="15"/>
      <c r="ACI1112" s="15"/>
      <c r="ACJ1112" s="15"/>
      <c r="ACM1112" s="15"/>
      <c r="ACN1112" s="15"/>
      <c r="ACQ1112" s="15"/>
      <c r="ACR1112" s="15"/>
      <c r="ACU1112" s="15"/>
      <c r="ACV1112" s="15"/>
      <c r="ACY1112" s="15"/>
      <c r="ACZ1112" s="15"/>
      <c r="ADC1112" s="15"/>
      <c r="ADD1112" s="15"/>
      <c r="ADG1112" s="15"/>
      <c r="ADH1112" s="15"/>
      <c r="ADK1112" s="15"/>
      <c r="ADL1112" s="15"/>
      <c r="ADO1112" s="15"/>
      <c r="ADP1112" s="15"/>
      <c r="ADS1112" s="15"/>
      <c r="ADT1112" s="15"/>
      <c r="ADW1112" s="15"/>
      <c r="ADX1112" s="15"/>
      <c r="AEA1112" s="15"/>
      <c r="AEB1112" s="15"/>
      <c r="AEE1112" s="15"/>
      <c r="AEF1112" s="15"/>
      <c r="AEI1112" s="15"/>
      <c r="AEJ1112" s="15"/>
      <c r="AEM1112" s="15"/>
      <c r="AEN1112" s="15"/>
      <c r="AEQ1112" s="15"/>
      <c r="AER1112" s="15"/>
      <c r="AEU1112" s="15"/>
      <c r="AEV1112" s="15"/>
      <c r="AEY1112" s="15"/>
      <c r="AEZ1112" s="15"/>
      <c r="AFC1112" s="15"/>
      <c r="AFD1112" s="15"/>
      <c r="AFG1112" s="15"/>
      <c r="AFH1112" s="15"/>
      <c r="AFK1112" s="15"/>
      <c r="AFL1112" s="15"/>
      <c r="AFO1112" s="15"/>
      <c r="AFP1112" s="15"/>
      <c r="AFS1112" s="15"/>
      <c r="AFT1112" s="15"/>
      <c r="AFW1112" s="15"/>
      <c r="AFX1112" s="15"/>
      <c r="AGA1112" s="15"/>
      <c r="AGB1112" s="15"/>
      <c r="AGE1112" s="15"/>
      <c r="AGF1112" s="15"/>
      <c r="AGI1112" s="15"/>
      <c r="AGJ1112" s="15"/>
      <c r="AGM1112" s="15"/>
      <c r="AGN1112" s="15"/>
      <c r="AGQ1112" s="15"/>
      <c r="AGR1112" s="15"/>
      <c r="AGU1112" s="15"/>
      <c r="AGV1112" s="15"/>
      <c r="AGY1112" s="15"/>
      <c r="AGZ1112" s="15"/>
      <c r="AHC1112" s="15"/>
      <c r="AHD1112" s="15"/>
      <c r="AHG1112" s="15"/>
      <c r="AHH1112" s="15"/>
      <c r="AHK1112" s="15"/>
      <c r="AHL1112" s="15"/>
      <c r="AHO1112" s="15"/>
      <c r="AHP1112" s="15"/>
      <c r="AHS1112" s="15"/>
      <c r="AHT1112" s="15"/>
      <c r="AHW1112" s="15"/>
      <c r="AHX1112" s="15"/>
      <c r="AIA1112" s="15"/>
      <c r="AIB1112" s="15"/>
      <c r="AIE1112" s="15"/>
      <c r="AIF1112" s="15"/>
      <c r="AII1112" s="15"/>
      <c r="AIJ1112" s="15"/>
      <c r="AIM1112" s="15"/>
      <c r="AIN1112" s="15"/>
      <c r="AIQ1112" s="15"/>
      <c r="AIR1112" s="15"/>
      <c r="AIU1112" s="15"/>
      <c r="AIV1112" s="15"/>
      <c r="AIY1112" s="15"/>
      <c r="AIZ1112" s="15"/>
      <c r="AJC1112" s="15"/>
      <c r="AJD1112" s="15"/>
      <c r="AJG1112" s="15"/>
      <c r="AJH1112" s="15"/>
      <c r="AJK1112" s="15"/>
      <c r="AJL1112" s="15"/>
      <c r="AJO1112" s="15"/>
      <c r="AJP1112" s="15"/>
      <c r="AJS1112" s="15"/>
      <c r="AJT1112" s="15"/>
      <c r="AJW1112" s="15"/>
      <c r="AJX1112" s="15"/>
      <c r="AKA1112" s="15"/>
      <c r="AKB1112" s="15"/>
      <c r="AKE1112" s="15"/>
      <c r="AKF1112" s="15"/>
      <c r="AKI1112" s="15"/>
      <c r="AKJ1112" s="15"/>
      <c r="AKM1112" s="15"/>
      <c r="AKN1112" s="15"/>
      <c r="AKQ1112" s="15"/>
      <c r="AKR1112" s="15"/>
      <c r="AKU1112" s="15"/>
      <c r="AKV1112" s="15"/>
      <c r="AKY1112" s="15"/>
      <c r="AKZ1112" s="15"/>
      <c r="ALC1112" s="15"/>
      <c r="ALD1112" s="15"/>
      <c r="ALG1112" s="15"/>
      <c r="ALH1112" s="15"/>
      <c r="ALK1112" s="15"/>
      <c r="ALL1112" s="15"/>
      <c r="ALO1112" s="15"/>
      <c r="ALP1112" s="15"/>
      <c r="ALS1112" s="15"/>
      <c r="ALT1112" s="15"/>
      <c r="ALW1112" s="15"/>
      <c r="ALX1112" s="15"/>
      <c r="AMA1112" s="15"/>
      <c r="AMB1112" s="15"/>
      <c r="AME1112" s="15"/>
      <c r="AMF1112" s="15"/>
      <c r="AMI1112" s="15"/>
      <c r="AMJ1112" s="15"/>
      <c r="AMM1112" s="15"/>
      <c r="AMN1112" s="15"/>
      <c r="AMQ1112" s="15"/>
      <c r="AMR1112" s="15"/>
      <c r="AMU1112" s="15"/>
      <c r="AMV1112" s="15"/>
      <c r="AMY1112" s="15"/>
      <c r="AMZ1112" s="15"/>
      <c r="ANC1112" s="15"/>
      <c r="AND1112" s="15"/>
      <c r="ANG1112" s="15"/>
      <c r="ANH1112" s="15"/>
      <c r="ANK1112" s="15"/>
      <c r="ANL1112" s="15"/>
      <c r="ANO1112" s="15"/>
      <c r="ANP1112" s="15"/>
      <c r="ANS1112" s="15"/>
      <c r="ANT1112" s="15"/>
      <c r="ANW1112" s="15"/>
      <c r="ANX1112" s="15"/>
      <c r="AOA1112" s="15"/>
      <c r="AOB1112" s="15"/>
      <c r="AOE1112" s="15"/>
      <c r="AOF1112" s="15"/>
      <c r="AOI1112" s="15"/>
      <c r="AOJ1112" s="15"/>
      <c r="AOM1112" s="15"/>
      <c r="AON1112" s="15"/>
      <c r="AOQ1112" s="15"/>
      <c r="AOR1112" s="15"/>
      <c r="AOU1112" s="15"/>
      <c r="AOV1112" s="15"/>
      <c r="AOY1112" s="15"/>
      <c r="AOZ1112" s="15"/>
      <c r="APC1112" s="15"/>
      <c r="APD1112" s="15"/>
      <c r="APG1112" s="15"/>
      <c r="APH1112" s="15"/>
      <c r="APK1112" s="15"/>
      <c r="APL1112" s="15"/>
      <c r="APO1112" s="15"/>
      <c r="APP1112" s="15"/>
      <c r="APS1112" s="15"/>
      <c r="APT1112" s="15"/>
      <c r="APW1112" s="15"/>
      <c r="APX1112" s="15"/>
      <c r="AQA1112" s="15"/>
      <c r="AQB1112" s="15"/>
      <c r="AQE1112" s="15"/>
      <c r="AQF1112" s="15"/>
      <c r="AQI1112" s="15"/>
      <c r="AQJ1112" s="15"/>
      <c r="AQM1112" s="15"/>
      <c r="AQN1112" s="15"/>
      <c r="AQQ1112" s="15"/>
      <c r="AQR1112" s="15"/>
      <c r="AQU1112" s="15"/>
      <c r="AQV1112" s="15"/>
      <c r="AQY1112" s="15"/>
      <c r="AQZ1112" s="15"/>
      <c r="ARC1112" s="15"/>
      <c r="ARD1112" s="15"/>
      <c r="ARG1112" s="15"/>
      <c r="ARH1112" s="15"/>
      <c r="ARK1112" s="15"/>
      <c r="ARL1112" s="15"/>
      <c r="ARO1112" s="15"/>
      <c r="ARP1112" s="15"/>
      <c r="ARS1112" s="15"/>
      <c r="ART1112" s="15"/>
      <c r="ARW1112" s="15"/>
      <c r="ARX1112" s="15"/>
      <c r="ASA1112" s="15"/>
      <c r="ASB1112" s="15"/>
      <c r="ASE1112" s="15"/>
      <c r="ASF1112" s="15"/>
      <c r="ASI1112" s="15"/>
      <c r="ASJ1112" s="15"/>
      <c r="ASM1112" s="15"/>
      <c r="ASN1112" s="15"/>
      <c r="ASQ1112" s="15"/>
      <c r="ASR1112" s="15"/>
      <c r="ASU1112" s="15"/>
      <c r="ASV1112" s="15"/>
      <c r="ASY1112" s="15"/>
      <c r="ASZ1112" s="15"/>
      <c r="ATC1112" s="15"/>
      <c r="ATD1112" s="15"/>
      <c r="ATG1112" s="15"/>
      <c r="ATH1112" s="15"/>
      <c r="ATK1112" s="15"/>
      <c r="ATL1112" s="15"/>
      <c r="ATO1112" s="15"/>
      <c r="ATP1112" s="15"/>
      <c r="ATS1112" s="15"/>
      <c r="ATT1112" s="15"/>
      <c r="ATW1112" s="15"/>
      <c r="ATX1112" s="15"/>
      <c r="AUA1112" s="15"/>
      <c r="AUB1112" s="15"/>
      <c r="AUE1112" s="15"/>
      <c r="AUF1112" s="15"/>
      <c r="AUI1112" s="15"/>
      <c r="AUJ1112" s="15"/>
      <c r="AUM1112" s="15"/>
      <c r="AUN1112" s="15"/>
      <c r="AUQ1112" s="15"/>
      <c r="AUR1112" s="15"/>
      <c r="AUU1112" s="15"/>
      <c r="AUV1112" s="15"/>
      <c r="AUY1112" s="15"/>
      <c r="AUZ1112" s="15"/>
      <c r="AVC1112" s="15"/>
      <c r="AVD1112" s="15"/>
      <c r="AVG1112" s="15"/>
      <c r="AVH1112" s="15"/>
      <c r="AVK1112" s="15"/>
      <c r="AVL1112" s="15"/>
      <c r="AVO1112" s="15"/>
      <c r="AVP1112" s="15"/>
      <c r="AVS1112" s="15"/>
      <c r="AVT1112" s="15"/>
      <c r="AVW1112" s="15"/>
      <c r="AVX1112" s="15"/>
      <c r="AWA1112" s="15"/>
      <c r="AWB1112" s="15"/>
      <c r="AWE1112" s="15"/>
      <c r="AWF1112" s="15"/>
      <c r="AWI1112" s="15"/>
      <c r="AWJ1112" s="15"/>
      <c r="AWM1112" s="15"/>
      <c r="AWN1112" s="15"/>
      <c r="AWQ1112" s="15"/>
      <c r="AWR1112" s="15"/>
      <c r="AWU1112" s="15"/>
      <c r="AWV1112" s="15"/>
      <c r="AWY1112" s="15"/>
      <c r="AWZ1112" s="15"/>
      <c r="AXC1112" s="15"/>
      <c r="AXD1112" s="15"/>
      <c r="AXG1112" s="15"/>
      <c r="AXH1112" s="15"/>
      <c r="AXK1112" s="15"/>
      <c r="AXL1112" s="15"/>
      <c r="AXO1112" s="15"/>
      <c r="AXP1112" s="15"/>
      <c r="AXS1112" s="15"/>
      <c r="AXT1112" s="15"/>
      <c r="AXW1112" s="15"/>
      <c r="AXX1112" s="15"/>
      <c r="AYA1112" s="15"/>
      <c r="AYB1112" s="15"/>
      <c r="AYE1112" s="15"/>
      <c r="AYF1112" s="15"/>
      <c r="AYI1112" s="15"/>
      <c r="AYJ1112" s="15"/>
      <c r="AYM1112" s="15"/>
      <c r="AYN1112" s="15"/>
      <c r="AYQ1112" s="15"/>
      <c r="AYR1112" s="15"/>
      <c r="AYU1112" s="15"/>
      <c r="AYV1112" s="15"/>
      <c r="AYY1112" s="15"/>
      <c r="AYZ1112" s="15"/>
      <c r="AZC1112" s="15"/>
      <c r="AZD1112" s="15"/>
      <c r="AZG1112" s="15"/>
      <c r="AZH1112" s="15"/>
      <c r="AZK1112" s="15"/>
      <c r="AZL1112" s="15"/>
      <c r="AZO1112" s="15"/>
      <c r="AZP1112" s="15"/>
      <c r="AZS1112" s="15"/>
      <c r="AZT1112" s="15"/>
      <c r="AZW1112" s="15"/>
      <c r="AZX1112" s="15"/>
      <c r="BAA1112" s="15"/>
      <c r="BAB1112" s="15"/>
      <c r="BAE1112" s="15"/>
      <c r="BAF1112" s="15"/>
      <c r="BAI1112" s="15"/>
      <c r="BAJ1112" s="15"/>
      <c r="BAM1112" s="15"/>
      <c r="BAN1112" s="15"/>
      <c r="BAQ1112" s="15"/>
      <c r="BAR1112" s="15"/>
      <c r="BAU1112" s="15"/>
      <c r="BAV1112" s="15"/>
      <c r="BAY1112" s="15"/>
      <c r="BAZ1112" s="15"/>
      <c r="BBC1112" s="15"/>
      <c r="BBD1112" s="15"/>
      <c r="BBG1112" s="15"/>
      <c r="BBH1112" s="15"/>
      <c r="BBK1112" s="15"/>
      <c r="BBL1112" s="15"/>
      <c r="BBO1112" s="15"/>
      <c r="BBP1112" s="15"/>
      <c r="BBS1112" s="15"/>
      <c r="BBT1112" s="15"/>
      <c r="BBW1112" s="15"/>
      <c r="BBX1112" s="15"/>
      <c r="BCA1112" s="15"/>
      <c r="BCB1112" s="15"/>
      <c r="BCE1112" s="15"/>
      <c r="BCF1112" s="15"/>
      <c r="BCI1112" s="15"/>
      <c r="BCJ1112" s="15"/>
      <c r="BCM1112" s="15"/>
      <c r="BCN1112" s="15"/>
      <c r="BCQ1112" s="15"/>
      <c r="BCR1112" s="15"/>
      <c r="BCU1112" s="15"/>
      <c r="BCV1112" s="15"/>
      <c r="BCY1112" s="15"/>
      <c r="BCZ1112" s="15"/>
      <c r="BDC1112" s="15"/>
      <c r="BDD1112" s="15"/>
      <c r="BDG1112" s="15"/>
      <c r="BDH1112" s="15"/>
      <c r="BDK1112" s="15"/>
      <c r="BDL1112" s="15"/>
      <c r="BDO1112" s="15"/>
      <c r="BDP1112" s="15"/>
      <c r="BDS1112" s="15"/>
      <c r="BDT1112" s="15"/>
      <c r="BDW1112" s="15"/>
      <c r="BDX1112" s="15"/>
      <c r="BEA1112" s="15"/>
      <c r="BEB1112" s="15"/>
      <c r="BEE1112" s="15"/>
      <c r="BEF1112" s="15"/>
      <c r="BEI1112" s="15"/>
      <c r="BEJ1112" s="15"/>
      <c r="BEM1112" s="15"/>
      <c r="BEN1112" s="15"/>
      <c r="BEQ1112" s="15"/>
      <c r="BER1112" s="15"/>
      <c r="BEU1112" s="15"/>
      <c r="BEV1112" s="15"/>
      <c r="BEY1112" s="15"/>
      <c r="BEZ1112" s="15"/>
      <c r="BFC1112" s="15"/>
      <c r="BFD1112" s="15"/>
      <c r="BFG1112" s="15"/>
      <c r="BFH1112" s="15"/>
      <c r="BFK1112" s="15"/>
      <c r="BFL1112" s="15"/>
      <c r="BFO1112" s="15"/>
      <c r="BFP1112" s="15"/>
      <c r="BFS1112" s="15"/>
      <c r="BFT1112" s="15"/>
      <c r="BFW1112" s="15"/>
      <c r="BFX1112" s="15"/>
      <c r="BGA1112" s="15"/>
      <c r="BGB1112" s="15"/>
      <c r="BGE1112" s="15"/>
      <c r="BGF1112" s="15"/>
      <c r="BGI1112" s="15"/>
      <c r="BGJ1112" s="15"/>
      <c r="BGM1112" s="15"/>
      <c r="BGN1112" s="15"/>
      <c r="BGQ1112" s="15"/>
      <c r="BGR1112" s="15"/>
      <c r="BGU1112" s="15"/>
      <c r="BGV1112" s="15"/>
      <c r="BGY1112" s="15"/>
      <c r="BGZ1112" s="15"/>
      <c r="BHC1112" s="15"/>
      <c r="BHD1112" s="15"/>
      <c r="BHG1112" s="15"/>
      <c r="BHH1112" s="15"/>
      <c r="BHK1112" s="15"/>
      <c r="BHL1112" s="15"/>
      <c r="BHO1112" s="15"/>
      <c r="BHP1112" s="15"/>
      <c r="BHS1112" s="15"/>
      <c r="BHT1112" s="15"/>
      <c r="BHW1112" s="15"/>
      <c r="BHX1112" s="15"/>
      <c r="BIA1112" s="15"/>
      <c r="BIB1112" s="15"/>
      <c r="BIE1112" s="15"/>
      <c r="BIF1112" s="15"/>
      <c r="BII1112" s="15"/>
      <c r="BIJ1112" s="15"/>
      <c r="BIM1112" s="15"/>
      <c r="BIN1112" s="15"/>
      <c r="BIQ1112" s="15"/>
      <c r="BIR1112" s="15"/>
      <c r="BIU1112" s="15"/>
      <c r="BIV1112" s="15"/>
      <c r="BIY1112" s="15"/>
      <c r="BIZ1112" s="15"/>
      <c r="BJC1112" s="15"/>
      <c r="BJD1112" s="15"/>
      <c r="BJG1112" s="15"/>
      <c r="BJH1112" s="15"/>
      <c r="BJK1112" s="15"/>
      <c r="BJL1112" s="15"/>
      <c r="BJO1112" s="15"/>
      <c r="BJP1112" s="15"/>
      <c r="BJS1112" s="15"/>
      <c r="BJT1112" s="15"/>
      <c r="BJW1112" s="15"/>
      <c r="BJX1112" s="15"/>
      <c r="BKA1112" s="15"/>
      <c r="BKB1112" s="15"/>
      <c r="BKE1112" s="15"/>
      <c r="BKF1112" s="15"/>
      <c r="BKI1112" s="15"/>
      <c r="BKJ1112" s="15"/>
      <c r="BKM1112" s="15"/>
      <c r="BKN1112" s="15"/>
      <c r="BKQ1112" s="15"/>
      <c r="BKR1112" s="15"/>
      <c r="BKU1112" s="15"/>
      <c r="BKV1112" s="15"/>
      <c r="BKY1112" s="15"/>
      <c r="BKZ1112" s="15"/>
      <c r="BLC1112" s="15"/>
      <c r="BLD1112" s="15"/>
      <c r="BLG1112" s="15"/>
      <c r="BLH1112" s="15"/>
      <c r="BLK1112" s="15"/>
      <c r="BLL1112" s="15"/>
      <c r="BLO1112" s="15"/>
      <c r="BLP1112" s="15"/>
      <c r="BLS1112" s="15"/>
      <c r="BLT1112" s="15"/>
      <c r="BLW1112" s="15"/>
      <c r="BLX1112" s="15"/>
      <c r="BMA1112" s="15"/>
      <c r="BMB1112" s="15"/>
      <c r="BME1112" s="15"/>
      <c r="BMF1112" s="15"/>
      <c r="BMI1112" s="15"/>
      <c r="BMJ1112" s="15"/>
      <c r="BMM1112" s="15"/>
      <c r="BMN1112" s="15"/>
      <c r="BMQ1112" s="15"/>
      <c r="BMR1112" s="15"/>
      <c r="BMU1112" s="15"/>
      <c r="BMV1112" s="15"/>
      <c r="BMY1112" s="15"/>
      <c r="BMZ1112" s="15"/>
      <c r="BNC1112" s="15"/>
      <c r="BND1112" s="15"/>
      <c r="BNG1112" s="15"/>
      <c r="BNH1112" s="15"/>
      <c r="BNK1112" s="15"/>
      <c r="BNL1112" s="15"/>
      <c r="BNO1112" s="15"/>
      <c r="BNP1112" s="15"/>
      <c r="BNS1112" s="15"/>
      <c r="BNT1112" s="15"/>
      <c r="BNW1112" s="15"/>
      <c r="BNX1112" s="15"/>
      <c r="BOA1112" s="15"/>
      <c r="BOB1112" s="15"/>
      <c r="BOE1112" s="15"/>
      <c r="BOF1112" s="15"/>
      <c r="BOI1112" s="15"/>
      <c r="BOJ1112" s="15"/>
      <c r="BOM1112" s="15"/>
      <c r="BON1112" s="15"/>
      <c r="BOQ1112" s="15"/>
      <c r="BOR1112" s="15"/>
      <c r="BOU1112" s="15"/>
      <c r="BOV1112" s="15"/>
      <c r="BOY1112" s="15"/>
      <c r="BOZ1112" s="15"/>
      <c r="BPC1112" s="15"/>
      <c r="BPD1112" s="15"/>
      <c r="BPG1112" s="15"/>
      <c r="BPH1112" s="15"/>
      <c r="BPK1112" s="15"/>
      <c r="BPL1112" s="15"/>
      <c r="BPO1112" s="15"/>
      <c r="BPP1112" s="15"/>
      <c r="BPS1112" s="15"/>
      <c r="BPT1112" s="15"/>
      <c r="BPW1112" s="15"/>
      <c r="BPX1112" s="15"/>
      <c r="BQA1112" s="15"/>
      <c r="BQB1112" s="15"/>
      <c r="BQE1112" s="15"/>
      <c r="BQF1112" s="15"/>
      <c r="BQI1112" s="15"/>
      <c r="BQJ1112" s="15"/>
      <c r="BQM1112" s="15"/>
      <c r="BQN1112" s="15"/>
      <c r="BQQ1112" s="15"/>
      <c r="BQR1112" s="15"/>
      <c r="BQU1112" s="15"/>
      <c r="BQV1112" s="15"/>
      <c r="BQY1112" s="15"/>
      <c r="BQZ1112" s="15"/>
      <c r="BRC1112" s="15"/>
      <c r="BRD1112" s="15"/>
      <c r="BRG1112" s="15"/>
      <c r="BRH1112" s="15"/>
      <c r="BRK1112" s="15"/>
      <c r="BRL1112" s="15"/>
      <c r="BRO1112" s="15"/>
      <c r="BRP1112" s="15"/>
      <c r="BRS1112" s="15"/>
      <c r="BRT1112" s="15"/>
      <c r="BRW1112" s="15"/>
      <c r="BRX1112" s="15"/>
      <c r="BSA1112" s="15"/>
      <c r="BSB1112" s="15"/>
      <c r="BSE1112" s="15"/>
      <c r="BSF1112" s="15"/>
      <c r="BSI1112" s="15"/>
      <c r="BSJ1112" s="15"/>
      <c r="BSM1112" s="15"/>
      <c r="BSN1112" s="15"/>
      <c r="BSQ1112" s="15"/>
      <c r="BSR1112" s="15"/>
      <c r="BSU1112" s="15"/>
      <c r="BSV1112" s="15"/>
      <c r="BSY1112" s="15"/>
      <c r="BSZ1112" s="15"/>
      <c r="BTC1112" s="15"/>
      <c r="BTD1112" s="15"/>
      <c r="BTG1112" s="15"/>
      <c r="BTH1112" s="15"/>
      <c r="BTK1112" s="15"/>
      <c r="BTL1112" s="15"/>
      <c r="BTO1112" s="15"/>
      <c r="BTP1112" s="15"/>
      <c r="BTS1112" s="15"/>
      <c r="BTT1112" s="15"/>
      <c r="BTW1112" s="15"/>
      <c r="BTX1112" s="15"/>
      <c r="BUA1112" s="15"/>
      <c r="BUB1112" s="15"/>
      <c r="BUE1112" s="15"/>
      <c r="BUF1112" s="15"/>
      <c r="BUI1112" s="15"/>
      <c r="BUJ1112" s="15"/>
      <c r="BUM1112" s="15"/>
      <c r="BUN1112" s="15"/>
      <c r="BUQ1112" s="15"/>
      <c r="BUR1112" s="15"/>
      <c r="BUU1112" s="15"/>
      <c r="BUV1112" s="15"/>
      <c r="BUY1112" s="15"/>
      <c r="BUZ1112" s="15"/>
      <c r="BVC1112" s="15"/>
      <c r="BVD1112" s="15"/>
      <c r="BVG1112" s="15"/>
      <c r="BVH1112" s="15"/>
      <c r="BVK1112" s="15"/>
      <c r="BVL1112" s="15"/>
      <c r="BVO1112" s="15"/>
      <c r="BVP1112" s="15"/>
      <c r="BVS1112" s="15"/>
      <c r="BVT1112" s="15"/>
      <c r="BVW1112" s="15"/>
      <c r="BVX1112" s="15"/>
      <c r="BWA1112" s="15"/>
      <c r="BWB1112" s="15"/>
      <c r="BWE1112" s="15"/>
      <c r="BWF1112" s="15"/>
      <c r="BWI1112" s="15"/>
      <c r="BWJ1112" s="15"/>
      <c r="BWM1112" s="15"/>
      <c r="BWN1112" s="15"/>
      <c r="BWQ1112" s="15"/>
      <c r="BWR1112" s="15"/>
      <c r="BWU1112" s="15"/>
      <c r="BWV1112" s="15"/>
      <c r="BWY1112" s="15"/>
      <c r="BWZ1112" s="15"/>
      <c r="BXC1112" s="15"/>
      <c r="BXD1112" s="15"/>
      <c r="BXG1112" s="15"/>
      <c r="BXH1112" s="15"/>
      <c r="BXK1112" s="15"/>
      <c r="BXL1112" s="15"/>
      <c r="BXO1112" s="15"/>
      <c r="BXP1112" s="15"/>
      <c r="BXS1112" s="15"/>
      <c r="BXT1112" s="15"/>
      <c r="BXW1112" s="15"/>
      <c r="BXX1112" s="15"/>
      <c r="BYA1112" s="15"/>
      <c r="BYB1112" s="15"/>
      <c r="BYE1112" s="15"/>
      <c r="BYF1112" s="15"/>
      <c r="BYI1112" s="15"/>
      <c r="BYJ1112" s="15"/>
      <c r="BYM1112" s="15"/>
      <c r="BYN1112" s="15"/>
      <c r="BYQ1112" s="15"/>
      <c r="BYR1112" s="15"/>
      <c r="BYU1112" s="15"/>
      <c r="BYV1112" s="15"/>
      <c r="BYY1112" s="15"/>
      <c r="BYZ1112" s="15"/>
      <c r="BZC1112" s="15"/>
      <c r="BZD1112" s="15"/>
      <c r="BZG1112" s="15"/>
      <c r="BZH1112" s="15"/>
      <c r="BZK1112" s="15"/>
      <c r="BZL1112" s="15"/>
      <c r="BZO1112" s="15"/>
      <c r="BZP1112" s="15"/>
      <c r="BZS1112" s="15"/>
      <c r="BZT1112" s="15"/>
      <c r="BZW1112" s="15"/>
      <c r="BZX1112" s="15"/>
      <c r="CAA1112" s="15"/>
      <c r="CAB1112" s="15"/>
      <c r="CAE1112" s="15"/>
      <c r="CAF1112" s="15"/>
      <c r="CAI1112" s="15"/>
      <c r="CAJ1112" s="15"/>
      <c r="CAM1112" s="15"/>
      <c r="CAN1112" s="15"/>
      <c r="CAQ1112" s="15"/>
      <c r="CAR1112" s="15"/>
      <c r="CAU1112" s="15"/>
      <c r="CAV1112" s="15"/>
      <c r="CAY1112" s="15"/>
      <c r="CAZ1112" s="15"/>
      <c r="CBC1112" s="15"/>
      <c r="CBD1112" s="15"/>
      <c r="CBG1112" s="15"/>
      <c r="CBH1112" s="15"/>
      <c r="CBK1112" s="15"/>
      <c r="CBL1112" s="15"/>
      <c r="CBO1112" s="15"/>
      <c r="CBP1112" s="15"/>
      <c r="CBS1112" s="15"/>
      <c r="CBT1112" s="15"/>
      <c r="CBW1112" s="15"/>
      <c r="CBX1112" s="15"/>
      <c r="CCA1112" s="15"/>
      <c r="CCB1112" s="15"/>
      <c r="CCE1112" s="15"/>
      <c r="CCF1112" s="15"/>
      <c r="CCI1112" s="15"/>
      <c r="CCJ1112" s="15"/>
      <c r="CCM1112" s="15"/>
      <c r="CCN1112" s="15"/>
      <c r="CCQ1112" s="15"/>
      <c r="CCR1112" s="15"/>
      <c r="CCU1112" s="15"/>
      <c r="CCV1112" s="15"/>
      <c r="CCY1112" s="15"/>
      <c r="CCZ1112" s="15"/>
      <c r="CDC1112" s="15"/>
      <c r="CDD1112" s="15"/>
      <c r="CDG1112" s="15"/>
      <c r="CDH1112" s="15"/>
      <c r="CDK1112" s="15"/>
      <c r="CDL1112" s="15"/>
      <c r="CDO1112" s="15"/>
      <c r="CDP1112" s="15"/>
      <c r="CDS1112" s="15"/>
      <c r="CDT1112" s="15"/>
      <c r="CDW1112" s="15"/>
      <c r="CDX1112" s="15"/>
      <c r="CEA1112" s="15"/>
      <c r="CEB1112" s="15"/>
      <c r="CEE1112" s="15"/>
      <c r="CEF1112" s="15"/>
      <c r="CEI1112" s="15"/>
      <c r="CEJ1112" s="15"/>
      <c r="CEM1112" s="15"/>
      <c r="CEN1112" s="15"/>
      <c r="CEQ1112" s="15"/>
      <c r="CER1112" s="15"/>
      <c r="CEU1112" s="15"/>
      <c r="CEV1112" s="15"/>
      <c r="CEY1112" s="15"/>
      <c r="CEZ1112" s="15"/>
      <c r="CFC1112" s="15"/>
      <c r="CFD1112" s="15"/>
      <c r="CFG1112" s="15"/>
      <c r="CFH1112" s="15"/>
      <c r="CFK1112" s="15"/>
      <c r="CFL1112" s="15"/>
      <c r="CFO1112" s="15"/>
      <c r="CFP1112" s="15"/>
      <c r="CFS1112" s="15"/>
      <c r="CFT1112" s="15"/>
      <c r="CFW1112" s="15"/>
      <c r="CFX1112" s="15"/>
      <c r="CGA1112" s="15"/>
      <c r="CGB1112" s="15"/>
      <c r="CGE1112" s="15"/>
      <c r="CGF1112" s="15"/>
      <c r="CGI1112" s="15"/>
      <c r="CGJ1112" s="15"/>
      <c r="CGM1112" s="15"/>
      <c r="CGN1112" s="15"/>
      <c r="CGQ1112" s="15"/>
      <c r="CGR1112" s="15"/>
      <c r="CGU1112" s="15"/>
      <c r="CGV1112" s="15"/>
      <c r="CGY1112" s="15"/>
      <c r="CGZ1112" s="15"/>
      <c r="CHC1112" s="15"/>
      <c r="CHD1112" s="15"/>
      <c r="CHG1112" s="15"/>
      <c r="CHH1112" s="15"/>
      <c r="CHK1112" s="15"/>
      <c r="CHL1112" s="15"/>
      <c r="CHO1112" s="15"/>
      <c r="CHP1112" s="15"/>
      <c r="CHS1112" s="15"/>
      <c r="CHT1112" s="15"/>
      <c r="CHW1112" s="15"/>
      <c r="CHX1112" s="15"/>
      <c r="CIA1112" s="15"/>
      <c r="CIB1112" s="15"/>
      <c r="CIE1112" s="15"/>
      <c r="CIF1112" s="15"/>
      <c r="CII1112" s="15"/>
      <c r="CIJ1112" s="15"/>
      <c r="CIM1112" s="15"/>
      <c r="CIN1112" s="15"/>
      <c r="CIQ1112" s="15"/>
      <c r="CIR1112" s="15"/>
      <c r="CIU1112" s="15"/>
      <c r="CIV1112" s="15"/>
      <c r="CIY1112" s="15"/>
      <c r="CIZ1112" s="15"/>
      <c r="CJC1112" s="15"/>
      <c r="CJD1112" s="15"/>
      <c r="CJG1112" s="15"/>
      <c r="CJH1112" s="15"/>
      <c r="CJK1112" s="15"/>
      <c r="CJL1112" s="15"/>
      <c r="CJO1112" s="15"/>
      <c r="CJP1112" s="15"/>
      <c r="CJS1112" s="15"/>
      <c r="CJT1112" s="15"/>
      <c r="CJW1112" s="15"/>
      <c r="CJX1112" s="15"/>
      <c r="CKA1112" s="15"/>
      <c r="CKB1112" s="15"/>
      <c r="CKE1112" s="15"/>
      <c r="CKF1112" s="15"/>
      <c r="CKI1112" s="15"/>
      <c r="CKJ1112" s="15"/>
      <c r="CKM1112" s="15"/>
      <c r="CKN1112" s="15"/>
      <c r="CKQ1112" s="15"/>
      <c r="CKR1112" s="15"/>
      <c r="CKU1112" s="15"/>
      <c r="CKV1112" s="15"/>
      <c r="CKY1112" s="15"/>
      <c r="CKZ1112" s="15"/>
      <c r="CLC1112" s="15"/>
      <c r="CLD1112" s="15"/>
      <c r="CLG1112" s="15"/>
      <c r="CLH1112" s="15"/>
      <c r="CLK1112" s="15"/>
      <c r="CLL1112" s="15"/>
      <c r="CLO1112" s="15"/>
      <c r="CLP1112" s="15"/>
      <c r="CLS1112" s="15"/>
      <c r="CLT1112" s="15"/>
      <c r="CLW1112" s="15"/>
      <c r="CLX1112" s="15"/>
      <c r="CMA1112" s="15"/>
      <c r="CMB1112" s="15"/>
      <c r="CME1112" s="15"/>
      <c r="CMF1112" s="15"/>
      <c r="CMI1112" s="15"/>
      <c r="CMJ1112" s="15"/>
      <c r="CMM1112" s="15"/>
      <c r="CMN1112" s="15"/>
      <c r="CMQ1112" s="15"/>
      <c r="CMR1112" s="15"/>
      <c r="CMU1112" s="15"/>
      <c r="CMV1112" s="15"/>
      <c r="CMY1112" s="15"/>
      <c r="CMZ1112" s="15"/>
      <c r="CNC1112" s="15"/>
      <c r="CND1112" s="15"/>
      <c r="CNG1112" s="15"/>
      <c r="CNH1112" s="15"/>
      <c r="CNK1112" s="15"/>
      <c r="CNL1112" s="15"/>
      <c r="CNO1112" s="15"/>
      <c r="CNP1112" s="15"/>
      <c r="CNS1112" s="15"/>
      <c r="CNT1112" s="15"/>
      <c r="CNW1112" s="15"/>
      <c r="CNX1112" s="15"/>
      <c r="COA1112" s="15"/>
      <c r="COB1112" s="15"/>
      <c r="COE1112" s="15"/>
      <c r="COF1112" s="15"/>
      <c r="COI1112" s="15"/>
      <c r="COJ1112" s="15"/>
      <c r="COM1112" s="15"/>
      <c r="CON1112" s="15"/>
      <c r="COQ1112" s="15"/>
      <c r="COR1112" s="15"/>
      <c r="COU1112" s="15"/>
      <c r="COV1112" s="15"/>
      <c r="COY1112" s="15"/>
      <c r="COZ1112" s="15"/>
      <c r="CPC1112" s="15"/>
      <c r="CPD1112" s="15"/>
      <c r="CPG1112" s="15"/>
      <c r="CPH1112" s="15"/>
      <c r="CPK1112" s="15"/>
      <c r="CPL1112" s="15"/>
      <c r="CPO1112" s="15"/>
      <c r="CPP1112" s="15"/>
      <c r="CPS1112" s="15"/>
      <c r="CPT1112" s="15"/>
      <c r="CPW1112" s="15"/>
      <c r="CPX1112" s="15"/>
      <c r="CQA1112" s="15"/>
      <c r="CQB1112" s="15"/>
      <c r="CQE1112" s="15"/>
      <c r="CQF1112" s="15"/>
      <c r="CQI1112" s="15"/>
      <c r="CQJ1112" s="15"/>
      <c r="CQM1112" s="15"/>
      <c r="CQN1112" s="15"/>
      <c r="CQQ1112" s="15"/>
      <c r="CQR1112" s="15"/>
      <c r="CQU1112" s="15"/>
      <c r="CQV1112" s="15"/>
      <c r="CQY1112" s="15"/>
      <c r="CQZ1112" s="15"/>
      <c r="CRC1112" s="15"/>
      <c r="CRD1112" s="15"/>
      <c r="CRG1112" s="15"/>
      <c r="CRH1112" s="15"/>
      <c r="CRK1112" s="15"/>
      <c r="CRL1112" s="15"/>
      <c r="CRO1112" s="15"/>
      <c r="CRP1112" s="15"/>
      <c r="CRS1112" s="15"/>
      <c r="CRT1112" s="15"/>
      <c r="CRW1112" s="15"/>
      <c r="CRX1112" s="15"/>
      <c r="CSA1112" s="15"/>
      <c r="CSB1112" s="15"/>
      <c r="CSE1112" s="15"/>
      <c r="CSF1112" s="15"/>
      <c r="CSI1112" s="15"/>
      <c r="CSJ1112" s="15"/>
      <c r="CSM1112" s="15"/>
      <c r="CSN1112" s="15"/>
      <c r="CSQ1112" s="15"/>
      <c r="CSR1112" s="15"/>
      <c r="CSU1112" s="15"/>
      <c r="CSV1112" s="15"/>
      <c r="CSY1112" s="15"/>
      <c r="CSZ1112" s="15"/>
      <c r="CTC1112" s="15"/>
      <c r="CTD1112" s="15"/>
      <c r="CTG1112" s="15"/>
      <c r="CTH1112" s="15"/>
      <c r="CTK1112" s="15"/>
      <c r="CTL1112" s="15"/>
      <c r="CTO1112" s="15"/>
      <c r="CTP1112" s="15"/>
      <c r="CTS1112" s="15"/>
      <c r="CTT1112" s="15"/>
      <c r="CTW1112" s="15"/>
      <c r="CTX1112" s="15"/>
      <c r="CUA1112" s="15"/>
      <c r="CUB1112" s="15"/>
      <c r="CUE1112" s="15"/>
      <c r="CUF1112" s="15"/>
      <c r="CUI1112" s="15"/>
      <c r="CUJ1112" s="15"/>
      <c r="CUM1112" s="15"/>
      <c r="CUN1112" s="15"/>
      <c r="CUQ1112" s="15"/>
      <c r="CUR1112" s="15"/>
      <c r="CUU1112" s="15"/>
      <c r="CUV1112" s="15"/>
      <c r="CUY1112" s="15"/>
      <c r="CUZ1112" s="15"/>
      <c r="CVC1112" s="15"/>
      <c r="CVD1112" s="15"/>
      <c r="CVG1112" s="15"/>
      <c r="CVH1112" s="15"/>
      <c r="CVK1112" s="15"/>
      <c r="CVL1112" s="15"/>
      <c r="CVO1112" s="15"/>
      <c r="CVP1112" s="15"/>
      <c r="CVS1112" s="15"/>
      <c r="CVT1112" s="15"/>
      <c r="CVW1112" s="15"/>
      <c r="CVX1112" s="15"/>
      <c r="CWA1112" s="15"/>
      <c r="CWB1112" s="15"/>
      <c r="CWE1112" s="15"/>
      <c r="CWF1112" s="15"/>
      <c r="CWI1112" s="15"/>
      <c r="CWJ1112" s="15"/>
      <c r="CWM1112" s="15"/>
      <c r="CWN1112" s="15"/>
      <c r="CWQ1112" s="15"/>
      <c r="CWR1112" s="15"/>
      <c r="CWU1112" s="15"/>
      <c r="CWV1112" s="15"/>
      <c r="CWY1112" s="15"/>
      <c r="CWZ1112" s="15"/>
      <c r="CXC1112" s="15"/>
      <c r="CXD1112" s="15"/>
      <c r="CXG1112" s="15"/>
      <c r="CXH1112" s="15"/>
      <c r="CXK1112" s="15"/>
      <c r="CXL1112" s="15"/>
      <c r="CXO1112" s="15"/>
      <c r="CXP1112" s="15"/>
      <c r="CXS1112" s="15"/>
      <c r="CXT1112" s="15"/>
      <c r="CXW1112" s="15"/>
      <c r="CXX1112" s="15"/>
      <c r="CYA1112" s="15"/>
      <c r="CYB1112" s="15"/>
      <c r="CYE1112" s="15"/>
      <c r="CYF1112" s="15"/>
      <c r="CYI1112" s="15"/>
      <c r="CYJ1112" s="15"/>
      <c r="CYM1112" s="15"/>
      <c r="CYN1112" s="15"/>
      <c r="CYQ1112" s="15"/>
      <c r="CYR1112" s="15"/>
      <c r="CYU1112" s="15"/>
      <c r="CYV1112" s="15"/>
      <c r="CYY1112" s="15"/>
      <c r="CYZ1112" s="15"/>
      <c r="CZC1112" s="15"/>
      <c r="CZD1112" s="15"/>
      <c r="CZG1112" s="15"/>
      <c r="CZH1112" s="15"/>
      <c r="CZK1112" s="15"/>
      <c r="CZL1112" s="15"/>
      <c r="CZO1112" s="15"/>
      <c r="CZP1112" s="15"/>
      <c r="CZS1112" s="15"/>
      <c r="CZT1112" s="15"/>
      <c r="CZW1112" s="15"/>
      <c r="CZX1112" s="15"/>
      <c r="DAA1112" s="15"/>
      <c r="DAB1112" s="15"/>
      <c r="DAE1112" s="15"/>
      <c r="DAF1112" s="15"/>
      <c r="DAI1112" s="15"/>
      <c r="DAJ1112" s="15"/>
      <c r="DAM1112" s="15"/>
      <c r="DAN1112" s="15"/>
      <c r="DAQ1112" s="15"/>
      <c r="DAR1112" s="15"/>
      <c r="DAU1112" s="15"/>
      <c r="DAV1112" s="15"/>
      <c r="DAY1112" s="15"/>
      <c r="DAZ1112" s="15"/>
      <c r="DBC1112" s="15"/>
      <c r="DBD1112" s="15"/>
      <c r="DBG1112" s="15"/>
      <c r="DBH1112" s="15"/>
      <c r="DBK1112" s="15"/>
      <c r="DBL1112" s="15"/>
      <c r="DBO1112" s="15"/>
      <c r="DBP1112" s="15"/>
      <c r="DBS1112" s="15"/>
      <c r="DBT1112" s="15"/>
      <c r="DBW1112" s="15"/>
      <c r="DBX1112" s="15"/>
      <c r="DCA1112" s="15"/>
      <c r="DCB1112" s="15"/>
      <c r="DCE1112" s="15"/>
      <c r="DCF1112" s="15"/>
      <c r="DCI1112" s="15"/>
      <c r="DCJ1112" s="15"/>
      <c r="DCM1112" s="15"/>
      <c r="DCN1112" s="15"/>
      <c r="DCQ1112" s="15"/>
      <c r="DCR1112" s="15"/>
      <c r="DCU1112" s="15"/>
      <c r="DCV1112" s="15"/>
      <c r="DCY1112" s="15"/>
      <c r="DCZ1112" s="15"/>
      <c r="DDC1112" s="15"/>
      <c r="DDD1112" s="15"/>
      <c r="DDG1112" s="15"/>
      <c r="DDH1112" s="15"/>
      <c r="DDK1112" s="15"/>
      <c r="DDL1112" s="15"/>
      <c r="DDO1112" s="15"/>
      <c r="DDP1112" s="15"/>
      <c r="DDS1112" s="15"/>
      <c r="DDT1112" s="15"/>
      <c r="DDW1112" s="15"/>
      <c r="DDX1112" s="15"/>
      <c r="DEA1112" s="15"/>
      <c r="DEB1112" s="15"/>
      <c r="DEE1112" s="15"/>
      <c r="DEF1112" s="15"/>
      <c r="DEI1112" s="15"/>
      <c r="DEJ1112" s="15"/>
      <c r="DEM1112" s="15"/>
      <c r="DEN1112" s="15"/>
      <c r="DEQ1112" s="15"/>
      <c r="DER1112" s="15"/>
      <c r="DEU1112" s="15"/>
      <c r="DEV1112" s="15"/>
      <c r="DEY1112" s="15"/>
      <c r="DEZ1112" s="15"/>
      <c r="DFC1112" s="15"/>
      <c r="DFD1112" s="15"/>
      <c r="DFG1112" s="15"/>
      <c r="DFH1112" s="15"/>
      <c r="DFK1112" s="15"/>
      <c r="DFL1112" s="15"/>
      <c r="DFO1112" s="15"/>
      <c r="DFP1112" s="15"/>
      <c r="DFS1112" s="15"/>
      <c r="DFT1112" s="15"/>
      <c r="DFW1112" s="15"/>
      <c r="DFX1112" s="15"/>
      <c r="DGA1112" s="15"/>
      <c r="DGB1112" s="15"/>
      <c r="DGE1112" s="15"/>
      <c r="DGF1112" s="15"/>
      <c r="DGI1112" s="15"/>
      <c r="DGJ1112" s="15"/>
      <c r="DGM1112" s="15"/>
      <c r="DGN1112" s="15"/>
      <c r="DGQ1112" s="15"/>
      <c r="DGR1112" s="15"/>
      <c r="DGU1112" s="15"/>
      <c r="DGV1112" s="15"/>
      <c r="DGY1112" s="15"/>
      <c r="DGZ1112" s="15"/>
      <c r="DHC1112" s="15"/>
      <c r="DHD1112" s="15"/>
      <c r="DHG1112" s="15"/>
      <c r="DHH1112" s="15"/>
      <c r="DHK1112" s="15"/>
      <c r="DHL1112" s="15"/>
      <c r="DHO1112" s="15"/>
      <c r="DHP1112" s="15"/>
      <c r="DHS1112" s="15"/>
      <c r="DHT1112" s="15"/>
      <c r="DHW1112" s="15"/>
      <c r="DHX1112" s="15"/>
      <c r="DIA1112" s="15"/>
      <c r="DIB1112" s="15"/>
      <c r="DIE1112" s="15"/>
      <c r="DIF1112" s="15"/>
      <c r="DII1112" s="15"/>
      <c r="DIJ1112" s="15"/>
      <c r="DIM1112" s="15"/>
      <c r="DIN1112" s="15"/>
      <c r="DIQ1112" s="15"/>
      <c r="DIR1112" s="15"/>
      <c r="DIU1112" s="15"/>
      <c r="DIV1112" s="15"/>
      <c r="DIY1112" s="15"/>
      <c r="DIZ1112" s="15"/>
      <c r="DJC1112" s="15"/>
      <c r="DJD1112" s="15"/>
      <c r="DJG1112" s="15"/>
      <c r="DJH1112" s="15"/>
      <c r="DJK1112" s="15"/>
      <c r="DJL1112" s="15"/>
      <c r="DJO1112" s="15"/>
      <c r="DJP1112" s="15"/>
      <c r="DJS1112" s="15"/>
      <c r="DJT1112" s="15"/>
      <c r="DJW1112" s="15"/>
      <c r="DJX1112" s="15"/>
      <c r="DKA1112" s="15"/>
      <c r="DKB1112" s="15"/>
      <c r="DKE1112" s="15"/>
      <c r="DKF1112" s="15"/>
      <c r="DKI1112" s="15"/>
      <c r="DKJ1112" s="15"/>
      <c r="DKM1112" s="15"/>
      <c r="DKN1112" s="15"/>
      <c r="DKQ1112" s="15"/>
      <c r="DKR1112" s="15"/>
      <c r="DKU1112" s="15"/>
      <c r="DKV1112" s="15"/>
      <c r="DKY1112" s="15"/>
      <c r="DKZ1112" s="15"/>
      <c r="DLC1112" s="15"/>
      <c r="DLD1112" s="15"/>
      <c r="DLG1112" s="15"/>
      <c r="DLH1112" s="15"/>
      <c r="DLK1112" s="15"/>
      <c r="DLL1112" s="15"/>
      <c r="DLO1112" s="15"/>
      <c r="DLP1112" s="15"/>
      <c r="DLS1112" s="15"/>
      <c r="DLT1112" s="15"/>
      <c r="DLW1112" s="15"/>
      <c r="DLX1112" s="15"/>
      <c r="DMA1112" s="15"/>
      <c r="DMB1112" s="15"/>
      <c r="DME1112" s="15"/>
      <c r="DMF1112" s="15"/>
      <c r="DMI1112" s="15"/>
      <c r="DMJ1112" s="15"/>
      <c r="DMM1112" s="15"/>
      <c r="DMN1112" s="15"/>
      <c r="DMQ1112" s="15"/>
      <c r="DMR1112" s="15"/>
      <c r="DMU1112" s="15"/>
      <c r="DMV1112" s="15"/>
      <c r="DMY1112" s="15"/>
      <c r="DMZ1112" s="15"/>
      <c r="DNC1112" s="15"/>
      <c r="DND1112" s="15"/>
      <c r="DNG1112" s="15"/>
      <c r="DNH1112" s="15"/>
      <c r="DNK1112" s="15"/>
      <c r="DNL1112" s="15"/>
      <c r="DNO1112" s="15"/>
      <c r="DNP1112" s="15"/>
      <c r="DNS1112" s="15"/>
      <c r="DNT1112" s="15"/>
      <c r="DNW1112" s="15"/>
      <c r="DNX1112" s="15"/>
      <c r="DOA1112" s="15"/>
      <c r="DOB1112" s="15"/>
      <c r="DOE1112" s="15"/>
      <c r="DOF1112" s="15"/>
      <c r="DOI1112" s="15"/>
      <c r="DOJ1112" s="15"/>
      <c r="DOM1112" s="15"/>
      <c r="DON1112" s="15"/>
      <c r="DOQ1112" s="15"/>
      <c r="DOR1112" s="15"/>
      <c r="DOU1112" s="15"/>
      <c r="DOV1112" s="15"/>
      <c r="DOY1112" s="15"/>
      <c r="DOZ1112" s="15"/>
      <c r="DPC1112" s="15"/>
      <c r="DPD1112" s="15"/>
      <c r="DPG1112" s="15"/>
      <c r="DPH1112" s="15"/>
      <c r="DPK1112" s="15"/>
      <c r="DPL1112" s="15"/>
      <c r="DPO1112" s="15"/>
      <c r="DPP1112" s="15"/>
      <c r="DPS1112" s="15"/>
      <c r="DPT1112" s="15"/>
      <c r="DPW1112" s="15"/>
      <c r="DPX1112" s="15"/>
      <c r="DQA1112" s="15"/>
      <c r="DQB1112" s="15"/>
      <c r="DQE1112" s="15"/>
      <c r="DQF1112" s="15"/>
      <c r="DQI1112" s="15"/>
      <c r="DQJ1112" s="15"/>
      <c r="DQM1112" s="15"/>
      <c r="DQN1112" s="15"/>
      <c r="DQQ1112" s="15"/>
      <c r="DQR1112" s="15"/>
      <c r="DQU1112" s="15"/>
      <c r="DQV1112" s="15"/>
      <c r="DQY1112" s="15"/>
      <c r="DQZ1112" s="15"/>
      <c r="DRC1112" s="15"/>
      <c r="DRD1112" s="15"/>
      <c r="DRG1112" s="15"/>
      <c r="DRH1112" s="15"/>
      <c r="DRK1112" s="15"/>
      <c r="DRL1112" s="15"/>
      <c r="DRO1112" s="15"/>
      <c r="DRP1112" s="15"/>
      <c r="DRS1112" s="15"/>
      <c r="DRT1112" s="15"/>
      <c r="DRW1112" s="15"/>
      <c r="DRX1112" s="15"/>
      <c r="DSA1112" s="15"/>
      <c r="DSB1112" s="15"/>
      <c r="DSE1112" s="15"/>
      <c r="DSF1112" s="15"/>
      <c r="DSI1112" s="15"/>
      <c r="DSJ1112" s="15"/>
      <c r="DSM1112" s="15"/>
      <c r="DSN1112" s="15"/>
      <c r="DSQ1112" s="15"/>
      <c r="DSR1112" s="15"/>
      <c r="DSU1112" s="15"/>
      <c r="DSV1112" s="15"/>
      <c r="DSY1112" s="15"/>
      <c r="DSZ1112" s="15"/>
      <c r="DTC1112" s="15"/>
      <c r="DTD1112" s="15"/>
      <c r="DTG1112" s="15"/>
      <c r="DTH1112" s="15"/>
      <c r="DTK1112" s="15"/>
      <c r="DTL1112" s="15"/>
      <c r="DTO1112" s="15"/>
      <c r="DTP1112" s="15"/>
      <c r="DTS1112" s="15"/>
      <c r="DTT1112" s="15"/>
      <c r="DTW1112" s="15"/>
      <c r="DTX1112" s="15"/>
      <c r="DUA1112" s="15"/>
      <c r="DUB1112" s="15"/>
      <c r="DUE1112" s="15"/>
      <c r="DUF1112" s="15"/>
      <c r="DUI1112" s="15"/>
      <c r="DUJ1112" s="15"/>
      <c r="DUM1112" s="15"/>
      <c r="DUN1112" s="15"/>
      <c r="DUQ1112" s="15"/>
      <c r="DUR1112" s="15"/>
      <c r="DUU1112" s="15"/>
      <c r="DUV1112" s="15"/>
      <c r="DUY1112" s="15"/>
      <c r="DUZ1112" s="15"/>
      <c r="DVC1112" s="15"/>
      <c r="DVD1112" s="15"/>
      <c r="DVG1112" s="15"/>
      <c r="DVH1112" s="15"/>
      <c r="DVK1112" s="15"/>
      <c r="DVL1112" s="15"/>
      <c r="DVO1112" s="15"/>
      <c r="DVP1112" s="15"/>
      <c r="DVS1112" s="15"/>
      <c r="DVT1112" s="15"/>
      <c r="DVW1112" s="15"/>
      <c r="DVX1112" s="15"/>
      <c r="DWA1112" s="15"/>
      <c r="DWB1112" s="15"/>
      <c r="DWE1112" s="15"/>
      <c r="DWF1112" s="15"/>
      <c r="DWI1112" s="15"/>
      <c r="DWJ1112" s="15"/>
      <c r="DWM1112" s="15"/>
      <c r="DWN1112" s="15"/>
      <c r="DWQ1112" s="15"/>
      <c r="DWR1112" s="15"/>
      <c r="DWU1112" s="15"/>
      <c r="DWV1112" s="15"/>
      <c r="DWY1112" s="15"/>
      <c r="DWZ1112" s="15"/>
      <c r="DXC1112" s="15"/>
      <c r="DXD1112" s="15"/>
      <c r="DXG1112" s="15"/>
      <c r="DXH1112" s="15"/>
      <c r="DXK1112" s="15"/>
      <c r="DXL1112" s="15"/>
      <c r="DXO1112" s="15"/>
      <c r="DXP1112" s="15"/>
      <c r="DXS1112" s="15"/>
      <c r="DXT1112" s="15"/>
      <c r="DXW1112" s="15"/>
      <c r="DXX1112" s="15"/>
      <c r="DYA1112" s="15"/>
      <c r="DYB1112" s="15"/>
      <c r="DYE1112" s="15"/>
      <c r="DYF1112" s="15"/>
      <c r="DYI1112" s="15"/>
      <c r="DYJ1112" s="15"/>
      <c r="DYM1112" s="15"/>
      <c r="DYN1112" s="15"/>
      <c r="DYQ1112" s="15"/>
      <c r="DYR1112" s="15"/>
      <c r="DYU1112" s="15"/>
      <c r="DYV1112" s="15"/>
      <c r="DYY1112" s="15"/>
      <c r="DYZ1112" s="15"/>
      <c r="DZC1112" s="15"/>
      <c r="DZD1112" s="15"/>
      <c r="DZG1112" s="15"/>
      <c r="DZH1112" s="15"/>
      <c r="DZK1112" s="15"/>
      <c r="DZL1112" s="15"/>
      <c r="DZO1112" s="15"/>
      <c r="DZP1112" s="15"/>
      <c r="DZS1112" s="15"/>
      <c r="DZT1112" s="15"/>
      <c r="DZW1112" s="15"/>
      <c r="DZX1112" s="15"/>
      <c r="EAA1112" s="15"/>
      <c r="EAB1112" s="15"/>
      <c r="EAE1112" s="15"/>
      <c r="EAF1112" s="15"/>
      <c r="EAI1112" s="15"/>
      <c r="EAJ1112" s="15"/>
      <c r="EAM1112" s="15"/>
      <c r="EAN1112" s="15"/>
      <c r="EAQ1112" s="15"/>
      <c r="EAR1112" s="15"/>
      <c r="EAU1112" s="15"/>
      <c r="EAV1112" s="15"/>
      <c r="EAY1112" s="15"/>
      <c r="EAZ1112" s="15"/>
      <c r="EBC1112" s="15"/>
      <c r="EBD1112" s="15"/>
      <c r="EBG1112" s="15"/>
      <c r="EBH1112" s="15"/>
      <c r="EBK1112" s="15"/>
      <c r="EBL1112" s="15"/>
      <c r="EBO1112" s="15"/>
      <c r="EBP1112" s="15"/>
      <c r="EBS1112" s="15"/>
      <c r="EBT1112" s="15"/>
      <c r="EBW1112" s="15"/>
      <c r="EBX1112" s="15"/>
      <c r="ECA1112" s="15"/>
      <c r="ECB1112" s="15"/>
      <c r="ECE1112" s="15"/>
      <c r="ECF1112" s="15"/>
      <c r="ECI1112" s="15"/>
      <c r="ECJ1112" s="15"/>
      <c r="ECM1112" s="15"/>
      <c r="ECN1112" s="15"/>
      <c r="ECQ1112" s="15"/>
      <c r="ECR1112" s="15"/>
      <c r="ECU1112" s="15"/>
      <c r="ECV1112" s="15"/>
      <c r="ECY1112" s="15"/>
      <c r="ECZ1112" s="15"/>
      <c r="EDC1112" s="15"/>
      <c r="EDD1112" s="15"/>
      <c r="EDG1112" s="15"/>
      <c r="EDH1112" s="15"/>
      <c r="EDK1112" s="15"/>
      <c r="EDL1112" s="15"/>
      <c r="EDO1112" s="15"/>
      <c r="EDP1112" s="15"/>
      <c r="EDS1112" s="15"/>
      <c r="EDT1112" s="15"/>
      <c r="EDW1112" s="15"/>
      <c r="EDX1112" s="15"/>
      <c r="EEA1112" s="15"/>
      <c r="EEB1112" s="15"/>
      <c r="EEE1112" s="15"/>
      <c r="EEF1112" s="15"/>
      <c r="EEI1112" s="15"/>
      <c r="EEJ1112" s="15"/>
      <c r="EEM1112" s="15"/>
      <c r="EEN1112" s="15"/>
      <c r="EEQ1112" s="15"/>
      <c r="EER1112" s="15"/>
      <c r="EEU1112" s="15"/>
      <c r="EEV1112" s="15"/>
      <c r="EEY1112" s="15"/>
      <c r="EEZ1112" s="15"/>
      <c r="EFC1112" s="15"/>
      <c r="EFD1112" s="15"/>
      <c r="EFG1112" s="15"/>
      <c r="EFH1112" s="15"/>
      <c r="EFK1112" s="15"/>
      <c r="EFL1112" s="15"/>
      <c r="EFO1112" s="15"/>
      <c r="EFP1112" s="15"/>
      <c r="EFS1112" s="15"/>
      <c r="EFT1112" s="15"/>
      <c r="EFW1112" s="15"/>
      <c r="EFX1112" s="15"/>
      <c r="EGA1112" s="15"/>
      <c r="EGB1112" s="15"/>
      <c r="EGE1112" s="15"/>
      <c r="EGF1112" s="15"/>
      <c r="EGI1112" s="15"/>
      <c r="EGJ1112" s="15"/>
      <c r="EGM1112" s="15"/>
      <c r="EGN1112" s="15"/>
      <c r="EGQ1112" s="15"/>
      <c r="EGR1112" s="15"/>
      <c r="EGU1112" s="15"/>
      <c r="EGV1112" s="15"/>
      <c r="EGY1112" s="15"/>
      <c r="EGZ1112" s="15"/>
      <c r="EHC1112" s="15"/>
      <c r="EHD1112" s="15"/>
      <c r="EHG1112" s="15"/>
      <c r="EHH1112" s="15"/>
      <c r="EHK1112" s="15"/>
      <c r="EHL1112" s="15"/>
      <c r="EHO1112" s="15"/>
      <c r="EHP1112" s="15"/>
      <c r="EHS1112" s="15"/>
      <c r="EHT1112" s="15"/>
      <c r="EHW1112" s="15"/>
      <c r="EHX1112" s="15"/>
      <c r="EIA1112" s="15"/>
      <c r="EIB1112" s="15"/>
      <c r="EIE1112" s="15"/>
      <c r="EIF1112" s="15"/>
      <c r="EII1112" s="15"/>
      <c r="EIJ1112" s="15"/>
      <c r="EIM1112" s="15"/>
      <c r="EIN1112" s="15"/>
      <c r="EIQ1112" s="15"/>
      <c r="EIR1112" s="15"/>
      <c r="EIU1112" s="15"/>
      <c r="EIV1112" s="15"/>
      <c r="EIY1112" s="15"/>
      <c r="EIZ1112" s="15"/>
      <c r="EJC1112" s="15"/>
      <c r="EJD1112" s="15"/>
      <c r="EJG1112" s="15"/>
      <c r="EJH1112" s="15"/>
      <c r="EJK1112" s="15"/>
      <c r="EJL1112" s="15"/>
      <c r="EJO1112" s="15"/>
      <c r="EJP1112" s="15"/>
      <c r="EJS1112" s="15"/>
      <c r="EJT1112" s="15"/>
      <c r="EJW1112" s="15"/>
      <c r="EJX1112" s="15"/>
      <c r="EKA1112" s="15"/>
      <c r="EKB1112" s="15"/>
      <c r="EKE1112" s="15"/>
      <c r="EKF1112" s="15"/>
      <c r="EKI1112" s="15"/>
      <c r="EKJ1112" s="15"/>
      <c r="EKM1112" s="15"/>
      <c r="EKN1112" s="15"/>
      <c r="EKQ1112" s="15"/>
      <c r="EKR1112" s="15"/>
      <c r="EKU1112" s="15"/>
      <c r="EKV1112" s="15"/>
      <c r="EKY1112" s="15"/>
      <c r="EKZ1112" s="15"/>
      <c r="ELC1112" s="15"/>
      <c r="ELD1112" s="15"/>
      <c r="ELG1112" s="15"/>
      <c r="ELH1112" s="15"/>
      <c r="ELK1112" s="15"/>
      <c r="ELL1112" s="15"/>
      <c r="ELO1112" s="15"/>
      <c r="ELP1112" s="15"/>
      <c r="ELS1112" s="15"/>
      <c r="ELT1112" s="15"/>
      <c r="ELW1112" s="15"/>
      <c r="ELX1112" s="15"/>
      <c r="EMA1112" s="15"/>
      <c r="EMB1112" s="15"/>
      <c r="EME1112" s="15"/>
      <c r="EMF1112" s="15"/>
      <c r="EMI1112" s="15"/>
      <c r="EMJ1112" s="15"/>
      <c r="EMM1112" s="15"/>
      <c r="EMN1112" s="15"/>
      <c r="EMQ1112" s="15"/>
      <c r="EMR1112" s="15"/>
      <c r="EMU1112" s="15"/>
      <c r="EMV1112" s="15"/>
      <c r="EMY1112" s="15"/>
      <c r="EMZ1112" s="15"/>
      <c r="ENC1112" s="15"/>
      <c r="END1112" s="15"/>
      <c r="ENG1112" s="15"/>
      <c r="ENH1112" s="15"/>
      <c r="ENK1112" s="15"/>
      <c r="ENL1112" s="15"/>
      <c r="ENO1112" s="15"/>
      <c r="ENP1112" s="15"/>
      <c r="ENS1112" s="15"/>
      <c r="ENT1112" s="15"/>
      <c r="ENW1112" s="15"/>
      <c r="ENX1112" s="15"/>
      <c r="EOA1112" s="15"/>
      <c r="EOB1112" s="15"/>
      <c r="EOE1112" s="15"/>
      <c r="EOF1112" s="15"/>
      <c r="EOI1112" s="15"/>
      <c r="EOJ1112" s="15"/>
      <c r="EOM1112" s="15"/>
      <c r="EON1112" s="15"/>
      <c r="EOQ1112" s="15"/>
      <c r="EOR1112" s="15"/>
      <c r="EOU1112" s="15"/>
      <c r="EOV1112" s="15"/>
      <c r="EOY1112" s="15"/>
      <c r="EOZ1112" s="15"/>
      <c r="EPC1112" s="15"/>
      <c r="EPD1112" s="15"/>
      <c r="EPG1112" s="15"/>
      <c r="EPH1112" s="15"/>
      <c r="EPK1112" s="15"/>
      <c r="EPL1112" s="15"/>
      <c r="EPO1112" s="15"/>
      <c r="EPP1112" s="15"/>
      <c r="EPS1112" s="15"/>
      <c r="EPT1112" s="15"/>
      <c r="EPW1112" s="15"/>
      <c r="EPX1112" s="15"/>
      <c r="EQA1112" s="15"/>
      <c r="EQB1112" s="15"/>
      <c r="EQE1112" s="15"/>
      <c r="EQF1112" s="15"/>
      <c r="EQI1112" s="15"/>
      <c r="EQJ1112" s="15"/>
      <c r="EQM1112" s="15"/>
      <c r="EQN1112" s="15"/>
      <c r="EQQ1112" s="15"/>
      <c r="EQR1112" s="15"/>
      <c r="EQU1112" s="15"/>
      <c r="EQV1112" s="15"/>
      <c r="EQY1112" s="15"/>
      <c r="EQZ1112" s="15"/>
      <c r="ERC1112" s="15"/>
      <c r="ERD1112" s="15"/>
      <c r="ERG1112" s="15"/>
      <c r="ERH1112" s="15"/>
      <c r="ERK1112" s="15"/>
      <c r="ERL1112" s="15"/>
      <c r="ERO1112" s="15"/>
      <c r="ERP1112" s="15"/>
      <c r="ERS1112" s="15"/>
      <c r="ERT1112" s="15"/>
      <c r="ERW1112" s="15"/>
      <c r="ERX1112" s="15"/>
      <c r="ESA1112" s="15"/>
      <c r="ESB1112" s="15"/>
      <c r="ESE1112" s="15"/>
      <c r="ESF1112" s="15"/>
      <c r="ESI1112" s="15"/>
      <c r="ESJ1112" s="15"/>
      <c r="ESM1112" s="15"/>
      <c r="ESN1112" s="15"/>
      <c r="ESQ1112" s="15"/>
      <c r="ESR1112" s="15"/>
      <c r="ESU1112" s="15"/>
      <c r="ESV1112" s="15"/>
      <c r="ESY1112" s="15"/>
      <c r="ESZ1112" s="15"/>
      <c r="ETC1112" s="15"/>
      <c r="ETD1112" s="15"/>
      <c r="ETG1112" s="15"/>
      <c r="ETH1112" s="15"/>
      <c r="ETK1112" s="15"/>
      <c r="ETL1112" s="15"/>
      <c r="ETO1112" s="15"/>
      <c r="ETP1112" s="15"/>
      <c r="ETS1112" s="15"/>
      <c r="ETT1112" s="15"/>
      <c r="ETW1112" s="15"/>
      <c r="ETX1112" s="15"/>
      <c r="EUA1112" s="15"/>
      <c r="EUB1112" s="15"/>
      <c r="EUE1112" s="15"/>
      <c r="EUF1112" s="15"/>
      <c r="EUI1112" s="15"/>
      <c r="EUJ1112" s="15"/>
      <c r="EUM1112" s="15"/>
      <c r="EUN1112" s="15"/>
      <c r="EUQ1112" s="15"/>
      <c r="EUR1112" s="15"/>
      <c r="EUU1112" s="15"/>
      <c r="EUV1112" s="15"/>
      <c r="EUY1112" s="15"/>
      <c r="EUZ1112" s="15"/>
      <c r="EVC1112" s="15"/>
      <c r="EVD1112" s="15"/>
      <c r="EVG1112" s="15"/>
      <c r="EVH1112" s="15"/>
      <c r="EVK1112" s="15"/>
      <c r="EVL1112" s="15"/>
      <c r="EVO1112" s="15"/>
      <c r="EVP1112" s="15"/>
      <c r="EVS1112" s="15"/>
      <c r="EVT1112" s="15"/>
      <c r="EVW1112" s="15"/>
      <c r="EVX1112" s="15"/>
      <c r="EWA1112" s="15"/>
      <c r="EWB1112" s="15"/>
      <c r="EWE1112" s="15"/>
      <c r="EWF1112" s="15"/>
      <c r="EWI1112" s="15"/>
      <c r="EWJ1112" s="15"/>
      <c r="EWM1112" s="15"/>
      <c r="EWN1112" s="15"/>
      <c r="EWQ1112" s="15"/>
      <c r="EWR1112" s="15"/>
      <c r="EWU1112" s="15"/>
      <c r="EWV1112" s="15"/>
      <c r="EWY1112" s="15"/>
      <c r="EWZ1112" s="15"/>
      <c r="EXC1112" s="15"/>
      <c r="EXD1112" s="15"/>
      <c r="EXG1112" s="15"/>
      <c r="EXH1112" s="15"/>
      <c r="EXK1112" s="15"/>
      <c r="EXL1112" s="15"/>
      <c r="EXO1112" s="15"/>
      <c r="EXP1112" s="15"/>
      <c r="EXS1112" s="15"/>
      <c r="EXT1112" s="15"/>
      <c r="EXW1112" s="15"/>
      <c r="EXX1112" s="15"/>
      <c r="EYA1112" s="15"/>
      <c r="EYB1112" s="15"/>
      <c r="EYE1112" s="15"/>
      <c r="EYF1112" s="15"/>
      <c r="EYI1112" s="15"/>
      <c r="EYJ1112" s="15"/>
      <c r="EYM1112" s="15"/>
      <c r="EYN1112" s="15"/>
      <c r="EYQ1112" s="15"/>
      <c r="EYR1112" s="15"/>
      <c r="EYU1112" s="15"/>
      <c r="EYV1112" s="15"/>
      <c r="EYY1112" s="15"/>
      <c r="EYZ1112" s="15"/>
      <c r="EZC1112" s="15"/>
      <c r="EZD1112" s="15"/>
      <c r="EZG1112" s="15"/>
      <c r="EZH1112" s="15"/>
      <c r="EZK1112" s="15"/>
      <c r="EZL1112" s="15"/>
      <c r="EZO1112" s="15"/>
      <c r="EZP1112" s="15"/>
      <c r="EZS1112" s="15"/>
      <c r="EZT1112" s="15"/>
      <c r="EZW1112" s="15"/>
      <c r="EZX1112" s="15"/>
      <c r="FAA1112" s="15"/>
      <c r="FAB1112" s="15"/>
      <c r="FAE1112" s="15"/>
      <c r="FAF1112" s="15"/>
      <c r="FAI1112" s="15"/>
      <c r="FAJ1112" s="15"/>
      <c r="FAM1112" s="15"/>
      <c r="FAN1112" s="15"/>
      <c r="FAQ1112" s="15"/>
      <c r="FAR1112" s="15"/>
      <c r="FAU1112" s="15"/>
      <c r="FAV1112" s="15"/>
      <c r="FAY1112" s="15"/>
      <c r="FAZ1112" s="15"/>
      <c r="FBC1112" s="15"/>
      <c r="FBD1112" s="15"/>
      <c r="FBG1112" s="15"/>
      <c r="FBH1112" s="15"/>
      <c r="FBK1112" s="15"/>
      <c r="FBL1112" s="15"/>
      <c r="FBO1112" s="15"/>
      <c r="FBP1112" s="15"/>
      <c r="FBS1112" s="15"/>
      <c r="FBT1112" s="15"/>
      <c r="FBW1112" s="15"/>
      <c r="FBX1112" s="15"/>
      <c r="FCA1112" s="15"/>
      <c r="FCB1112" s="15"/>
      <c r="FCE1112" s="15"/>
      <c r="FCF1112" s="15"/>
      <c r="FCI1112" s="15"/>
      <c r="FCJ1112" s="15"/>
      <c r="FCM1112" s="15"/>
      <c r="FCN1112" s="15"/>
      <c r="FCQ1112" s="15"/>
      <c r="FCR1112" s="15"/>
      <c r="FCU1112" s="15"/>
      <c r="FCV1112" s="15"/>
      <c r="FCY1112" s="15"/>
      <c r="FCZ1112" s="15"/>
      <c r="FDC1112" s="15"/>
      <c r="FDD1112" s="15"/>
      <c r="FDG1112" s="15"/>
      <c r="FDH1112" s="15"/>
      <c r="FDK1112" s="15"/>
      <c r="FDL1112" s="15"/>
      <c r="FDO1112" s="15"/>
      <c r="FDP1112" s="15"/>
      <c r="FDS1112" s="15"/>
      <c r="FDT1112" s="15"/>
      <c r="FDW1112" s="15"/>
      <c r="FDX1112" s="15"/>
      <c r="FEA1112" s="15"/>
      <c r="FEB1112" s="15"/>
      <c r="FEE1112" s="15"/>
      <c r="FEF1112" s="15"/>
      <c r="FEI1112" s="15"/>
      <c r="FEJ1112" s="15"/>
      <c r="FEM1112" s="15"/>
      <c r="FEN1112" s="15"/>
      <c r="FEQ1112" s="15"/>
      <c r="FER1112" s="15"/>
      <c r="FEU1112" s="15"/>
      <c r="FEV1112" s="15"/>
      <c r="FEY1112" s="15"/>
      <c r="FEZ1112" s="15"/>
      <c r="FFC1112" s="15"/>
      <c r="FFD1112" s="15"/>
      <c r="FFG1112" s="15"/>
      <c r="FFH1112" s="15"/>
      <c r="FFK1112" s="15"/>
      <c r="FFL1112" s="15"/>
      <c r="FFO1112" s="15"/>
      <c r="FFP1112" s="15"/>
      <c r="FFS1112" s="15"/>
      <c r="FFT1112" s="15"/>
      <c r="FFW1112" s="15"/>
      <c r="FFX1112" s="15"/>
      <c r="FGA1112" s="15"/>
      <c r="FGB1112" s="15"/>
      <c r="FGE1112" s="15"/>
      <c r="FGF1112" s="15"/>
      <c r="FGI1112" s="15"/>
      <c r="FGJ1112" s="15"/>
      <c r="FGM1112" s="15"/>
      <c r="FGN1112" s="15"/>
      <c r="FGQ1112" s="15"/>
      <c r="FGR1112" s="15"/>
      <c r="FGU1112" s="15"/>
      <c r="FGV1112" s="15"/>
      <c r="FGY1112" s="15"/>
      <c r="FGZ1112" s="15"/>
      <c r="FHC1112" s="15"/>
      <c r="FHD1112" s="15"/>
      <c r="FHG1112" s="15"/>
      <c r="FHH1112" s="15"/>
      <c r="FHK1112" s="15"/>
      <c r="FHL1112" s="15"/>
      <c r="FHO1112" s="15"/>
      <c r="FHP1112" s="15"/>
      <c r="FHS1112" s="15"/>
      <c r="FHT1112" s="15"/>
      <c r="FHW1112" s="15"/>
      <c r="FHX1112" s="15"/>
      <c r="FIA1112" s="15"/>
      <c r="FIB1112" s="15"/>
      <c r="FIE1112" s="15"/>
      <c r="FIF1112" s="15"/>
      <c r="FII1112" s="15"/>
      <c r="FIJ1112" s="15"/>
      <c r="FIM1112" s="15"/>
      <c r="FIN1112" s="15"/>
      <c r="FIQ1112" s="15"/>
      <c r="FIR1112" s="15"/>
      <c r="FIU1112" s="15"/>
      <c r="FIV1112" s="15"/>
      <c r="FIY1112" s="15"/>
      <c r="FIZ1112" s="15"/>
      <c r="FJC1112" s="15"/>
      <c r="FJD1112" s="15"/>
      <c r="FJG1112" s="15"/>
      <c r="FJH1112" s="15"/>
      <c r="FJK1112" s="15"/>
      <c r="FJL1112" s="15"/>
      <c r="FJO1112" s="15"/>
      <c r="FJP1112" s="15"/>
      <c r="FJS1112" s="15"/>
      <c r="FJT1112" s="15"/>
      <c r="FJW1112" s="15"/>
      <c r="FJX1112" s="15"/>
      <c r="FKA1112" s="15"/>
      <c r="FKB1112" s="15"/>
      <c r="FKE1112" s="15"/>
      <c r="FKF1112" s="15"/>
      <c r="FKI1112" s="15"/>
      <c r="FKJ1112" s="15"/>
      <c r="FKM1112" s="15"/>
      <c r="FKN1112" s="15"/>
      <c r="FKQ1112" s="15"/>
      <c r="FKR1112" s="15"/>
      <c r="FKU1112" s="15"/>
      <c r="FKV1112" s="15"/>
      <c r="FKY1112" s="15"/>
      <c r="FKZ1112" s="15"/>
      <c r="FLC1112" s="15"/>
      <c r="FLD1112" s="15"/>
      <c r="FLG1112" s="15"/>
      <c r="FLH1112" s="15"/>
      <c r="FLK1112" s="15"/>
      <c r="FLL1112" s="15"/>
      <c r="FLO1112" s="15"/>
      <c r="FLP1112" s="15"/>
      <c r="FLS1112" s="15"/>
      <c r="FLT1112" s="15"/>
      <c r="FLW1112" s="15"/>
      <c r="FLX1112" s="15"/>
      <c r="FMA1112" s="15"/>
      <c r="FMB1112" s="15"/>
      <c r="FME1112" s="15"/>
      <c r="FMF1112" s="15"/>
      <c r="FMI1112" s="15"/>
      <c r="FMJ1112" s="15"/>
      <c r="FMM1112" s="15"/>
      <c r="FMN1112" s="15"/>
      <c r="FMQ1112" s="15"/>
      <c r="FMR1112" s="15"/>
      <c r="FMU1112" s="15"/>
      <c r="FMV1112" s="15"/>
      <c r="FMY1112" s="15"/>
      <c r="FMZ1112" s="15"/>
      <c r="FNC1112" s="15"/>
      <c r="FND1112" s="15"/>
      <c r="FNG1112" s="15"/>
      <c r="FNH1112" s="15"/>
      <c r="FNK1112" s="15"/>
      <c r="FNL1112" s="15"/>
      <c r="FNO1112" s="15"/>
      <c r="FNP1112" s="15"/>
      <c r="FNS1112" s="15"/>
      <c r="FNT1112" s="15"/>
      <c r="FNW1112" s="15"/>
      <c r="FNX1112" s="15"/>
      <c r="FOA1112" s="15"/>
      <c r="FOB1112" s="15"/>
      <c r="FOE1112" s="15"/>
      <c r="FOF1112" s="15"/>
      <c r="FOI1112" s="15"/>
      <c r="FOJ1112" s="15"/>
      <c r="FOM1112" s="15"/>
      <c r="FON1112" s="15"/>
      <c r="FOQ1112" s="15"/>
      <c r="FOR1112" s="15"/>
      <c r="FOU1112" s="15"/>
      <c r="FOV1112" s="15"/>
      <c r="FOY1112" s="15"/>
      <c r="FOZ1112" s="15"/>
      <c r="FPC1112" s="15"/>
      <c r="FPD1112" s="15"/>
      <c r="FPG1112" s="15"/>
      <c r="FPH1112" s="15"/>
      <c r="FPK1112" s="15"/>
      <c r="FPL1112" s="15"/>
      <c r="FPO1112" s="15"/>
      <c r="FPP1112" s="15"/>
      <c r="FPS1112" s="15"/>
      <c r="FPT1112" s="15"/>
      <c r="FPW1112" s="15"/>
      <c r="FPX1112" s="15"/>
      <c r="FQA1112" s="15"/>
      <c r="FQB1112" s="15"/>
      <c r="FQE1112" s="15"/>
      <c r="FQF1112" s="15"/>
      <c r="FQI1112" s="15"/>
      <c r="FQJ1112" s="15"/>
      <c r="FQM1112" s="15"/>
      <c r="FQN1112" s="15"/>
      <c r="FQQ1112" s="15"/>
      <c r="FQR1112" s="15"/>
      <c r="FQU1112" s="15"/>
      <c r="FQV1112" s="15"/>
      <c r="FQY1112" s="15"/>
      <c r="FQZ1112" s="15"/>
      <c r="FRC1112" s="15"/>
      <c r="FRD1112" s="15"/>
      <c r="FRG1112" s="15"/>
      <c r="FRH1112" s="15"/>
      <c r="FRK1112" s="15"/>
      <c r="FRL1112" s="15"/>
      <c r="FRO1112" s="15"/>
      <c r="FRP1112" s="15"/>
      <c r="FRS1112" s="15"/>
      <c r="FRT1112" s="15"/>
      <c r="FRW1112" s="15"/>
      <c r="FRX1112" s="15"/>
      <c r="FSA1112" s="15"/>
      <c r="FSB1112" s="15"/>
      <c r="FSE1112" s="15"/>
      <c r="FSF1112" s="15"/>
      <c r="FSI1112" s="15"/>
      <c r="FSJ1112" s="15"/>
      <c r="FSM1112" s="15"/>
      <c r="FSN1112" s="15"/>
      <c r="FSQ1112" s="15"/>
      <c r="FSR1112" s="15"/>
      <c r="FSU1112" s="15"/>
      <c r="FSV1112" s="15"/>
      <c r="FSY1112" s="15"/>
      <c r="FSZ1112" s="15"/>
      <c r="FTC1112" s="15"/>
      <c r="FTD1112" s="15"/>
      <c r="FTG1112" s="15"/>
      <c r="FTH1112" s="15"/>
      <c r="FTK1112" s="15"/>
      <c r="FTL1112" s="15"/>
      <c r="FTO1112" s="15"/>
      <c r="FTP1112" s="15"/>
      <c r="FTS1112" s="15"/>
      <c r="FTT1112" s="15"/>
      <c r="FTW1112" s="15"/>
      <c r="FTX1112" s="15"/>
      <c r="FUA1112" s="15"/>
      <c r="FUB1112" s="15"/>
      <c r="FUE1112" s="15"/>
      <c r="FUF1112" s="15"/>
      <c r="FUI1112" s="15"/>
      <c r="FUJ1112" s="15"/>
      <c r="FUM1112" s="15"/>
      <c r="FUN1112" s="15"/>
      <c r="FUQ1112" s="15"/>
      <c r="FUR1112" s="15"/>
      <c r="FUU1112" s="15"/>
      <c r="FUV1112" s="15"/>
      <c r="FUY1112" s="15"/>
      <c r="FUZ1112" s="15"/>
      <c r="FVC1112" s="15"/>
      <c r="FVD1112" s="15"/>
      <c r="FVG1112" s="15"/>
      <c r="FVH1112" s="15"/>
      <c r="FVK1112" s="15"/>
      <c r="FVL1112" s="15"/>
      <c r="FVO1112" s="15"/>
      <c r="FVP1112" s="15"/>
      <c r="FVS1112" s="15"/>
      <c r="FVT1112" s="15"/>
      <c r="FVW1112" s="15"/>
      <c r="FVX1112" s="15"/>
      <c r="FWA1112" s="15"/>
      <c r="FWB1112" s="15"/>
      <c r="FWE1112" s="15"/>
      <c r="FWF1112" s="15"/>
      <c r="FWI1112" s="15"/>
      <c r="FWJ1112" s="15"/>
      <c r="FWM1112" s="15"/>
      <c r="FWN1112" s="15"/>
      <c r="FWQ1112" s="15"/>
      <c r="FWR1112" s="15"/>
      <c r="FWU1112" s="15"/>
      <c r="FWV1112" s="15"/>
      <c r="FWY1112" s="15"/>
      <c r="FWZ1112" s="15"/>
      <c r="FXC1112" s="15"/>
      <c r="FXD1112" s="15"/>
      <c r="FXG1112" s="15"/>
      <c r="FXH1112" s="15"/>
      <c r="FXK1112" s="15"/>
      <c r="FXL1112" s="15"/>
      <c r="FXO1112" s="15"/>
      <c r="FXP1112" s="15"/>
      <c r="FXS1112" s="15"/>
      <c r="FXT1112" s="15"/>
      <c r="FXW1112" s="15"/>
      <c r="FXX1112" s="15"/>
      <c r="FYA1112" s="15"/>
      <c r="FYB1112" s="15"/>
      <c r="FYE1112" s="15"/>
      <c r="FYF1112" s="15"/>
      <c r="FYI1112" s="15"/>
      <c r="FYJ1112" s="15"/>
      <c r="FYM1112" s="15"/>
      <c r="FYN1112" s="15"/>
      <c r="FYQ1112" s="15"/>
      <c r="FYR1112" s="15"/>
      <c r="FYU1112" s="15"/>
      <c r="FYV1112" s="15"/>
      <c r="FYY1112" s="15"/>
      <c r="FYZ1112" s="15"/>
      <c r="FZC1112" s="15"/>
      <c r="FZD1112" s="15"/>
      <c r="FZG1112" s="15"/>
      <c r="FZH1112" s="15"/>
      <c r="FZK1112" s="15"/>
      <c r="FZL1112" s="15"/>
      <c r="FZO1112" s="15"/>
      <c r="FZP1112" s="15"/>
      <c r="FZS1112" s="15"/>
      <c r="FZT1112" s="15"/>
      <c r="FZW1112" s="15"/>
      <c r="FZX1112" s="15"/>
      <c r="GAA1112" s="15"/>
      <c r="GAB1112" s="15"/>
      <c r="GAE1112" s="15"/>
      <c r="GAF1112" s="15"/>
      <c r="GAI1112" s="15"/>
      <c r="GAJ1112" s="15"/>
      <c r="GAM1112" s="15"/>
      <c r="GAN1112" s="15"/>
      <c r="GAQ1112" s="15"/>
      <c r="GAR1112" s="15"/>
      <c r="GAU1112" s="15"/>
      <c r="GAV1112" s="15"/>
      <c r="GAY1112" s="15"/>
      <c r="GAZ1112" s="15"/>
      <c r="GBC1112" s="15"/>
      <c r="GBD1112" s="15"/>
      <c r="GBG1112" s="15"/>
      <c r="GBH1112" s="15"/>
      <c r="GBK1112" s="15"/>
      <c r="GBL1112" s="15"/>
      <c r="GBO1112" s="15"/>
      <c r="GBP1112" s="15"/>
      <c r="GBS1112" s="15"/>
      <c r="GBT1112" s="15"/>
      <c r="GBW1112" s="15"/>
      <c r="GBX1112" s="15"/>
      <c r="GCA1112" s="15"/>
      <c r="GCB1112" s="15"/>
      <c r="GCE1112" s="15"/>
      <c r="GCF1112" s="15"/>
      <c r="GCI1112" s="15"/>
      <c r="GCJ1112" s="15"/>
      <c r="GCM1112" s="15"/>
      <c r="GCN1112" s="15"/>
      <c r="GCQ1112" s="15"/>
      <c r="GCR1112" s="15"/>
      <c r="GCU1112" s="15"/>
      <c r="GCV1112" s="15"/>
      <c r="GCY1112" s="15"/>
      <c r="GCZ1112" s="15"/>
      <c r="GDC1112" s="15"/>
      <c r="GDD1112" s="15"/>
      <c r="GDG1112" s="15"/>
      <c r="GDH1112" s="15"/>
      <c r="GDK1112" s="15"/>
      <c r="GDL1112" s="15"/>
      <c r="GDO1112" s="15"/>
      <c r="GDP1112" s="15"/>
      <c r="GDS1112" s="15"/>
      <c r="GDT1112" s="15"/>
      <c r="GDW1112" s="15"/>
      <c r="GDX1112" s="15"/>
      <c r="GEA1112" s="15"/>
      <c r="GEB1112" s="15"/>
      <c r="GEE1112" s="15"/>
      <c r="GEF1112" s="15"/>
      <c r="GEI1112" s="15"/>
      <c r="GEJ1112" s="15"/>
      <c r="GEM1112" s="15"/>
      <c r="GEN1112" s="15"/>
      <c r="GEQ1112" s="15"/>
      <c r="GER1112" s="15"/>
      <c r="GEU1112" s="15"/>
      <c r="GEV1112" s="15"/>
      <c r="GEY1112" s="15"/>
      <c r="GEZ1112" s="15"/>
      <c r="GFC1112" s="15"/>
      <c r="GFD1112" s="15"/>
      <c r="GFG1112" s="15"/>
      <c r="GFH1112" s="15"/>
      <c r="GFK1112" s="15"/>
      <c r="GFL1112" s="15"/>
      <c r="GFO1112" s="15"/>
      <c r="GFP1112" s="15"/>
      <c r="GFS1112" s="15"/>
      <c r="GFT1112" s="15"/>
      <c r="GFW1112" s="15"/>
      <c r="GFX1112" s="15"/>
      <c r="GGA1112" s="15"/>
      <c r="GGB1112" s="15"/>
      <c r="GGE1112" s="15"/>
      <c r="GGF1112" s="15"/>
      <c r="GGI1112" s="15"/>
      <c r="GGJ1112" s="15"/>
      <c r="GGM1112" s="15"/>
      <c r="GGN1112" s="15"/>
      <c r="GGQ1112" s="15"/>
      <c r="GGR1112" s="15"/>
      <c r="GGU1112" s="15"/>
      <c r="GGV1112" s="15"/>
      <c r="GGY1112" s="15"/>
      <c r="GGZ1112" s="15"/>
      <c r="GHC1112" s="15"/>
      <c r="GHD1112" s="15"/>
      <c r="GHG1112" s="15"/>
      <c r="GHH1112" s="15"/>
      <c r="GHK1112" s="15"/>
      <c r="GHL1112" s="15"/>
      <c r="GHO1112" s="15"/>
      <c r="GHP1112" s="15"/>
      <c r="GHS1112" s="15"/>
      <c r="GHT1112" s="15"/>
      <c r="GHW1112" s="15"/>
      <c r="GHX1112" s="15"/>
      <c r="GIA1112" s="15"/>
      <c r="GIB1112" s="15"/>
      <c r="GIE1112" s="15"/>
      <c r="GIF1112" s="15"/>
      <c r="GII1112" s="15"/>
      <c r="GIJ1112" s="15"/>
      <c r="GIM1112" s="15"/>
      <c r="GIN1112" s="15"/>
      <c r="GIQ1112" s="15"/>
      <c r="GIR1112" s="15"/>
      <c r="GIU1112" s="15"/>
      <c r="GIV1112" s="15"/>
      <c r="GIY1112" s="15"/>
      <c r="GIZ1112" s="15"/>
      <c r="GJC1112" s="15"/>
      <c r="GJD1112" s="15"/>
      <c r="GJG1112" s="15"/>
      <c r="GJH1112" s="15"/>
      <c r="GJK1112" s="15"/>
      <c r="GJL1112" s="15"/>
      <c r="GJO1112" s="15"/>
      <c r="GJP1112" s="15"/>
      <c r="GJS1112" s="15"/>
      <c r="GJT1112" s="15"/>
      <c r="GJW1112" s="15"/>
      <c r="GJX1112" s="15"/>
      <c r="GKA1112" s="15"/>
      <c r="GKB1112" s="15"/>
      <c r="GKE1112" s="15"/>
      <c r="GKF1112" s="15"/>
      <c r="GKI1112" s="15"/>
      <c r="GKJ1112" s="15"/>
      <c r="GKM1112" s="15"/>
      <c r="GKN1112" s="15"/>
      <c r="GKQ1112" s="15"/>
      <c r="GKR1112" s="15"/>
      <c r="GKU1112" s="15"/>
      <c r="GKV1112" s="15"/>
      <c r="GKY1112" s="15"/>
      <c r="GKZ1112" s="15"/>
      <c r="GLC1112" s="15"/>
      <c r="GLD1112" s="15"/>
      <c r="GLG1112" s="15"/>
      <c r="GLH1112" s="15"/>
      <c r="GLK1112" s="15"/>
      <c r="GLL1112" s="15"/>
      <c r="GLO1112" s="15"/>
      <c r="GLP1112" s="15"/>
      <c r="GLS1112" s="15"/>
      <c r="GLT1112" s="15"/>
      <c r="GLW1112" s="15"/>
      <c r="GLX1112" s="15"/>
      <c r="GMA1112" s="15"/>
      <c r="GMB1112" s="15"/>
      <c r="GME1112" s="15"/>
      <c r="GMF1112" s="15"/>
      <c r="GMI1112" s="15"/>
      <c r="GMJ1112" s="15"/>
      <c r="GMM1112" s="15"/>
      <c r="GMN1112" s="15"/>
      <c r="GMQ1112" s="15"/>
      <c r="GMR1112" s="15"/>
      <c r="GMU1112" s="15"/>
      <c r="GMV1112" s="15"/>
      <c r="GMY1112" s="15"/>
      <c r="GMZ1112" s="15"/>
      <c r="GNC1112" s="15"/>
      <c r="GND1112" s="15"/>
      <c r="GNG1112" s="15"/>
      <c r="GNH1112" s="15"/>
      <c r="GNK1112" s="15"/>
      <c r="GNL1112" s="15"/>
      <c r="GNO1112" s="15"/>
      <c r="GNP1112" s="15"/>
      <c r="GNS1112" s="15"/>
      <c r="GNT1112" s="15"/>
      <c r="GNW1112" s="15"/>
      <c r="GNX1112" s="15"/>
      <c r="GOA1112" s="15"/>
      <c r="GOB1112" s="15"/>
      <c r="GOE1112" s="15"/>
      <c r="GOF1112" s="15"/>
      <c r="GOI1112" s="15"/>
      <c r="GOJ1112" s="15"/>
      <c r="GOM1112" s="15"/>
      <c r="GON1112" s="15"/>
      <c r="GOQ1112" s="15"/>
      <c r="GOR1112" s="15"/>
      <c r="GOU1112" s="15"/>
      <c r="GOV1112" s="15"/>
      <c r="GOY1112" s="15"/>
      <c r="GOZ1112" s="15"/>
      <c r="GPC1112" s="15"/>
      <c r="GPD1112" s="15"/>
      <c r="GPG1112" s="15"/>
      <c r="GPH1112" s="15"/>
      <c r="GPK1112" s="15"/>
      <c r="GPL1112" s="15"/>
      <c r="GPO1112" s="15"/>
      <c r="GPP1112" s="15"/>
      <c r="GPS1112" s="15"/>
      <c r="GPT1112" s="15"/>
      <c r="GPW1112" s="15"/>
      <c r="GPX1112" s="15"/>
      <c r="GQA1112" s="15"/>
      <c r="GQB1112" s="15"/>
      <c r="GQE1112" s="15"/>
      <c r="GQF1112" s="15"/>
      <c r="GQI1112" s="15"/>
      <c r="GQJ1112" s="15"/>
      <c r="GQM1112" s="15"/>
      <c r="GQN1112" s="15"/>
      <c r="GQQ1112" s="15"/>
      <c r="GQR1112" s="15"/>
      <c r="GQU1112" s="15"/>
      <c r="GQV1112" s="15"/>
      <c r="GQY1112" s="15"/>
      <c r="GQZ1112" s="15"/>
      <c r="GRC1112" s="15"/>
      <c r="GRD1112" s="15"/>
      <c r="GRG1112" s="15"/>
      <c r="GRH1112" s="15"/>
      <c r="GRK1112" s="15"/>
      <c r="GRL1112" s="15"/>
      <c r="GRO1112" s="15"/>
      <c r="GRP1112" s="15"/>
      <c r="GRS1112" s="15"/>
      <c r="GRT1112" s="15"/>
      <c r="GRW1112" s="15"/>
      <c r="GRX1112" s="15"/>
      <c r="GSA1112" s="15"/>
      <c r="GSB1112" s="15"/>
      <c r="GSE1112" s="15"/>
      <c r="GSF1112" s="15"/>
      <c r="GSI1112" s="15"/>
      <c r="GSJ1112" s="15"/>
      <c r="GSM1112" s="15"/>
      <c r="GSN1112" s="15"/>
      <c r="GSQ1112" s="15"/>
      <c r="GSR1112" s="15"/>
      <c r="GSU1112" s="15"/>
      <c r="GSV1112" s="15"/>
      <c r="GSY1112" s="15"/>
      <c r="GSZ1112" s="15"/>
      <c r="GTC1112" s="15"/>
      <c r="GTD1112" s="15"/>
      <c r="GTG1112" s="15"/>
      <c r="GTH1112" s="15"/>
      <c r="GTK1112" s="15"/>
      <c r="GTL1112" s="15"/>
      <c r="GTO1112" s="15"/>
      <c r="GTP1112" s="15"/>
      <c r="GTS1112" s="15"/>
      <c r="GTT1112" s="15"/>
      <c r="GTW1112" s="15"/>
      <c r="GTX1112" s="15"/>
      <c r="GUA1112" s="15"/>
      <c r="GUB1112" s="15"/>
      <c r="GUE1112" s="15"/>
      <c r="GUF1112" s="15"/>
      <c r="GUI1112" s="15"/>
      <c r="GUJ1112" s="15"/>
      <c r="GUM1112" s="15"/>
      <c r="GUN1112" s="15"/>
      <c r="GUQ1112" s="15"/>
      <c r="GUR1112" s="15"/>
      <c r="GUU1112" s="15"/>
      <c r="GUV1112" s="15"/>
      <c r="GUY1112" s="15"/>
      <c r="GUZ1112" s="15"/>
      <c r="GVC1112" s="15"/>
      <c r="GVD1112" s="15"/>
      <c r="GVG1112" s="15"/>
      <c r="GVH1112" s="15"/>
      <c r="GVK1112" s="15"/>
      <c r="GVL1112" s="15"/>
      <c r="GVO1112" s="15"/>
      <c r="GVP1112" s="15"/>
      <c r="GVS1112" s="15"/>
      <c r="GVT1112" s="15"/>
      <c r="GVW1112" s="15"/>
      <c r="GVX1112" s="15"/>
      <c r="GWA1112" s="15"/>
      <c r="GWB1112" s="15"/>
      <c r="GWE1112" s="15"/>
      <c r="GWF1112" s="15"/>
      <c r="GWI1112" s="15"/>
      <c r="GWJ1112" s="15"/>
      <c r="GWM1112" s="15"/>
      <c r="GWN1112" s="15"/>
      <c r="GWQ1112" s="15"/>
      <c r="GWR1112" s="15"/>
      <c r="GWU1112" s="15"/>
      <c r="GWV1112" s="15"/>
      <c r="GWY1112" s="15"/>
      <c r="GWZ1112" s="15"/>
      <c r="GXC1112" s="15"/>
      <c r="GXD1112" s="15"/>
      <c r="GXG1112" s="15"/>
      <c r="GXH1112" s="15"/>
      <c r="GXK1112" s="15"/>
      <c r="GXL1112" s="15"/>
      <c r="GXO1112" s="15"/>
      <c r="GXP1112" s="15"/>
      <c r="GXS1112" s="15"/>
      <c r="GXT1112" s="15"/>
      <c r="GXW1112" s="15"/>
      <c r="GXX1112" s="15"/>
      <c r="GYA1112" s="15"/>
      <c r="GYB1112" s="15"/>
      <c r="GYE1112" s="15"/>
      <c r="GYF1112" s="15"/>
      <c r="GYI1112" s="15"/>
      <c r="GYJ1112" s="15"/>
      <c r="GYM1112" s="15"/>
      <c r="GYN1112" s="15"/>
      <c r="GYQ1112" s="15"/>
      <c r="GYR1112" s="15"/>
      <c r="GYU1112" s="15"/>
      <c r="GYV1112" s="15"/>
      <c r="GYY1112" s="15"/>
      <c r="GYZ1112" s="15"/>
      <c r="GZC1112" s="15"/>
      <c r="GZD1112" s="15"/>
      <c r="GZG1112" s="15"/>
      <c r="GZH1112" s="15"/>
      <c r="GZK1112" s="15"/>
      <c r="GZL1112" s="15"/>
      <c r="GZO1112" s="15"/>
      <c r="GZP1112" s="15"/>
      <c r="GZS1112" s="15"/>
      <c r="GZT1112" s="15"/>
      <c r="GZW1112" s="15"/>
      <c r="GZX1112" s="15"/>
      <c r="HAA1112" s="15"/>
      <c r="HAB1112" s="15"/>
      <c r="HAE1112" s="15"/>
      <c r="HAF1112" s="15"/>
      <c r="HAI1112" s="15"/>
      <c r="HAJ1112" s="15"/>
      <c r="HAM1112" s="15"/>
      <c r="HAN1112" s="15"/>
      <c r="HAQ1112" s="15"/>
      <c r="HAR1112" s="15"/>
      <c r="HAU1112" s="15"/>
      <c r="HAV1112" s="15"/>
      <c r="HAY1112" s="15"/>
      <c r="HAZ1112" s="15"/>
      <c r="HBC1112" s="15"/>
      <c r="HBD1112" s="15"/>
      <c r="HBG1112" s="15"/>
      <c r="HBH1112" s="15"/>
      <c r="HBK1112" s="15"/>
      <c r="HBL1112" s="15"/>
      <c r="HBO1112" s="15"/>
      <c r="HBP1112" s="15"/>
      <c r="HBS1112" s="15"/>
      <c r="HBT1112" s="15"/>
      <c r="HBW1112" s="15"/>
      <c r="HBX1112" s="15"/>
      <c r="HCA1112" s="15"/>
      <c r="HCB1112" s="15"/>
      <c r="HCE1112" s="15"/>
      <c r="HCF1112" s="15"/>
      <c r="HCI1112" s="15"/>
      <c r="HCJ1112" s="15"/>
      <c r="HCM1112" s="15"/>
      <c r="HCN1112" s="15"/>
      <c r="HCQ1112" s="15"/>
      <c r="HCR1112" s="15"/>
      <c r="HCU1112" s="15"/>
      <c r="HCV1112" s="15"/>
      <c r="HCY1112" s="15"/>
      <c r="HCZ1112" s="15"/>
      <c r="HDC1112" s="15"/>
      <c r="HDD1112" s="15"/>
      <c r="HDG1112" s="15"/>
      <c r="HDH1112" s="15"/>
      <c r="HDK1112" s="15"/>
      <c r="HDL1112" s="15"/>
      <c r="HDO1112" s="15"/>
      <c r="HDP1112" s="15"/>
      <c r="HDS1112" s="15"/>
      <c r="HDT1112" s="15"/>
      <c r="HDW1112" s="15"/>
      <c r="HDX1112" s="15"/>
      <c r="HEA1112" s="15"/>
      <c r="HEB1112" s="15"/>
      <c r="HEE1112" s="15"/>
      <c r="HEF1112" s="15"/>
      <c r="HEI1112" s="15"/>
      <c r="HEJ1112" s="15"/>
      <c r="HEM1112" s="15"/>
      <c r="HEN1112" s="15"/>
      <c r="HEQ1112" s="15"/>
      <c r="HER1112" s="15"/>
      <c r="HEU1112" s="15"/>
      <c r="HEV1112" s="15"/>
      <c r="HEY1112" s="15"/>
      <c r="HEZ1112" s="15"/>
      <c r="HFC1112" s="15"/>
      <c r="HFD1112" s="15"/>
      <c r="HFG1112" s="15"/>
      <c r="HFH1112" s="15"/>
      <c r="HFK1112" s="15"/>
      <c r="HFL1112" s="15"/>
      <c r="HFO1112" s="15"/>
      <c r="HFP1112" s="15"/>
      <c r="HFS1112" s="15"/>
      <c r="HFT1112" s="15"/>
      <c r="HFW1112" s="15"/>
      <c r="HFX1112" s="15"/>
      <c r="HGA1112" s="15"/>
      <c r="HGB1112" s="15"/>
      <c r="HGE1112" s="15"/>
      <c r="HGF1112" s="15"/>
      <c r="HGI1112" s="15"/>
      <c r="HGJ1112" s="15"/>
      <c r="HGM1112" s="15"/>
      <c r="HGN1112" s="15"/>
      <c r="HGQ1112" s="15"/>
      <c r="HGR1112" s="15"/>
      <c r="HGU1112" s="15"/>
      <c r="HGV1112" s="15"/>
      <c r="HGY1112" s="15"/>
      <c r="HGZ1112" s="15"/>
      <c r="HHC1112" s="15"/>
      <c r="HHD1112" s="15"/>
      <c r="HHG1112" s="15"/>
      <c r="HHH1112" s="15"/>
      <c r="HHK1112" s="15"/>
      <c r="HHL1112" s="15"/>
      <c r="HHO1112" s="15"/>
      <c r="HHP1112" s="15"/>
      <c r="HHS1112" s="15"/>
      <c r="HHT1112" s="15"/>
      <c r="HHW1112" s="15"/>
      <c r="HHX1112" s="15"/>
      <c r="HIA1112" s="15"/>
      <c r="HIB1112" s="15"/>
      <c r="HIE1112" s="15"/>
      <c r="HIF1112" s="15"/>
      <c r="HII1112" s="15"/>
      <c r="HIJ1112" s="15"/>
      <c r="HIM1112" s="15"/>
      <c r="HIN1112" s="15"/>
      <c r="HIQ1112" s="15"/>
      <c r="HIR1112" s="15"/>
      <c r="HIU1112" s="15"/>
      <c r="HIV1112" s="15"/>
      <c r="HIY1112" s="15"/>
      <c r="HIZ1112" s="15"/>
      <c r="HJC1112" s="15"/>
      <c r="HJD1112" s="15"/>
      <c r="HJG1112" s="15"/>
      <c r="HJH1112" s="15"/>
      <c r="HJK1112" s="15"/>
      <c r="HJL1112" s="15"/>
      <c r="HJO1112" s="15"/>
      <c r="HJP1112" s="15"/>
      <c r="HJS1112" s="15"/>
      <c r="HJT1112" s="15"/>
      <c r="HJW1112" s="15"/>
      <c r="HJX1112" s="15"/>
      <c r="HKA1112" s="15"/>
      <c r="HKB1112" s="15"/>
      <c r="HKE1112" s="15"/>
      <c r="HKF1112" s="15"/>
      <c r="HKI1112" s="15"/>
      <c r="HKJ1112" s="15"/>
      <c r="HKM1112" s="15"/>
      <c r="HKN1112" s="15"/>
      <c r="HKQ1112" s="15"/>
      <c r="HKR1112" s="15"/>
      <c r="HKU1112" s="15"/>
      <c r="HKV1112" s="15"/>
      <c r="HKY1112" s="15"/>
      <c r="HKZ1112" s="15"/>
      <c r="HLC1112" s="15"/>
      <c r="HLD1112" s="15"/>
      <c r="HLG1112" s="15"/>
      <c r="HLH1112" s="15"/>
      <c r="HLK1112" s="15"/>
      <c r="HLL1112" s="15"/>
      <c r="HLO1112" s="15"/>
      <c r="HLP1112" s="15"/>
      <c r="HLS1112" s="15"/>
      <c r="HLT1112" s="15"/>
      <c r="HLW1112" s="15"/>
      <c r="HLX1112" s="15"/>
      <c r="HMA1112" s="15"/>
      <c r="HMB1112" s="15"/>
      <c r="HME1112" s="15"/>
      <c r="HMF1112" s="15"/>
      <c r="HMI1112" s="15"/>
      <c r="HMJ1112" s="15"/>
      <c r="HMM1112" s="15"/>
      <c r="HMN1112" s="15"/>
      <c r="HMQ1112" s="15"/>
      <c r="HMR1112" s="15"/>
      <c r="HMU1112" s="15"/>
      <c r="HMV1112" s="15"/>
      <c r="HMY1112" s="15"/>
      <c r="HMZ1112" s="15"/>
      <c r="HNC1112" s="15"/>
      <c r="HND1112" s="15"/>
      <c r="HNG1112" s="15"/>
      <c r="HNH1112" s="15"/>
      <c r="HNK1112" s="15"/>
      <c r="HNL1112" s="15"/>
      <c r="HNO1112" s="15"/>
      <c r="HNP1112" s="15"/>
      <c r="HNS1112" s="15"/>
      <c r="HNT1112" s="15"/>
      <c r="HNW1112" s="15"/>
      <c r="HNX1112" s="15"/>
      <c r="HOA1112" s="15"/>
      <c r="HOB1112" s="15"/>
      <c r="HOE1112" s="15"/>
      <c r="HOF1112" s="15"/>
      <c r="HOI1112" s="15"/>
      <c r="HOJ1112" s="15"/>
      <c r="HOM1112" s="15"/>
      <c r="HON1112" s="15"/>
      <c r="HOQ1112" s="15"/>
      <c r="HOR1112" s="15"/>
      <c r="HOU1112" s="15"/>
      <c r="HOV1112" s="15"/>
      <c r="HOY1112" s="15"/>
      <c r="HOZ1112" s="15"/>
      <c r="HPC1112" s="15"/>
      <c r="HPD1112" s="15"/>
      <c r="HPG1112" s="15"/>
      <c r="HPH1112" s="15"/>
      <c r="HPK1112" s="15"/>
      <c r="HPL1112" s="15"/>
      <c r="HPO1112" s="15"/>
      <c r="HPP1112" s="15"/>
      <c r="HPS1112" s="15"/>
      <c r="HPT1112" s="15"/>
      <c r="HPW1112" s="15"/>
      <c r="HPX1112" s="15"/>
      <c r="HQA1112" s="15"/>
      <c r="HQB1112" s="15"/>
      <c r="HQE1112" s="15"/>
      <c r="HQF1112" s="15"/>
      <c r="HQI1112" s="15"/>
      <c r="HQJ1112" s="15"/>
      <c r="HQM1112" s="15"/>
      <c r="HQN1112" s="15"/>
      <c r="HQQ1112" s="15"/>
      <c r="HQR1112" s="15"/>
      <c r="HQU1112" s="15"/>
      <c r="HQV1112" s="15"/>
      <c r="HQY1112" s="15"/>
      <c r="HQZ1112" s="15"/>
      <c r="HRC1112" s="15"/>
      <c r="HRD1112" s="15"/>
      <c r="HRG1112" s="15"/>
      <c r="HRH1112" s="15"/>
      <c r="HRK1112" s="15"/>
      <c r="HRL1112" s="15"/>
      <c r="HRO1112" s="15"/>
      <c r="HRP1112" s="15"/>
      <c r="HRS1112" s="15"/>
      <c r="HRT1112" s="15"/>
      <c r="HRW1112" s="15"/>
      <c r="HRX1112" s="15"/>
      <c r="HSA1112" s="15"/>
      <c r="HSB1112" s="15"/>
      <c r="HSE1112" s="15"/>
      <c r="HSF1112" s="15"/>
      <c r="HSI1112" s="15"/>
      <c r="HSJ1112" s="15"/>
      <c r="HSM1112" s="15"/>
      <c r="HSN1112" s="15"/>
      <c r="HSQ1112" s="15"/>
      <c r="HSR1112" s="15"/>
      <c r="HSU1112" s="15"/>
      <c r="HSV1112" s="15"/>
      <c r="HSY1112" s="15"/>
      <c r="HSZ1112" s="15"/>
      <c r="HTC1112" s="15"/>
      <c r="HTD1112" s="15"/>
      <c r="HTG1112" s="15"/>
      <c r="HTH1112" s="15"/>
      <c r="HTK1112" s="15"/>
      <c r="HTL1112" s="15"/>
      <c r="HTO1112" s="15"/>
      <c r="HTP1112" s="15"/>
      <c r="HTS1112" s="15"/>
      <c r="HTT1112" s="15"/>
      <c r="HTW1112" s="15"/>
      <c r="HTX1112" s="15"/>
      <c r="HUA1112" s="15"/>
      <c r="HUB1112" s="15"/>
      <c r="HUE1112" s="15"/>
      <c r="HUF1112" s="15"/>
      <c r="HUI1112" s="15"/>
      <c r="HUJ1112" s="15"/>
      <c r="HUM1112" s="15"/>
      <c r="HUN1112" s="15"/>
      <c r="HUQ1112" s="15"/>
      <c r="HUR1112" s="15"/>
      <c r="HUU1112" s="15"/>
      <c r="HUV1112" s="15"/>
      <c r="HUY1112" s="15"/>
      <c r="HUZ1112" s="15"/>
      <c r="HVC1112" s="15"/>
      <c r="HVD1112" s="15"/>
      <c r="HVG1112" s="15"/>
      <c r="HVH1112" s="15"/>
      <c r="HVK1112" s="15"/>
      <c r="HVL1112" s="15"/>
      <c r="HVO1112" s="15"/>
      <c r="HVP1112" s="15"/>
      <c r="HVS1112" s="15"/>
      <c r="HVT1112" s="15"/>
      <c r="HVW1112" s="15"/>
      <c r="HVX1112" s="15"/>
      <c r="HWA1112" s="15"/>
      <c r="HWB1112" s="15"/>
      <c r="HWE1112" s="15"/>
      <c r="HWF1112" s="15"/>
      <c r="HWI1112" s="15"/>
      <c r="HWJ1112" s="15"/>
      <c r="HWM1112" s="15"/>
      <c r="HWN1112" s="15"/>
      <c r="HWQ1112" s="15"/>
      <c r="HWR1112" s="15"/>
      <c r="HWU1112" s="15"/>
      <c r="HWV1112" s="15"/>
      <c r="HWY1112" s="15"/>
      <c r="HWZ1112" s="15"/>
      <c r="HXC1112" s="15"/>
      <c r="HXD1112" s="15"/>
      <c r="HXG1112" s="15"/>
      <c r="HXH1112" s="15"/>
      <c r="HXK1112" s="15"/>
      <c r="HXL1112" s="15"/>
      <c r="HXO1112" s="15"/>
      <c r="HXP1112" s="15"/>
      <c r="HXS1112" s="15"/>
      <c r="HXT1112" s="15"/>
      <c r="HXW1112" s="15"/>
      <c r="HXX1112" s="15"/>
      <c r="HYA1112" s="15"/>
      <c r="HYB1112" s="15"/>
      <c r="HYE1112" s="15"/>
      <c r="HYF1112" s="15"/>
      <c r="HYI1112" s="15"/>
      <c r="HYJ1112" s="15"/>
      <c r="HYM1112" s="15"/>
      <c r="HYN1112" s="15"/>
      <c r="HYQ1112" s="15"/>
      <c r="HYR1112" s="15"/>
      <c r="HYU1112" s="15"/>
      <c r="HYV1112" s="15"/>
      <c r="HYY1112" s="15"/>
      <c r="HYZ1112" s="15"/>
      <c r="HZC1112" s="15"/>
      <c r="HZD1112" s="15"/>
      <c r="HZG1112" s="15"/>
      <c r="HZH1112" s="15"/>
      <c r="HZK1112" s="15"/>
      <c r="HZL1112" s="15"/>
      <c r="HZO1112" s="15"/>
      <c r="HZP1112" s="15"/>
      <c r="HZS1112" s="15"/>
      <c r="HZT1112" s="15"/>
      <c r="HZW1112" s="15"/>
      <c r="HZX1112" s="15"/>
      <c r="IAA1112" s="15"/>
      <c r="IAB1112" s="15"/>
      <c r="IAE1112" s="15"/>
      <c r="IAF1112" s="15"/>
      <c r="IAI1112" s="15"/>
      <c r="IAJ1112" s="15"/>
      <c r="IAM1112" s="15"/>
      <c r="IAN1112" s="15"/>
      <c r="IAQ1112" s="15"/>
      <c r="IAR1112" s="15"/>
      <c r="IAU1112" s="15"/>
      <c r="IAV1112" s="15"/>
      <c r="IAY1112" s="15"/>
      <c r="IAZ1112" s="15"/>
      <c r="IBC1112" s="15"/>
      <c r="IBD1112" s="15"/>
      <c r="IBG1112" s="15"/>
      <c r="IBH1112" s="15"/>
      <c r="IBK1112" s="15"/>
      <c r="IBL1112" s="15"/>
      <c r="IBO1112" s="15"/>
      <c r="IBP1112" s="15"/>
      <c r="IBS1112" s="15"/>
      <c r="IBT1112" s="15"/>
      <c r="IBW1112" s="15"/>
      <c r="IBX1112" s="15"/>
      <c r="ICA1112" s="15"/>
      <c r="ICB1112" s="15"/>
      <c r="ICE1112" s="15"/>
      <c r="ICF1112" s="15"/>
      <c r="ICI1112" s="15"/>
      <c r="ICJ1112" s="15"/>
      <c r="ICM1112" s="15"/>
      <c r="ICN1112" s="15"/>
      <c r="ICQ1112" s="15"/>
      <c r="ICR1112" s="15"/>
      <c r="ICU1112" s="15"/>
      <c r="ICV1112" s="15"/>
      <c r="ICY1112" s="15"/>
      <c r="ICZ1112" s="15"/>
      <c r="IDC1112" s="15"/>
      <c r="IDD1112" s="15"/>
      <c r="IDG1112" s="15"/>
      <c r="IDH1112" s="15"/>
      <c r="IDK1112" s="15"/>
      <c r="IDL1112" s="15"/>
      <c r="IDO1112" s="15"/>
      <c r="IDP1112" s="15"/>
      <c r="IDS1112" s="15"/>
      <c r="IDT1112" s="15"/>
      <c r="IDW1112" s="15"/>
      <c r="IDX1112" s="15"/>
      <c r="IEA1112" s="15"/>
      <c r="IEB1112" s="15"/>
      <c r="IEE1112" s="15"/>
      <c r="IEF1112" s="15"/>
      <c r="IEI1112" s="15"/>
      <c r="IEJ1112" s="15"/>
      <c r="IEM1112" s="15"/>
      <c r="IEN1112" s="15"/>
      <c r="IEQ1112" s="15"/>
      <c r="IER1112" s="15"/>
      <c r="IEU1112" s="15"/>
      <c r="IEV1112" s="15"/>
      <c r="IEY1112" s="15"/>
      <c r="IEZ1112" s="15"/>
      <c r="IFC1112" s="15"/>
      <c r="IFD1112" s="15"/>
      <c r="IFG1112" s="15"/>
      <c r="IFH1112" s="15"/>
      <c r="IFK1112" s="15"/>
      <c r="IFL1112" s="15"/>
      <c r="IFO1112" s="15"/>
      <c r="IFP1112" s="15"/>
      <c r="IFS1112" s="15"/>
      <c r="IFT1112" s="15"/>
      <c r="IFW1112" s="15"/>
      <c r="IFX1112" s="15"/>
      <c r="IGA1112" s="15"/>
      <c r="IGB1112" s="15"/>
      <c r="IGE1112" s="15"/>
      <c r="IGF1112" s="15"/>
      <c r="IGI1112" s="15"/>
      <c r="IGJ1112" s="15"/>
      <c r="IGM1112" s="15"/>
      <c r="IGN1112" s="15"/>
      <c r="IGQ1112" s="15"/>
      <c r="IGR1112" s="15"/>
      <c r="IGU1112" s="15"/>
      <c r="IGV1112" s="15"/>
      <c r="IGY1112" s="15"/>
      <c r="IGZ1112" s="15"/>
      <c r="IHC1112" s="15"/>
      <c r="IHD1112" s="15"/>
      <c r="IHG1112" s="15"/>
      <c r="IHH1112" s="15"/>
      <c r="IHK1112" s="15"/>
      <c r="IHL1112" s="15"/>
      <c r="IHO1112" s="15"/>
      <c r="IHP1112" s="15"/>
      <c r="IHS1112" s="15"/>
      <c r="IHT1112" s="15"/>
      <c r="IHW1112" s="15"/>
      <c r="IHX1112" s="15"/>
      <c r="IIA1112" s="15"/>
      <c r="IIB1112" s="15"/>
      <c r="IIE1112" s="15"/>
      <c r="IIF1112" s="15"/>
      <c r="III1112" s="15"/>
      <c r="IIJ1112" s="15"/>
      <c r="IIM1112" s="15"/>
      <c r="IIN1112" s="15"/>
      <c r="IIQ1112" s="15"/>
      <c r="IIR1112" s="15"/>
      <c r="IIU1112" s="15"/>
      <c r="IIV1112" s="15"/>
      <c r="IIY1112" s="15"/>
      <c r="IIZ1112" s="15"/>
      <c r="IJC1112" s="15"/>
      <c r="IJD1112" s="15"/>
      <c r="IJG1112" s="15"/>
      <c r="IJH1112" s="15"/>
      <c r="IJK1112" s="15"/>
      <c r="IJL1112" s="15"/>
      <c r="IJO1112" s="15"/>
      <c r="IJP1112" s="15"/>
      <c r="IJS1112" s="15"/>
      <c r="IJT1112" s="15"/>
      <c r="IJW1112" s="15"/>
      <c r="IJX1112" s="15"/>
      <c r="IKA1112" s="15"/>
      <c r="IKB1112" s="15"/>
      <c r="IKE1112" s="15"/>
      <c r="IKF1112" s="15"/>
      <c r="IKI1112" s="15"/>
      <c r="IKJ1112" s="15"/>
      <c r="IKM1112" s="15"/>
      <c r="IKN1112" s="15"/>
      <c r="IKQ1112" s="15"/>
      <c r="IKR1112" s="15"/>
      <c r="IKU1112" s="15"/>
      <c r="IKV1112" s="15"/>
      <c r="IKY1112" s="15"/>
      <c r="IKZ1112" s="15"/>
      <c r="ILC1112" s="15"/>
      <c r="ILD1112" s="15"/>
      <c r="ILG1112" s="15"/>
      <c r="ILH1112" s="15"/>
      <c r="ILK1112" s="15"/>
      <c r="ILL1112" s="15"/>
      <c r="ILO1112" s="15"/>
      <c r="ILP1112" s="15"/>
      <c r="ILS1112" s="15"/>
      <c r="ILT1112" s="15"/>
      <c r="ILW1112" s="15"/>
      <c r="ILX1112" s="15"/>
      <c r="IMA1112" s="15"/>
      <c r="IMB1112" s="15"/>
      <c r="IME1112" s="15"/>
      <c r="IMF1112" s="15"/>
      <c r="IMI1112" s="15"/>
      <c r="IMJ1112" s="15"/>
      <c r="IMM1112" s="15"/>
      <c r="IMN1112" s="15"/>
      <c r="IMQ1112" s="15"/>
      <c r="IMR1112" s="15"/>
      <c r="IMU1112" s="15"/>
      <c r="IMV1112" s="15"/>
      <c r="IMY1112" s="15"/>
      <c r="IMZ1112" s="15"/>
      <c r="INC1112" s="15"/>
      <c r="IND1112" s="15"/>
      <c r="ING1112" s="15"/>
      <c r="INH1112" s="15"/>
      <c r="INK1112" s="15"/>
      <c r="INL1112" s="15"/>
      <c r="INO1112" s="15"/>
      <c r="INP1112" s="15"/>
      <c r="INS1112" s="15"/>
      <c r="INT1112" s="15"/>
      <c r="INW1112" s="15"/>
      <c r="INX1112" s="15"/>
      <c r="IOA1112" s="15"/>
      <c r="IOB1112" s="15"/>
      <c r="IOE1112" s="15"/>
      <c r="IOF1112" s="15"/>
      <c r="IOI1112" s="15"/>
      <c r="IOJ1112" s="15"/>
      <c r="IOM1112" s="15"/>
      <c r="ION1112" s="15"/>
      <c r="IOQ1112" s="15"/>
      <c r="IOR1112" s="15"/>
      <c r="IOU1112" s="15"/>
      <c r="IOV1112" s="15"/>
      <c r="IOY1112" s="15"/>
      <c r="IOZ1112" s="15"/>
      <c r="IPC1112" s="15"/>
      <c r="IPD1112" s="15"/>
      <c r="IPG1112" s="15"/>
      <c r="IPH1112" s="15"/>
      <c r="IPK1112" s="15"/>
      <c r="IPL1112" s="15"/>
      <c r="IPO1112" s="15"/>
      <c r="IPP1112" s="15"/>
      <c r="IPS1112" s="15"/>
      <c r="IPT1112" s="15"/>
      <c r="IPW1112" s="15"/>
      <c r="IPX1112" s="15"/>
      <c r="IQA1112" s="15"/>
      <c r="IQB1112" s="15"/>
      <c r="IQE1112" s="15"/>
      <c r="IQF1112" s="15"/>
      <c r="IQI1112" s="15"/>
      <c r="IQJ1112" s="15"/>
      <c r="IQM1112" s="15"/>
      <c r="IQN1112" s="15"/>
      <c r="IQQ1112" s="15"/>
      <c r="IQR1112" s="15"/>
      <c r="IQU1112" s="15"/>
      <c r="IQV1112" s="15"/>
      <c r="IQY1112" s="15"/>
      <c r="IQZ1112" s="15"/>
      <c r="IRC1112" s="15"/>
      <c r="IRD1112" s="15"/>
      <c r="IRG1112" s="15"/>
      <c r="IRH1112" s="15"/>
      <c r="IRK1112" s="15"/>
      <c r="IRL1112" s="15"/>
      <c r="IRO1112" s="15"/>
      <c r="IRP1112" s="15"/>
      <c r="IRS1112" s="15"/>
      <c r="IRT1112" s="15"/>
      <c r="IRW1112" s="15"/>
      <c r="IRX1112" s="15"/>
      <c r="ISA1112" s="15"/>
      <c r="ISB1112" s="15"/>
      <c r="ISE1112" s="15"/>
      <c r="ISF1112" s="15"/>
      <c r="ISI1112" s="15"/>
      <c r="ISJ1112" s="15"/>
      <c r="ISM1112" s="15"/>
      <c r="ISN1112" s="15"/>
      <c r="ISQ1112" s="15"/>
      <c r="ISR1112" s="15"/>
      <c r="ISU1112" s="15"/>
      <c r="ISV1112" s="15"/>
      <c r="ISY1112" s="15"/>
      <c r="ISZ1112" s="15"/>
      <c r="ITC1112" s="15"/>
      <c r="ITD1112" s="15"/>
      <c r="ITG1112" s="15"/>
      <c r="ITH1112" s="15"/>
      <c r="ITK1112" s="15"/>
      <c r="ITL1112" s="15"/>
      <c r="ITO1112" s="15"/>
      <c r="ITP1112" s="15"/>
      <c r="ITS1112" s="15"/>
      <c r="ITT1112" s="15"/>
      <c r="ITW1112" s="15"/>
      <c r="ITX1112" s="15"/>
      <c r="IUA1112" s="15"/>
      <c r="IUB1112" s="15"/>
      <c r="IUE1112" s="15"/>
      <c r="IUF1112" s="15"/>
      <c r="IUI1112" s="15"/>
      <c r="IUJ1112" s="15"/>
      <c r="IUM1112" s="15"/>
      <c r="IUN1112" s="15"/>
      <c r="IUQ1112" s="15"/>
      <c r="IUR1112" s="15"/>
      <c r="IUU1112" s="15"/>
      <c r="IUV1112" s="15"/>
      <c r="IUY1112" s="15"/>
      <c r="IUZ1112" s="15"/>
      <c r="IVC1112" s="15"/>
      <c r="IVD1112" s="15"/>
      <c r="IVG1112" s="15"/>
      <c r="IVH1112" s="15"/>
      <c r="IVK1112" s="15"/>
      <c r="IVL1112" s="15"/>
      <c r="IVO1112" s="15"/>
      <c r="IVP1112" s="15"/>
      <c r="IVS1112" s="15"/>
      <c r="IVT1112" s="15"/>
      <c r="IVW1112" s="15"/>
      <c r="IVX1112" s="15"/>
      <c r="IWA1112" s="15"/>
      <c r="IWB1112" s="15"/>
      <c r="IWE1112" s="15"/>
      <c r="IWF1112" s="15"/>
      <c r="IWI1112" s="15"/>
      <c r="IWJ1112" s="15"/>
      <c r="IWM1112" s="15"/>
      <c r="IWN1112" s="15"/>
      <c r="IWQ1112" s="15"/>
      <c r="IWR1112" s="15"/>
      <c r="IWU1112" s="15"/>
      <c r="IWV1112" s="15"/>
      <c r="IWY1112" s="15"/>
      <c r="IWZ1112" s="15"/>
      <c r="IXC1112" s="15"/>
      <c r="IXD1112" s="15"/>
      <c r="IXG1112" s="15"/>
      <c r="IXH1112" s="15"/>
      <c r="IXK1112" s="15"/>
      <c r="IXL1112" s="15"/>
      <c r="IXO1112" s="15"/>
      <c r="IXP1112" s="15"/>
      <c r="IXS1112" s="15"/>
      <c r="IXT1112" s="15"/>
      <c r="IXW1112" s="15"/>
      <c r="IXX1112" s="15"/>
      <c r="IYA1112" s="15"/>
      <c r="IYB1112" s="15"/>
      <c r="IYE1112" s="15"/>
      <c r="IYF1112" s="15"/>
      <c r="IYI1112" s="15"/>
      <c r="IYJ1112" s="15"/>
      <c r="IYM1112" s="15"/>
      <c r="IYN1112" s="15"/>
      <c r="IYQ1112" s="15"/>
      <c r="IYR1112" s="15"/>
      <c r="IYU1112" s="15"/>
      <c r="IYV1112" s="15"/>
      <c r="IYY1112" s="15"/>
      <c r="IYZ1112" s="15"/>
      <c r="IZC1112" s="15"/>
      <c r="IZD1112" s="15"/>
      <c r="IZG1112" s="15"/>
      <c r="IZH1112" s="15"/>
      <c r="IZK1112" s="15"/>
      <c r="IZL1112" s="15"/>
      <c r="IZO1112" s="15"/>
      <c r="IZP1112" s="15"/>
      <c r="IZS1112" s="15"/>
      <c r="IZT1112" s="15"/>
      <c r="IZW1112" s="15"/>
      <c r="IZX1112" s="15"/>
      <c r="JAA1112" s="15"/>
      <c r="JAB1112" s="15"/>
      <c r="JAE1112" s="15"/>
      <c r="JAF1112" s="15"/>
      <c r="JAI1112" s="15"/>
      <c r="JAJ1112" s="15"/>
      <c r="JAM1112" s="15"/>
      <c r="JAN1112" s="15"/>
      <c r="JAQ1112" s="15"/>
      <c r="JAR1112" s="15"/>
      <c r="JAU1112" s="15"/>
      <c r="JAV1112" s="15"/>
      <c r="JAY1112" s="15"/>
      <c r="JAZ1112" s="15"/>
      <c r="JBC1112" s="15"/>
      <c r="JBD1112" s="15"/>
      <c r="JBG1112" s="15"/>
      <c r="JBH1112" s="15"/>
      <c r="JBK1112" s="15"/>
      <c r="JBL1112" s="15"/>
      <c r="JBO1112" s="15"/>
      <c r="JBP1112" s="15"/>
      <c r="JBS1112" s="15"/>
      <c r="JBT1112" s="15"/>
      <c r="JBW1112" s="15"/>
      <c r="JBX1112" s="15"/>
      <c r="JCA1112" s="15"/>
      <c r="JCB1112" s="15"/>
      <c r="JCE1112" s="15"/>
      <c r="JCF1112" s="15"/>
      <c r="JCI1112" s="15"/>
      <c r="JCJ1112" s="15"/>
      <c r="JCM1112" s="15"/>
      <c r="JCN1112" s="15"/>
      <c r="JCQ1112" s="15"/>
      <c r="JCR1112" s="15"/>
      <c r="JCU1112" s="15"/>
      <c r="JCV1112" s="15"/>
      <c r="JCY1112" s="15"/>
      <c r="JCZ1112" s="15"/>
      <c r="JDC1112" s="15"/>
      <c r="JDD1112" s="15"/>
      <c r="JDG1112" s="15"/>
      <c r="JDH1112" s="15"/>
      <c r="JDK1112" s="15"/>
      <c r="JDL1112" s="15"/>
      <c r="JDO1112" s="15"/>
      <c r="JDP1112" s="15"/>
      <c r="JDS1112" s="15"/>
      <c r="JDT1112" s="15"/>
      <c r="JDW1112" s="15"/>
      <c r="JDX1112" s="15"/>
      <c r="JEA1112" s="15"/>
      <c r="JEB1112" s="15"/>
      <c r="JEE1112" s="15"/>
      <c r="JEF1112" s="15"/>
      <c r="JEI1112" s="15"/>
      <c r="JEJ1112" s="15"/>
      <c r="JEM1112" s="15"/>
      <c r="JEN1112" s="15"/>
      <c r="JEQ1112" s="15"/>
      <c r="JER1112" s="15"/>
      <c r="JEU1112" s="15"/>
      <c r="JEV1112" s="15"/>
      <c r="JEY1112" s="15"/>
      <c r="JEZ1112" s="15"/>
      <c r="JFC1112" s="15"/>
      <c r="JFD1112" s="15"/>
      <c r="JFG1112" s="15"/>
      <c r="JFH1112" s="15"/>
      <c r="JFK1112" s="15"/>
      <c r="JFL1112" s="15"/>
      <c r="JFO1112" s="15"/>
      <c r="JFP1112" s="15"/>
      <c r="JFS1112" s="15"/>
      <c r="JFT1112" s="15"/>
      <c r="JFW1112" s="15"/>
      <c r="JFX1112" s="15"/>
      <c r="JGA1112" s="15"/>
      <c r="JGB1112" s="15"/>
      <c r="JGE1112" s="15"/>
      <c r="JGF1112" s="15"/>
      <c r="JGI1112" s="15"/>
      <c r="JGJ1112" s="15"/>
      <c r="JGM1112" s="15"/>
      <c r="JGN1112" s="15"/>
      <c r="JGQ1112" s="15"/>
      <c r="JGR1112" s="15"/>
      <c r="JGU1112" s="15"/>
      <c r="JGV1112" s="15"/>
      <c r="JGY1112" s="15"/>
      <c r="JGZ1112" s="15"/>
      <c r="JHC1112" s="15"/>
      <c r="JHD1112" s="15"/>
      <c r="JHG1112" s="15"/>
      <c r="JHH1112" s="15"/>
      <c r="JHK1112" s="15"/>
      <c r="JHL1112" s="15"/>
      <c r="JHO1112" s="15"/>
      <c r="JHP1112" s="15"/>
      <c r="JHS1112" s="15"/>
      <c r="JHT1112" s="15"/>
      <c r="JHW1112" s="15"/>
      <c r="JHX1112" s="15"/>
      <c r="JIA1112" s="15"/>
      <c r="JIB1112" s="15"/>
      <c r="JIE1112" s="15"/>
      <c r="JIF1112" s="15"/>
      <c r="JII1112" s="15"/>
      <c r="JIJ1112" s="15"/>
      <c r="JIM1112" s="15"/>
      <c r="JIN1112" s="15"/>
      <c r="JIQ1112" s="15"/>
      <c r="JIR1112" s="15"/>
      <c r="JIU1112" s="15"/>
      <c r="JIV1112" s="15"/>
      <c r="JIY1112" s="15"/>
      <c r="JIZ1112" s="15"/>
      <c r="JJC1112" s="15"/>
      <c r="JJD1112" s="15"/>
      <c r="JJG1112" s="15"/>
      <c r="JJH1112" s="15"/>
      <c r="JJK1112" s="15"/>
      <c r="JJL1112" s="15"/>
      <c r="JJO1112" s="15"/>
      <c r="JJP1112" s="15"/>
      <c r="JJS1112" s="15"/>
      <c r="JJT1112" s="15"/>
      <c r="JJW1112" s="15"/>
      <c r="JJX1112" s="15"/>
      <c r="JKA1112" s="15"/>
      <c r="JKB1112" s="15"/>
      <c r="JKE1112" s="15"/>
      <c r="JKF1112" s="15"/>
      <c r="JKI1112" s="15"/>
      <c r="JKJ1112" s="15"/>
      <c r="JKM1112" s="15"/>
      <c r="JKN1112" s="15"/>
      <c r="JKQ1112" s="15"/>
      <c r="JKR1112" s="15"/>
      <c r="JKU1112" s="15"/>
      <c r="JKV1112" s="15"/>
      <c r="JKY1112" s="15"/>
      <c r="JKZ1112" s="15"/>
      <c r="JLC1112" s="15"/>
      <c r="JLD1112" s="15"/>
      <c r="JLG1112" s="15"/>
      <c r="JLH1112" s="15"/>
      <c r="JLK1112" s="15"/>
      <c r="JLL1112" s="15"/>
      <c r="JLO1112" s="15"/>
      <c r="JLP1112" s="15"/>
      <c r="JLS1112" s="15"/>
      <c r="JLT1112" s="15"/>
      <c r="JLW1112" s="15"/>
      <c r="JLX1112" s="15"/>
      <c r="JMA1112" s="15"/>
      <c r="JMB1112" s="15"/>
      <c r="JME1112" s="15"/>
      <c r="JMF1112" s="15"/>
      <c r="JMI1112" s="15"/>
      <c r="JMJ1112" s="15"/>
      <c r="JMM1112" s="15"/>
      <c r="JMN1112" s="15"/>
      <c r="JMQ1112" s="15"/>
      <c r="JMR1112" s="15"/>
      <c r="JMU1112" s="15"/>
      <c r="JMV1112" s="15"/>
      <c r="JMY1112" s="15"/>
      <c r="JMZ1112" s="15"/>
      <c r="JNC1112" s="15"/>
      <c r="JND1112" s="15"/>
      <c r="JNG1112" s="15"/>
      <c r="JNH1112" s="15"/>
      <c r="JNK1112" s="15"/>
      <c r="JNL1112" s="15"/>
      <c r="JNO1112" s="15"/>
      <c r="JNP1112" s="15"/>
      <c r="JNS1112" s="15"/>
      <c r="JNT1112" s="15"/>
      <c r="JNW1112" s="15"/>
      <c r="JNX1112" s="15"/>
      <c r="JOA1112" s="15"/>
      <c r="JOB1112" s="15"/>
      <c r="JOE1112" s="15"/>
      <c r="JOF1112" s="15"/>
      <c r="JOI1112" s="15"/>
      <c r="JOJ1112" s="15"/>
      <c r="JOM1112" s="15"/>
      <c r="JON1112" s="15"/>
      <c r="JOQ1112" s="15"/>
      <c r="JOR1112" s="15"/>
      <c r="JOU1112" s="15"/>
      <c r="JOV1112" s="15"/>
      <c r="JOY1112" s="15"/>
      <c r="JOZ1112" s="15"/>
      <c r="JPC1112" s="15"/>
      <c r="JPD1112" s="15"/>
      <c r="JPG1112" s="15"/>
      <c r="JPH1112" s="15"/>
      <c r="JPK1112" s="15"/>
      <c r="JPL1112" s="15"/>
      <c r="JPO1112" s="15"/>
      <c r="JPP1112" s="15"/>
      <c r="JPS1112" s="15"/>
      <c r="JPT1112" s="15"/>
      <c r="JPW1112" s="15"/>
      <c r="JPX1112" s="15"/>
      <c r="JQA1112" s="15"/>
      <c r="JQB1112" s="15"/>
      <c r="JQE1112" s="15"/>
      <c r="JQF1112" s="15"/>
      <c r="JQI1112" s="15"/>
      <c r="JQJ1112" s="15"/>
      <c r="JQM1112" s="15"/>
      <c r="JQN1112" s="15"/>
      <c r="JQQ1112" s="15"/>
      <c r="JQR1112" s="15"/>
      <c r="JQU1112" s="15"/>
      <c r="JQV1112" s="15"/>
      <c r="JQY1112" s="15"/>
      <c r="JQZ1112" s="15"/>
      <c r="JRC1112" s="15"/>
      <c r="JRD1112" s="15"/>
      <c r="JRG1112" s="15"/>
      <c r="JRH1112" s="15"/>
      <c r="JRK1112" s="15"/>
      <c r="JRL1112" s="15"/>
      <c r="JRO1112" s="15"/>
      <c r="JRP1112" s="15"/>
      <c r="JRS1112" s="15"/>
      <c r="JRT1112" s="15"/>
      <c r="JRW1112" s="15"/>
      <c r="JRX1112" s="15"/>
      <c r="JSA1112" s="15"/>
      <c r="JSB1112" s="15"/>
      <c r="JSE1112" s="15"/>
      <c r="JSF1112" s="15"/>
      <c r="JSI1112" s="15"/>
      <c r="JSJ1112" s="15"/>
      <c r="JSM1112" s="15"/>
      <c r="JSN1112" s="15"/>
      <c r="JSQ1112" s="15"/>
      <c r="JSR1112" s="15"/>
      <c r="JSU1112" s="15"/>
      <c r="JSV1112" s="15"/>
      <c r="JSY1112" s="15"/>
      <c r="JSZ1112" s="15"/>
      <c r="JTC1112" s="15"/>
      <c r="JTD1112" s="15"/>
      <c r="JTG1112" s="15"/>
      <c r="JTH1112" s="15"/>
      <c r="JTK1112" s="15"/>
      <c r="JTL1112" s="15"/>
      <c r="JTO1112" s="15"/>
      <c r="JTP1112" s="15"/>
      <c r="JTS1112" s="15"/>
      <c r="JTT1112" s="15"/>
      <c r="JTW1112" s="15"/>
      <c r="JTX1112" s="15"/>
      <c r="JUA1112" s="15"/>
      <c r="JUB1112" s="15"/>
      <c r="JUE1112" s="15"/>
      <c r="JUF1112" s="15"/>
      <c r="JUI1112" s="15"/>
      <c r="JUJ1112" s="15"/>
      <c r="JUM1112" s="15"/>
      <c r="JUN1112" s="15"/>
      <c r="JUQ1112" s="15"/>
      <c r="JUR1112" s="15"/>
      <c r="JUU1112" s="15"/>
      <c r="JUV1112" s="15"/>
      <c r="JUY1112" s="15"/>
      <c r="JUZ1112" s="15"/>
      <c r="JVC1112" s="15"/>
      <c r="JVD1112" s="15"/>
      <c r="JVG1112" s="15"/>
      <c r="JVH1112" s="15"/>
      <c r="JVK1112" s="15"/>
      <c r="JVL1112" s="15"/>
      <c r="JVO1112" s="15"/>
      <c r="JVP1112" s="15"/>
      <c r="JVS1112" s="15"/>
      <c r="JVT1112" s="15"/>
      <c r="JVW1112" s="15"/>
      <c r="JVX1112" s="15"/>
      <c r="JWA1112" s="15"/>
      <c r="JWB1112" s="15"/>
      <c r="JWE1112" s="15"/>
      <c r="JWF1112" s="15"/>
      <c r="JWI1112" s="15"/>
      <c r="JWJ1112" s="15"/>
      <c r="JWM1112" s="15"/>
      <c r="JWN1112" s="15"/>
      <c r="JWQ1112" s="15"/>
      <c r="JWR1112" s="15"/>
      <c r="JWU1112" s="15"/>
      <c r="JWV1112" s="15"/>
      <c r="JWY1112" s="15"/>
      <c r="JWZ1112" s="15"/>
      <c r="JXC1112" s="15"/>
      <c r="JXD1112" s="15"/>
      <c r="JXG1112" s="15"/>
      <c r="JXH1112" s="15"/>
      <c r="JXK1112" s="15"/>
      <c r="JXL1112" s="15"/>
      <c r="JXO1112" s="15"/>
      <c r="JXP1112" s="15"/>
      <c r="JXS1112" s="15"/>
      <c r="JXT1112" s="15"/>
      <c r="JXW1112" s="15"/>
      <c r="JXX1112" s="15"/>
      <c r="JYA1112" s="15"/>
      <c r="JYB1112" s="15"/>
      <c r="JYE1112" s="15"/>
      <c r="JYF1112" s="15"/>
      <c r="JYI1112" s="15"/>
      <c r="JYJ1112" s="15"/>
      <c r="JYM1112" s="15"/>
      <c r="JYN1112" s="15"/>
      <c r="JYQ1112" s="15"/>
      <c r="JYR1112" s="15"/>
      <c r="JYU1112" s="15"/>
      <c r="JYV1112" s="15"/>
      <c r="JYY1112" s="15"/>
      <c r="JYZ1112" s="15"/>
      <c r="JZC1112" s="15"/>
      <c r="JZD1112" s="15"/>
      <c r="JZG1112" s="15"/>
      <c r="JZH1112" s="15"/>
      <c r="JZK1112" s="15"/>
      <c r="JZL1112" s="15"/>
      <c r="JZO1112" s="15"/>
      <c r="JZP1112" s="15"/>
      <c r="JZS1112" s="15"/>
      <c r="JZT1112" s="15"/>
      <c r="JZW1112" s="15"/>
      <c r="JZX1112" s="15"/>
      <c r="KAA1112" s="15"/>
      <c r="KAB1112" s="15"/>
      <c r="KAE1112" s="15"/>
      <c r="KAF1112" s="15"/>
      <c r="KAI1112" s="15"/>
      <c r="KAJ1112" s="15"/>
      <c r="KAM1112" s="15"/>
      <c r="KAN1112" s="15"/>
      <c r="KAQ1112" s="15"/>
      <c r="KAR1112" s="15"/>
      <c r="KAU1112" s="15"/>
      <c r="KAV1112" s="15"/>
      <c r="KAY1112" s="15"/>
      <c r="KAZ1112" s="15"/>
      <c r="KBC1112" s="15"/>
      <c r="KBD1112" s="15"/>
      <c r="KBG1112" s="15"/>
      <c r="KBH1112" s="15"/>
      <c r="KBK1112" s="15"/>
      <c r="KBL1112" s="15"/>
      <c r="KBO1112" s="15"/>
      <c r="KBP1112" s="15"/>
      <c r="KBS1112" s="15"/>
      <c r="KBT1112" s="15"/>
      <c r="KBW1112" s="15"/>
      <c r="KBX1112" s="15"/>
      <c r="KCA1112" s="15"/>
      <c r="KCB1112" s="15"/>
      <c r="KCE1112" s="15"/>
      <c r="KCF1112" s="15"/>
      <c r="KCI1112" s="15"/>
      <c r="KCJ1112" s="15"/>
      <c r="KCM1112" s="15"/>
      <c r="KCN1112" s="15"/>
      <c r="KCQ1112" s="15"/>
      <c r="KCR1112" s="15"/>
      <c r="KCU1112" s="15"/>
      <c r="KCV1112" s="15"/>
      <c r="KCY1112" s="15"/>
      <c r="KCZ1112" s="15"/>
      <c r="KDC1112" s="15"/>
      <c r="KDD1112" s="15"/>
      <c r="KDG1112" s="15"/>
      <c r="KDH1112" s="15"/>
      <c r="KDK1112" s="15"/>
      <c r="KDL1112" s="15"/>
      <c r="KDO1112" s="15"/>
      <c r="KDP1112" s="15"/>
      <c r="KDS1112" s="15"/>
      <c r="KDT1112" s="15"/>
      <c r="KDW1112" s="15"/>
      <c r="KDX1112" s="15"/>
      <c r="KEA1112" s="15"/>
      <c r="KEB1112" s="15"/>
      <c r="KEE1112" s="15"/>
      <c r="KEF1112" s="15"/>
      <c r="KEI1112" s="15"/>
      <c r="KEJ1112" s="15"/>
      <c r="KEM1112" s="15"/>
      <c r="KEN1112" s="15"/>
      <c r="KEQ1112" s="15"/>
      <c r="KER1112" s="15"/>
      <c r="KEU1112" s="15"/>
      <c r="KEV1112" s="15"/>
      <c r="KEY1112" s="15"/>
      <c r="KEZ1112" s="15"/>
      <c r="KFC1112" s="15"/>
      <c r="KFD1112" s="15"/>
      <c r="KFG1112" s="15"/>
      <c r="KFH1112" s="15"/>
      <c r="KFK1112" s="15"/>
      <c r="KFL1112" s="15"/>
      <c r="KFO1112" s="15"/>
      <c r="KFP1112" s="15"/>
      <c r="KFS1112" s="15"/>
      <c r="KFT1112" s="15"/>
      <c r="KFW1112" s="15"/>
      <c r="KFX1112" s="15"/>
      <c r="KGA1112" s="15"/>
      <c r="KGB1112" s="15"/>
      <c r="KGE1112" s="15"/>
      <c r="KGF1112" s="15"/>
      <c r="KGI1112" s="15"/>
      <c r="KGJ1112" s="15"/>
      <c r="KGM1112" s="15"/>
      <c r="KGN1112" s="15"/>
      <c r="KGQ1112" s="15"/>
      <c r="KGR1112" s="15"/>
      <c r="KGU1112" s="15"/>
      <c r="KGV1112" s="15"/>
      <c r="KGY1112" s="15"/>
      <c r="KGZ1112" s="15"/>
      <c r="KHC1112" s="15"/>
      <c r="KHD1112" s="15"/>
      <c r="KHG1112" s="15"/>
      <c r="KHH1112" s="15"/>
      <c r="KHK1112" s="15"/>
      <c r="KHL1112" s="15"/>
      <c r="KHO1112" s="15"/>
      <c r="KHP1112" s="15"/>
      <c r="KHS1112" s="15"/>
      <c r="KHT1112" s="15"/>
      <c r="KHW1112" s="15"/>
      <c r="KHX1112" s="15"/>
      <c r="KIA1112" s="15"/>
      <c r="KIB1112" s="15"/>
      <c r="KIE1112" s="15"/>
      <c r="KIF1112" s="15"/>
      <c r="KII1112" s="15"/>
      <c r="KIJ1112" s="15"/>
      <c r="KIM1112" s="15"/>
      <c r="KIN1112" s="15"/>
      <c r="KIQ1112" s="15"/>
      <c r="KIR1112" s="15"/>
      <c r="KIU1112" s="15"/>
      <c r="KIV1112" s="15"/>
      <c r="KIY1112" s="15"/>
      <c r="KIZ1112" s="15"/>
      <c r="KJC1112" s="15"/>
      <c r="KJD1112" s="15"/>
      <c r="KJG1112" s="15"/>
      <c r="KJH1112" s="15"/>
      <c r="KJK1112" s="15"/>
      <c r="KJL1112" s="15"/>
      <c r="KJO1112" s="15"/>
      <c r="KJP1112" s="15"/>
      <c r="KJS1112" s="15"/>
      <c r="KJT1112" s="15"/>
      <c r="KJW1112" s="15"/>
      <c r="KJX1112" s="15"/>
      <c r="KKA1112" s="15"/>
      <c r="KKB1112" s="15"/>
      <c r="KKE1112" s="15"/>
      <c r="KKF1112" s="15"/>
      <c r="KKI1112" s="15"/>
      <c r="KKJ1112" s="15"/>
      <c r="KKM1112" s="15"/>
      <c r="KKN1112" s="15"/>
      <c r="KKQ1112" s="15"/>
      <c r="KKR1112" s="15"/>
      <c r="KKU1112" s="15"/>
      <c r="KKV1112" s="15"/>
      <c r="KKY1112" s="15"/>
      <c r="KKZ1112" s="15"/>
      <c r="KLC1112" s="15"/>
      <c r="KLD1112" s="15"/>
      <c r="KLG1112" s="15"/>
      <c r="KLH1112" s="15"/>
      <c r="KLK1112" s="15"/>
      <c r="KLL1112" s="15"/>
      <c r="KLO1112" s="15"/>
      <c r="KLP1112" s="15"/>
      <c r="KLS1112" s="15"/>
      <c r="KLT1112" s="15"/>
      <c r="KLW1112" s="15"/>
      <c r="KLX1112" s="15"/>
      <c r="KMA1112" s="15"/>
      <c r="KMB1112" s="15"/>
      <c r="KME1112" s="15"/>
      <c r="KMF1112" s="15"/>
      <c r="KMI1112" s="15"/>
      <c r="KMJ1112" s="15"/>
      <c r="KMM1112" s="15"/>
      <c r="KMN1112" s="15"/>
      <c r="KMQ1112" s="15"/>
      <c r="KMR1112" s="15"/>
      <c r="KMU1112" s="15"/>
      <c r="KMV1112" s="15"/>
      <c r="KMY1112" s="15"/>
      <c r="KMZ1112" s="15"/>
      <c r="KNC1112" s="15"/>
      <c r="KND1112" s="15"/>
      <c r="KNG1112" s="15"/>
      <c r="KNH1112" s="15"/>
      <c r="KNK1112" s="15"/>
      <c r="KNL1112" s="15"/>
      <c r="KNO1112" s="15"/>
      <c r="KNP1112" s="15"/>
      <c r="KNS1112" s="15"/>
      <c r="KNT1112" s="15"/>
      <c r="KNW1112" s="15"/>
      <c r="KNX1112" s="15"/>
      <c r="KOA1112" s="15"/>
      <c r="KOB1112" s="15"/>
      <c r="KOE1112" s="15"/>
      <c r="KOF1112" s="15"/>
      <c r="KOI1112" s="15"/>
      <c r="KOJ1112" s="15"/>
      <c r="KOM1112" s="15"/>
      <c r="KON1112" s="15"/>
      <c r="KOQ1112" s="15"/>
      <c r="KOR1112" s="15"/>
      <c r="KOU1112" s="15"/>
      <c r="KOV1112" s="15"/>
      <c r="KOY1112" s="15"/>
      <c r="KOZ1112" s="15"/>
      <c r="KPC1112" s="15"/>
      <c r="KPD1112" s="15"/>
      <c r="KPG1112" s="15"/>
      <c r="KPH1112" s="15"/>
      <c r="KPK1112" s="15"/>
      <c r="KPL1112" s="15"/>
      <c r="KPO1112" s="15"/>
      <c r="KPP1112" s="15"/>
      <c r="KPS1112" s="15"/>
      <c r="KPT1112" s="15"/>
      <c r="KPW1112" s="15"/>
      <c r="KPX1112" s="15"/>
      <c r="KQA1112" s="15"/>
      <c r="KQB1112" s="15"/>
      <c r="KQE1112" s="15"/>
      <c r="KQF1112" s="15"/>
      <c r="KQI1112" s="15"/>
      <c r="KQJ1112" s="15"/>
      <c r="KQM1112" s="15"/>
      <c r="KQN1112" s="15"/>
      <c r="KQQ1112" s="15"/>
      <c r="KQR1112" s="15"/>
      <c r="KQU1112" s="15"/>
      <c r="KQV1112" s="15"/>
      <c r="KQY1112" s="15"/>
      <c r="KQZ1112" s="15"/>
      <c r="KRC1112" s="15"/>
      <c r="KRD1112" s="15"/>
      <c r="KRG1112" s="15"/>
      <c r="KRH1112" s="15"/>
      <c r="KRK1112" s="15"/>
      <c r="KRL1112" s="15"/>
      <c r="KRO1112" s="15"/>
      <c r="KRP1112" s="15"/>
      <c r="KRS1112" s="15"/>
      <c r="KRT1112" s="15"/>
      <c r="KRW1112" s="15"/>
      <c r="KRX1112" s="15"/>
      <c r="KSA1112" s="15"/>
      <c r="KSB1112" s="15"/>
      <c r="KSE1112" s="15"/>
      <c r="KSF1112" s="15"/>
      <c r="KSI1112" s="15"/>
      <c r="KSJ1112" s="15"/>
      <c r="KSM1112" s="15"/>
      <c r="KSN1112" s="15"/>
      <c r="KSQ1112" s="15"/>
      <c r="KSR1112" s="15"/>
      <c r="KSU1112" s="15"/>
      <c r="KSV1112" s="15"/>
      <c r="KSY1112" s="15"/>
      <c r="KSZ1112" s="15"/>
      <c r="KTC1112" s="15"/>
      <c r="KTD1112" s="15"/>
      <c r="KTG1112" s="15"/>
      <c r="KTH1112" s="15"/>
      <c r="KTK1112" s="15"/>
      <c r="KTL1112" s="15"/>
      <c r="KTO1112" s="15"/>
      <c r="KTP1112" s="15"/>
      <c r="KTS1112" s="15"/>
      <c r="KTT1112" s="15"/>
      <c r="KTW1112" s="15"/>
      <c r="KTX1112" s="15"/>
      <c r="KUA1112" s="15"/>
      <c r="KUB1112" s="15"/>
      <c r="KUE1112" s="15"/>
      <c r="KUF1112" s="15"/>
      <c r="KUI1112" s="15"/>
      <c r="KUJ1112" s="15"/>
      <c r="KUM1112" s="15"/>
      <c r="KUN1112" s="15"/>
      <c r="KUQ1112" s="15"/>
      <c r="KUR1112" s="15"/>
      <c r="KUU1112" s="15"/>
      <c r="KUV1112" s="15"/>
      <c r="KUY1112" s="15"/>
      <c r="KUZ1112" s="15"/>
      <c r="KVC1112" s="15"/>
      <c r="KVD1112" s="15"/>
      <c r="KVG1112" s="15"/>
      <c r="KVH1112" s="15"/>
      <c r="KVK1112" s="15"/>
      <c r="KVL1112" s="15"/>
      <c r="KVO1112" s="15"/>
      <c r="KVP1112" s="15"/>
      <c r="KVS1112" s="15"/>
      <c r="KVT1112" s="15"/>
      <c r="KVW1112" s="15"/>
      <c r="KVX1112" s="15"/>
      <c r="KWA1112" s="15"/>
      <c r="KWB1112" s="15"/>
      <c r="KWE1112" s="15"/>
      <c r="KWF1112" s="15"/>
      <c r="KWI1112" s="15"/>
      <c r="KWJ1112" s="15"/>
      <c r="KWM1112" s="15"/>
      <c r="KWN1112" s="15"/>
      <c r="KWQ1112" s="15"/>
      <c r="KWR1112" s="15"/>
      <c r="KWU1112" s="15"/>
      <c r="KWV1112" s="15"/>
      <c r="KWY1112" s="15"/>
      <c r="KWZ1112" s="15"/>
      <c r="KXC1112" s="15"/>
      <c r="KXD1112" s="15"/>
      <c r="KXG1112" s="15"/>
      <c r="KXH1112" s="15"/>
      <c r="KXK1112" s="15"/>
      <c r="KXL1112" s="15"/>
      <c r="KXO1112" s="15"/>
      <c r="KXP1112" s="15"/>
      <c r="KXS1112" s="15"/>
      <c r="KXT1112" s="15"/>
      <c r="KXW1112" s="15"/>
      <c r="KXX1112" s="15"/>
      <c r="KYA1112" s="15"/>
      <c r="KYB1112" s="15"/>
      <c r="KYE1112" s="15"/>
      <c r="KYF1112" s="15"/>
      <c r="KYI1112" s="15"/>
      <c r="KYJ1112" s="15"/>
      <c r="KYM1112" s="15"/>
      <c r="KYN1112" s="15"/>
      <c r="KYQ1112" s="15"/>
      <c r="KYR1112" s="15"/>
      <c r="KYU1112" s="15"/>
      <c r="KYV1112" s="15"/>
      <c r="KYY1112" s="15"/>
      <c r="KYZ1112" s="15"/>
      <c r="KZC1112" s="15"/>
      <c r="KZD1112" s="15"/>
      <c r="KZG1112" s="15"/>
      <c r="KZH1112" s="15"/>
      <c r="KZK1112" s="15"/>
      <c r="KZL1112" s="15"/>
      <c r="KZO1112" s="15"/>
      <c r="KZP1112" s="15"/>
      <c r="KZS1112" s="15"/>
      <c r="KZT1112" s="15"/>
      <c r="KZW1112" s="15"/>
      <c r="KZX1112" s="15"/>
      <c r="LAA1112" s="15"/>
      <c r="LAB1112" s="15"/>
      <c r="LAE1112" s="15"/>
      <c r="LAF1112" s="15"/>
      <c r="LAI1112" s="15"/>
      <c r="LAJ1112" s="15"/>
      <c r="LAM1112" s="15"/>
      <c r="LAN1112" s="15"/>
      <c r="LAQ1112" s="15"/>
      <c r="LAR1112" s="15"/>
      <c r="LAU1112" s="15"/>
      <c r="LAV1112" s="15"/>
      <c r="LAY1112" s="15"/>
      <c r="LAZ1112" s="15"/>
      <c r="LBC1112" s="15"/>
      <c r="LBD1112" s="15"/>
      <c r="LBG1112" s="15"/>
      <c r="LBH1112" s="15"/>
      <c r="LBK1112" s="15"/>
      <c r="LBL1112" s="15"/>
      <c r="LBO1112" s="15"/>
      <c r="LBP1112" s="15"/>
      <c r="LBS1112" s="15"/>
      <c r="LBT1112" s="15"/>
      <c r="LBW1112" s="15"/>
      <c r="LBX1112" s="15"/>
      <c r="LCA1112" s="15"/>
      <c r="LCB1112" s="15"/>
      <c r="LCE1112" s="15"/>
      <c r="LCF1112" s="15"/>
      <c r="LCI1112" s="15"/>
      <c r="LCJ1112" s="15"/>
      <c r="LCM1112" s="15"/>
      <c r="LCN1112" s="15"/>
      <c r="LCQ1112" s="15"/>
      <c r="LCR1112" s="15"/>
      <c r="LCU1112" s="15"/>
      <c r="LCV1112" s="15"/>
      <c r="LCY1112" s="15"/>
      <c r="LCZ1112" s="15"/>
      <c r="LDC1112" s="15"/>
      <c r="LDD1112" s="15"/>
      <c r="LDG1112" s="15"/>
      <c r="LDH1112" s="15"/>
      <c r="LDK1112" s="15"/>
      <c r="LDL1112" s="15"/>
      <c r="LDO1112" s="15"/>
      <c r="LDP1112" s="15"/>
      <c r="LDS1112" s="15"/>
      <c r="LDT1112" s="15"/>
      <c r="LDW1112" s="15"/>
      <c r="LDX1112" s="15"/>
      <c r="LEA1112" s="15"/>
      <c r="LEB1112" s="15"/>
      <c r="LEE1112" s="15"/>
      <c r="LEF1112" s="15"/>
      <c r="LEI1112" s="15"/>
      <c r="LEJ1112" s="15"/>
      <c r="LEM1112" s="15"/>
      <c r="LEN1112" s="15"/>
      <c r="LEQ1112" s="15"/>
      <c r="LER1112" s="15"/>
      <c r="LEU1112" s="15"/>
      <c r="LEV1112" s="15"/>
      <c r="LEY1112" s="15"/>
      <c r="LEZ1112" s="15"/>
      <c r="LFC1112" s="15"/>
      <c r="LFD1112" s="15"/>
      <c r="LFG1112" s="15"/>
      <c r="LFH1112" s="15"/>
      <c r="LFK1112" s="15"/>
      <c r="LFL1112" s="15"/>
      <c r="LFO1112" s="15"/>
      <c r="LFP1112" s="15"/>
      <c r="LFS1112" s="15"/>
      <c r="LFT1112" s="15"/>
      <c r="LFW1112" s="15"/>
      <c r="LFX1112" s="15"/>
      <c r="LGA1112" s="15"/>
      <c r="LGB1112" s="15"/>
      <c r="LGE1112" s="15"/>
      <c r="LGF1112" s="15"/>
      <c r="LGI1112" s="15"/>
      <c r="LGJ1112" s="15"/>
      <c r="LGM1112" s="15"/>
      <c r="LGN1112" s="15"/>
      <c r="LGQ1112" s="15"/>
      <c r="LGR1112" s="15"/>
      <c r="LGU1112" s="15"/>
      <c r="LGV1112" s="15"/>
      <c r="LGY1112" s="15"/>
      <c r="LGZ1112" s="15"/>
      <c r="LHC1112" s="15"/>
      <c r="LHD1112" s="15"/>
      <c r="LHG1112" s="15"/>
      <c r="LHH1112" s="15"/>
      <c r="LHK1112" s="15"/>
      <c r="LHL1112" s="15"/>
      <c r="LHO1112" s="15"/>
      <c r="LHP1112" s="15"/>
      <c r="LHS1112" s="15"/>
      <c r="LHT1112" s="15"/>
      <c r="LHW1112" s="15"/>
      <c r="LHX1112" s="15"/>
      <c r="LIA1112" s="15"/>
      <c r="LIB1112" s="15"/>
      <c r="LIE1112" s="15"/>
      <c r="LIF1112" s="15"/>
      <c r="LII1112" s="15"/>
      <c r="LIJ1112" s="15"/>
      <c r="LIM1112" s="15"/>
      <c r="LIN1112" s="15"/>
      <c r="LIQ1112" s="15"/>
      <c r="LIR1112" s="15"/>
      <c r="LIU1112" s="15"/>
      <c r="LIV1112" s="15"/>
      <c r="LIY1112" s="15"/>
      <c r="LIZ1112" s="15"/>
      <c r="LJC1112" s="15"/>
      <c r="LJD1112" s="15"/>
      <c r="LJG1112" s="15"/>
      <c r="LJH1112" s="15"/>
      <c r="LJK1112" s="15"/>
      <c r="LJL1112" s="15"/>
      <c r="LJO1112" s="15"/>
      <c r="LJP1112" s="15"/>
      <c r="LJS1112" s="15"/>
      <c r="LJT1112" s="15"/>
      <c r="LJW1112" s="15"/>
      <c r="LJX1112" s="15"/>
      <c r="LKA1112" s="15"/>
      <c r="LKB1112" s="15"/>
      <c r="LKE1112" s="15"/>
      <c r="LKF1112" s="15"/>
      <c r="LKI1112" s="15"/>
      <c r="LKJ1112" s="15"/>
      <c r="LKM1112" s="15"/>
      <c r="LKN1112" s="15"/>
      <c r="LKQ1112" s="15"/>
      <c r="LKR1112" s="15"/>
      <c r="LKU1112" s="15"/>
      <c r="LKV1112" s="15"/>
      <c r="LKY1112" s="15"/>
      <c r="LKZ1112" s="15"/>
      <c r="LLC1112" s="15"/>
      <c r="LLD1112" s="15"/>
      <c r="LLG1112" s="15"/>
      <c r="LLH1112" s="15"/>
      <c r="LLK1112" s="15"/>
      <c r="LLL1112" s="15"/>
      <c r="LLO1112" s="15"/>
      <c r="LLP1112" s="15"/>
      <c r="LLS1112" s="15"/>
      <c r="LLT1112" s="15"/>
      <c r="LLW1112" s="15"/>
      <c r="LLX1112" s="15"/>
      <c r="LMA1112" s="15"/>
      <c r="LMB1112" s="15"/>
      <c r="LME1112" s="15"/>
      <c r="LMF1112" s="15"/>
      <c r="LMI1112" s="15"/>
      <c r="LMJ1112" s="15"/>
      <c r="LMM1112" s="15"/>
      <c r="LMN1112" s="15"/>
      <c r="LMQ1112" s="15"/>
      <c r="LMR1112" s="15"/>
      <c r="LMU1112" s="15"/>
      <c r="LMV1112" s="15"/>
      <c r="LMY1112" s="15"/>
      <c r="LMZ1112" s="15"/>
      <c r="LNC1112" s="15"/>
      <c r="LND1112" s="15"/>
      <c r="LNG1112" s="15"/>
      <c r="LNH1112" s="15"/>
      <c r="LNK1112" s="15"/>
      <c r="LNL1112" s="15"/>
      <c r="LNO1112" s="15"/>
      <c r="LNP1112" s="15"/>
      <c r="LNS1112" s="15"/>
      <c r="LNT1112" s="15"/>
      <c r="LNW1112" s="15"/>
      <c r="LNX1112" s="15"/>
      <c r="LOA1112" s="15"/>
      <c r="LOB1112" s="15"/>
      <c r="LOE1112" s="15"/>
      <c r="LOF1112" s="15"/>
      <c r="LOI1112" s="15"/>
      <c r="LOJ1112" s="15"/>
      <c r="LOM1112" s="15"/>
      <c r="LON1112" s="15"/>
      <c r="LOQ1112" s="15"/>
      <c r="LOR1112" s="15"/>
      <c r="LOU1112" s="15"/>
      <c r="LOV1112" s="15"/>
      <c r="LOY1112" s="15"/>
      <c r="LOZ1112" s="15"/>
      <c r="LPC1112" s="15"/>
      <c r="LPD1112" s="15"/>
      <c r="LPG1112" s="15"/>
      <c r="LPH1112" s="15"/>
      <c r="LPK1112" s="15"/>
      <c r="LPL1112" s="15"/>
      <c r="LPO1112" s="15"/>
      <c r="LPP1112" s="15"/>
      <c r="LPS1112" s="15"/>
      <c r="LPT1112" s="15"/>
      <c r="LPW1112" s="15"/>
      <c r="LPX1112" s="15"/>
      <c r="LQA1112" s="15"/>
      <c r="LQB1112" s="15"/>
      <c r="LQE1112" s="15"/>
      <c r="LQF1112" s="15"/>
      <c r="LQI1112" s="15"/>
      <c r="LQJ1112" s="15"/>
      <c r="LQM1112" s="15"/>
      <c r="LQN1112" s="15"/>
      <c r="LQQ1112" s="15"/>
      <c r="LQR1112" s="15"/>
      <c r="LQU1112" s="15"/>
      <c r="LQV1112" s="15"/>
      <c r="LQY1112" s="15"/>
      <c r="LQZ1112" s="15"/>
      <c r="LRC1112" s="15"/>
      <c r="LRD1112" s="15"/>
      <c r="LRG1112" s="15"/>
      <c r="LRH1112" s="15"/>
      <c r="LRK1112" s="15"/>
      <c r="LRL1112" s="15"/>
      <c r="LRO1112" s="15"/>
      <c r="LRP1112" s="15"/>
      <c r="LRS1112" s="15"/>
      <c r="LRT1112" s="15"/>
      <c r="LRW1112" s="15"/>
      <c r="LRX1112" s="15"/>
      <c r="LSA1112" s="15"/>
      <c r="LSB1112" s="15"/>
      <c r="LSE1112" s="15"/>
      <c r="LSF1112" s="15"/>
      <c r="LSI1112" s="15"/>
      <c r="LSJ1112" s="15"/>
      <c r="LSM1112" s="15"/>
      <c r="LSN1112" s="15"/>
      <c r="LSQ1112" s="15"/>
      <c r="LSR1112" s="15"/>
      <c r="LSU1112" s="15"/>
      <c r="LSV1112" s="15"/>
      <c r="LSY1112" s="15"/>
      <c r="LSZ1112" s="15"/>
      <c r="LTC1112" s="15"/>
      <c r="LTD1112" s="15"/>
      <c r="LTG1112" s="15"/>
      <c r="LTH1112" s="15"/>
      <c r="LTK1112" s="15"/>
      <c r="LTL1112" s="15"/>
      <c r="LTO1112" s="15"/>
      <c r="LTP1112" s="15"/>
      <c r="LTS1112" s="15"/>
      <c r="LTT1112" s="15"/>
      <c r="LTW1112" s="15"/>
      <c r="LTX1112" s="15"/>
      <c r="LUA1112" s="15"/>
      <c r="LUB1112" s="15"/>
      <c r="LUE1112" s="15"/>
      <c r="LUF1112" s="15"/>
      <c r="LUI1112" s="15"/>
      <c r="LUJ1112" s="15"/>
      <c r="LUM1112" s="15"/>
      <c r="LUN1112" s="15"/>
      <c r="LUQ1112" s="15"/>
      <c r="LUR1112" s="15"/>
      <c r="LUU1112" s="15"/>
      <c r="LUV1112" s="15"/>
      <c r="LUY1112" s="15"/>
      <c r="LUZ1112" s="15"/>
      <c r="LVC1112" s="15"/>
      <c r="LVD1112" s="15"/>
      <c r="LVG1112" s="15"/>
      <c r="LVH1112" s="15"/>
      <c r="LVK1112" s="15"/>
      <c r="LVL1112" s="15"/>
      <c r="LVO1112" s="15"/>
      <c r="LVP1112" s="15"/>
      <c r="LVS1112" s="15"/>
      <c r="LVT1112" s="15"/>
      <c r="LVW1112" s="15"/>
      <c r="LVX1112" s="15"/>
      <c r="LWA1112" s="15"/>
      <c r="LWB1112" s="15"/>
      <c r="LWE1112" s="15"/>
      <c r="LWF1112" s="15"/>
      <c r="LWI1112" s="15"/>
      <c r="LWJ1112" s="15"/>
      <c r="LWM1112" s="15"/>
      <c r="LWN1112" s="15"/>
      <c r="LWQ1112" s="15"/>
      <c r="LWR1112" s="15"/>
      <c r="LWU1112" s="15"/>
      <c r="LWV1112" s="15"/>
      <c r="LWY1112" s="15"/>
      <c r="LWZ1112" s="15"/>
      <c r="LXC1112" s="15"/>
      <c r="LXD1112" s="15"/>
      <c r="LXG1112" s="15"/>
      <c r="LXH1112" s="15"/>
      <c r="LXK1112" s="15"/>
      <c r="LXL1112" s="15"/>
      <c r="LXO1112" s="15"/>
      <c r="LXP1112" s="15"/>
      <c r="LXS1112" s="15"/>
      <c r="LXT1112" s="15"/>
      <c r="LXW1112" s="15"/>
      <c r="LXX1112" s="15"/>
      <c r="LYA1112" s="15"/>
      <c r="LYB1112" s="15"/>
      <c r="LYE1112" s="15"/>
      <c r="LYF1112" s="15"/>
      <c r="LYI1112" s="15"/>
      <c r="LYJ1112" s="15"/>
      <c r="LYM1112" s="15"/>
      <c r="LYN1112" s="15"/>
      <c r="LYQ1112" s="15"/>
      <c r="LYR1112" s="15"/>
      <c r="LYU1112" s="15"/>
      <c r="LYV1112" s="15"/>
      <c r="LYY1112" s="15"/>
      <c r="LYZ1112" s="15"/>
      <c r="LZC1112" s="15"/>
      <c r="LZD1112" s="15"/>
      <c r="LZG1112" s="15"/>
      <c r="LZH1112" s="15"/>
      <c r="LZK1112" s="15"/>
      <c r="LZL1112" s="15"/>
      <c r="LZO1112" s="15"/>
      <c r="LZP1112" s="15"/>
      <c r="LZS1112" s="15"/>
      <c r="LZT1112" s="15"/>
      <c r="LZW1112" s="15"/>
      <c r="LZX1112" s="15"/>
      <c r="MAA1112" s="15"/>
      <c r="MAB1112" s="15"/>
      <c r="MAE1112" s="15"/>
      <c r="MAF1112" s="15"/>
      <c r="MAI1112" s="15"/>
      <c r="MAJ1112" s="15"/>
      <c r="MAM1112" s="15"/>
      <c r="MAN1112" s="15"/>
      <c r="MAQ1112" s="15"/>
      <c r="MAR1112" s="15"/>
      <c r="MAU1112" s="15"/>
      <c r="MAV1112" s="15"/>
      <c r="MAY1112" s="15"/>
      <c r="MAZ1112" s="15"/>
      <c r="MBC1112" s="15"/>
      <c r="MBD1112" s="15"/>
      <c r="MBG1112" s="15"/>
      <c r="MBH1112" s="15"/>
      <c r="MBK1112" s="15"/>
      <c r="MBL1112" s="15"/>
      <c r="MBO1112" s="15"/>
      <c r="MBP1112" s="15"/>
      <c r="MBS1112" s="15"/>
      <c r="MBT1112" s="15"/>
      <c r="MBW1112" s="15"/>
      <c r="MBX1112" s="15"/>
      <c r="MCA1112" s="15"/>
      <c r="MCB1112" s="15"/>
      <c r="MCE1112" s="15"/>
      <c r="MCF1112" s="15"/>
      <c r="MCI1112" s="15"/>
      <c r="MCJ1112" s="15"/>
      <c r="MCM1112" s="15"/>
      <c r="MCN1112" s="15"/>
      <c r="MCQ1112" s="15"/>
      <c r="MCR1112" s="15"/>
      <c r="MCU1112" s="15"/>
      <c r="MCV1112" s="15"/>
      <c r="MCY1112" s="15"/>
      <c r="MCZ1112" s="15"/>
      <c r="MDC1112" s="15"/>
      <c r="MDD1112" s="15"/>
      <c r="MDG1112" s="15"/>
      <c r="MDH1112" s="15"/>
      <c r="MDK1112" s="15"/>
      <c r="MDL1112" s="15"/>
      <c r="MDO1112" s="15"/>
      <c r="MDP1112" s="15"/>
      <c r="MDS1112" s="15"/>
      <c r="MDT1112" s="15"/>
      <c r="MDW1112" s="15"/>
      <c r="MDX1112" s="15"/>
      <c r="MEA1112" s="15"/>
      <c r="MEB1112" s="15"/>
      <c r="MEE1112" s="15"/>
      <c r="MEF1112" s="15"/>
      <c r="MEI1112" s="15"/>
      <c r="MEJ1112" s="15"/>
      <c r="MEM1112" s="15"/>
      <c r="MEN1112" s="15"/>
      <c r="MEQ1112" s="15"/>
      <c r="MER1112" s="15"/>
      <c r="MEU1112" s="15"/>
      <c r="MEV1112" s="15"/>
      <c r="MEY1112" s="15"/>
      <c r="MEZ1112" s="15"/>
      <c r="MFC1112" s="15"/>
      <c r="MFD1112" s="15"/>
      <c r="MFG1112" s="15"/>
      <c r="MFH1112" s="15"/>
      <c r="MFK1112" s="15"/>
      <c r="MFL1112" s="15"/>
      <c r="MFO1112" s="15"/>
      <c r="MFP1112" s="15"/>
      <c r="MFS1112" s="15"/>
      <c r="MFT1112" s="15"/>
      <c r="MFW1112" s="15"/>
      <c r="MFX1112" s="15"/>
      <c r="MGA1112" s="15"/>
      <c r="MGB1112" s="15"/>
      <c r="MGE1112" s="15"/>
      <c r="MGF1112" s="15"/>
      <c r="MGI1112" s="15"/>
      <c r="MGJ1112" s="15"/>
      <c r="MGM1112" s="15"/>
      <c r="MGN1112" s="15"/>
      <c r="MGQ1112" s="15"/>
      <c r="MGR1112" s="15"/>
      <c r="MGU1112" s="15"/>
      <c r="MGV1112" s="15"/>
      <c r="MGY1112" s="15"/>
      <c r="MGZ1112" s="15"/>
      <c r="MHC1112" s="15"/>
      <c r="MHD1112" s="15"/>
      <c r="MHG1112" s="15"/>
      <c r="MHH1112" s="15"/>
      <c r="MHK1112" s="15"/>
      <c r="MHL1112" s="15"/>
      <c r="MHO1112" s="15"/>
      <c r="MHP1112" s="15"/>
      <c r="MHS1112" s="15"/>
      <c r="MHT1112" s="15"/>
      <c r="MHW1112" s="15"/>
      <c r="MHX1112" s="15"/>
      <c r="MIA1112" s="15"/>
      <c r="MIB1112" s="15"/>
      <c r="MIE1112" s="15"/>
      <c r="MIF1112" s="15"/>
      <c r="MII1112" s="15"/>
      <c r="MIJ1112" s="15"/>
      <c r="MIM1112" s="15"/>
      <c r="MIN1112" s="15"/>
      <c r="MIQ1112" s="15"/>
      <c r="MIR1112" s="15"/>
      <c r="MIU1112" s="15"/>
      <c r="MIV1112" s="15"/>
      <c r="MIY1112" s="15"/>
      <c r="MIZ1112" s="15"/>
      <c r="MJC1112" s="15"/>
      <c r="MJD1112" s="15"/>
      <c r="MJG1112" s="15"/>
      <c r="MJH1112" s="15"/>
      <c r="MJK1112" s="15"/>
      <c r="MJL1112" s="15"/>
      <c r="MJO1112" s="15"/>
      <c r="MJP1112" s="15"/>
      <c r="MJS1112" s="15"/>
      <c r="MJT1112" s="15"/>
      <c r="MJW1112" s="15"/>
      <c r="MJX1112" s="15"/>
      <c r="MKA1112" s="15"/>
      <c r="MKB1112" s="15"/>
      <c r="MKE1112" s="15"/>
      <c r="MKF1112" s="15"/>
      <c r="MKI1112" s="15"/>
      <c r="MKJ1112" s="15"/>
      <c r="MKM1112" s="15"/>
      <c r="MKN1112" s="15"/>
      <c r="MKQ1112" s="15"/>
      <c r="MKR1112" s="15"/>
      <c r="MKU1112" s="15"/>
      <c r="MKV1112" s="15"/>
      <c r="MKY1112" s="15"/>
      <c r="MKZ1112" s="15"/>
      <c r="MLC1112" s="15"/>
      <c r="MLD1112" s="15"/>
      <c r="MLG1112" s="15"/>
      <c r="MLH1112" s="15"/>
      <c r="MLK1112" s="15"/>
      <c r="MLL1112" s="15"/>
      <c r="MLO1112" s="15"/>
      <c r="MLP1112" s="15"/>
      <c r="MLS1112" s="15"/>
      <c r="MLT1112" s="15"/>
      <c r="MLW1112" s="15"/>
      <c r="MLX1112" s="15"/>
      <c r="MMA1112" s="15"/>
      <c r="MMB1112" s="15"/>
      <c r="MME1112" s="15"/>
      <c r="MMF1112" s="15"/>
      <c r="MMI1112" s="15"/>
      <c r="MMJ1112" s="15"/>
      <c r="MMM1112" s="15"/>
      <c r="MMN1112" s="15"/>
      <c r="MMQ1112" s="15"/>
      <c r="MMR1112" s="15"/>
      <c r="MMU1112" s="15"/>
      <c r="MMV1112" s="15"/>
      <c r="MMY1112" s="15"/>
      <c r="MMZ1112" s="15"/>
      <c r="MNC1112" s="15"/>
      <c r="MND1112" s="15"/>
      <c r="MNG1112" s="15"/>
      <c r="MNH1112" s="15"/>
      <c r="MNK1112" s="15"/>
      <c r="MNL1112" s="15"/>
      <c r="MNO1112" s="15"/>
      <c r="MNP1112" s="15"/>
      <c r="MNS1112" s="15"/>
      <c r="MNT1112" s="15"/>
      <c r="MNW1112" s="15"/>
      <c r="MNX1112" s="15"/>
      <c r="MOA1112" s="15"/>
      <c r="MOB1112" s="15"/>
      <c r="MOE1112" s="15"/>
      <c r="MOF1112" s="15"/>
      <c r="MOI1112" s="15"/>
      <c r="MOJ1112" s="15"/>
      <c r="MOM1112" s="15"/>
      <c r="MON1112" s="15"/>
      <c r="MOQ1112" s="15"/>
      <c r="MOR1112" s="15"/>
      <c r="MOU1112" s="15"/>
      <c r="MOV1112" s="15"/>
      <c r="MOY1112" s="15"/>
      <c r="MOZ1112" s="15"/>
      <c r="MPC1112" s="15"/>
      <c r="MPD1112" s="15"/>
      <c r="MPG1112" s="15"/>
      <c r="MPH1112" s="15"/>
      <c r="MPK1112" s="15"/>
      <c r="MPL1112" s="15"/>
      <c r="MPO1112" s="15"/>
      <c r="MPP1112" s="15"/>
      <c r="MPS1112" s="15"/>
      <c r="MPT1112" s="15"/>
      <c r="MPW1112" s="15"/>
      <c r="MPX1112" s="15"/>
      <c r="MQA1112" s="15"/>
      <c r="MQB1112" s="15"/>
      <c r="MQE1112" s="15"/>
      <c r="MQF1112" s="15"/>
      <c r="MQI1112" s="15"/>
      <c r="MQJ1112" s="15"/>
      <c r="MQM1112" s="15"/>
      <c r="MQN1112" s="15"/>
      <c r="MQQ1112" s="15"/>
      <c r="MQR1112" s="15"/>
      <c r="MQU1112" s="15"/>
      <c r="MQV1112" s="15"/>
      <c r="MQY1112" s="15"/>
      <c r="MQZ1112" s="15"/>
      <c r="MRC1112" s="15"/>
      <c r="MRD1112" s="15"/>
      <c r="MRG1112" s="15"/>
      <c r="MRH1112" s="15"/>
      <c r="MRK1112" s="15"/>
      <c r="MRL1112" s="15"/>
      <c r="MRO1112" s="15"/>
      <c r="MRP1112" s="15"/>
      <c r="MRS1112" s="15"/>
      <c r="MRT1112" s="15"/>
      <c r="MRW1112" s="15"/>
      <c r="MRX1112" s="15"/>
      <c r="MSA1112" s="15"/>
      <c r="MSB1112" s="15"/>
      <c r="MSE1112" s="15"/>
      <c r="MSF1112" s="15"/>
      <c r="MSI1112" s="15"/>
      <c r="MSJ1112" s="15"/>
      <c r="MSM1112" s="15"/>
      <c r="MSN1112" s="15"/>
      <c r="MSQ1112" s="15"/>
      <c r="MSR1112" s="15"/>
      <c r="MSU1112" s="15"/>
      <c r="MSV1112" s="15"/>
      <c r="MSY1112" s="15"/>
      <c r="MSZ1112" s="15"/>
      <c r="MTC1112" s="15"/>
      <c r="MTD1112" s="15"/>
      <c r="MTG1112" s="15"/>
      <c r="MTH1112" s="15"/>
      <c r="MTK1112" s="15"/>
      <c r="MTL1112" s="15"/>
      <c r="MTO1112" s="15"/>
      <c r="MTP1112" s="15"/>
      <c r="MTS1112" s="15"/>
      <c r="MTT1112" s="15"/>
      <c r="MTW1112" s="15"/>
      <c r="MTX1112" s="15"/>
      <c r="MUA1112" s="15"/>
      <c r="MUB1112" s="15"/>
      <c r="MUE1112" s="15"/>
      <c r="MUF1112" s="15"/>
      <c r="MUI1112" s="15"/>
      <c r="MUJ1112" s="15"/>
      <c r="MUM1112" s="15"/>
      <c r="MUN1112" s="15"/>
      <c r="MUQ1112" s="15"/>
      <c r="MUR1112" s="15"/>
      <c r="MUU1112" s="15"/>
      <c r="MUV1112" s="15"/>
      <c r="MUY1112" s="15"/>
      <c r="MUZ1112" s="15"/>
      <c r="MVC1112" s="15"/>
      <c r="MVD1112" s="15"/>
      <c r="MVG1112" s="15"/>
      <c r="MVH1112" s="15"/>
      <c r="MVK1112" s="15"/>
      <c r="MVL1112" s="15"/>
      <c r="MVO1112" s="15"/>
      <c r="MVP1112" s="15"/>
      <c r="MVS1112" s="15"/>
      <c r="MVT1112" s="15"/>
      <c r="MVW1112" s="15"/>
      <c r="MVX1112" s="15"/>
      <c r="MWA1112" s="15"/>
      <c r="MWB1112" s="15"/>
      <c r="MWE1112" s="15"/>
      <c r="MWF1112" s="15"/>
      <c r="MWI1112" s="15"/>
      <c r="MWJ1112" s="15"/>
      <c r="MWM1112" s="15"/>
      <c r="MWN1112" s="15"/>
      <c r="MWQ1112" s="15"/>
      <c r="MWR1112" s="15"/>
      <c r="MWU1112" s="15"/>
      <c r="MWV1112" s="15"/>
      <c r="MWY1112" s="15"/>
      <c r="MWZ1112" s="15"/>
      <c r="MXC1112" s="15"/>
      <c r="MXD1112" s="15"/>
      <c r="MXG1112" s="15"/>
      <c r="MXH1112" s="15"/>
      <c r="MXK1112" s="15"/>
      <c r="MXL1112" s="15"/>
      <c r="MXO1112" s="15"/>
      <c r="MXP1112" s="15"/>
      <c r="MXS1112" s="15"/>
      <c r="MXT1112" s="15"/>
      <c r="MXW1112" s="15"/>
      <c r="MXX1112" s="15"/>
      <c r="MYA1112" s="15"/>
      <c r="MYB1112" s="15"/>
      <c r="MYE1112" s="15"/>
      <c r="MYF1112" s="15"/>
      <c r="MYI1112" s="15"/>
      <c r="MYJ1112" s="15"/>
      <c r="MYM1112" s="15"/>
      <c r="MYN1112" s="15"/>
      <c r="MYQ1112" s="15"/>
      <c r="MYR1112" s="15"/>
      <c r="MYU1112" s="15"/>
      <c r="MYV1112" s="15"/>
      <c r="MYY1112" s="15"/>
      <c r="MYZ1112" s="15"/>
      <c r="MZC1112" s="15"/>
      <c r="MZD1112" s="15"/>
      <c r="MZG1112" s="15"/>
      <c r="MZH1112" s="15"/>
      <c r="MZK1112" s="15"/>
      <c r="MZL1112" s="15"/>
      <c r="MZO1112" s="15"/>
      <c r="MZP1112" s="15"/>
      <c r="MZS1112" s="15"/>
      <c r="MZT1112" s="15"/>
      <c r="MZW1112" s="15"/>
      <c r="MZX1112" s="15"/>
      <c r="NAA1112" s="15"/>
      <c r="NAB1112" s="15"/>
      <c r="NAE1112" s="15"/>
      <c r="NAF1112" s="15"/>
      <c r="NAI1112" s="15"/>
      <c r="NAJ1112" s="15"/>
      <c r="NAM1112" s="15"/>
      <c r="NAN1112" s="15"/>
      <c r="NAQ1112" s="15"/>
      <c r="NAR1112" s="15"/>
      <c r="NAU1112" s="15"/>
      <c r="NAV1112" s="15"/>
      <c r="NAY1112" s="15"/>
      <c r="NAZ1112" s="15"/>
      <c r="NBC1112" s="15"/>
      <c r="NBD1112" s="15"/>
      <c r="NBG1112" s="15"/>
      <c r="NBH1112" s="15"/>
      <c r="NBK1112" s="15"/>
      <c r="NBL1112" s="15"/>
      <c r="NBO1112" s="15"/>
      <c r="NBP1112" s="15"/>
      <c r="NBS1112" s="15"/>
      <c r="NBT1112" s="15"/>
      <c r="NBW1112" s="15"/>
      <c r="NBX1112" s="15"/>
      <c r="NCA1112" s="15"/>
      <c r="NCB1112" s="15"/>
      <c r="NCE1112" s="15"/>
      <c r="NCF1112" s="15"/>
      <c r="NCI1112" s="15"/>
      <c r="NCJ1112" s="15"/>
      <c r="NCM1112" s="15"/>
      <c r="NCN1112" s="15"/>
      <c r="NCQ1112" s="15"/>
      <c r="NCR1112" s="15"/>
      <c r="NCU1112" s="15"/>
      <c r="NCV1112" s="15"/>
      <c r="NCY1112" s="15"/>
      <c r="NCZ1112" s="15"/>
      <c r="NDC1112" s="15"/>
      <c r="NDD1112" s="15"/>
      <c r="NDG1112" s="15"/>
      <c r="NDH1112" s="15"/>
      <c r="NDK1112" s="15"/>
      <c r="NDL1112" s="15"/>
      <c r="NDO1112" s="15"/>
      <c r="NDP1112" s="15"/>
      <c r="NDS1112" s="15"/>
      <c r="NDT1112" s="15"/>
      <c r="NDW1112" s="15"/>
      <c r="NDX1112" s="15"/>
      <c r="NEA1112" s="15"/>
      <c r="NEB1112" s="15"/>
      <c r="NEE1112" s="15"/>
      <c r="NEF1112" s="15"/>
      <c r="NEI1112" s="15"/>
      <c r="NEJ1112" s="15"/>
      <c r="NEM1112" s="15"/>
      <c r="NEN1112" s="15"/>
      <c r="NEQ1112" s="15"/>
      <c r="NER1112" s="15"/>
      <c r="NEU1112" s="15"/>
      <c r="NEV1112" s="15"/>
      <c r="NEY1112" s="15"/>
      <c r="NEZ1112" s="15"/>
      <c r="NFC1112" s="15"/>
      <c r="NFD1112" s="15"/>
      <c r="NFG1112" s="15"/>
      <c r="NFH1112" s="15"/>
      <c r="NFK1112" s="15"/>
      <c r="NFL1112" s="15"/>
      <c r="NFO1112" s="15"/>
      <c r="NFP1112" s="15"/>
      <c r="NFS1112" s="15"/>
      <c r="NFT1112" s="15"/>
      <c r="NFW1112" s="15"/>
      <c r="NFX1112" s="15"/>
      <c r="NGA1112" s="15"/>
      <c r="NGB1112" s="15"/>
      <c r="NGE1112" s="15"/>
      <c r="NGF1112" s="15"/>
      <c r="NGI1112" s="15"/>
      <c r="NGJ1112" s="15"/>
      <c r="NGM1112" s="15"/>
      <c r="NGN1112" s="15"/>
      <c r="NGQ1112" s="15"/>
      <c r="NGR1112" s="15"/>
      <c r="NGU1112" s="15"/>
      <c r="NGV1112" s="15"/>
      <c r="NGY1112" s="15"/>
      <c r="NGZ1112" s="15"/>
      <c r="NHC1112" s="15"/>
      <c r="NHD1112" s="15"/>
      <c r="NHG1112" s="15"/>
      <c r="NHH1112" s="15"/>
      <c r="NHK1112" s="15"/>
      <c r="NHL1112" s="15"/>
      <c r="NHO1112" s="15"/>
      <c r="NHP1112" s="15"/>
      <c r="NHS1112" s="15"/>
      <c r="NHT1112" s="15"/>
      <c r="NHW1112" s="15"/>
      <c r="NHX1112" s="15"/>
      <c r="NIA1112" s="15"/>
      <c r="NIB1112" s="15"/>
      <c r="NIE1112" s="15"/>
      <c r="NIF1112" s="15"/>
      <c r="NII1112" s="15"/>
      <c r="NIJ1112" s="15"/>
      <c r="NIM1112" s="15"/>
      <c r="NIN1112" s="15"/>
      <c r="NIQ1112" s="15"/>
      <c r="NIR1112" s="15"/>
      <c r="NIU1112" s="15"/>
      <c r="NIV1112" s="15"/>
      <c r="NIY1112" s="15"/>
      <c r="NIZ1112" s="15"/>
      <c r="NJC1112" s="15"/>
      <c r="NJD1112" s="15"/>
      <c r="NJG1112" s="15"/>
      <c r="NJH1112" s="15"/>
      <c r="NJK1112" s="15"/>
      <c r="NJL1112" s="15"/>
      <c r="NJO1112" s="15"/>
      <c r="NJP1112" s="15"/>
      <c r="NJS1112" s="15"/>
      <c r="NJT1112" s="15"/>
      <c r="NJW1112" s="15"/>
      <c r="NJX1112" s="15"/>
      <c r="NKA1112" s="15"/>
      <c r="NKB1112" s="15"/>
      <c r="NKE1112" s="15"/>
      <c r="NKF1112" s="15"/>
      <c r="NKI1112" s="15"/>
      <c r="NKJ1112" s="15"/>
      <c r="NKM1112" s="15"/>
      <c r="NKN1112" s="15"/>
      <c r="NKQ1112" s="15"/>
      <c r="NKR1112" s="15"/>
      <c r="NKU1112" s="15"/>
      <c r="NKV1112" s="15"/>
      <c r="NKY1112" s="15"/>
      <c r="NKZ1112" s="15"/>
      <c r="NLC1112" s="15"/>
      <c r="NLD1112" s="15"/>
      <c r="NLG1112" s="15"/>
      <c r="NLH1112" s="15"/>
      <c r="NLK1112" s="15"/>
      <c r="NLL1112" s="15"/>
      <c r="NLO1112" s="15"/>
      <c r="NLP1112" s="15"/>
      <c r="NLS1112" s="15"/>
      <c r="NLT1112" s="15"/>
      <c r="NLW1112" s="15"/>
      <c r="NLX1112" s="15"/>
      <c r="NMA1112" s="15"/>
      <c r="NMB1112" s="15"/>
      <c r="NME1112" s="15"/>
      <c r="NMF1112" s="15"/>
      <c r="NMI1112" s="15"/>
      <c r="NMJ1112" s="15"/>
      <c r="NMM1112" s="15"/>
      <c r="NMN1112" s="15"/>
      <c r="NMQ1112" s="15"/>
      <c r="NMR1112" s="15"/>
      <c r="NMU1112" s="15"/>
      <c r="NMV1112" s="15"/>
      <c r="NMY1112" s="15"/>
      <c r="NMZ1112" s="15"/>
      <c r="NNC1112" s="15"/>
      <c r="NND1112" s="15"/>
      <c r="NNG1112" s="15"/>
      <c r="NNH1112" s="15"/>
      <c r="NNK1112" s="15"/>
      <c r="NNL1112" s="15"/>
      <c r="NNO1112" s="15"/>
      <c r="NNP1112" s="15"/>
      <c r="NNS1112" s="15"/>
      <c r="NNT1112" s="15"/>
      <c r="NNW1112" s="15"/>
      <c r="NNX1112" s="15"/>
      <c r="NOA1112" s="15"/>
      <c r="NOB1112" s="15"/>
      <c r="NOE1112" s="15"/>
      <c r="NOF1112" s="15"/>
      <c r="NOI1112" s="15"/>
      <c r="NOJ1112" s="15"/>
      <c r="NOM1112" s="15"/>
      <c r="NON1112" s="15"/>
      <c r="NOQ1112" s="15"/>
      <c r="NOR1112" s="15"/>
      <c r="NOU1112" s="15"/>
      <c r="NOV1112" s="15"/>
      <c r="NOY1112" s="15"/>
      <c r="NOZ1112" s="15"/>
      <c r="NPC1112" s="15"/>
      <c r="NPD1112" s="15"/>
      <c r="NPG1112" s="15"/>
      <c r="NPH1112" s="15"/>
      <c r="NPK1112" s="15"/>
      <c r="NPL1112" s="15"/>
      <c r="NPO1112" s="15"/>
      <c r="NPP1112" s="15"/>
      <c r="NPS1112" s="15"/>
      <c r="NPT1112" s="15"/>
      <c r="NPW1112" s="15"/>
      <c r="NPX1112" s="15"/>
      <c r="NQA1112" s="15"/>
      <c r="NQB1112" s="15"/>
      <c r="NQE1112" s="15"/>
      <c r="NQF1112" s="15"/>
      <c r="NQI1112" s="15"/>
      <c r="NQJ1112" s="15"/>
      <c r="NQM1112" s="15"/>
      <c r="NQN1112" s="15"/>
      <c r="NQQ1112" s="15"/>
      <c r="NQR1112" s="15"/>
      <c r="NQU1112" s="15"/>
      <c r="NQV1112" s="15"/>
      <c r="NQY1112" s="15"/>
      <c r="NQZ1112" s="15"/>
      <c r="NRC1112" s="15"/>
      <c r="NRD1112" s="15"/>
      <c r="NRG1112" s="15"/>
      <c r="NRH1112" s="15"/>
      <c r="NRK1112" s="15"/>
      <c r="NRL1112" s="15"/>
      <c r="NRO1112" s="15"/>
      <c r="NRP1112" s="15"/>
      <c r="NRS1112" s="15"/>
      <c r="NRT1112" s="15"/>
      <c r="NRW1112" s="15"/>
      <c r="NRX1112" s="15"/>
      <c r="NSA1112" s="15"/>
      <c r="NSB1112" s="15"/>
      <c r="NSE1112" s="15"/>
      <c r="NSF1112" s="15"/>
      <c r="NSI1112" s="15"/>
      <c r="NSJ1112" s="15"/>
      <c r="NSM1112" s="15"/>
      <c r="NSN1112" s="15"/>
      <c r="NSQ1112" s="15"/>
      <c r="NSR1112" s="15"/>
      <c r="NSU1112" s="15"/>
      <c r="NSV1112" s="15"/>
      <c r="NSY1112" s="15"/>
      <c r="NSZ1112" s="15"/>
      <c r="NTC1112" s="15"/>
      <c r="NTD1112" s="15"/>
      <c r="NTG1112" s="15"/>
      <c r="NTH1112" s="15"/>
      <c r="NTK1112" s="15"/>
      <c r="NTL1112" s="15"/>
      <c r="NTO1112" s="15"/>
      <c r="NTP1112" s="15"/>
      <c r="NTS1112" s="15"/>
      <c r="NTT1112" s="15"/>
      <c r="NTW1112" s="15"/>
      <c r="NTX1112" s="15"/>
      <c r="NUA1112" s="15"/>
      <c r="NUB1112" s="15"/>
      <c r="NUE1112" s="15"/>
      <c r="NUF1112" s="15"/>
      <c r="NUI1112" s="15"/>
      <c r="NUJ1112" s="15"/>
      <c r="NUM1112" s="15"/>
      <c r="NUN1112" s="15"/>
      <c r="NUQ1112" s="15"/>
      <c r="NUR1112" s="15"/>
      <c r="NUU1112" s="15"/>
      <c r="NUV1112" s="15"/>
      <c r="NUY1112" s="15"/>
      <c r="NUZ1112" s="15"/>
      <c r="NVC1112" s="15"/>
      <c r="NVD1112" s="15"/>
      <c r="NVG1112" s="15"/>
      <c r="NVH1112" s="15"/>
      <c r="NVK1112" s="15"/>
      <c r="NVL1112" s="15"/>
      <c r="NVO1112" s="15"/>
      <c r="NVP1112" s="15"/>
      <c r="NVS1112" s="15"/>
      <c r="NVT1112" s="15"/>
      <c r="NVW1112" s="15"/>
      <c r="NVX1112" s="15"/>
      <c r="NWA1112" s="15"/>
      <c r="NWB1112" s="15"/>
      <c r="NWE1112" s="15"/>
      <c r="NWF1112" s="15"/>
      <c r="NWI1112" s="15"/>
      <c r="NWJ1112" s="15"/>
      <c r="NWM1112" s="15"/>
      <c r="NWN1112" s="15"/>
      <c r="NWQ1112" s="15"/>
      <c r="NWR1112" s="15"/>
      <c r="NWU1112" s="15"/>
      <c r="NWV1112" s="15"/>
      <c r="NWY1112" s="15"/>
      <c r="NWZ1112" s="15"/>
      <c r="NXC1112" s="15"/>
      <c r="NXD1112" s="15"/>
      <c r="NXG1112" s="15"/>
      <c r="NXH1112" s="15"/>
      <c r="NXK1112" s="15"/>
      <c r="NXL1112" s="15"/>
      <c r="NXO1112" s="15"/>
      <c r="NXP1112" s="15"/>
      <c r="NXS1112" s="15"/>
      <c r="NXT1112" s="15"/>
      <c r="NXW1112" s="15"/>
      <c r="NXX1112" s="15"/>
      <c r="NYA1112" s="15"/>
      <c r="NYB1112" s="15"/>
      <c r="NYE1112" s="15"/>
      <c r="NYF1112" s="15"/>
      <c r="NYI1112" s="15"/>
      <c r="NYJ1112" s="15"/>
      <c r="NYM1112" s="15"/>
      <c r="NYN1112" s="15"/>
      <c r="NYQ1112" s="15"/>
      <c r="NYR1112" s="15"/>
      <c r="NYU1112" s="15"/>
      <c r="NYV1112" s="15"/>
      <c r="NYY1112" s="15"/>
      <c r="NYZ1112" s="15"/>
      <c r="NZC1112" s="15"/>
      <c r="NZD1112" s="15"/>
      <c r="NZG1112" s="15"/>
      <c r="NZH1112" s="15"/>
      <c r="NZK1112" s="15"/>
      <c r="NZL1112" s="15"/>
      <c r="NZO1112" s="15"/>
      <c r="NZP1112" s="15"/>
      <c r="NZS1112" s="15"/>
      <c r="NZT1112" s="15"/>
      <c r="NZW1112" s="15"/>
      <c r="NZX1112" s="15"/>
      <c r="OAA1112" s="15"/>
      <c r="OAB1112" s="15"/>
      <c r="OAE1112" s="15"/>
      <c r="OAF1112" s="15"/>
      <c r="OAI1112" s="15"/>
      <c r="OAJ1112" s="15"/>
      <c r="OAM1112" s="15"/>
      <c r="OAN1112" s="15"/>
      <c r="OAQ1112" s="15"/>
      <c r="OAR1112" s="15"/>
      <c r="OAU1112" s="15"/>
      <c r="OAV1112" s="15"/>
      <c r="OAY1112" s="15"/>
      <c r="OAZ1112" s="15"/>
      <c r="OBC1112" s="15"/>
      <c r="OBD1112" s="15"/>
      <c r="OBG1112" s="15"/>
      <c r="OBH1112" s="15"/>
      <c r="OBK1112" s="15"/>
      <c r="OBL1112" s="15"/>
      <c r="OBO1112" s="15"/>
      <c r="OBP1112" s="15"/>
      <c r="OBS1112" s="15"/>
      <c r="OBT1112" s="15"/>
      <c r="OBW1112" s="15"/>
      <c r="OBX1112" s="15"/>
      <c r="OCA1112" s="15"/>
      <c r="OCB1112" s="15"/>
      <c r="OCE1112" s="15"/>
      <c r="OCF1112" s="15"/>
      <c r="OCI1112" s="15"/>
      <c r="OCJ1112" s="15"/>
      <c r="OCM1112" s="15"/>
      <c r="OCN1112" s="15"/>
      <c r="OCQ1112" s="15"/>
      <c r="OCR1112" s="15"/>
      <c r="OCU1112" s="15"/>
      <c r="OCV1112" s="15"/>
      <c r="OCY1112" s="15"/>
      <c r="OCZ1112" s="15"/>
      <c r="ODC1112" s="15"/>
      <c r="ODD1112" s="15"/>
      <c r="ODG1112" s="15"/>
      <c r="ODH1112" s="15"/>
      <c r="ODK1112" s="15"/>
      <c r="ODL1112" s="15"/>
      <c r="ODO1112" s="15"/>
      <c r="ODP1112" s="15"/>
      <c r="ODS1112" s="15"/>
      <c r="ODT1112" s="15"/>
      <c r="ODW1112" s="15"/>
      <c r="ODX1112" s="15"/>
      <c r="OEA1112" s="15"/>
      <c r="OEB1112" s="15"/>
      <c r="OEE1112" s="15"/>
      <c r="OEF1112" s="15"/>
      <c r="OEI1112" s="15"/>
      <c r="OEJ1112" s="15"/>
      <c r="OEM1112" s="15"/>
      <c r="OEN1112" s="15"/>
      <c r="OEQ1112" s="15"/>
      <c r="OER1112" s="15"/>
      <c r="OEU1112" s="15"/>
      <c r="OEV1112" s="15"/>
      <c r="OEY1112" s="15"/>
      <c r="OEZ1112" s="15"/>
      <c r="OFC1112" s="15"/>
      <c r="OFD1112" s="15"/>
      <c r="OFG1112" s="15"/>
      <c r="OFH1112" s="15"/>
      <c r="OFK1112" s="15"/>
      <c r="OFL1112" s="15"/>
      <c r="OFO1112" s="15"/>
      <c r="OFP1112" s="15"/>
      <c r="OFS1112" s="15"/>
      <c r="OFT1112" s="15"/>
      <c r="OFW1112" s="15"/>
      <c r="OFX1112" s="15"/>
      <c r="OGA1112" s="15"/>
      <c r="OGB1112" s="15"/>
      <c r="OGE1112" s="15"/>
      <c r="OGF1112" s="15"/>
      <c r="OGI1112" s="15"/>
      <c r="OGJ1112" s="15"/>
      <c r="OGM1112" s="15"/>
      <c r="OGN1112" s="15"/>
      <c r="OGQ1112" s="15"/>
      <c r="OGR1112" s="15"/>
      <c r="OGU1112" s="15"/>
      <c r="OGV1112" s="15"/>
      <c r="OGY1112" s="15"/>
      <c r="OGZ1112" s="15"/>
      <c r="OHC1112" s="15"/>
      <c r="OHD1112" s="15"/>
      <c r="OHG1112" s="15"/>
      <c r="OHH1112" s="15"/>
      <c r="OHK1112" s="15"/>
      <c r="OHL1112" s="15"/>
      <c r="OHO1112" s="15"/>
      <c r="OHP1112" s="15"/>
      <c r="OHS1112" s="15"/>
      <c r="OHT1112" s="15"/>
      <c r="OHW1112" s="15"/>
      <c r="OHX1112" s="15"/>
      <c r="OIA1112" s="15"/>
      <c r="OIB1112" s="15"/>
      <c r="OIE1112" s="15"/>
      <c r="OIF1112" s="15"/>
      <c r="OII1112" s="15"/>
      <c r="OIJ1112" s="15"/>
      <c r="OIM1112" s="15"/>
      <c r="OIN1112" s="15"/>
      <c r="OIQ1112" s="15"/>
      <c r="OIR1112" s="15"/>
      <c r="OIU1112" s="15"/>
      <c r="OIV1112" s="15"/>
      <c r="OIY1112" s="15"/>
      <c r="OIZ1112" s="15"/>
      <c r="OJC1112" s="15"/>
      <c r="OJD1112" s="15"/>
      <c r="OJG1112" s="15"/>
      <c r="OJH1112" s="15"/>
      <c r="OJK1112" s="15"/>
      <c r="OJL1112" s="15"/>
      <c r="OJO1112" s="15"/>
      <c r="OJP1112" s="15"/>
      <c r="OJS1112" s="15"/>
      <c r="OJT1112" s="15"/>
      <c r="OJW1112" s="15"/>
      <c r="OJX1112" s="15"/>
      <c r="OKA1112" s="15"/>
      <c r="OKB1112" s="15"/>
      <c r="OKE1112" s="15"/>
      <c r="OKF1112" s="15"/>
      <c r="OKI1112" s="15"/>
      <c r="OKJ1112" s="15"/>
      <c r="OKM1112" s="15"/>
      <c r="OKN1112" s="15"/>
      <c r="OKQ1112" s="15"/>
      <c r="OKR1112" s="15"/>
      <c r="OKU1112" s="15"/>
      <c r="OKV1112" s="15"/>
      <c r="OKY1112" s="15"/>
      <c r="OKZ1112" s="15"/>
      <c r="OLC1112" s="15"/>
      <c r="OLD1112" s="15"/>
      <c r="OLG1112" s="15"/>
      <c r="OLH1112" s="15"/>
      <c r="OLK1112" s="15"/>
      <c r="OLL1112" s="15"/>
      <c r="OLO1112" s="15"/>
      <c r="OLP1112" s="15"/>
      <c r="OLS1112" s="15"/>
      <c r="OLT1112" s="15"/>
      <c r="OLW1112" s="15"/>
      <c r="OLX1112" s="15"/>
      <c r="OMA1112" s="15"/>
      <c r="OMB1112" s="15"/>
      <c r="OME1112" s="15"/>
      <c r="OMF1112" s="15"/>
      <c r="OMI1112" s="15"/>
      <c r="OMJ1112" s="15"/>
      <c r="OMM1112" s="15"/>
      <c r="OMN1112" s="15"/>
      <c r="OMQ1112" s="15"/>
      <c r="OMR1112" s="15"/>
      <c r="OMU1112" s="15"/>
      <c r="OMV1112" s="15"/>
      <c r="OMY1112" s="15"/>
      <c r="OMZ1112" s="15"/>
      <c r="ONC1112" s="15"/>
      <c r="OND1112" s="15"/>
      <c r="ONG1112" s="15"/>
      <c r="ONH1112" s="15"/>
      <c r="ONK1112" s="15"/>
      <c r="ONL1112" s="15"/>
      <c r="ONO1112" s="15"/>
      <c r="ONP1112" s="15"/>
      <c r="ONS1112" s="15"/>
      <c r="ONT1112" s="15"/>
      <c r="ONW1112" s="15"/>
      <c r="ONX1112" s="15"/>
      <c r="OOA1112" s="15"/>
      <c r="OOB1112" s="15"/>
      <c r="OOE1112" s="15"/>
      <c r="OOF1112" s="15"/>
      <c r="OOI1112" s="15"/>
      <c r="OOJ1112" s="15"/>
      <c r="OOM1112" s="15"/>
      <c r="OON1112" s="15"/>
      <c r="OOQ1112" s="15"/>
      <c r="OOR1112" s="15"/>
      <c r="OOU1112" s="15"/>
      <c r="OOV1112" s="15"/>
      <c r="OOY1112" s="15"/>
      <c r="OOZ1112" s="15"/>
      <c r="OPC1112" s="15"/>
      <c r="OPD1112" s="15"/>
      <c r="OPG1112" s="15"/>
      <c r="OPH1112" s="15"/>
      <c r="OPK1112" s="15"/>
      <c r="OPL1112" s="15"/>
      <c r="OPO1112" s="15"/>
      <c r="OPP1112" s="15"/>
      <c r="OPS1112" s="15"/>
      <c r="OPT1112" s="15"/>
      <c r="OPW1112" s="15"/>
      <c r="OPX1112" s="15"/>
      <c r="OQA1112" s="15"/>
      <c r="OQB1112" s="15"/>
      <c r="OQE1112" s="15"/>
      <c r="OQF1112" s="15"/>
      <c r="OQI1112" s="15"/>
      <c r="OQJ1112" s="15"/>
      <c r="OQM1112" s="15"/>
      <c r="OQN1112" s="15"/>
      <c r="OQQ1112" s="15"/>
      <c r="OQR1112" s="15"/>
      <c r="OQU1112" s="15"/>
      <c r="OQV1112" s="15"/>
      <c r="OQY1112" s="15"/>
      <c r="OQZ1112" s="15"/>
      <c r="ORC1112" s="15"/>
      <c r="ORD1112" s="15"/>
      <c r="ORG1112" s="15"/>
      <c r="ORH1112" s="15"/>
      <c r="ORK1112" s="15"/>
      <c r="ORL1112" s="15"/>
      <c r="ORO1112" s="15"/>
      <c r="ORP1112" s="15"/>
      <c r="ORS1112" s="15"/>
      <c r="ORT1112" s="15"/>
      <c r="ORW1112" s="15"/>
      <c r="ORX1112" s="15"/>
      <c r="OSA1112" s="15"/>
      <c r="OSB1112" s="15"/>
      <c r="OSE1112" s="15"/>
      <c r="OSF1112" s="15"/>
      <c r="OSI1112" s="15"/>
      <c r="OSJ1112" s="15"/>
      <c r="OSM1112" s="15"/>
      <c r="OSN1112" s="15"/>
      <c r="OSQ1112" s="15"/>
      <c r="OSR1112" s="15"/>
      <c r="OSU1112" s="15"/>
      <c r="OSV1112" s="15"/>
      <c r="OSY1112" s="15"/>
      <c r="OSZ1112" s="15"/>
      <c r="OTC1112" s="15"/>
      <c r="OTD1112" s="15"/>
      <c r="OTG1112" s="15"/>
      <c r="OTH1112" s="15"/>
      <c r="OTK1112" s="15"/>
      <c r="OTL1112" s="15"/>
      <c r="OTO1112" s="15"/>
      <c r="OTP1112" s="15"/>
      <c r="OTS1112" s="15"/>
      <c r="OTT1112" s="15"/>
      <c r="OTW1112" s="15"/>
      <c r="OTX1112" s="15"/>
      <c r="OUA1112" s="15"/>
      <c r="OUB1112" s="15"/>
      <c r="OUE1112" s="15"/>
      <c r="OUF1112" s="15"/>
      <c r="OUI1112" s="15"/>
      <c r="OUJ1112" s="15"/>
      <c r="OUM1112" s="15"/>
      <c r="OUN1112" s="15"/>
      <c r="OUQ1112" s="15"/>
      <c r="OUR1112" s="15"/>
      <c r="OUU1112" s="15"/>
      <c r="OUV1112" s="15"/>
      <c r="OUY1112" s="15"/>
      <c r="OUZ1112" s="15"/>
      <c r="OVC1112" s="15"/>
      <c r="OVD1112" s="15"/>
      <c r="OVG1112" s="15"/>
      <c r="OVH1112" s="15"/>
      <c r="OVK1112" s="15"/>
      <c r="OVL1112" s="15"/>
      <c r="OVO1112" s="15"/>
      <c r="OVP1112" s="15"/>
      <c r="OVS1112" s="15"/>
      <c r="OVT1112" s="15"/>
      <c r="OVW1112" s="15"/>
      <c r="OVX1112" s="15"/>
      <c r="OWA1112" s="15"/>
      <c r="OWB1112" s="15"/>
      <c r="OWE1112" s="15"/>
      <c r="OWF1112" s="15"/>
      <c r="OWI1112" s="15"/>
      <c r="OWJ1112" s="15"/>
      <c r="OWM1112" s="15"/>
      <c r="OWN1112" s="15"/>
      <c r="OWQ1112" s="15"/>
      <c r="OWR1112" s="15"/>
      <c r="OWU1112" s="15"/>
      <c r="OWV1112" s="15"/>
      <c r="OWY1112" s="15"/>
      <c r="OWZ1112" s="15"/>
      <c r="OXC1112" s="15"/>
      <c r="OXD1112" s="15"/>
      <c r="OXG1112" s="15"/>
      <c r="OXH1112" s="15"/>
      <c r="OXK1112" s="15"/>
      <c r="OXL1112" s="15"/>
      <c r="OXO1112" s="15"/>
      <c r="OXP1112" s="15"/>
      <c r="OXS1112" s="15"/>
      <c r="OXT1112" s="15"/>
      <c r="OXW1112" s="15"/>
      <c r="OXX1112" s="15"/>
      <c r="OYA1112" s="15"/>
      <c r="OYB1112" s="15"/>
      <c r="OYE1112" s="15"/>
      <c r="OYF1112" s="15"/>
      <c r="OYI1112" s="15"/>
      <c r="OYJ1112" s="15"/>
      <c r="OYM1112" s="15"/>
      <c r="OYN1112" s="15"/>
      <c r="OYQ1112" s="15"/>
      <c r="OYR1112" s="15"/>
      <c r="OYU1112" s="15"/>
      <c r="OYV1112" s="15"/>
      <c r="OYY1112" s="15"/>
      <c r="OYZ1112" s="15"/>
      <c r="OZC1112" s="15"/>
      <c r="OZD1112" s="15"/>
      <c r="OZG1112" s="15"/>
      <c r="OZH1112" s="15"/>
      <c r="OZK1112" s="15"/>
      <c r="OZL1112" s="15"/>
      <c r="OZO1112" s="15"/>
      <c r="OZP1112" s="15"/>
      <c r="OZS1112" s="15"/>
      <c r="OZT1112" s="15"/>
      <c r="OZW1112" s="15"/>
      <c r="OZX1112" s="15"/>
      <c r="PAA1112" s="15"/>
      <c r="PAB1112" s="15"/>
      <c r="PAE1112" s="15"/>
      <c r="PAF1112" s="15"/>
      <c r="PAI1112" s="15"/>
      <c r="PAJ1112" s="15"/>
      <c r="PAM1112" s="15"/>
      <c r="PAN1112" s="15"/>
      <c r="PAQ1112" s="15"/>
      <c r="PAR1112" s="15"/>
      <c r="PAU1112" s="15"/>
      <c r="PAV1112" s="15"/>
      <c r="PAY1112" s="15"/>
      <c r="PAZ1112" s="15"/>
      <c r="PBC1112" s="15"/>
      <c r="PBD1112" s="15"/>
      <c r="PBG1112" s="15"/>
      <c r="PBH1112" s="15"/>
      <c r="PBK1112" s="15"/>
      <c r="PBL1112" s="15"/>
      <c r="PBO1112" s="15"/>
      <c r="PBP1112" s="15"/>
      <c r="PBS1112" s="15"/>
      <c r="PBT1112" s="15"/>
      <c r="PBW1112" s="15"/>
      <c r="PBX1112" s="15"/>
      <c r="PCA1112" s="15"/>
      <c r="PCB1112" s="15"/>
      <c r="PCE1112" s="15"/>
      <c r="PCF1112" s="15"/>
      <c r="PCI1112" s="15"/>
      <c r="PCJ1112" s="15"/>
      <c r="PCM1112" s="15"/>
      <c r="PCN1112" s="15"/>
      <c r="PCQ1112" s="15"/>
      <c r="PCR1112" s="15"/>
      <c r="PCU1112" s="15"/>
      <c r="PCV1112" s="15"/>
      <c r="PCY1112" s="15"/>
      <c r="PCZ1112" s="15"/>
      <c r="PDC1112" s="15"/>
      <c r="PDD1112" s="15"/>
      <c r="PDG1112" s="15"/>
      <c r="PDH1112" s="15"/>
      <c r="PDK1112" s="15"/>
      <c r="PDL1112" s="15"/>
      <c r="PDO1112" s="15"/>
      <c r="PDP1112" s="15"/>
      <c r="PDS1112" s="15"/>
      <c r="PDT1112" s="15"/>
      <c r="PDW1112" s="15"/>
      <c r="PDX1112" s="15"/>
      <c r="PEA1112" s="15"/>
      <c r="PEB1112" s="15"/>
      <c r="PEE1112" s="15"/>
      <c r="PEF1112" s="15"/>
      <c r="PEI1112" s="15"/>
      <c r="PEJ1112" s="15"/>
      <c r="PEM1112" s="15"/>
      <c r="PEN1112" s="15"/>
      <c r="PEQ1112" s="15"/>
      <c r="PER1112" s="15"/>
      <c r="PEU1112" s="15"/>
      <c r="PEV1112" s="15"/>
      <c r="PEY1112" s="15"/>
      <c r="PEZ1112" s="15"/>
      <c r="PFC1112" s="15"/>
      <c r="PFD1112" s="15"/>
      <c r="PFG1112" s="15"/>
      <c r="PFH1112" s="15"/>
      <c r="PFK1112" s="15"/>
      <c r="PFL1112" s="15"/>
      <c r="PFO1112" s="15"/>
      <c r="PFP1112" s="15"/>
      <c r="PFS1112" s="15"/>
      <c r="PFT1112" s="15"/>
      <c r="PFW1112" s="15"/>
      <c r="PFX1112" s="15"/>
      <c r="PGA1112" s="15"/>
      <c r="PGB1112" s="15"/>
      <c r="PGE1112" s="15"/>
      <c r="PGF1112" s="15"/>
      <c r="PGI1112" s="15"/>
      <c r="PGJ1112" s="15"/>
      <c r="PGM1112" s="15"/>
      <c r="PGN1112" s="15"/>
      <c r="PGQ1112" s="15"/>
      <c r="PGR1112" s="15"/>
      <c r="PGU1112" s="15"/>
      <c r="PGV1112" s="15"/>
      <c r="PGY1112" s="15"/>
      <c r="PGZ1112" s="15"/>
      <c r="PHC1112" s="15"/>
      <c r="PHD1112" s="15"/>
      <c r="PHG1112" s="15"/>
      <c r="PHH1112" s="15"/>
      <c r="PHK1112" s="15"/>
      <c r="PHL1112" s="15"/>
      <c r="PHO1112" s="15"/>
      <c r="PHP1112" s="15"/>
      <c r="PHS1112" s="15"/>
      <c r="PHT1112" s="15"/>
      <c r="PHW1112" s="15"/>
      <c r="PHX1112" s="15"/>
      <c r="PIA1112" s="15"/>
      <c r="PIB1112" s="15"/>
      <c r="PIE1112" s="15"/>
      <c r="PIF1112" s="15"/>
      <c r="PII1112" s="15"/>
      <c r="PIJ1112" s="15"/>
      <c r="PIM1112" s="15"/>
      <c r="PIN1112" s="15"/>
      <c r="PIQ1112" s="15"/>
      <c r="PIR1112" s="15"/>
      <c r="PIU1112" s="15"/>
      <c r="PIV1112" s="15"/>
      <c r="PIY1112" s="15"/>
      <c r="PIZ1112" s="15"/>
      <c r="PJC1112" s="15"/>
      <c r="PJD1112" s="15"/>
      <c r="PJG1112" s="15"/>
      <c r="PJH1112" s="15"/>
      <c r="PJK1112" s="15"/>
      <c r="PJL1112" s="15"/>
      <c r="PJO1112" s="15"/>
      <c r="PJP1112" s="15"/>
      <c r="PJS1112" s="15"/>
      <c r="PJT1112" s="15"/>
      <c r="PJW1112" s="15"/>
      <c r="PJX1112" s="15"/>
      <c r="PKA1112" s="15"/>
      <c r="PKB1112" s="15"/>
      <c r="PKE1112" s="15"/>
      <c r="PKF1112" s="15"/>
      <c r="PKI1112" s="15"/>
      <c r="PKJ1112" s="15"/>
      <c r="PKM1112" s="15"/>
      <c r="PKN1112" s="15"/>
      <c r="PKQ1112" s="15"/>
      <c r="PKR1112" s="15"/>
      <c r="PKU1112" s="15"/>
      <c r="PKV1112" s="15"/>
      <c r="PKY1112" s="15"/>
      <c r="PKZ1112" s="15"/>
      <c r="PLC1112" s="15"/>
      <c r="PLD1112" s="15"/>
      <c r="PLG1112" s="15"/>
      <c r="PLH1112" s="15"/>
      <c r="PLK1112" s="15"/>
      <c r="PLL1112" s="15"/>
      <c r="PLO1112" s="15"/>
      <c r="PLP1112" s="15"/>
      <c r="PLS1112" s="15"/>
      <c r="PLT1112" s="15"/>
      <c r="PLW1112" s="15"/>
      <c r="PLX1112" s="15"/>
      <c r="PMA1112" s="15"/>
      <c r="PMB1112" s="15"/>
      <c r="PME1112" s="15"/>
      <c r="PMF1112" s="15"/>
      <c r="PMI1112" s="15"/>
      <c r="PMJ1112" s="15"/>
      <c r="PMM1112" s="15"/>
      <c r="PMN1112" s="15"/>
      <c r="PMQ1112" s="15"/>
      <c r="PMR1112" s="15"/>
      <c r="PMU1112" s="15"/>
      <c r="PMV1112" s="15"/>
      <c r="PMY1112" s="15"/>
      <c r="PMZ1112" s="15"/>
      <c r="PNC1112" s="15"/>
      <c r="PND1112" s="15"/>
      <c r="PNG1112" s="15"/>
      <c r="PNH1112" s="15"/>
      <c r="PNK1112" s="15"/>
      <c r="PNL1112" s="15"/>
      <c r="PNO1112" s="15"/>
      <c r="PNP1112" s="15"/>
      <c r="PNS1112" s="15"/>
      <c r="PNT1112" s="15"/>
      <c r="PNW1112" s="15"/>
      <c r="PNX1112" s="15"/>
      <c r="POA1112" s="15"/>
      <c r="POB1112" s="15"/>
      <c r="POE1112" s="15"/>
      <c r="POF1112" s="15"/>
      <c r="POI1112" s="15"/>
      <c r="POJ1112" s="15"/>
      <c r="POM1112" s="15"/>
      <c r="PON1112" s="15"/>
      <c r="POQ1112" s="15"/>
      <c r="POR1112" s="15"/>
      <c r="POU1112" s="15"/>
      <c r="POV1112" s="15"/>
      <c r="POY1112" s="15"/>
      <c r="POZ1112" s="15"/>
      <c r="PPC1112" s="15"/>
      <c r="PPD1112" s="15"/>
      <c r="PPG1112" s="15"/>
      <c r="PPH1112" s="15"/>
      <c r="PPK1112" s="15"/>
      <c r="PPL1112" s="15"/>
      <c r="PPO1112" s="15"/>
      <c r="PPP1112" s="15"/>
      <c r="PPS1112" s="15"/>
      <c r="PPT1112" s="15"/>
      <c r="PPW1112" s="15"/>
      <c r="PPX1112" s="15"/>
      <c r="PQA1112" s="15"/>
      <c r="PQB1112" s="15"/>
      <c r="PQE1112" s="15"/>
      <c r="PQF1112" s="15"/>
      <c r="PQI1112" s="15"/>
      <c r="PQJ1112" s="15"/>
      <c r="PQM1112" s="15"/>
      <c r="PQN1112" s="15"/>
      <c r="PQQ1112" s="15"/>
      <c r="PQR1112" s="15"/>
      <c r="PQU1112" s="15"/>
      <c r="PQV1112" s="15"/>
      <c r="PQY1112" s="15"/>
      <c r="PQZ1112" s="15"/>
      <c r="PRC1112" s="15"/>
      <c r="PRD1112" s="15"/>
      <c r="PRG1112" s="15"/>
      <c r="PRH1112" s="15"/>
      <c r="PRK1112" s="15"/>
      <c r="PRL1112" s="15"/>
      <c r="PRO1112" s="15"/>
      <c r="PRP1112" s="15"/>
      <c r="PRS1112" s="15"/>
      <c r="PRT1112" s="15"/>
      <c r="PRW1112" s="15"/>
      <c r="PRX1112" s="15"/>
      <c r="PSA1112" s="15"/>
      <c r="PSB1112" s="15"/>
      <c r="PSE1112" s="15"/>
      <c r="PSF1112" s="15"/>
      <c r="PSI1112" s="15"/>
      <c r="PSJ1112" s="15"/>
      <c r="PSM1112" s="15"/>
      <c r="PSN1112" s="15"/>
      <c r="PSQ1112" s="15"/>
      <c r="PSR1112" s="15"/>
      <c r="PSU1112" s="15"/>
      <c r="PSV1112" s="15"/>
      <c r="PSY1112" s="15"/>
      <c r="PSZ1112" s="15"/>
      <c r="PTC1112" s="15"/>
      <c r="PTD1112" s="15"/>
      <c r="PTG1112" s="15"/>
      <c r="PTH1112" s="15"/>
      <c r="PTK1112" s="15"/>
      <c r="PTL1112" s="15"/>
      <c r="PTO1112" s="15"/>
      <c r="PTP1112" s="15"/>
      <c r="PTS1112" s="15"/>
      <c r="PTT1112" s="15"/>
      <c r="PTW1112" s="15"/>
      <c r="PTX1112" s="15"/>
      <c r="PUA1112" s="15"/>
      <c r="PUB1112" s="15"/>
      <c r="PUE1112" s="15"/>
      <c r="PUF1112" s="15"/>
      <c r="PUI1112" s="15"/>
      <c r="PUJ1112" s="15"/>
      <c r="PUM1112" s="15"/>
      <c r="PUN1112" s="15"/>
      <c r="PUQ1112" s="15"/>
      <c r="PUR1112" s="15"/>
      <c r="PUU1112" s="15"/>
      <c r="PUV1112" s="15"/>
      <c r="PUY1112" s="15"/>
      <c r="PUZ1112" s="15"/>
      <c r="PVC1112" s="15"/>
      <c r="PVD1112" s="15"/>
      <c r="PVG1112" s="15"/>
      <c r="PVH1112" s="15"/>
      <c r="PVK1112" s="15"/>
      <c r="PVL1112" s="15"/>
      <c r="PVO1112" s="15"/>
      <c r="PVP1112" s="15"/>
      <c r="PVS1112" s="15"/>
      <c r="PVT1112" s="15"/>
      <c r="PVW1112" s="15"/>
      <c r="PVX1112" s="15"/>
      <c r="PWA1112" s="15"/>
      <c r="PWB1112" s="15"/>
      <c r="PWE1112" s="15"/>
      <c r="PWF1112" s="15"/>
      <c r="PWI1112" s="15"/>
      <c r="PWJ1112" s="15"/>
      <c r="PWM1112" s="15"/>
      <c r="PWN1112" s="15"/>
      <c r="PWQ1112" s="15"/>
      <c r="PWR1112" s="15"/>
      <c r="PWU1112" s="15"/>
      <c r="PWV1112" s="15"/>
      <c r="PWY1112" s="15"/>
      <c r="PWZ1112" s="15"/>
      <c r="PXC1112" s="15"/>
      <c r="PXD1112" s="15"/>
      <c r="PXG1112" s="15"/>
      <c r="PXH1112" s="15"/>
      <c r="PXK1112" s="15"/>
      <c r="PXL1112" s="15"/>
      <c r="PXO1112" s="15"/>
      <c r="PXP1112" s="15"/>
      <c r="PXS1112" s="15"/>
      <c r="PXT1112" s="15"/>
      <c r="PXW1112" s="15"/>
      <c r="PXX1112" s="15"/>
      <c r="PYA1112" s="15"/>
      <c r="PYB1112" s="15"/>
      <c r="PYE1112" s="15"/>
      <c r="PYF1112" s="15"/>
      <c r="PYI1112" s="15"/>
      <c r="PYJ1112" s="15"/>
      <c r="PYM1112" s="15"/>
      <c r="PYN1112" s="15"/>
      <c r="PYQ1112" s="15"/>
      <c r="PYR1112" s="15"/>
      <c r="PYU1112" s="15"/>
      <c r="PYV1112" s="15"/>
      <c r="PYY1112" s="15"/>
      <c r="PYZ1112" s="15"/>
      <c r="PZC1112" s="15"/>
      <c r="PZD1112" s="15"/>
      <c r="PZG1112" s="15"/>
      <c r="PZH1112" s="15"/>
      <c r="PZK1112" s="15"/>
      <c r="PZL1112" s="15"/>
      <c r="PZO1112" s="15"/>
      <c r="PZP1112" s="15"/>
      <c r="PZS1112" s="15"/>
      <c r="PZT1112" s="15"/>
      <c r="PZW1112" s="15"/>
      <c r="PZX1112" s="15"/>
      <c r="QAA1112" s="15"/>
      <c r="QAB1112" s="15"/>
      <c r="QAE1112" s="15"/>
      <c r="QAF1112" s="15"/>
      <c r="QAI1112" s="15"/>
      <c r="QAJ1112" s="15"/>
      <c r="QAM1112" s="15"/>
      <c r="QAN1112" s="15"/>
      <c r="QAQ1112" s="15"/>
      <c r="QAR1112" s="15"/>
      <c r="QAU1112" s="15"/>
      <c r="QAV1112" s="15"/>
      <c r="QAY1112" s="15"/>
      <c r="QAZ1112" s="15"/>
      <c r="QBC1112" s="15"/>
      <c r="QBD1112" s="15"/>
      <c r="QBG1112" s="15"/>
      <c r="QBH1112" s="15"/>
      <c r="QBK1112" s="15"/>
      <c r="QBL1112" s="15"/>
      <c r="QBO1112" s="15"/>
      <c r="QBP1112" s="15"/>
      <c r="QBS1112" s="15"/>
      <c r="QBT1112" s="15"/>
      <c r="QBW1112" s="15"/>
      <c r="QBX1112" s="15"/>
      <c r="QCA1112" s="15"/>
      <c r="QCB1112" s="15"/>
      <c r="QCE1112" s="15"/>
      <c r="QCF1112" s="15"/>
      <c r="QCI1112" s="15"/>
      <c r="QCJ1112" s="15"/>
      <c r="QCM1112" s="15"/>
      <c r="QCN1112" s="15"/>
      <c r="QCQ1112" s="15"/>
      <c r="QCR1112" s="15"/>
      <c r="QCU1112" s="15"/>
      <c r="QCV1112" s="15"/>
      <c r="QCY1112" s="15"/>
      <c r="QCZ1112" s="15"/>
      <c r="QDC1112" s="15"/>
      <c r="QDD1112" s="15"/>
      <c r="QDG1112" s="15"/>
      <c r="QDH1112" s="15"/>
      <c r="QDK1112" s="15"/>
      <c r="QDL1112" s="15"/>
      <c r="QDO1112" s="15"/>
      <c r="QDP1112" s="15"/>
      <c r="QDS1112" s="15"/>
      <c r="QDT1112" s="15"/>
      <c r="QDW1112" s="15"/>
      <c r="QDX1112" s="15"/>
      <c r="QEA1112" s="15"/>
      <c r="QEB1112" s="15"/>
      <c r="QEE1112" s="15"/>
      <c r="QEF1112" s="15"/>
      <c r="QEI1112" s="15"/>
      <c r="QEJ1112" s="15"/>
      <c r="QEM1112" s="15"/>
      <c r="QEN1112" s="15"/>
      <c r="QEQ1112" s="15"/>
      <c r="QER1112" s="15"/>
      <c r="QEU1112" s="15"/>
      <c r="QEV1112" s="15"/>
      <c r="QEY1112" s="15"/>
      <c r="QEZ1112" s="15"/>
      <c r="QFC1112" s="15"/>
      <c r="QFD1112" s="15"/>
      <c r="QFG1112" s="15"/>
      <c r="QFH1112" s="15"/>
      <c r="QFK1112" s="15"/>
      <c r="QFL1112" s="15"/>
      <c r="QFO1112" s="15"/>
      <c r="QFP1112" s="15"/>
      <c r="QFS1112" s="15"/>
      <c r="QFT1112" s="15"/>
      <c r="QFW1112" s="15"/>
      <c r="QFX1112" s="15"/>
      <c r="QGA1112" s="15"/>
      <c r="QGB1112" s="15"/>
      <c r="QGE1112" s="15"/>
      <c r="QGF1112" s="15"/>
      <c r="QGI1112" s="15"/>
      <c r="QGJ1112" s="15"/>
      <c r="QGM1112" s="15"/>
      <c r="QGN1112" s="15"/>
      <c r="QGQ1112" s="15"/>
      <c r="QGR1112" s="15"/>
      <c r="QGU1112" s="15"/>
      <c r="QGV1112" s="15"/>
      <c r="QGY1112" s="15"/>
      <c r="QGZ1112" s="15"/>
      <c r="QHC1112" s="15"/>
      <c r="QHD1112" s="15"/>
      <c r="QHG1112" s="15"/>
      <c r="QHH1112" s="15"/>
      <c r="QHK1112" s="15"/>
      <c r="QHL1112" s="15"/>
      <c r="QHO1112" s="15"/>
      <c r="QHP1112" s="15"/>
      <c r="QHS1112" s="15"/>
      <c r="QHT1112" s="15"/>
      <c r="QHW1112" s="15"/>
      <c r="QHX1112" s="15"/>
      <c r="QIA1112" s="15"/>
      <c r="QIB1112" s="15"/>
      <c r="QIE1112" s="15"/>
      <c r="QIF1112" s="15"/>
      <c r="QII1112" s="15"/>
      <c r="QIJ1112" s="15"/>
      <c r="QIM1112" s="15"/>
      <c r="QIN1112" s="15"/>
      <c r="QIQ1112" s="15"/>
      <c r="QIR1112" s="15"/>
      <c r="QIU1112" s="15"/>
      <c r="QIV1112" s="15"/>
      <c r="QIY1112" s="15"/>
      <c r="QIZ1112" s="15"/>
      <c r="QJC1112" s="15"/>
      <c r="QJD1112" s="15"/>
      <c r="QJG1112" s="15"/>
      <c r="QJH1112" s="15"/>
      <c r="QJK1112" s="15"/>
      <c r="QJL1112" s="15"/>
      <c r="QJO1112" s="15"/>
      <c r="QJP1112" s="15"/>
      <c r="QJS1112" s="15"/>
      <c r="QJT1112" s="15"/>
      <c r="QJW1112" s="15"/>
      <c r="QJX1112" s="15"/>
      <c r="QKA1112" s="15"/>
      <c r="QKB1112" s="15"/>
      <c r="QKE1112" s="15"/>
      <c r="QKF1112" s="15"/>
      <c r="QKI1112" s="15"/>
      <c r="QKJ1112" s="15"/>
      <c r="QKM1112" s="15"/>
      <c r="QKN1112" s="15"/>
      <c r="QKQ1112" s="15"/>
      <c r="QKR1112" s="15"/>
      <c r="QKU1112" s="15"/>
      <c r="QKV1112" s="15"/>
      <c r="QKY1112" s="15"/>
      <c r="QKZ1112" s="15"/>
      <c r="QLC1112" s="15"/>
      <c r="QLD1112" s="15"/>
      <c r="QLG1112" s="15"/>
      <c r="QLH1112" s="15"/>
      <c r="QLK1112" s="15"/>
      <c r="QLL1112" s="15"/>
      <c r="QLO1112" s="15"/>
      <c r="QLP1112" s="15"/>
      <c r="QLS1112" s="15"/>
      <c r="QLT1112" s="15"/>
      <c r="QLW1112" s="15"/>
      <c r="QLX1112" s="15"/>
      <c r="QMA1112" s="15"/>
      <c r="QMB1112" s="15"/>
      <c r="QME1112" s="15"/>
      <c r="QMF1112" s="15"/>
      <c r="QMI1112" s="15"/>
      <c r="QMJ1112" s="15"/>
      <c r="QMM1112" s="15"/>
      <c r="QMN1112" s="15"/>
      <c r="QMQ1112" s="15"/>
      <c r="QMR1112" s="15"/>
      <c r="QMU1112" s="15"/>
      <c r="QMV1112" s="15"/>
      <c r="QMY1112" s="15"/>
      <c r="QMZ1112" s="15"/>
      <c r="QNC1112" s="15"/>
      <c r="QND1112" s="15"/>
      <c r="QNG1112" s="15"/>
      <c r="QNH1112" s="15"/>
      <c r="QNK1112" s="15"/>
      <c r="QNL1112" s="15"/>
      <c r="QNO1112" s="15"/>
      <c r="QNP1112" s="15"/>
      <c r="QNS1112" s="15"/>
      <c r="QNT1112" s="15"/>
      <c r="QNW1112" s="15"/>
      <c r="QNX1112" s="15"/>
      <c r="QOA1112" s="15"/>
      <c r="QOB1112" s="15"/>
      <c r="QOE1112" s="15"/>
      <c r="QOF1112" s="15"/>
      <c r="QOI1112" s="15"/>
      <c r="QOJ1112" s="15"/>
      <c r="QOM1112" s="15"/>
      <c r="QON1112" s="15"/>
      <c r="QOQ1112" s="15"/>
      <c r="QOR1112" s="15"/>
      <c r="QOU1112" s="15"/>
      <c r="QOV1112" s="15"/>
      <c r="QOY1112" s="15"/>
      <c r="QOZ1112" s="15"/>
      <c r="QPC1112" s="15"/>
      <c r="QPD1112" s="15"/>
      <c r="QPG1112" s="15"/>
      <c r="QPH1112" s="15"/>
      <c r="QPK1112" s="15"/>
      <c r="QPL1112" s="15"/>
      <c r="QPO1112" s="15"/>
      <c r="QPP1112" s="15"/>
      <c r="QPS1112" s="15"/>
      <c r="QPT1112" s="15"/>
      <c r="QPW1112" s="15"/>
      <c r="QPX1112" s="15"/>
      <c r="QQA1112" s="15"/>
      <c r="QQB1112" s="15"/>
      <c r="QQE1112" s="15"/>
      <c r="QQF1112" s="15"/>
      <c r="QQI1112" s="15"/>
      <c r="QQJ1112" s="15"/>
      <c r="QQM1112" s="15"/>
      <c r="QQN1112" s="15"/>
      <c r="QQQ1112" s="15"/>
      <c r="QQR1112" s="15"/>
      <c r="QQU1112" s="15"/>
      <c r="QQV1112" s="15"/>
      <c r="QQY1112" s="15"/>
      <c r="QQZ1112" s="15"/>
      <c r="QRC1112" s="15"/>
      <c r="QRD1112" s="15"/>
      <c r="QRG1112" s="15"/>
      <c r="QRH1112" s="15"/>
      <c r="QRK1112" s="15"/>
      <c r="QRL1112" s="15"/>
      <c r="QRO1112" s="15"/>
      <c r="QRP1112" s="15"/>
      <c r="QRS1112" s="15"/>
      <c r="QRT1112" s="15"/>
      <c r="QRW1112" s="15"/>
      <c r="QRX1112" s="15"/>
      <c r="QSA1112" s="15"/>
      <c r="QSB1112" s="15"/>
      <c r="QSE1112" s="15"/>
      <c r="QSF1112" s="15"/>
      <c r="QSI1112" s="15"/>
      <c r="QSJ1112" s="15"/>
      <c r="QSM1112" s="15"/>
      <c r="QSN1112" s="15"/>
      <c r="QSQ1112" s="15"/>
      <c r="QSR1112" s="15"/>
      <c r="QSU1112" s="15"/>
      <c r="QSV1112" s="15"/>
      <c r="QSY1112" s="15"/>
      <c r="QSZ1112" s="15"/>
      <c r="QTC1112" s="15"/>
      <c r="QTD1112" s="15"/>
      <c r="QTG1112" s="15"/>
      <c r="QTH1112" s="15"/>
      <c r="QTK1112" s="15"/>
      <c r="QTL1112" s="15"/>
      <c r="QTO1112" s="15"/>
      <c r="QTP1112" s="15"/>
      <c r="QTS1112" s="15"/>
      <c r="QTT1112" s="15"/>
      <c r="QTW1112" s="15"/>
      <c r="QTX1112" s="15"/>
      <c r="QUA1112" s="15"/>
      <c r="QUB1112" s="15"/>
      <c r="QUE1112" s="15"/>
      <c r="QUF1112" s="15"/>
      <c r="QUI1112" s="15"/>
      <c r="QUJ1112" s="15"/>
      <c r="QUM1112" s="15"/>
      <c r="QUN1112" s="15"/>
      <c r="QUQ1112" s="15"/>
      <c r="QUR1112" s="15"/>
      <c r="QUU1112" s="15"/>
      <c r="QUV1112" s="15"/>
      <c r="QUY1112" s="15"/>
      <c r="QUZ1112" s="15"/>
      <c r="QVC1112" s="15"/>
      <c r="QVD1112" s="15"/>
      <c r="QVG1112" s="15"/>
      <c r="QVH1112" s="15"/>
      <c r="QVK1112" s="15"/>
      <c r="QVL1112" s="15"/>
      <c r="QVO1112" s="15"/>
      <c r="QVP1112" s="15"/>
      <c r="QVS1112" s="15"/>
      <c r="QVT1112" s="15"/>
      <c r="QVW1112" s="15"/>
      <c r="QVX1112" s="15"/>
      <c r="QWA1112" s="15"/>
      <c r="QWB1112" s="15"/>
      <c r="QWE1112" s="15"/>
      <c r="QWF1112" s="15"/>
      <c r="QWI1112" s="15"/>
      <c r="QWJ1112" s="15"/>
      <c r="QWM1112" s="15"/>
      <c r="QWN1112" s="15"/>
      <c r="QWQ1112" s="15"/>
      <c r="QWR1112" s="15"/>
      <c r="QWU1112" s="15"/>
      <c r="QWV1112" s="15"/>
      <c r="QWY1112" s="15"/>
      <c r="QWZ1112" s="15"/>
      <c r="QXC1112" s="15"/>
      <c r="QXD1112" s="15"/>
      <c r="QXG1112" s="15"/>
      <c r="QXH1112" s="15"/>
      <c r="QXK1112" s="15"/>
      <c r="QXL1112" s="15"/>
      <c r="QXO1112" s="15"/>
      <c r="QXP1112" s="15"/>
      <c r="QXS1112" s="15"/>
      <c r="QXT1112" s="15"/>
      <c r="QXW1112" s="15"/>
      <c r="QXX1112" s="15"/>
      <c r="QYA1112" s="15"/>
      <c r="QYB1112" s="15"/>
      <c r="QYE1112" s="15"/>
      <c r="QYF1112" s="15"/>
      <c r="QYI1112" s="15"/>
      <c r="QYJ1112" s="15"/>
      <c r="QYM1112" s="15"/>
      <c r="QYN1112" s="15"/>
      <c r="QYQ1112" s="15"/>
      <c r="QYR1112" s="15"/>
      <c r="QYU1112" s="15"/>
      <c r="QYV1112" s="15"/>
      <c r="QYY1112" s="15"/>
      <c r="QYZ1112" s="15"/>
      <c r="QZC1112" s="15"/>
      <c r="QZD1112" s="15"/>
      <c r="QZG1112" s="15"/>
      <c r="QZH1112" s="15"/>
      <c r="QZK1112" s="15"/>
      <c r="QZL1112" s="15"/>
      <c r="QZO1112" s="15"/>
      <c r="QZP1112" s="15"/>
      <c r="QZS1112" s="15"/>
      <c r="QZT1112" s="15"/>
      <c r="QZW1112" s="15"/>
      <c r="QZX1112" s="15"/>
      <c r="RAA1112" s="15"/>
      <c r="RAB1112" s="15"/>
      <c r="RAE1112" s="15"/>
      <c r="RAF1112" s="15"/>
      <c r="RAI1112" s="15"/>
      <c r="RAJ1112" s="15"/>
      <c r="RAM1112" s="15"/>
      <c r="RAN1112" s="15"/>
      <c r="RAQ1112" s="15"/>
      <c r="RAR1112" s="15"/>
      <c r="RAU1112" s="15"/>
      <c r="RAV1112" s="15"/>
      <c r="RAY1112" s="15"/>
      <c r="RAZ1112" s="15"/>
      <c r="RBC1112" s="15"/>
      <c r="RBD1112" s="15"/>
      <c r="RBG1112" s="15"/>
      <c r="RBH1112" s="15"/>
      <c r="RBK1112" s="15"/>
      <c r="RBL1112" s="15"/>
      <c r="RBO1112" s="15"/>
      <c r="RBP1112" s="15"/>
      <c r="RBS1112" s="15"/>
      <c r="RBT1112" s="15"/>
      <c r="RBW1112" s="15"/>
      <c r="RBX1112" s="15"/>
      <c r="RCA1112" s="15"/>
      <c r="RCB1112" s="15"/>
      <c r="RCE1112" s="15"/>
      <c r="RCF1112" s="15"/>
      <c r="RCI1112" s="15"/>
      <c r="RCJ1112" s="15"/>
      <c r="RCM1112" s="15"/>
      <c r="RCN1112" s="15"/>
      <c r="RCQ1112" s="15"/>
      <c r="RCR1112" s="15"/>
      <c r="RCU1112" s="15"/>
      <c r="RCV1112" s="15"/>
      <c r="RCY1112" s="15"/>
      <c r="RCZ1112" s="15"/>
      <c r="RDC1112" s="15"/>
      <c r="RDD1112" s="15"/>
      <c r="RDG1112" s="15"/>
      <c r="RDH1112" s="15"/>
      <c r="RDK1112" s="15"/>
      <c r="RDL1112" s="15"/>
      <c r="RDO1112" s="15"/>
      <c r="RDP1112" s="15"/>
      <c r="RDS1112" s="15"/>
      <c r="RDT1112" s="15"/>
      <c r="RDW1112" s="15"/>
      <c r="RDX1112" s="15"/>
      <c r="REA1112" s="15"/>
      <c r="REB1112" s="15"/>
      <c r="REE1112" s="15"/>
      <c r="REF1112" s="15"/>
      <c r="REI1112" s="15"/>
      <c r="REJ1112" s="15"/>
      <c r="REM1112" s="15"/>
      <c r="REN1112" s="15"/>
      <c r="REQ1112" s="15"/>
      <c r="RER1112" s="15"/>
      <c r="REU1112" s="15"/>
      <c r="REV1112" s="15"/>
      <c r="REY1112" s="15"/>
      <c r="REZ1112" s="15"/>
      <c r="RFC1112" s="15"/>
      <c r="RFD1112" s="15"/>
      <c r="RFG1112" s="15"/>
      <c r="RFH1112" s="15"/>
      <c r="RFK1112" s="15"/>
      <c r="RFL1112" s="15"/>
      <c r="RFO1112" s="15"/>
      <c r="RFP1112" s="15"/>
      <c r="RFS1112" s="15"/>
      <c r="RFT1112" s="15"/>
      <c r="RFW1112" s="15"/>
      <c r="RFX1112" s="15"/>
      <c r="RGA1112" s="15"/>
      <c r="RGB1112" s="15"/>
      <c r="RGE1112" s="15"/>
      <c r="RGF1112" s="15"/>
      <c r="RGI1112" s="15"/>
      <c r="RGJ1112" s="15"/>
      <c r="RGM1112" s="15"/>
      <c r="RGN1112" s="15"/>
      <c r="RGQ1112" s="15"/>
      <c r="RGR1112" s="15"/>
      <c r="RGU1112" s="15"/>
      <c r="RGV1112" s="15"/>
      <c r="RGY1112" s="15"/>
      <c r="RGZ1112" s="15"/>
      <c r="RHC1112" s="15"/>
      <c r="RHD1112" s="15"/>
      <c r="RHG1112" s="15"/>
      <c r="RHH1112" s="15"/>
      <c r="RHK1112" s="15"/>
      <c r="RHL1112" s="15"/>
      <c r="RHO1112" s="15"/>
      <c r="RHP1112" s="15"/>
      <c r="RHS1112" s="15"/>
      <c r="RHT1112" s="15"/>
      <c r="RHW1112" s="15"/>
      <c r="RHX1112" s="15"/>
      <c r="RIA1112" s="15"/>
      <c r="RIB1112" s="15"/>
      <c r="RIE1112" s="15"/>
      <c r="RIF1112" s="15"/>
      <c r="RII1112" s="15"/>
      <c r="RIJ1112" s="15"/>
      <c r="RIM1112" s="15"/>
      <c r="RIN1112" s="15"/>
      <c r="RIQ1112" s="15"/>
      <c r="RIR1112" s="15"/>
      <c r="RIU1112" s="15"/>
      <c r="RIV1112" s="15"/>
      <c r="RIY1112" s="15"/>
      <c r="RIZ1112" s="15"/>
      <c r="RJC1112" s="15"/>
      <c r="RJD1112" s="15"/>
      <c r="RJG1112" s="15"/>
      <c r="RJH1112" s="15"/>
      <c r="RJK1112" s="15"/>
      <c r="RJL1112" s="15"/>
      <c r="RJO1112" s="15"/>
      <c r="RJP1112" s="15"/>
      <c r="RJS1112" s="15"/>
      <c r="RJT1112" s="15"/>
      <c r="RJW1112" s="15"/>
      <c r="RJX1112" s="15"/>
      <c r="RKA1112" s="15"/>
      <c r="RKB1112" s="15"/>
      <c r="RKE1112" s="15"/>
      <c r="RKF1112" s="15"/>
      <c r="RKI1112" s="15"/>
      <c r="RKJ1112" s="15"/>
      <c r="RKM1112" s="15"/>
      <c r="RKN1112" s="15"/>
      <c r="RKQ1112" s="15"/>
      <c r="RKR1112" s="15"/>
      <c r="RKU1112" s="15"/>
      <c r="RKV1112" s="15"/>
      <c r="RKY1112" s="15"/>
      <c r="RKZ1112" s="15"/>
      <c r="RLC1112" s="15"/>
      <c r="RLD1112" s="15"/>
      <c r="RLG1112" s="15"/>
      <c r="RLH1112" s="15"/>
      <c r="RLK1112" s="15"/>
      <c r="RLL1112" s="15"/>
      <c r="RLO1112" s="15"/>
      <c r="RLP1112" s="15"/>
      <c r="RLS1112" s="15"/>
      <c r="RLT1112" s="15"/>
      <c r="RLW1112" s="15"/>
      <c r="RLX1112" s="15"/>
      <c r="RMA1112" s="15"/>
      <c r="RMB1112" s="15"/>
      <c r="RME1112" s="15"/>
      <c r="RMF1112" s="15"/>
      <c r="RMI1112" s="15"/>
      <c r="RMJ1112" s="15"/>
      <c r="RMM1112" s="15"/>
      <c r="RMN1112" s="15"/>
      <c r="RMQ1112" s="15"/>
      <c r="RMR1112" s="15"/>
      <c r="RMU1112" s="15"/>
      <c r="RMV1112" s="15"/>
      <c r="RMY1112" s="15"/>
      <c r="RMZ1112" s="15"/>
      <c r="RNC1112" s="15"/>
      <c r="RND1112" s="15"/>
      <c r="RNG1112" s="15"/>
      <c r="RNH1112" s="15"/>
      <c r="RNK1112" s="15"/>
      <c r="RNL1112" s="15"/>
      <c r="RNO1112" s="15"/>
      <c r="RNP1112" s="15"/>
      <c r="RNS1112" s="15"/>
      <c r="RNT1112" s="15"/>
      <c r="RNW1112" s="15"/>
      <c r="RNX1112" s="15"/>
      <c r="ROA1112" s="15"/>
      <c r="ROB1112" s="15"/>
      <c r="ROE1112" s="15"/>
      <c r="ROF1112" s="15"/>
      <c r="ROI1112" s="15"/>
      <c r="ROJ1112" s="15"/>
      <c r="ROM1112" s="15"/>
      <c r="RON1112" s="15"/>
      <c r="ROQ1112" s="15"/>
      <c r="ROR1112" s="15"/>
      <c r="ROU1112" s="15"/>
      <c r="ROV1112" s="15"/>
      <c r="ROY1112" s="15"/>
      <c r="ROZ1112" s="15"/>
      <c r="RPC1112" s="15"/>
      <c r="RPD1112" s="15"/>
      <c r="RPG1112" s="15"/>
      <c r="RPH1112" s="15"/>
      <c r="RPK1112" s="15"/>
      <c r="RPL1112" s="15"/>
      <c r="RPO1112" s="15"/>
      <c r="RPP1112" s="15"/>
      <c r="RPS1112" s="15"/>
      <c r="RPT1112" s="15"/>
      <c r="RPW1112" s="15"/>
      <c r="RPX1112" s="15"/>
      <c r="RQA1112" s="15"/>
      <c r="RQB1112" s="15"/>
      <c r="RQE1112" s="15"/>
      <c r="RQF1112" s="15"/>
      <c r="RQI1112" s="15"/>
      <c r="RQJ1112" s="15"/>
      <c r="RQM1112" s="15"/>
      <c r="RQN1112" s="15"/>
      <c r="RQQ1112" s="15"/>
      <c r="RQR1112" s="15"/>
      <c r="RQU1112" s="15"/>
      <c r="RQV1112" s="15"/>
      <c r="RQY1112" s="15"/>
      <c r="RQZ1112" s="15"/>
      <c r="RRC1112" s="15"/>
      <c r="RRD1112" s="15"/>
      <c r="RRG1112" s="15"/>
      <c r="RRH1112" s="15"/>
      <c r="RRK1112" s="15"/>
      <c r="RRL1112" s="15"/>
      <c r="RRO1112" s="15"/>
      <c r="RRP1112" s="15"/>
      <c r="RRS1112" s="15"/>
      <c r="RRT1112" s="15"/>
      <c r="RRW1112" s="15"/>
      <c r="RRX1112" s="15"/>
      <c r="RSA1112" s="15"/>
      <c r="RSB1112" s="15"/>
      <c r="RSE1112" s="15"/>
      <c r="RSF1112" s="15"/>
      <c r="RSI1112" s="15"/>
      <c r="RSJ1112" s="15"/>
      <c r="RSM1112" s="15"/>
      <c r="RSN1112" s="15"/>
      <c r="RSQ1112" s="15"/>
      <c r="RSR1112" s="15"/>
      <c r="RSU1112" s="15"/>
      <c r="RSV1112" s="15"/>
      <c r="RSY1112" s="15"/>
      <c r="RSZ1112" s="15"/>
      <c r="RTC1112" s="15"/>
      <c r="RTD1112" s="15"/>
      <c r="RTG1112" s="15"/>
      <c r="RTH1112" s="15"/>
      <c r="RTK1112" s="15"/>
      <c r="RTL1112" s="15"/>
      <c r="RTO1112" s="15"/>
      <c r="RTP1112" s="15"/>
      <c r="RTS1112" s="15"/>
      <c r="RTT1112" s="15"/>
      <c r="RTW1112" s="15"/>
      <c r="RTX1112" s="15"/>
      <c r="RUA1112" s="15"/>
      <c r="RUB1112" s="15"/>
      <c r="RUE1112" s="15"/>
      <c r="RUF1112" s="15"/>
      <c r="RUI1112" s="15"/>
      <c r="RUJ1112" s="15"/>
      <c r="RUM1112" s="15"/>
      <c r="RUN1112" s="15"/>
      <c r="RUQ1112" s="15"/>
      <c r="RUR1112" s="15"/>
      <c r="RUU1112" s="15"/>
      <c r="RUV1112" s="15"/>
      <c r="RUY1112" s="15"/>
      <c r="RUZ1112" s="15"/>
      <c r="RVC1112" s="15"/>
      <c r="RVD1112" s="15"/>
      <c r="RVG1112" s="15"/>
      <c r="RVH1112" s="15"/>
      <c r="RVK1112" s="15"/>
      <c r="RVL1112" s="15"/>
      <c r="RVO1112" s="15"/>
      <c r="RVP1112" s="15"/>
      <c r="RVS1112" s="15"/>
      <c r="RVT1112" s="15"/>
      <c r="RVW1112" s="15"/>
      <c r="RVX1112" s="15"/>
      <c r="RWA1112" s="15"/>
      <c r="RWB1112" s="15"/>
      <c r="RWE1112" s="15"/>
      <c r="RWF1112" s="15"/>
      <c r="RWI1112" s="15"/>
      <c r="RWJ1112" s="15"/>
      <c r="RWM1112" s="15"/>
      <c r="RWN1112" s="15"/>
      <c r="RWQ1112" s="15"/>
      <c r="RWR1112" s="15"/>
      <c r="RWU1112" s="15"/>
      <c r="RWV1112" s="15"/>
      <c r="RWY1112" s="15"/>
      <c r="RWZ1112" s="15"/>
      <c r="RXC1112" s="15"/>
      <c r="RXD1112" s="15"/>
      <c r="RXG1112" s="15"/>
      <c r="RXH1112" s="15"/>
      <c r="RXK1112" s="15"/>
      <c r="RXL1112" s="15"/>
      <c r="RXO1112" s="15"/>
      <c r="RXP1112" s="15"/>
      <c r="RXS1112" s="15"/>
      <c r="RXT1112" s="15"/>
      <c r="RXW1112" s="15"/>
      <c r="RXX1112" s="15"/>
      <c r="RYA1112" s="15"/>
      <c r="RYB1112" s="15"/>
      <c r="RYE1112" s="15"/>
      <c r="RYF1112" s="15"/>
      <c r="RYI1112" s="15"/>
      <c r="RYJ1112" s="15"/>
      <c r="RYM1112" s="15"/>
      <c r="RYN1112" s="15"/>
      <c r="RYQ1112" s="15"/>
      <c r="RYR1112" s="15"/>
      <c r="RYU1112" s="15"/>
      <c r="RYV1112" s="15"/>
      <c r="RYY1112" s="15"/>
      <c r="RYZ1112" s="15"/>
      <c r="RZC1112" s="15"/>
      <c r="RZD1112" s="15"/>
      <c r="RZG1112" s="15"/>
      <c r="RZH1112" s="15"/>
      <c r="RZK1112" s="15"/>
      <c r="RZL1112" s="15"/>
      <c r="RZO1112" s="15"/>
      <c r="RZP1112" s="15"/>
      <c r="RZS1112" s="15"/>
      <c r="RZT1112" s="15"/>
      <c r="RZW1112" s="15"/>
      <c r="RZX1112" s="15"/>
      <c r="SAA1112" s="15"/>
      <c r="SAB1112" s="15"/>
      <c r="SAE1112" s="15"/>
      <c r="SAF1112" s="15"/>
      <c r="SAI1112" s="15"/>
      <c r="SAJ1112" s="15"/>
      <c r="SAM1112" s="15"/>
      <c r="SAN1112" s="15"/>
      <c r="SAQ1112" s="15"/>
      <c r="SAR1112" s="15"/>
      <c r="SAU1112" s="15"/>
      <c r="SAV1112" s="15"/>
      <c r="SAY1112" s="15"/>
      <c r="SAZ1112" s="15"/>
      <c r="SBC1112" s="15"/>
      <c r="SBD1112" s="15"/>
      <c r="SBG1112" s="15"/>
      <c r="SBH1112" s="15"/>
      <c r="SBK1112" s="15"/>
      <c r="SBL1112" s="15"/>
      <c r="SBO1112" s="15"/>
      <c r="SBP1112" s="15"/>
      <c r="SBS1112" s="15"/>
      <c r="SBT1112" s="15"/>
      <c r="SBW1112" s="15"/>
      <c r="SBX1112" s="15"/>
      <c r="SCA1112" s="15"/>
      <c r="SCB1112" s="15"/>
      <c r="SCE1112" s="15"/>
      <c r="SCF1112" s="15"/>
      <c r="SCI1112" s="15"/>
      <c r="SCJ1112" s="15"/>
      <c r="SCM1112" s="15"/>
      <c r="SCN1112" s="15"/>
      <c r="SCQ1112" s="15"/>
      <c r="SCR1112" s="15"/>
      <c r="SCU1112" s="15"/>
      <c r="SCV1112" s="15"/>
      <c r="SCY1112" s="15"/>
      <c r="SCZ1112" s="15"/>
      <c r="SDC1112" s="15"/>
      <c r="SDD1112" s="15"/>
      <c r="SDG1112" s="15"/>
      <c r="SDH1112" s="15"/>
      <c r="SDK1112" s="15"/>
      <c r="SDL1112" s="15"/>
      <c r="SDO1112" s="15"/>
      <c r="SDP1112" s="15"/>
      <c r="SDS1112" s="15"/>
      <c r="SDT1112" s="15"/>
      <c r="SDW1112" s="15"/>
      <c r="SDX1112" s="15"/>
      <c r="SEA1112" s="15"/>
      <c r="SEB1112" s="15"/>
      <c r="SEE1112" s="15"/>
      <c r="SEF1112" s="15"/>
      <c r="SEI1112" s="15"/>
      <c r="SEJ1112" s="15"/>
      <c r="SEM1112" s="15"/>
      <c r="SEN1112" s="15"/>
      <c r="SEQ1112" s="15"/>
      <c r="SER1112" s="15"/>
      <c r="SEU1112" s="15"/>
      <c r="SEV1112" s="15"/>
      <c r="SEY1112" s="15"/>
      <c r="SEZ1112" s="15"/>
      <c r="SFC1112" s="15"/>
      <c r="SFD1112" s="15"/>
      <c r="SFG1112" s="15"/>
      <c r="SFH1112" s="15"/>
      <c r="SFK1112" s="15"/>
      <c r="SFL1112" s="15"/>
      <c r="SFO1112" s="15"/>
      <c r="SFP1112" s="15"/>
      <c r="SFS1112" s="15"/>
      <c r="SFT1112" s="15"/>
      <c r="SFW1112" s="15"/>
      <c r="SFX1112" s="15"/>
      <c r="SGA1112" s="15"/>
      <c r="SGB1112" s="15"/>
      <c r="SGE1112" s="15"/>
      <c r="SGF1112" s="15"/>
      <c r="SGI1112" s="15"/>
      <c r="SGJ1112" s="15"/>
      <c r="SGM1112" s="15"/>
      <c r="SGN1112" s="15"/>
      <c r="SGQ1112" s="15"/>
      <c r="SGR1112" s="15"/>
      <c r="SGU1112" s="15"/>
      <c r="SGV1112" s="15"/>
      <c r="SGY1112" s="15"/>
      <c r="SGZ1112" s="15"/>
      <c r="SHC1112" s="15"/>
      <c r="SHD1112" s="15"/>
      <c r="SHG1112" s="15"/>
      <c r="SHH1112" s="15"/>
      <c r="SHK1112" s="15"/>
      <c r="SHL1112" s="15"/>
      <c r="SHO1112" s="15"/>
      <c r="SHP1112" s="15"/>
      <c r="SHS1112" s="15"/>
      <c r="SHT1112" s="15"/>
      <c r="SHW1112" s="15"/>
      <c r="SHX1112" s="15"/>
      <c r="SIA1112" s="15"/>
      <c r="SIB1112" s="15"/>
      <c r="SIE1112" s="15"/>
      <c r="SIF1112" s="15"/>
      <c r="SII1112" s="15"/>
      <c r="SIJ1112" s="15"/>
      <c r="SIM1112" s="15"/>
      <c r="SIN1112" s="15"/>
      <c r="SIQ1112" s="15"/>
      <c r="SIR1112" s="15"/>
      <c r="SIU1112" s="15"/>
      <c r="SIV1112" s="15"/>
      <c r="SIY1112" s="15"/>
      <c r="SIZ1112" s="15"/>
      <c r="SJC1112" s="15"/>
      <c r="SJD1112" s="15"/>
      <c r="SJG1112" s="15"/>
      <c r="SJH1112" s="15"/>
      <c r="SJK1112" s="15"/>
      <c r="SJL1112" s="15"/>
      <c r="SJO1112" s="15"/>
      <c r="SJP1112" s="15"/>
      <c r="SJS1112" s="15"/>
      <c r="SJT1112" s="15"/>
      <c r="SJW1112" s="15"/>
      <c r="SJX1112" s="15"/>
      <c r="SKA1112" s="15"/>
      <c r="SKB1112" s="15"/>
      <c r="SKE1112" s="15"/>
      <c r="SKF1112" s="15"/>
      <c r="SKI1112" s="15"/>
      <c r="SKJ1112" s="15"/>
      <c r="SKM1112" s="15"/>
      <c r="SKN1112" s="15"/>
      <c r="SKQ1112" s="15"/>
      <c r="SKR1112" s="15"/>
      <c r="SKU1112" s="15"/>
      <c r="SKV1112" s="15"/>
      <c r="SKY1112" s="15"/>
      <c r="SKZ1112" s="15"/>
      <c r="SLC1112" s="15"/>
      <c r="SLD1112" s="15"/>
      <c r="SLG1112" s="15"/>
      <c r="SLH1112" s="15"/>
      <c r="SLK1112" s="15"/>
      <c r="SLL1112" s="15"/>
      <c r="SLO1112" s="15"/>
      <c r="SLP1112" s="15"/>
      <c r="SLS1112" s="15"/>
      <c r="SLT1112" s="15"/>
      <c r="SLW1112" s="15"/>
      <c r="SLX1112" s="15"/>
      <c r="SMA1112" s="15"/>
      <c r="SMB1112" s="15"/>
      <c r="SME1112" s="15"/>
      <c r="SMF1112" s="15"/>
      <c r="SMI1112" s="15"/>
      <c r="SMJ1112" s="15"/>
      <c r="SMM1112" s="15"/>
      <c r="SMN1112" s="15"/>
      <c r="SMQ1112" s="15"/>
      <c r="SMR1112" s="15"/>
      <c r="SMU1112" s="15"/>
      <c r="SMV1112" s="15"/>
      <c r="SMY1112" s="15"/>
      <c r="SMZ1112" s="15"/>
      <c r="SNC1112" s="15"/>
      <c r="SND1112" s="15"/>
      <c r="SNG1112" s="15"/>
      <c r="SNH1112" s="15"/>
      <c r="SNK1112" s="15"/>
      <c r="SNL1112" s="15"/>
      <c r="SNO1112" s="15"/>
      <c r="SNP1112" s="15"/>
      <c r="SNS1112" s="15"/>
      <c r="SNT1112" s="15"/>
      <c r="SNW1112" s="15"/>
      <c r="SNX1112" s="15"/>
      <c r="SOA1112" s="15"/>
      <c r="SOB1112" s="15"/>
      <c r="SOE1112" s="15"/>
      <c r="SOF1112" s="15"/>
      <c r="SOI1112" s="15"/>
      <c r="SOJ1112" s="15"/>
      <c r="SOM1112" s="15"/>
      <c r="SON1112" s="15"/>
      <c r="SOQ1112" s="15"/>
      <c r="SOR1112" s="15"/>
      <c r="SOU1112" s="15"/>
      <c r="SOV1112" s="15"/>
      <c r="SOY1112" s="15"/>
      <c r="SOZ1112" s="15"/>
      <c r="SPC1112" s="15"/>
      <c r="SPD1112" s="15"/>
      <c r="SPG1112" s="15"/>
      <c r="SPH1112" s="15"/>
      <c r="SPK1112" s="15"/>
      <c r="SPL1112" s="15"/>
      <c r="SPO1112" s="15"/>
      <c r="SPP1112" s="15"/>
      <c r="SPS1112" s="15"/>
      <c r="SPT1112" s="15"/>
      <c r="SPW1112" s="15"/>
      <c r="SPX1112" s="15"/>
      <c r="SQA1112" s="15"/>
      <c r="SQB1112" s="15"/>
      <c r="SQE1112" s="15"/>
      <c r="SQF1112" s="15"/>
      <c r="SQI1112" s="15"/>
      <c r="SQJ1112" s="15"/>
      <c r="SQM1112" s="15"/>
      <c r="SQN1112" s="15"/>
      <c r="SQQ1112" s="15"/>
      <c r="SQR1112" s="15"/>
      <c r="SQU1112" s="15"/>
      <c r="SQV1112" s="15"/>
      <c r="SQY1112" s="15"/>
      <c r="SQZ1112" s="15"/>
      <c r="SRC1112" s="15"/>
      <c r="SRD1112" s="15"/>
      <c r="SRG1112" s="15"/>
      <c r="SRH1112" s="15"/>
      <c r="SRK1112" s="15"/>
      <c r="SRL1112" s="15"/>
      <c r="SRO1112" s="15"/>
      <c r="SRP1112" s="15"/>
      <c r="SRS1112" s="15"/>
      <c r="SRT1112" s="15"/>
      <c r="SRW1112" s="15"/>
      <c r="SRX1112" s="15"/>
      <c r="SSA1112" s="15"/>
      <c r="SSB1112" s="15"/>
      <c r="SSE1112" s="15"/>
      <c r="SSF1112" s="15"/>
      <c r="SSI1112" s="15"/>
      <c r="SSJ1112" s="15"/>
      <c r="SSM1112" s="15"/>
      <c r="SSN1112" s="15"/>
      <c r="SSQ1112" s="15"/>
      <c r="SSR1112" s="15"/>
      <c r="SSU1112" s="15"/>
      <c r="SSV1112" s="15"/>
      <c r="SSY1112" s="15"/>
      <c r="SSZ1112" s="15"/>
      <c r="STC1112" s="15"/>
      <c r="STD1112" s="15"/>
      <c r="STG1112" s="15"/>
      <c r="STH1112" s="15"/>
      <c r="STK1112" s="15"/>
      <c r="STL1112" s="15"/>
      <c r="STO1112" s="15"/>
      <c r="STP1112" s="15"/>
      <c r="STS1112" s="15"/>
      <c r="STT1112" s="15"/>
      <c r="STW1112" s="15"/>
      <c r="STX1112" s="15"/>
      <c r="SUA1112" s="15"/>
      <c r="SUB1112" s="15"/>
      <c r="SUE1112" s="15"/>
      <c r="SUF1112" s="15"/>
      <c r="SUI1112" s="15"/>
      <c r="SUJ1112" s="15"/>
      <c r="SUM1112" s="15"/>
      <c r="SUN1112" s="15"/>
      <c r="SUQ1112" s="15"/>
      <c r="SUR1112" s="15"/>
      <c r="SUU1112" s="15"/>
      <c r="SUV1112" s="15"/>
      <c r="SUY1112" s="15"/>
      <c r="SUZ1112" s="15"/>
      <c r="SVC1112" s="15"/>
      <c r="SVD1112" s="15"/>
      <c r="SVG1112" s="15"/>
      <c r="SVH1112" s="15"/>
      <c r="SVK1112" s="15"/>
      <c r="SVL1112" s="15"/>
      <c r="SVO1112" s="15"/>
      <c r="SVP1112" s="15"/>
      <c r="SVS1112" s="15"/>
      <c r="SVT1112" s="15"/>
      <c r="SVW1112" s="15"/>
      <c r="SVX1112" s="15"/>
      <c r="SWA1112" s="15"/>
      <c r="SWB1112" s="15"/>
      <c r="SWE1112" s="15"/>
      <c r="SWF1112" s="15"/>
      <c r="SWI1112" s="15"/>
      <c r="SWJ1112" s="15"/>
      <c r="SWM1112" s="15"/>
      <c r="SWN1112" s="15"/>
      <c r="SWQ1112" s="15"/>
      <c r="SWR1112" s="15"/>
      <c r="SWU1112" s="15"/>
      <c r="SWV1112" s="15"/>
      <c r="SWY1112" s="15"/>
      <c r="SWZ1112" s="15"/>
      <c r="SXC1112" s="15"/>
      <c r="SXD1112" s="15"/>
      <c r="SXG1112" s="15"/>
      <c r="SXH1112" s="15"/>
      <c r="SXK1112" s="15"/>
      <c r="SXL1112" s="15"/>
      <c r="SXO1112" s="15"/>
      <c r="SXP1112" s="15"/>
      <c r="SXS1112" s="15"/>
      <c r="SXT1112" s="15"/>
      <c r="SXW1112" s="15"/>
      <c r="SXX1112" s="15"/>
      <c r="SYA1112" s="15"/>
      <c r="SYB1112" s="15"/>
      <c r="SYE1112" s="15"/>
      <c r="SYF1112" s="15"/>
      <c r="SYI1112" s="15"/>
      <c r="SYJ1112" s="15"/>
      <c r="SYM1112" s="15"/>
      <c r="SYN1112" s="15"/>
      <c r="SYQ1112" s="15"/>
      <c r="SYR1112" s="15"/>
      <c r="SYU1112" s="15"/>
      <c r="SYV1112" s="15"/>
      <c r="SYY1112" s="15"/>
      <c r="SYZ1112" s="15"/>
      <c r="SZC1112" s="15"/>
      <c r="SZD1112" s="15"/>
      <c r="SZG1112" s="15"/>
      <c r="SZH1112" s="15"/>
      <c r="SZK1112" s="15"/>
      <c r="SZL1112" s="15"/>
      <c r="SZO1112" s="15"/>
      <c r="SZP1112" s="15"/>
      <c r="SZS1112" s="15"/>
      <c r="SZT1112" s="15"/>
      <c r="SZW1112" s="15"/>
      <c r="SZX1112" s="15"/>
      <c r="TAA1112" s="15"/>
      <c r="TAB1112" s="15"/>
      <c r="TAE1112" s="15"/>
      <c r="TAF1112" s="15"/>
      <c r="TAI1112" s="15"/>
      <c r="TAJ1112" s="15"/>
      <c r="TAM1112" s="15"/>
      <c r="TAN1112" s="15"/>
      <c r="TAQ1112" s="15"/>
      <c r="TAR1112" s="15"/>
      <c r="TAU1112" s="15"/>
      <c r="TAV1112" s="15"/>
      <c r="TAY1112" s="15"/>
      <c r="TAZ1112" s="15"/>
      <c r="TBC1112" s="15"/>
      <c r="TBD1112" s="15"/>
      <c r="TBG1112" s="15"/>
      <c r="TBH1112" s="15"/>
      <c r="TBK1112" s="15"/>
      <c r="TBL1112" s="15"/>
      <c r="TBO1112" s="15"/>
      <c r="TBP1112" s="15"/>
      <c r="TBS1112" s="15"/>
      <c r="TBT1112" s="15"/>
      <c r="TBW1112" s="15"/>
      <c r="TBX1112" s="15"/>
      <c r="TCA1112" s="15"/>
      <c r="TCB1112" s="15"/>
      <c r="TCE1112" s="15"/>
      <c r="TCF1112" s="15"/>
      <c r="TCI1112" s="15"/>
      <c r="TCJ1112" s="15"/>
      <c r="TCM1112" s="15"/>
      <c r="TCN1112" s="15"/>
      <c r="TCQ1112" s="15"/>
      <c r="TCR1112" s="15"/>
      <c r="TCU1112" s="15"/>
      <c r="TCV1112" s="15"/>
      <c r="TCY1112" s="15"/>
      <c r="TCZ1112" s="15"/>
      <c r="TDC1112" s="15"/>
      <c r="TDD1112" s="15"/>
      <c r="TDG1112" s="15"/>
      <c r="TDH1112" s="15"/>
      <c r="TDK1112" s="15"/>
      <c r="TDL1112" s="15"/>
      <c r="TDO1112" s="15"/>
      <c r="TDP1112" s="15"/>
      <c r="TDS1112" s="15"/>
      <c r="TDT1112" s="15"/>
      <c r="TDW1112" s="15"/>
      <c r="TDX1112" s="15"/>
      <c r="TEA1112" s="15"/>
      <c r="TEB1112" s="15"/>
      <c r="TEE1112" s="15"/>
      <c r="TEF1112" s="15"/>
      <c r="TEI1112" s="15"/>
      <c r="TEJ1112" s="15"/>
      <c r="TEM1112" s="15"/>
      <c r="TEN1112" s="15"/>
      <c r="TEQ1112" s="15"/>
      <c r="TER1112" s="15"/>
      <c r="TEU1112" s="15"/>
      <c r="TEV1112" s="15"/>
      <c r="TEY1112" s="15"/>
      <c r="TEZ1112" s="15"/>
      <c r="TFC1112" s="15"/>
      <c r="TFD1112" s="15"/>
      <c r="TFG1112" s="15"/>
      <c r="TFH1112" s="15"/>
      <c r="TFK1112" s="15"/>
      <c r="TFL1112" s="15"/>
      <c r="TFO1112" s="15"/>
      <c r="TFP1112" s="15"/>
      <c r="TFS1112" s="15"/>
      <c r="TFT1112" s="15"/>
      <c r="TFW1112" s="15"/>
      <c r="TFX1112" s="15"/>
      <c r="TGA1112" s="15"/>
      <c r="TGB1112" s="15"/>
      <c r="TGE1112" s="15"/>
      <c r="TGF1112" s="15"/>
      <c r="TGI1112" s="15"/>
      <c r="TGJ1112" s="15"/>
      <c r="TGM1112" s="15"/>
      <c r="TGN1112" s="15"/>
      <c r="TGQ1112" s="15"/>
      <c r="TGR1112" s="15"/>
      <c r="TGU1112" s="15"/>
      <c r="TGV1112" s="15"/>
      <c r="TGY1112" s="15"/>
      <c r="TGZ1112" s="15"/>
      <c r="THC1112" s="15"/>
      <c r="THD1112" s="15"/>
      <c r="THG1112" s="15"/>
      <c r="THH1112" s="15"/>
      <c r="THK1112" s="15"/>
      <c r="THL1112" s="15"/>
      <c r="THO1112" s="15"/>
      <c r="THP1112" s="15"/>
      <c r="THS1112" s="15"/>
      <c r="THT1112" s="15"/>
      <c r="THW1112" s="15"/>
      <c r="THX1112" s="15"/>
      <c r="TIA1112" s="15"/>
      <c r="TIB1112" s="15"/>
      <c r="TIE1112" s="15"/>
      <c r="TIF1112" s="15"/>
      <c r="TII1112" s="15"/>
      <c r="TIJ1112" s="15"/>
      <c r="TIM1112" s="15"/>
      <c r="TIN1112" s="15"/>
      <c r="TIQ1112" s="15"/>
      <c r="TIR1112" s="15"/>
      <c r="TIU1112" s="15"/>
      <c r="TIV1112" s="15"/>
      <c r="TIY1112" s="15"/>
      <c r="TIZ1112" s="15"/>
      <c r="TJC1112" s="15"/>
      <c r="TJD1112" s="15"/>
      <c r="TJG1112" s="15"/>
      <c r="TJH1112" s="15"/>
      <c r="TJK1112" s="15"/>
      <c r="TJL1112" s="15"/>
      <c r="TJO1112" s="15"/>
      <c r="TJP1112" s="15"/>
      <c r="TJS1112" s="15"/>
      <c r="TJT1112" s="15"/>
      <c r="TJW1112" s="15"/>
      <c r="TJX1112" s="15"/>
      <c r="TKA1112" s="15"/>
      <c r="TKB1112" s="15"/>
      <c r="TKE1112" s="15"/>
      <c r="TKF1112" s="15"/>
      <c r="TKI1112" s="15"/>
      <c r="TKJ1112" s="15"/>
      <c r="TKM1112" s="15"/>
      <c r="TKN1112" s="15"/>
      <c r="TKQ1112" s="15"/>
      <c r="TKR1112" s="15"/>
      <c r="TKU1112" s="15"/>
      <c r="TKV1112" s="15"/>
      <c r="TKY1112" s="15"/>
      <c r="TKZ1112" s="15"/>
      <c r="TLC1112" s="15"/>
      <c r="TLD1112" s="15"/>
      <c r="TLG1112" s="15"/>
      <c r="TLH1112" s="15"/>
      <c r="TLK1112" s="15"/>
      <c r="TLL1112" s="15"/>
      <c r="TLO1112" s="15"/>
      <c r="TLP1112" s="15"/>
      <c r="TLS1112" s="15"/>
      <c r="TLT1112" s="15"/>
      <c r="TLW1112" s="15"/>
      <c r="TLX1112" s="15"/>
      <c r="TMA1112" s="15"/>
      <c r="TMB1112" s="15"/>
      <c r="TME1112" s="15"/>
      <c r="TMF1112" s="15"/>
      <c r="TMI1112" s="15"/>
      <c r="TMJ1112" s="15"/>
      <c r="TMM1112" s="15"/>
      <c r="TMN1112" s="15"/>
      <c r="TMQ1112" s="15"/>
      <c r="TMR1112" s="15"/>
      <c r="TMU1112" s="15"/>
      <c r="TMV1112" s="15"/>
      <c r="TMY1112" s="15"/>
      <c r="TMZ1112" s="15"/>
      <c r="TNC1112" s="15"/>
      <c r="TND1112" s="15"/>
      <c r="TNG1112" s="15"/>
      <c r="TNH1112" s="15"/>
      <c r="TNK1112" s="15"/>
      <c r="TNL1112" s="15"/>
      <c r="TNO1112" s="15"/>
      <c r="TNP1112" s="15"/>
      <c r="TNS1112" s="15"/>
      <c r="TNT1112" s="15"/>
      <c r="TNW1112" s="15"/>
      <c r="TNX1112" s="15"/>
      <c r="TOA1112" s="15"/>
      <c r="TOB1112" s="15"/>
      <c r="TOE1112" s="15"/>
      <c r="TOF1112" s="15"/>
      <c r="TOI1112" s="15"/>
      <c r="TOJ1112" s="15"/>
      <c r="TOM1112" s="15"/>
      <c r="TON1112" s="15"/>
      <c r="TOQ1112" s="15"/>
      <c r="TOR1112" s="15"/>
      <c r="TOU1112" s="15"/>
      <c r="TOV1112" s="15"/>
      <c r="TOY1112" s="15"/>
      <c r="TOZ1112" s="15"/>
      <c r="TPC1112" s="15"/>
      <c r="TPD1112" s="15"/>
      <c r="TPG1112" s="15"/>
      <c r="TPH1112" s="15"/>
      <c r="TPK1112" s="15"/>
      <c r="TPL1112" s="15"/>
      <c r="TPO1112" s="15"/>
      <c r="TPP1112" s="15"/>
      <c r="TPS1112" s="15"/>
      <c r="TPT1112" s="15"/>
      <c r="TPW1112" s="15"/>
      <c r="TPX1112" s="15"/>
      <c r="TQA1112" s="15"/>
      <c r="TQB1112" s="15"/>
      <c r="TQE1112" s="15"/>
      <c r="TQF1112" s="15"/>
      <c r="TQI1112" s="15"/>
      <c r="TQJ1112" s="15"/>
      <c r="TQM1112" s="15"/>
      <c r="TQN1112" s="15"/>
      <c r="TQQ1112" s="15"/>
      <c r="TQR1112" s="15"/>
      <c r="TQU1112" s="15"/>
      <c r="TQV1112" s="15"/>
      <c r="TQY1112" s="15"/>
      <c r="TQZ1112" s="15"/>
      <c r="TRC1112" s="15"/>
      <c r="TRD1112" s="15"/>
      <c r="TRG1112" s="15"/>
      <c r="TRH1112" s="15"/>
      <c r="TRK1112" s="15"/>
      <c r="TRL1112" s="15"/>
      <c r="TRO1112" s="15"/>
      <c r="TRP1112" s="15"/>
      <c r="TRS1112" s="15"/>
      <c r="TRT1112" s="15"/>
      <c r="TRW1112" s="15"/>
      <c r="TRX1112" s="15"/>
      <c r="TSA1112" s="15"/>
      <c r="TSB1112" s="15"/>
      <c r="TSE1112" s="15"/>
      <c r="TSF1112" s="15"/>
      <c r="TSI1112" s="15"/>
      <c r="TSJ1112" s="15"/>
      <c r="TSM1112" s="15"/>
      <c r="TSN1112" s="15"/>
      <c r="TSQ1112" s="15"/>
      <c r="TSR1112" s="15"/>
      <c r="TSU1112" s="15"/>
      <c r="TSV1112" s="15"/>
      <c r="TSY1112" s="15"/>
      <c r="TSZ1112" s="15"/>
      <c r="TTC1112" s="15"/>
      <c r="TTD1112" s="15"/>
      <c r="TTG1112" s="15"/>
      <c r="TTH1112" s="15"/>
      <c r="TTK1112" s="15"/>
      <c r="TTL1112" s="15"/>
      <c r="TTO1112" s="15"/>
      <c r="TTP1112" s="15"/>
      <c r="TTS1112" s="15"/>
      <c r="TTT1112" s="15"/>
      <c r="TTW1112" s="15"/>
      <c r="TTX1112" s="15"/>
      <c r="TUA1112" s="15"/>
      <c r="TUB1112" s="15"/>
      <c r="TUE1112" s="15"/>
      <c r="TUF1112" s="15"/>
      <c r="TUI1112" s="15"/>
      <c r="TUJ1112" s="15"/>
      <c r="TUM1112" s="15"/>
      <c r="TUN1112" s="15"/>
      <c r="TUQ1112" s="15"/>
      <c r="TUR1112" s="15"/>
      <c r="TUU1112" s="15"/>
      <c r="TUV1112" s="15"/>
      <c r="TUY1112" s="15"/>
      <c r="TUZ1112" s="15"/>
      <c r="TVC1112" s="15"/>
      <c r="TVD1112" s="15"/>
      <c r="TVG1112" s="15"/>
      <c r="TVH1112" s="15"/>
      <c r="TVK1112" s="15"/>
      <c r="TVL1112" s="15"/>
      <c r="TVO1112" s="15"/>
      <c r="TVP1112" s="15"/>
      <c r="TVS1112" s="15"/>
      <c r="TVT1112" s="15"/>
      <c r="TVW1112" s="15"/>
      <c r="TVX1112" s="15"/>
      <c r="TWA1112" s="15"/>
      <c r="TWB1112" s="15"/>
      <c r="TWE1112" s="15"/>
      <c r="TWF1112" s="15"/>
      <c r="TWI1112" s="15"/>
      <c r="TWJ1112" s="15"/>
      <c r="TWM1112" s="15"/>
      <c r="TWN1112" s="15"/>
      <c r="TWQ1112" s="15"/>
      <c r="TWR1112" s="15"/>
      <c r="TWU1112" s="15"/>
      <c r="TWV1112" s="15"/>
      <c r="TWY1112" s="15"/>
      <c r="TWZ1112" s="15"/>
      <c r="TXC1112" s="15"/>
      <c r="TXD1112" s="15"/>
      <c r="TXG1112" s="15"/>
      <c r="TXH1112" s="15"/>
      <c r="TXK1112" s="15"/>
      <c r="TXL1112" s="15"/>
      <c r="TXO1112" s="15"/>
      <c r="TXP1112" s="15"/>
      <c r="TXS1112" s="15"/>
      <c r="TXT1112" s="15"/>
      <c r="TXW1112" s="15"/>
      <c r="TXX1112" s="15"/>
      <c r="TYA1112" s="15"/>
      <c r="TYB1112" s="15"/>
      <c r="TYE1112" s="15"/>
      <c r="TYF1112" s="15"/>
      <c r="TYI1112" s="15"/>
      <c r="TYJ1112" s="15"/>
      <c r="TYM1112" s="15"/>
      <c r="TYN1112" s="15"/>
      <c r="TYQ1112" s="15"/>
      <c r="TYR1112" s="15"/>
      <c r="TYU1112" s="15"/>
      <c r="TYV1112" s="15"/>
      <c r="TYY1112" s="15"/>
      <c r="TYZ1112" s="15"/>
      <c r="TZC1112" s="15"/>
      <c r="TZD1112" s="15"/>
      <c r="TZG1112" s="15"/>
      <c r="TZH1112" s="15"/>
      <c r="TZK1112" s="15"/>
      <c r="TZL1112" s="15"/>
      <c r="TZO1112" s="15"/>
      <c r="TZP1112" s="15"/>
      <c r="TZS1112" s="15"/>
      <c r="TZT1112" s="15"/>
      <c r="TZW1112" s="15"/>
      <c r="TZX1112" s="15"/>
      <c r="UAA1112" s="15"/>
      <c r="UAB1112" s="15"/>
      <c r="UAE1112" s="15"/>
      <c r="UAF1112" s="15"/>
      <c r="UAI1112" s="15"/>
      <c r="UAJ1112" s="15"/>
      <c r="UAM1112" s="15"/>
      <c r="UAN1112" s="15"/>
      <c r="UAQ1112" s="15"/>
      <c r="UAR1112" s="15"/>
      <c r="UAU1112" s="15"/>
      <c r="UAV1112" s="15"/>
      <c r="UAY1112" s="15"/>
      <c r="UAZ1112" s="15"/>
      <c r="UBC1112" s="15"/>
      <c r="UBD1112" s="15"/>
      <c r="UBG1112" s="15"/>
      <c r="UBH1112" s="15"/>
      <c r="UBK1112" s="15"/>
      <c r="UBL1112" s="15"/>
      <c r="UBO1112" s="15"/>
      <c r="UBP1112" s="15"/>
      <c r="UBS1112" s="15"/>
      <c r="UBT1112" s="15"/>
      <c r="UBW1112" s="15"/>
      <c r="UBX1112" s="15"/>
      <c r="UCA1112" s="15"/>
      <c r="UCB1112" s="15"/>
      <c r="UCE1112" s="15"/>
      <c r="UCF1112" s="15"/>
      <c r="UCI1112" s="15"/>
      <c r="UCJ1112" s="15"/>
      <c r="UCM1112" s="15"/>
      <c r="UCN1112" s="15"/>
      <c r="UCQ1112" s="15"/>
      <c r="UCR1112" s="15"/>
      <c r="UCU1112" s="15"/>
      <c r="UCV1112" s="15"/>
      <c r="UCY1112" s="15"/>
      <c r="UCZ1112" s="15"/>
      <c r="UDC1112" s="15"/>
      <c r="UDD1112" s="15"/>
      <c r="UDG1112" s="15"/>
      <c r="UDH1112" s="15"/>
      <c r="UDK1112" s="15"/>
      <c r="UDL1112" s="15"/>
      <c r="UDO1112" s="15"/>
      <c r="UDP1112" s="15"/>
      <c r="UDS1112" s="15"/>
      <c r="UDT1112" s="15"/>
      <c r="UDW1112" s="15"/>
      <c r="UDX1112" s="15"/>
      <c r="UEA1112" s="15"/>
      <c r="UEB1112" s="15"/>
      <c r="UEE1112" s="15"/>
      <c r="UEF1112" s="15"/>
      <c r="UEI1112" s="15"/>
      <c r="UEJ1112" s="15"/>
      <c r="UEM1112" s="15"/>
      <c r="UEN1112" s="15"/>
      <c r="UEQ1112" s="15"/>
      <c r="UER1112" s="15"/>
      <c r="UEU1112" s="15"/>
      <c r="UEV1112" s="15"/>
      <c r="UEY1112" s="15"/>
      <c r="UEZ1112" s="15"/>
      <c r="UFC1112" s="15"/>
      <c r="UFD1112" s="15"/>
      <c r="UFG1112" s="15"/>
      <c r="UFH1112" s="15"/>
      <c r="UFK1112" s="15"/>
      <c r="UFL1112" s="15"/>
      <c r="UFO1112" s="15"/>
      <c r="UFP1112" s="15"/>
      <c r="UFS1112" s="15"/>
      <c r="UFT1112" s="15"/>
      <c r="UFW1112" s="15"/>
      <c r="UFX1112" s="15"/>
      <c r="UGA1112" s="15"/>
      <c r="UGB1112" s="15"/>
      <c r="UGE1112" s="15"/>
      <c r="UGF1112" s="15"/>
      <c r="UGI1112" s="15"/>
      <c r="UGJ1112" s="15"/>
      <c r="UGM1112" s="15"/>
      <c r="UGN1112" s="15"/>
      <c r="UGQ1112" s="15"/>
      <c r="UGR1112" s="15"/>
      <c r="UGU1112" s="15"/>
      <c r="UGV1112" s="15"/>
      <c r="UGY1112" s="15"/>
      <c r="UGZ1112" s="15"/>
      <c r="UHC1112" s="15"/>
      <c r="UHD1112" s="15"/>
      <c r="UHG1112" s="15"/>
      <c r="UHH1112" s="15"/>
      <c r="UHK1112" s="15"/>
      <c r="UHL1112" s="15"/>
      <c r="UHO1112" s="15"/>
      <c r="UHP1112" s="15"/>
      <c r="UHS1112" s="15"/>
      <c r="UHT1112" s="15"/>
      <c r="UHW1112" s="15"/>
      <c r="UHX1112" s="15"/>
      <c r="UIA1112" s="15"/>
      <c r="UIB1112" s="15"/>
      <c r="UIE1112" s="15"/>
      <c r="UIF1112" s="15"/>
      <c r="UII1112" s="15"/>
      <c r="UIJ1112" s="15"/>
      <c r="UIM1112" s="15"/>
      <c r="UIN1112" s="15"/>
      <c r="UIQ1112" s="15"/>
      <c r="UIR1112" s="15"/>
      <c r="UIU1112" s="15"/>
      <c r="UIV1112" s="15"/>
      <c r="UIY1112" s="15"/>
      <c r="UIZ1112" s="15"/>
      <c r="UJC1112" s="15"/>
      <c r="UJD1112" s="15"/>
      <c r="UJG1112" s="15"/>
      <c r="UJH1112" s="15"/>
      <c r="UJK1112" s="15"/>
      <c r="UJL1112" s="15"/>
      <c r="UJO1112" s="15"/>
      <c r="UJP1112" s="15"/>
      <c r="UJS1112" s="15"/>
      <c r="UJT1112" s="15"/>
      <c r="UJW1112" s="15"/>
      <c r="UJX1112" s="15"/>
      <c r="UKA1112" s="15"/>
      <c r="UKB1112" s="15"/>
      <c r="UKE1112" s="15"/>
      <c r="UKF1112" s="15"/>
      <c r="UKI1112" s="15"/>
      <c r="UKJ1112" s="15"/>
      <c r="UKM1112" s="15"/>
      <c r="UKN1112" s="15"/>
      <c r="UKQ1112" s="15"/>
      <c r="UKR1112" s="15"/>
      <c r="UKU1112" s="15"/>
      <c r="UKV1112" s="15"/>
      <c r="UKY1112" s="15"/>
      <c r="UKZ1112" s="15"/>
      <c r="ULC1112" s="15"/>
      <c r="ULD1112" s="15"/>
      <c r="ULG1112" s="15"/>
      <c r="ULH1112" s="15"/>
      <c r="ULK1112" s="15"/>
      <c r="ULL1112" s="15"/>
      <c r="ULO1112" s="15"/>
      <c r="ULP1112" s="15"/>
      <c r="ULS1112" s="15"/>
      <c r="ULT1112" s="15"/>
      <c r="ULW1112" s="15"/>
      <c r="ULX1112" s="15"/>
      <c r="UMA1112" s="15"/>
      <c r="UMB1112" s="15"/>
      <c r="UME1112" s="15"/>
      <c r="UMF1112" s="15"/>
      <c r="UMI1112" s="15"/>
      <c r="UMJ1112" s="15"/>
      <c r="UMM1112" s="15"/>
      <c r="UMN1112" s="15"/>
      <c r="UMQ1112" s="15"/>
      <c r="UMR1112" s="15"/>
      <c r="UMU1112" s="15"/>
      <c r="UMV1112" s="15"/>
      <c r="UMY1112" s="15"/>
      <c r="UMZ1112" s="15"/>
      <c r="UNC1112" s="15"/>
      <c r="UND1112" s="15"/>
      <c r="UNG1112" s="15"/>
      <c r="UNH1112" s="15"/>
      <c r="UNK1112" s="15"/>
      <c r="UNL1112" s="15"/>
      <c r="UNO1112" s="15"/>
      <c r="UNP1112" s="15"/>
      <c r="UNS1112" s="15"/>
      <c r="UNT1112" s="15"/>
      <c r="UNW1112" s="15"/>
      <c r="UNX1112" s="15"/>
      <c r="UOA1112" s="15"/>
      <c r="UOB1112" s="15"/>
      <c r="UOE1112" s="15"/>
      <c r="UOF1112" s="15"/>
      <c r="UOI1112" s="15"/>
      <c r="UOJ1112" s="15"/>
      <c r="UOM1112" s="15"/>
      <c r="UON1112" s="15"/>
      <c r="UOQ1112" s="15"/>
      <c r="UOR1112" s="15"/>
      <c r="UOU1112" s="15"/>
      <c r="UOV1112" s="15"/>
      <c r="UOY1112" s="15"/>
      <c r="UOZ1112" s="15"/>
      <c r="UPC1112" s="15"/>
      <c r="UPD1112" s="15"/>
      <c r="UPG1112" s="15"/>
      <c r="UPH1112" s="15"/>
      <c r="UPK1112" s="15"/>
      <c r="UPL1112" s="15"/>
      <c r="UPO1112" s="15"/>
      <c r="UPP1112" s="15"/>
      <c r="UPS1112" s="15"/>
      <c r="UPT1112" s="15"/>
      <c r="UPW1112" s="15"/>
      <c r="UPX1112" s="15"/>
      <c r="UQA1112" s="15"/>
      <c r="UQB1112" s="15"/>
      <c r="UQE1112" s="15"/>
      <c r="UQF1112" s="15"/>
      <c r="UQI1112" s="15"/>
      <c r="UQJ1112" s="15"/>
      <c r="UQM1112" s="15"/>
      <c r="UQN1112" s="15"/>
      <c r="UQQ1112" s="15"/>
      <c r="UQR1112" s="15"/>
      <c r="UQU1112" s="15"/>
      <c r="UQV1112" s="15"/>
      <c r="UQY1112" s="15"/>
      <c r="UQZ1112" s="15"/>
      <c r="URC1112" s="15"/>
      <c r="URD1112" s="15"/>
      <c r="URG1112" s="15"/>
      <c r="URH1112" s="15"/>
      <c r="URK1112" s="15"/>
      <c r="URL1112" s="15"/>
      <c r="URO1112" s="15"/>
      <c r="URP1112" s="15"/>
      <c r="URS1112" s="15"/>
      <c r="URT1112" s="15"/>
      <c r="URW1112" s="15"/>
      <c r="URX1112" s="15"/>
      <c r="USA1112" s="15"/>
      <c r="USB1112" s="15"/>
      <c r="USE1112" s="15"/>
      <c r="USF1112" s="15"/>
      <c r="USI1112" s="15"/>
      <c r="USJ1112" s="15"/>
      <c r="USM1112" s="15"/>
      <c r="USN1112" s="15"/>
      <c r="USQ1112" s="15"/>
      <c r="USR1112" s="15"/>
      <c r="USU1112" s="15"/>
      <c r="USV1112" s="15"/>
      <c r="USY1112" s="15"/>
      <c r="USZ1112" s="15"/>
      <c r="UTC1112" s="15"/>
      <c r="UTD1112" s="15"/>
      <c r="UTG1112" s="15"/>
      <c r="UTH1112" s="15"/>
      <c r="UTK1112" s="15"/>
      <c r="UTL1112" s="15"/>
      <c r="UTO1112" s="15"/>
      <c r="UTP1112" s="15"/>
      <c r="UTS1112" s="15"/>
      <c r="UTT1112" s="15"/>
      <c r="UTW1112" s="15"/>
      <c r="UTX1112" s="15"/>
      <c r="UUA1112" s="15"/>
      <c r="UUB1112" s="15"/>
      <c r="UUE1112" s="15"/>
      <c r="UUF1112" s="15"/>
      <c r="UUI1112" s="15"/>
      <c r="UUJ1112" s="15"/>
      <c r="UUM1112" s="15"/>
      <c r="UUN1112" s="15"/>
      <c r="UUQ1112" s="15"/>
      <c r="UUR1112" s="15"/>
      <c r="UUU1112" s="15"/>
      <c r="UUV1112" s="15"/>
      <c r="UUY1112" s="15"/>
      <c r="UUZ1112" s="15"/>
      <c r="UVC1112" s="15"/>
      <c r="UVD1112" s="15"/>
      <c r="UVG1112" s="15"/>
      <c r="UVH1112" s="15"/>
      <c r="UVK1112" s="15"/>
      <c r="UVL1112" s="15"/>
      <c r="UVO1112" s="15"/>
      <c r="UVP1112" s="15"/>
      <c r="UVS1112" s="15"/>
      <c r="UVT1112" s="15"/>
      <c r="UVW1112" s="15"/>
      <c r="UVX1112" s="15"/>
      <c r="UWA1112" s="15"/>
      <c r="UWB1112" s="15"/>
      <c r="UWE1112" s="15"/>
      <c r="UWF1112" s="15"/>
      <c r="UWI1112" s="15"/>
      <c r="UWJ1112" s="15"/>
      <c r="UWM1112" s="15"/>
      <c r="UWN1112" s="15"/>
      <c r="UWQ1112" s="15"/>
      <c r="UWR1112" s="15"/>
      <c r="UWU1112" s="15"/>
      <c r="UWV1112" s="15"/>
      <c r="UWY1112" s="15"/>
      <c r="UWZ1112" s="15"/>
      <c r="UXC1112" s="15"/>
      <c r="UXD1112" s="15"/>
      <c r="UXG1112" s="15"/>
      <c r="UXH1112" s="15"/>
      <c r="UXK1112" s="15"/>
      <c r="UXL1112" s="15"/>
      <c r="UXO1112" s="15"/>
      <c r="UXP1112" s="15"/>
      <c r="UXS1112" s="15"/>
      <c r="UXT1112" s="15"/>
      <c r="UXW1112" s="15"/>
      <c r="UXX1112" s="15"/>
      <c r="UYA1112" s="15"/>
      <c r="UYB1112" s="15"/>
      <c r="UYE1112" s="15"/>
      <c r="UYF1112" s="15"/>
      <c r="UYI1112" s="15"/>
      <c r="UYJ1112" s="15"/>
      <c r="UYM1112" s="15"/>
      <c r="UYN1112" s="15"/>
      <c r="UYQ1112" s="15"/>
      <c r="UYR1112" s="15"/>
      <c r="UYU1112" s="15"/>
      <c r="UYV1112" s="15"/>
      <c r="UYY1112" s="15"/>
      <c r="UYZ1112" s="15"/>
      <c r="UZC1112" s="15"/>
      <c r="UZD1112" s="15"/>
      <c r="UZG1112" s="15"/>
      <c r="UZH1112" s="15"/>
      <c r="UZK1112" s="15"/>
      <c r="UZL1112" s="15"/>
      <c r="UZO1112" s="15"/>
      <c r="UZP1112" s="15"/>
      <c r="UZS1112" s="15"/>
      <c r="UZT1112" s="15"/>
      <c r="UZW1112" s="15"/>
      <c r="UZX1112" s="15"/>
      <c r="VAA1112" s="15"/>
      <c r="VAB1112" s="15"/>
      <c r="VAE1112" s="15"/>
      <c r="VAF1112" s="15"/>
      <c r="VAI1112" s="15"/>
      <c r="VAJ1112" s="15"/>
      <c r="VAM1112" s="15"/>
      <c r="VAN1112" s="15"/>
      <c r="VAQ1112" s="15"/>
      <c r="VAR1112" s="15"/>
      <c r="VAU1112" s="15"/>
      <c r="VAV1112" s="15"/>
      <c r="VAY1112" s="15"/>
      <c r="VAZ1112" s="15"/>
      <c r="VBC1112" s="15"/>
      <c r="VBD1112" s="15"/>
      <c r="VBG1112" s="15"/>
      <c r="VBH1112" s="15"/>
      <c r="VBK1112" s="15"/>
      <c r="VBL1112" s="15"/>
      <c r="VBO1112" s="15"/>
      <c r="VBP1112" s="15"/>
      <c r="VBS1112" s="15"/>
      <c r="VBT1112" s="15"/>
      <c r="VBW1112" s="15"/>
      <c r="VBX1112" s="15"/>
      <c r="VCA1112" s="15"/>
      <c r="VCB1112" s="15"/>
      <c r="VCE1112" s="15"/>
      <c r="VCF1112" s="15"/>
      <c r="VCI1112" s="15"/>
      <c r="VCJ1112" s="15"/>
      <c r="VCM1112" s="15"/>
      <c r="VCN1112" s="15"/>
      <c r="VCQ1112" s="15"/>
      <c r="VCR1112" s="15"/>
      <c r="VCU1112" s="15"/>
      <c r="VCV1112" s="15"/>
      <c r="VCY1112" s="15"/>
      <c r="VCZ1112" s="15"/>
      <c r="VDC1112" s="15"/>
      <c r="VDD1112" s="15"/>
      <c r="VDG1112" s="15"/>
      <c r="VDH1112" s="15"/>
      <c r="VDK1112" s="15"/>
      <c r="VDL1112" s="15"/>
      <c r="VDO1112" s="15"/>
      <c r="VDP1112" s="15"/>
      <c r="VDS1112" s="15"/>
      <c r="VDT1112" s="15"/>
      <c r="VDW1112" s="15"/>
      <c r="VDX1112" s="15"/>
      <c r="VEA1112" s="15"/>
      <c r="VEB1112" s="15"/>
      <c r="VEE1112" s="15"/>
      <c r="VEF1112" s="15"/>
      <c r="VEI1112" s="15"/>
      <c r="VEJ1112" s="15"/>
      <c r="VEM1112" s="15"/>
      <c r="VEN1112" s="15"/>
      <c r="VEQ1112" s="15"/>
      <c r="VER1112" s="15"/>
      <c r="VEU1112" s="15"/>
      <c r="VEV1112" s="15"/>
      <c r="VEY1112" s="15"/>
      <c r="VEZ1112" s="15"/>
      <c r="VFC1112" s="15"/>
      <c r="VFD1112" s="15"/>
      <c r="VFG1112" s="15"/>
      <c r="VFH1112" s="15"/>
      <c r="VFK1112" s="15"/>
      <c r="VFL1112" s="15"/>
      <c r="VFO1112" s="15"/>
      <c r="VFP1112" s="15"/>
      <c r="VFS1112" s="15"/>
      <c r="VFT1112" s="15"/>
      <c r="VFW1112" s="15"/>
      <c r="VFX1112" s="15"/>
      <c r="VGA1112" s="15"/>
      <c r="VGB1112" s="15"/>
      <c r="VGE1112" s="15"/>
      <c r="VGF1112" s="15"/>
      <c r="VGI1112" s="15"/>
      <c r="VGJ1112" s="15"/>
      <c r="VGM1112" s="15"/>
      <c r="VGN1112" s="15"/>
      <c r="VGQ1112" s="15"/>
      <c r="VGR1112" s="15"/>
      <c r="VGU1112" s="15"/>
      <c r="VGV1112" s="15"/>
      <c r="VGY1112" s="15"/>
      <c r="VGZ1112" s="15"/>
      <c r="VHC1112" s="15"/>
      <c r="VHD1112" s="15"/>
      <c r="VHG1112" s="15"/>
      <c r="VHH1112" s="15"/>
      <c r="VHK1112" s="15"/>
      <c r="VHL1112" s="15"/>
      <c r="VHO1112" s="15"/>
      <c r="VHP1112" s="15"/>
      <c r="VHS1112" s="15"/>
      <c r="VHT1112" s="15"/>
      <c r="VHW1112" s="15"/>
      <c r="VHX1112" s="15"/>
      <c r="VIA1112" s="15"/>
      <c r="VIB1112" s="15"/>
      <c r="VIE1112" s="15"/>
      <c r="VIF1112" s="15"/>
      <c r="VII1112" s="15"/>
      <c r="VIJ1112" s="15"/>
      <c r="VIM1112" s="15"/>
      <c r="VIN1112" s="15"/>
      <c r="VIQ1112" s="15"/>
      <c r="VIR1112" s="15"/>
      <c r="VIU1112" s="15"/>
      <c r="VIV1112" s="15"/>
      <c r="VIY1112" s="15"/>
      <c r="VIZ1112" s="15"/>
      <c r="VJC1112" s="15"/>
      <c r="VJD1112" s="15"/>
      <c r="VJG1112" s="15"/>
      <c r="VJH1112" s="15"/>
      <c r="VJK1112" s="15"/>
      <c r="VJL1112" s="15"/>
      <c r="VJO1112" s="15"/>
      <c r="VJP1112" s="15"/>
      <c r="VJS1112" s="15"/>
      <c r="VJT1112" s="15"/>
      <c r="VJW1112" s="15"/>
      <c r="VJX1112" s="15"/>
      <c r="VKA1112" s="15"/>
      <c r="VKB1112" s="15"/>
      <c r="VKE1112" s="15"/>
      <c r="VKF1112" s="15"/>
      <c r="VKI1112" s="15"/>
      <c r="VKJ1112" s="15"/>
      <c r="VKM1112" s="15"/>
      <c r="VKN1112" s="15"/>
      <c r="VKQ1112" s="15"/>
      <c r="VKR1112" s="15"/>
      <c r="VKU1112" s="15"/>
      <c r="VKV1112" s="15"/>
      <c r="VKY1112" s="15"/>
      <c r="VKZ1112" s="15"/>
      <c r="VLC1112" s="15"/>
      <c r="VLD1112" s="15"/>
      <c r="VLG1112" s="15"/>
      <c r="VLH1112" s="15"/>
      <c r="VLK1112" s="15"/>
      <c r="VLL1112" s="15"/>
      <c r="VLO1112" s="15"/>
      <c r="VLP1112" s="15"/>
      <c r="VLS1112" s="15"/>
      <c r="VLT1112" s="15"/>
      <c r="VLW1112" s="15"/>
      <c r="VLX1112" s="15"/>
      <c r="VMA1112" s="15"/>
      <c r="VMB1112" s="15"/>
      <c r="VME1112" s="15"/>
      <c r="VMF1112" s="15"/>
      <c r="VMI1112" s="15"/>
      <c r="VMJ1112" s="15"/>
      <c r="VMM1112" s="15"/>
      <c r="VMN1112" s="15"/>
      <c r="VMQ1112" s="15"/>
      <c r="VMR1112" s="15"/>
      <c r="VMU1112" s="15"/>
      <c r="VMV1112" s="15"/>
      <c r="VMY1112" s="15"/>
      <c r="VMZ1112" s="15"/>
      <c r="VNC1112" s="15"/>
      <c r="VND1112" s="15"/>
      <c r="VNG1112" s="15"/>
      <c r="VNH1112" s="15"/>
      <c r="VNK1112" s="15"/>
      <c r="VNL1112" s="15"/>
      <c r="VNO1112" s="15"/>
      <c r="VNP1112" s="15"/>
      <c r="VNS1112" s="15"/>
      <c r="VNT1112" s="15"/>
      <c r="VNW1112" s="15"/>
      <c r="VNX1112" s="15"/>
      <c r="VOA1112" s="15"/>
      <c r="VOB1112" s="15"/>
      <c r="VOE1112" s="15"/>
      <c r="VOF1112" s="15"/>
      <c r="VOI1112" s="15"/>
      <c r="VOJ1112" s="15"/>
      <c r="VOM1112" s="15"/>
      <c r="VON1112" s="15"/>
      <c r="VOQ1112" s="15"/>
      <c r="VOR1112" s="15"/>
      <c r="VOU1112" s="15"/>
      <c r="VOV1112" s="15"/>
      <c r="VOY1112" s="15"/>
      <c r="VOZ1112" s="15"/>
      <c r="VPC1112" s="15"/>
      <c r="VPD1112" s="15"/>
      <c r="VPG1112" s="15"/>
      <c r="VPH1112" s="15"/>
      <c r="VPK1112" s="15"/>
      <c r="VPL1112" s="15"/>
      <c r="VPO1112" s="15"/>
      <c r="VPP1112" s="15"/>
      <c r="VPS1112" s="15"/>
      <c r="VPT1112" s="15"/>
      <c r="VPW1112" s="15"/>
      <c r="VPX1112" s="15"/>
      <c r="VQA1112" s="15"/>
      <c r="VQB1112" s="15"/>
      <c r="VQE1112" s="15"/>
      <c r="VQF1112" s="15"/>
      <c r="VQI1112" s="15"/>
      <c r="VQJ1112" s="15"/>
      <c r="VQM1112" s="15"/>
      <c r="VQN1112" s="15"/>
      <c r="VQQ1112" s="15"/>
      <c r="VQR1112" s="15"/>
      <c r="VQU1112" s="15"/>
      <c r="VQV1112" s="15"/>
      <c r="VQY1112" s="15"/>
      <c r="VQZ1112" s="15"/>
      <c r="VRC1112" s="15"/>
      <c r="VRD1112" s="15"/>
      <c r="VRG1112" s="15"/>
      <c r="VRH1112" s="15"/>
      <c r="VRK1112" s="15"/>
      <c r="VRL1112" s="15"/>
      <c r="VRO1112" s="15"/>
      <c r="VRP1112" s="15"/>
      <c r="VRS1112" s="15"/>
      <c r="VRT1112" s="15"/>
      <c r="VRW1112" s="15"/>
      <c r="VRX1112" s="15"/>
      <c r="VSA1112" s="15"/>
      <c r="VSB1112" s="15"/>
      <c r="VSE1112" s="15"/>
      <c r="VSF1112" s="15"/>
      <c r="VSI1112" s="15"/>
      <c r="VSJ1112" s="15"/>
      <c r="VSM1112" s="15"/>
      <c r="VSN1112" s="15"/>
      <c r="VSQ1112" s="15"/>
      <c r="VSR1112" s="15"/>
      <c r="VSU1112" s="15"/>
      <c r="VSV1112" s="15"/>
      <c r="VSY1112" s="15"/>
      <c r="VSZ1112" s="15"/>
      <c r="VTC1112" s="15"/>
      <c r="VTD1112" s="15"/>
      <c r="VTG1112" s="15"/>
      <c r="VTH1112" s="15"/>
      <c r="VTK1112" s="15"/>
      <c r="VTL1112" s="15"/>
      <c r="VTO1112" s="15"/>
      <c r="VTP1112" s="15"/>
      <c r="VTS1112" s="15"/>
      <c r="VTT1112" s="15"/>
      <c r="VTW1112" s="15"/>
      <c r="VTX1112" s="15"/>
      <c r="VUA1112" s="15"/>
      <c r="VUB1112" s="15"/>
      <c r="VUE1112" s="15"/>
      <c r="VUF1112" s="15"/>
      <c r="VUI1112" s="15"/>
      <c r="VUJ1112" s="15"/>
      <c r="VUM1112" s="15"/>
      <c r="VUN1112" s="15"/>
      <c r="VUQ1112" s="15"/>
      <c r="VUR1112" s="15"/>
      <c r="VUU1112" s="15"/>
      <c r="VUV1112" s="15"/>
      <c r="VUY1112" s="15"/>
      <c r="VUZ1112" s="15"/>
      <c r="VVC1112" s="15"/>
      <c r="VVD1112" s="15"/>
      <c r="VVG1112" s="15"/>
      <c r="VVH1112" s="15"/>
      <c r="VVK1112" s="15"/>
      <c r="VVL1112" s="15"/>
      <c r="VVO1112" s="15"/>
      <c r="VVP1112" s="15"/>
      <c r="VVS1112" s="15"/>
      <c r="VVT1112" s="15"/>
      <c r="VVW1112" s="15"/>
      <c r="VVX1112" s="15"/>
      <c r="VWA1112" s="15"/>
      <c r="VWB1112" s="15"/>
      <c r="VWE1112" s="15"/>
      <c r="VWF1112" s="15"/>
      <c r="VWI1112" s="15"/>
      <c r="VWJ1112" s="15"/>
      <c r="VWM1112" s="15"/>
      <c r="VWN1112" s="15"/>
      <c r="VWQ1112" s="15"/>
      <c r="VWR1112" s="15"/>
      <c r="VWU1112" s="15"/>
      <c r="VWV1112" s="15"/>
      <c r="VWY1112" s="15"/>
      <c r="VWZ1112" s="15"/>
      <c r="VXC1112" s="15"/>
      <c r="VXD1112" s="15"/>
      <c r="VXG1112" s="15"/>
      <c r="VXH1112" s="15"/>
      <c r="VXK1112" s="15"/>
      <c r="VXL1112" s="15"/>
      <c r="VXO1112" s="15"/>
      <c r="VXP1112" s="15"/>
      <c r="VXS1112" s="15"/>
      <c r="VXT1112" s="15"/>
      <c r="VXW1112" s="15"/>
      <c r="VXX1112" s="15"/>
      <c r="VYA1112" s="15"/>
      <c r="VYB1112" s="15"/>
      <c r="VYE1112" s="15"/>
      <c r="VYF1112" s="15"/>
      <c r="VYI1112" s="15"/>
      <c r="VYJ1112" s="15"/>
      <c r="VYM1112" s="15"/>
      <c r="VYN1112" s="15"/>
      <c r="VYQ1112" s="15"/>
      <c r="VYR1112" s="15"/>
      <c r="VYU1112" s="15"/>
      <c r="VYV1112" s="15"/>
      <c r="VYY1112" s="15"/>
      <c r="VYZ1112" s="15"/>
      <c r="VZC1112" s="15"/>
      <c r="VZD1112" s="15"/>
      <c r="VZG1112" s="15"/>
      <c r="VZH1112" s="15"/>
      <c r="VZK1112" s="15"/>
      <c r="VZL1112" s="15"/>
      <c r="VZO1112" s="15"/>
      <c r="VZP1112" s="15"/>
      <c r="VZS1112" s="15"/>
      <c r="VZT1112" s="15"/>
      <c r="VZW1112" s="15"/>
      <c r="VZX1112" s="15"/>
      <c r="WAA1112" s="15"/>
      <c r="WAB1112" s="15"/>
      <c r="WAE1112" s="15"/>
      <c r="WAF1112" s="15"/>
      <c r="WAI1112" s="15"/>
      <c r="WAJ1112" s="15"/>
      <c r="WAM1112" s="15"/>
      <c r="WAN1112" s="15"/>
      <c r="WAQ1112" s="15"/>
      <c r="WAR1112" s="15"/>
      <c r="WAU1112" s="15"/>
      <c r="WAV1112" s="15"/>
      <c r="WAY1112" s="15"/>
      <c r="WAZ1112" s="15"/>
      <c r="WBC1112" s="15"/>
      <c r="WBD1112" s="15"/>
      <c r="WBG1112" s="15"/>
      <c r="WBH1112" s="15"/>
      <c r="WBK1112" s="15"/>
      <c r="WBL1112" s="15"/>
      <c r="WBO1112" s="15"/>
      <c r="WBP1112" s="15"/>
      <c r="WBS1112" s="15"/>
      <c r="WBT1112" s="15"/>
      <c r="WBW1112" s="15"/>
      <c r="WBX1112" s="15"/>
      <c r="WCA1112" s="15"/>
      <c r="WCB1112" s="15"/>
      <c r="WCE1112" s="15"/>
      <c r="WCF1112" s="15"/>
      <c r="WCI1112" s="15"/>
      <c r="WCJ1112" s="15"/>
      <c r="WCM1112" s="15"/>
      <c r="WCN1112" s="15"/>
      <c r="WCQ1112" s="15"/>
      <c r="WCR1112" s="15"/>
      <c r="WCU1112" s="15"/>
      <c r="WCV1112" s="15"/>
      <c r="WCY1112" s="15"/>
      <c r="WCZ1112" s="15"/>
      <c r="WDC1112" s="15"/>
      <c r="WDD1112" s="15"/>
      <c r="WDG1112" s="15"/>
      <c r="WDH1112" s="15"/>
      <c r="WDK1112" s="15"/>
      <c r="WDL1112" s="15"/>
      <c r="WDO1112" s="15"/>
      <c r="WDP1112" s="15"/>
      <c r="WDS1112" s="15"/>
      <c r="WDT1112" s="15"/>
      <c r="WDW1112" s="15"/>
      <c r="WDX1112" s="15"/>
      <c r="WEA1112" s="15"/>
      <c r="WEB1112" s="15"/>
      <c r="WEE1112" s="15"/>
      <c r="WEF1112" s="15"/>
      <c r="WEI1112" s="15"/>
      <c r="WEJ1112" s="15"/>
      <c r="WEM1112" s="15"/>
      <c r="WEN1112" s="15"/>
      <c r="WEQ1112" s="15"/>
      <c r="WER1112" s="15"/>
      <c r="WEU1112" s="15"/>
      <c r="WEV1112" s="15"/>
      <c r="WEY1112" s="15"/>
      <c r="WEZ1112" s="15"/>
      <c r="WFC1112" s="15"/>
      <c r="WFD1112" s="15"/>
      <c r="WFG1112" s="15"/>
      <c r="WFH1112" s="15"/>
      <c r="WFK1112" s="15"/>
      <c r="WFL1112" s="15"/>
      <c r="WFO1112" s="15"/>
      <c r="WFP1112" s="15"/>
      <c r="WFS1112" s="15"/>
      <c r="WFT1112" s="15"/>
      <c r="WFW1112" s="15"/>
      <c r="WFX1112" s="15"/>
      <c r="WGA1112" s="15"/>
      <c r="WGB1112" s="15"/>
      <c r="WGE1112" s="15"/>
      <c r="WGF1112" s="15"/>
      <c r="WGI1112" s="15"/>
      <c r="WGJ1112" s="15"/>
      <c r="WGM1112" s="15"/>
      <c r="WGN1112" s="15"/>
      <c r="WGQ1112" s="15"/>
      <c r="WGR1112" s="15"/>
      <c r="WGU1112" s="15"/>
      <c r="WGV1112" s="15"/>
      <c r="WGY1112" s="15"/>
      <c r="WGZ1112" s="15"/>
      <c r="WHC1112" s="15"/>
      <c r="WHD1112" s="15"/>
      <c r="WHG1112" s="15"/>
      <c r="WHH1112" s="15"/>
      <c r="WHK1112" s="15"/>
      <c r="WHL1112" s="15"/>
      <c r="WHO1112" s="15"/>
      <c r="WHP1112" s="15"/>
      <c r="WHS1112" s="15"/>
      <c r="WHT1112" s="15"/>
      <c r="WHW1112" s="15"/>
      <c r="WHX1112" s="15"/>
      <c r="WIA1112" s="15"/>
      <c r="WIB1112" s="15"/>
      <c r="WIE1112" s="15"/>
      <c r="WIF1112" s="15"/>
      <c r="WII1112" s="15"/>
      <c r="WIJ1112" s="15"/>
      <c r="WIM1112" s="15"/>
      <c r="WIN1112" s="15"/>
      <c r="WIQ1112" s="15"/>
      <c r="WIR1112" s="15"/>
      <c r="WIU1112" s="15"/>
      <c r="WIV1112" s="15"/>
      <c r="WIY1112" s="15"/>
      <c r="WIZ1112" s="15"/>
      <c r="WJC1112" s="15"/>
      <c r="WJD1112" s="15"/>
      <c r="WJG1112" s="15"/>
      <c r="WJH1112" s="15"/>
      <c r="WJK1112" s="15"/>
      <c r="WJL1112" s="15"/>
      <c r="WJO1112" s="15"/>
      <c r="WJP1112" s="15"/>
      <c r="WJS1112" s="15"/>
      <c r="WJT1112" s="15"/>
      <c r="WJW1112" s="15"/>
      <c r="WJX1112" s="15"/>
      <c r="WKA1112" s="15"/>
      <c r="WKB1112" s="15"/>
      <c r="WKE1112" s="15"/>
      <c r="WKF1112" s="15"/>
      <c r="WKI1112" s="15"/>
      <c r="WKJ1112" s="15"/>
      <c r="WKM1112" s="15"/>
      <c r="WKN1112" s="15"/>
      <c r="WKQ1112" s="15"/>
      <c r="WKR1112" s="15"/>
      <c r="WKU1112" s="15"/>
      <c r="WKV1112" s="15"/>
      <c r="WKY1112" s="15"/>
      <c r="WKZ1112" s="15"/>
      <c r="WLC1112" s="15"/>
      <c r="WLD1112" s="15"/>
      <c r="WLG1112" s="15"/>
      <c r="WLH1112" s="15"/>
      <c r="WLK1112" s="15"/>
      <c r="WLL1112" s="15"/>
      <c r="WLO1112" s="15"/>
      <c r="WLP1112" s="15"/>
      <c r="WLS1112" s="15"/>
      <c r="WLT1112" s="15"/>
      <c r="WLW1112" s="15"/>
      <c r="WLX1112" s="15"/>
      <c r="WMA1112" s="15"/>
      <c r="WMB1112" s="15"/>
      <c r="WME1112" s="15"/>
      <c r="WMF1112" s="15"/>
      <c r="WMI1112" s="15"/>
      <c r="WMJ1112" s="15"/>
      <c r="WMM1112" s="15"/>
      <c r="WMN1112" s="15"/>
      <c r="WMQ1112" s="15"/>
      <c r="WMR1112" s="15"/>
      <c r="WMU1112" s="15"/>
      <c r="WMV1112" s="15"/>
      <c r="WMY1112" s="15"/>
      <c r="WMZ1112" s="15"/>
      <c r="WNC1112" s="15"/>
      <c r="WND1112" s="15"/>
      <c r="WNG1112" s="15"/>
      <c r="WNH1112" s="15"/>
      <c r="WNK1112" s="15"/>
      <c r="WNL1112" s="15"/>
      <c r="WNO1112" s="15"/>
      <c r="WNP1112" s="15"/>
      <c r="WNS1112" s="15"/>
      <c r="WNT1112" s="15"/>
      <c r="WNW1112" s="15"/>
      <c r="WNX1112" s="15"/>
      <c r="WOA1112" s="15"/>
      <c r="WOB1112" s="15"/>
      <c r="WOE1112" s="15"/>
      <c r="WOF1112" s="15"/>
      <c r="WOI1112" s="15"/>
      <c r="WOJ1112" s="15"/>
      <c r="WOM1112" s="15"/>
      <c r="WON1112" s="15"/>
      <c r="WOQ1112" s="15"/>
      <c r="WOR1112" s="15"/>
      <c r="WOU1112" s="15"/>
      <c r="WOV1112" s="15"/>
      <c r="WOY1112" s="15"/>
      <c r="WOZ1112" s="15"/>
      <c r="WPC1112" s="15"/>
      <c r="WPD1112" s="15"/>
      <c r="WPG1112" s="15"/>
      <c r="WPH1112" s="15"/>
      <c r="WPK1112" s="15"/>
      <c r="WPL1112" s="15"/>
      <c r="WPO1112" s="15"/>
      <c r="WPP1112" s="15"/>
      <c r="WPS1112" s="15"/>
      <c r="WPT1112" s="15"/>
      <c r="WPW1112" s="15"/>
      <c r="WPX1112" s="15"/>
      <c r="WQA1112" s="15"/>
      <c r="WQB1112" s="15"/>
      <c r="WQE1112" s="15"/>
      <c r="WQF1112" s="15"/>
      <c r="WQI1112" s="15"/>
      <c r="WQJ1112" s="15"/>
      <c r="WQM1112" s="15"/>
      <c r="WQN1112" s="15"/>
      <c r="WQQ1112" s="15"/>
      <c r="WQR1112" s="15"/>
      <c r="WQU1112" s="15"/>
      <c r="WQV1112" s="15"/>
      <c r="WQY1112" s="15"/>
      <c r="WQZ1112" s="15"/>
      <c r="WRC1112" s="15"/>
      <c r="WRD1112" s="15"/>
      <c r="WRG1112" s="15"/>
      <c r="WRH1112" s="15"/>
      <c r="WRK1112" s="15"/>
      <c r="WRL1112" s="15"/>
      <c r="WRO1112" s="15"/>
      <c r="WRP1112" s="15"/>
      <c r="WRS1112" s="15"/>
      <c r="WRT1112" s="15"/>
      <c r="WRW1112" s="15"/>
      <c r="WRX1112" s="15"/>
      <c r="WSA1112" s="15"/>
      <c r="WSB1112" s="15"/>
      <c r="WSE1112" s="15"/>
      <c r="WSF1112" s="15"/>
      <c r="WSI1112" s="15"/>
      <c r="WSJ1112" s="15"/>
      <c r="WSM1112" s="15"/>
      <c r="WSN1112" s="15"/>
      <c r="WSQ1112" s="15"/>
      <c r="WSR1112" s="15"/>
      <c r="WSU1112" s="15"/>
      <c r="WSV1112" s="15"/>
      <c r="WSY1112" s="15"/>
      <c r="WSZ1112" s="15"/>
      <c r="WTC1112" s="15"/>
      <c r="WTD1112" s="15"/>
      <c r="WTG1112" s="15"/>
      <c r="WTH1112" s="15"/>
      <c r="WTK1112" s="15"/>
      <c r="WTL1112" s="15"/>
      <c r="WTO1112" s="15"/>
      <c r="WTP1112" s="15"/>
      <c r="WTS1112" s="15"/>
      <c r="WTT1112" s="15"/>
      <c r="WTW1112" s="15"/>
      <c r="WTX1112" s="15"/>
      <c r="WUA1112" s="15"/>
      <c r="WUB1112" s="15"/>
      <c r="WUE1112" s="15"/>
      <c r="WUF1112" s="15"/>
      <c r="WUI1112" s="15"/>
      <c r="WUJ1112" s="15"/>
      <c r="WUM1112" s="15"/>
      <c r="WUN1112" s="15"/>
      <c r="WUQ1112" s="15"/>
      <c r="WUR1112" s="15"/>
      <c r="WUU1112" s="15"/>
      <c r="WUV1112" s="15"/>
      <c r="WUY1112" s="15"/>
      <c r="WUZ1112" s="15"/>
      <c r="WVC1112" s="15"/>
      <c r="WVD1112" s="15"/>
      <c r="WVG1112" s="15"/>
      <c r="WVH1112" s="15"/>
      <c r="WVK1112" s="15"/>
      <c r="WVL1112" s="15"/>
      <c r="WVO1112" s="15"/>
      <c r="WVP1112" s="15"/>
      <c r="WVS1112" s="15"/>
      <c r="WVT1112" s="15"/>
      <c r="WVW1112" s="15"/>
      <c r="WVX1112" s="15"/>
      <c r="WWA1112" s="15"/>
      <c r="WWB1112" s="15"/>
      <c r="WWE1112" s="15"/>
      <c r="WWF1112" s="15"/>
      <c r="WWI1112" s="15"/>
      <c r="WWJ1112" s="15"/>
      <c r="WWM1112" s="15"/>
      <c r="WWN1112" s="15"/>
      <c r="WWQ1112" s="15"/>
      <c r="WWR1112" s="15"/>
      <c r="WWU1112" s="15"/>
      <c r="WWV1112" s="15"/>
      <c r="WWY1112" s="15"/>
      <c r="WWZ1112" s="15"/>
      <c r="WXC1112" s="15"/>
      <c r="WXD1112" s="15"/>
      <c r="WXG1112" s="15"/>
      <c r="WXH1112" s="15"/>
      <c r="WXK1112" s="15"/>
      <c r="WXL1112" s="15"/>
      <c r="WXO1112" s="15"/>
      <c r="WXP1112" s="15"/>
      <c r="WXS1112" s="15"/>
      <c r="WXT1112" s="15"/>
      <c r="WXW1112" s="15"/>
      <c r="WXX1112" s="15"/>
      <c r="WYA1112" s="15"/>
      <c r="WYB1112" s="15"/>
      <c r="WYE1112" s="15"/>
      <c r="WYF1112" s="15"/>
      <c r="WYI1112" s="15"/>
      <c r="WYJ1112" s="15"/>
      <c r="WYM1112" s="15"/>
      <c r="WYN1112" s="15"/>
      <c r="WYQ1112" s="15"/>
      <c r="WYR1112" s="15"/>
      <c r="WYU1112" s="15"/>
      <c r="WYV1112" s="15"/>
      <c r="WYY1112" s="15"/>
      <c r="WYZ1112" s="15"/>
      <c r="WZC1112" s="15"/>
      <c r="WZD1112" s="15"/>
      <c r="WZG1112" s="15"/>
      <c r="WZH1112" s="15"/>
      <c r="WZK1112" s="15"/>
      <c r="WZL1112" s="15"/>
      <c r="WZO1112" s="15"/>
      <c r="WZP1112" s="15"/>
      <c r="WZS1112" s="15"/>
      <c r="WZT1112" s="15"/>
      <c r="WZW1112" s="15"/>
      <c r="WZX1112" s="15"/>
      <c r="XAA1112" s="15"/>
      <c r="XAB1112" s="15"/>
      <c r="XAE1112" s="15"/>
      <c r="XAF1112" s="15"/>
      <c r="XAI1112" s="15"/>
      <c r="XAJ1112" s="15"/>
      <c r="XAM1112" s="15"/>
      <c r="XAN1112" s="15"/>
      <c r="XAQ1112" s="15"/>
      <c r="XAR1112" s="15"/>
      <c r="XAU1112" s="15"/>
      <c r="XAV1112" s="15"/>
      <c r="XAY1112" s="15"/>
      <c r="XAZ1112" s="15"/>
      <c r="XBC1112" s="15"/>
      <c r="XBD1112" s="15"/>
      <c r="XBG1112" s="15"/>
      <c r="XBH1112" s="15"/>
      <c r="XBK1112" s="15"/>
      <c r="XBL1112" s="15"/>
      <c r="XBO1112" s="15"/>
      <c r="XBP1112" s="15"/>
      <c r="XBS1112" s="15"/>
      <c r="XBT1112" s="15"/>
      <c r="XBW1112" s="15"/>
      <c r="XBX1112" s="15"/>
      <c r="XCA1112" s="15"/>
      <c r="XCB1112" s="15"/>
      <c r="XCE1112" s="15"/>
      <c r="XCF1112" s="15"/>
      <c r="XCI1112" s="15"/>
      <c r="XCJ1112" s="15"/>
      <c r="XCM1112" s="15"/>
      <c r="XCN1112" s="15"/>
      <c r="XCQ1112" s="15"/>
      <c r="XCR1112" s="15"/>
      <c r="XCU1112" s="15"/>
      <c r="XCV1112" s="15"/>
      <c r="XCY1112" s="15"/>
      <c r="XCZ1112" s="15"/>
      <c r="XDC1112" s="15"/>
      <c r="XDD1112" s="15"/>
      <c r="XDG1112" s="15"/>
      <c r="XDH1112" s="15"/>
      <c r="XDK1112" s="15"/>
      <c r="XDL1112" s="15"/>
      <c r="XDO1112" s="15"/>
      <c r="XDP1112" s="15"/>
      <c r="XDS1112" s="15"/>
      <c r="XDT1112" s="15"/>
      <c r="XDW1112" s="15"/>
      <c r="XDX1112" s="15"/>
      <c r="XEA1112" s="15"/>
      <c r="XEB1112" s="15"/>
      <c r="XEE1112" s="15"/>
      <c r="XEF1112" s="15"/>
      <c r="XEI1112" s="15"/>
      <c r="XEJ1112" s="15"/>
      <c r="XEM1112" s="15"/>
      <c r="XEN1112" s="15"/>
      <c r="XEQ1112" s="15"/>
      <c r="XER1112" s="15"/>
      <c r="XEU1112" s="15"/>
      <c r="XEV1112" s="15"/>
      <c r="XEY1112" s="15"/>
      <c r="XEZ1112" s="15"/>
      <c r="XFC1112" s="15"/>
      <c r="XFD1112" s="15"/>
    </row>
    <row r="1113" spans="1:1024 1027:2048 2051:3072 3075:4096 4099:5120 5123:6144 6147:7168 7171:8192 8195:9216 9219:10240 10243:11264 11267:12288 12291:13312 13315:14336 14339:15360 15363:16384" outlineLevel="1" x14ac:dyDescent="0.3">
      <c r="A1113" t="s">
        <v>1846</v>
      </c>
      <c r="B1113" t="s">
        <v>269</v>
      </c>
      <c r="C1113" s="15" t="s">
        <v>10</v>
      </c>
      <c r="D1113" s="15" t="s">
        <v>1847</v>
      </c>
      <c r="E1113" t="s">
        <v>8503</v>
      </c>
      <c r="G1113" s="15"/>
      <c r="H1113" s="15"/>
      <c r="K1113" s="15"/>
      <c r="L1113" s="15"/>
      <c r="O1113" s="15"/>
      <c r="P1113" s="15"/>
      <c r="S1113" s="15"/>
      <c r="T1113" s="15"/>
      <c r="W1113" s="15"/>
      <c r="X1113" s="15"/>
      <c r="AA1113" s="15"/>
      <c r="AB1113" s="15"/>
      <c r="AE1113" s="15"/>
      <c r="AF1113" s="15"/>
      <c r="AI1113" s="15"/>
      <c r="AJ1113" s="15"/>
      <c r="AM1113" s="15"/>
      <c r="AN1113" s="15"/>
      <c r="AQ1113" s="15"/>
      <c r="AR1113" s="15"/>
      <c r="AU1113" s="15"/>
      <c r="AV1113" s="15"/>
      <c r="AY1113" s="15"/>
      <c r="AZ1113" s="15"/>
      <c r="BC1113" s="15"/>
      <c r="BD1113" s="15"/>
      <c r="BG1113" s="15"/>
      <c r="BH1113" s="15"/>
      <c r="BK1113" s="15"/>
      <c r="BL1113" s="15"/>
      <c r="BO1113" s="15"/>
      <c r="BP1113" s="15"/>
      <c r="BS1113" s="15"/>
      <c r="BT1113" s="15"/>
      <c r="BW1113" s="15"/>
      <c r="BX1113" s="15"/>
      <c r="CA1113" s="15"/>
      <c r="CB1113" s="15"/>
      <c r="CE1113" s="15"/>
      <c r="CF1113" s="15"/>
      <c r="CI1113" s="15"/>
      <c r="CJ1113" s="15"/>
      <c r="CM1113" s="15"/>
      <c r="CN1113" s="15"/>
      <c r="CQ1113" s="15"/>
      <c r="CR1113" s="15"/>
      <c r="CU1113" s="15"/>
      <c r="CV1113" s="15"/>
      <c r="CY1113" s="15"/>
      <c r="CZ1113" s="15"/>
      <c r="DC1113" s="15"/>
      <c r="DD1113" s="15"/>
      <c r="DG1113" s="15"/>
      <c r="DH1113" s="15"/>
      <c r="DK1113" s="15"/>
      <c r="DL1113" s="15"/>
      <c r="DO1113" s="15"/>
      <c r="DP1113" s="15"/>
      <c r="DS1113" s="15"/>
      <c r="DT1113" s="15"/>
      <c r="DW1113" s="15"/>
      <c r="DX1113" s="15"/>
      <c r="EA1113" s="15"/>
      <c r="EB1113" s="15"/>
      <c r="EE1113" s="15"/>
      <c r="EF1113" s="15"/>
      <c r="EI1113" s="15"/>
      <c r="EJ1113" s="15"/>
      <c r="EM1113" s="15"/>
      <c r="EN1113" s="15"/>
      <c r="EQ1113" s="15"/>
      <c r="ER1113" s="15"/>
      <c r="EU1113" s="15"/>
      <c r="EV1113" s="15"/>
      <c r="EY1113" s="15"/>
      <c r="EZ1113" s="15"/>
      <c r="FC1113" s="15"/>
      <c r="FD1113" s="15"/>
      <c r="FG1113" s="15"/>
      <c r="FH1113" s="15"/>
      <c r="FK1113" s="15"/>
      <c r="FL1113" s="15"/>
      <c r="FO1113" s="15"/>
      <c r="FP1113" s="15"/>
      <c r="FS1113" s="15"/>
      <c r="FT1113" s="15"/>
      <c r="FW1113" s="15"/>
      <c r="FX1113" s="15"/>
      <c r="GA1113" s="15"/>
      <c r="GB1113" s="15"/>
      <c r="GE1113" s="15"/>
      <c r="GF1113" s="15"/>
      <c r="GI1113" s="15"/>
      <c r="GJ1113" s="15"/>
      <c r="GM1113" s="15"/>
      <c r="GN1113" s="15"/>
      <c r="GQ1113" s="15"/>
      <c r="GR1113" s="15"/>
      <c r="GU1113" s="15"/>
      <c r="GV1113" s="15"/>
      <c r="GY1113" s="15"/>
      <c r="GZ1113" s="15"/>
      <c r="HC1113" s="15"/>
      <c r="HD1113" s="15"/>
      <c r="HG1113" s="15"/>
      <c r="HH1113" s="15"/>
      <c r="HK1113" s="15"/>
      <c r="HL1113" s="15"/>
      <c r="HO1113" s="15"/>
      <c r="HP1113" s="15"/>
      <c r="HS1113" s="15"/>
      <c r="HT1113" s="15"/>
      <c r="HW1113" s="15"/>
      <c r="HX1113" s="15"/>
      <c r="IA1113" s="15"/>
      <c r="IB1113" s="15"/>
      <c r="IE1113" s="15"/>
      <c r="IF1113" s="15"/>
      <c r="II1113" s="15"/>
      <c r="IJ1113" s="15"/>
      <c r="IM1113" s="15"/>
      <c r="IN1113" s="15"/>
      <c r="IQ1113" s="15"/>
      <c r="IR1113" s="15"/>
      <c r="IU1113" s="15"/>
      <c r="IV1113" s="15"/>
      <c r="IY1113" s="15"/>
      <c r="IZ1113" s="15"/>
      <c r="JC1113" s="15"/>
      <c r="JD1113" s="15"/>
      <c r="JG1113" s="15"/>
      <c r="JH1113" s="15"/>
      <c r="JK1113" s="15"/>
      <c r="JL1113" s="15"/>
      <c r="JO1113" s="15"/>
      <c r="JP1113" s="15"/>
      <c r="JS1113" s="15"/>
      <c r="JT1113" s="15"/>
      <c r="JW1113" s="15"/>
      <c r="JX1113" s="15"/>
      <c r="KA1113" s="15"/>
      <c r="KB1113" s="15"/>
      <c r="KE1113" s="15"/>
      <c r="KF1113" s="15"/>
      <c r="KI1113" s="15"/>
      <c r="KJ1113" s="15"/>
      <c r="KM1113" s="15"/>
      <c r="KN1113" s="15"/>
      <c r="KQ1113" s="15"/>
      <c r="KR1113" s="15"/>
      <c r="KU1113" s="15"/>
      <c r="KV1113" s="15"/>
      <c r="KY1113" s="15"/>
      <c r="KZ1113" s="15"/>
      <c r="LC1113" s="15"/>
      <c r="LD1113" s="15"/>
      <c r="LG1113" s="15"/>
      <c r="LH1113" s="15"/>
      <c r="LK1113" s="15"/>
      <c r="LL1113" s="15"/>
      <c r="LO1113" s="15"/>
      <c r="LP1113" s="15"/>
      <c r="LS1113" s="15"/>
      <c r="LT1113" s="15"/>
      <c r="LW1113" s="15"/>
      <c r="LX1113" s="15"/>
      <c r="MA1113" s="15"/>
      <c r="MB1113" s="15"/>
      <c r="ME1113" s="15"/>
      <c r="MF1113" s="15"/>
      <c r="MI1113" s="15"/>
      <c r="MJ1113" s="15"/>
      <c r="MM1113" s="15"/>
      <c r="MN1113" s="15"/>
      <c r="MQ1113" s="15"/>
      <c r="MR1113" s="15"/>
      <c r="MU1113" s="15"/>
      <c r="MV1113" s="15"/>
      <c r="MY1113" s="15"/>
      <c r="MZ1113" s="15"/>
      <c r="NC1113" s="15"/>
      <c r="ND1113" s="15"/>
      <c r="NG1113" s="15"/>
      <c r="NH1113" s="15"/>
      <c r="NK1113" s="15"/>
      <c r="NL1113" s="15"/>
      <c r="NO1113" s="15"/>
      <c r="NP1113" s="15"/>
      <c r="NS1113" s="15"/>
      <c r="NT1113" s="15"/>
      <c r="NW1113" s="15"/>
      <c r="NX1113" s="15"/>
      <c r="OA1113" s="15"/>
      <c r="OB1113" s="15"/>
      <c r="OE1113" s="15"/>
      <c r="OF1113" s="15"/>
      <c r="OI1113" s="15"/>
      <c r="OJ1113" s="15"/>
      <c r="OM1113" s="15"/>
      <c r="ON1113" s="15"/>
      <c r="OQ1113" s="15"/>
      <c r="OR1113" s="15"/>
      <c r="OU1113" s="15"/>
      <c r="OV1113" s="15"/>
      <c r="OY1113" s="15"/>
      <c r="OZ1113" s="15"/>
      <c r="PC1113" s="15"/>
      <c r="PD1113" s="15"/>
      <c r="PG1113" s="15"/>
      <c r="PH1113" s="15"/>
      <c r="PK1113" s="15"/>
      <c r="PL1113" s="15"/>
      <c r="PO1113" s="15"/>
      <c r="PP1113" s="15"/>
      <c r="PS1113" s="15"/>
      <c r="PT1113" s="15"/>
      <c r="PW1113" s="15"/>
      <c r="PX1113" s="15"/>
      <c r="QA1113" s="15"/>
      <c r="QB1113" s="15"/>
      <c r="QE1113" s="15"/>
      <c r="QF1113" s="15"/>
      <c r="QI1113" s="15"/>
      <c r="QJ1113" s="15"/>
      <c r="QM1113" s="15"/>
      <c r="QN1113" s="15"/>
      <c r="QQ1113" s="15"/>
      <c r="QR1113" s="15"/>
      <c r="QU1113" s="15"/>
      <c r="QV1113" s="15"/>
      <c r="QY1113" s="15"/>
      <c r="QZ1113" s="15"/>
      <c r="RC1113" s="15"/>
      <c r="RD1113" s="15"/>
      <c r="RG1113" s="15"/>
      <c r="RH1113" s="15"/>
      <c r="RK1113" s="15"/>
      <c r="RL1113" s="15"/>
      <c r="RO1113" s="15"/>
      <c r="RP1113" s="15"/>
      <c r="RS1113" s="15"/>
      <c r="RT1113" s="15"/>
      <c r="RW1113" s="15"/>
      <c r="RX1113" s="15"/>
      <c r="SA1113" s="15"/>
      <c r="SB1113" s="15"/>
      <c r="SE1113" s="15"/>
      <c r="SF1113" s="15"/>
      <c r="SI1113" s="15"/>
      <c r="SJ1113" s="15"/>
      <c r="SM1113" s="15"/>
      <c r="SN1113" s="15"/>
      <c r="SQ1113" s="15"/>
      <c r="SR1113" s="15"/>
      <c r="SU1113" s="15"/>
      <c r="SV1113" s="15"/>
      <c r="SY1113" s="15"/>
      <c r="SZ1113" s="15"/>
      <c r="TC1113" s="15"/>
      <c r="TD1113" s="15"/>
      <c r="TG1113" s="15"/>
      <c r="TH1113" s="15"/>
      <c r="TK1113" s="15"/>
      <c r="TL1113" s="15"/>
      <c r="TO1113" s="15"/>
      <c r="TP1113" s="15"/>
      <c r="TS1113" s="15"/>
      <c r="TT1113" s="15"/>
      <c r="TW1113" s="15"/>
      <c r="TX1113" s="15"/>
      <c r="UA1113" s="15"/>
      <c r="UB1113" s="15"/>
      <c r="UE1113" s="15"/>
      <c r="UF1113" s="15"/>
      <c r="UI1113" s="15"/>
      <c r="UJ1113" s="15"/>
      <c r="UM1113" s="15"/>
      <c r="UN1113" s="15"/>
      <c r="UQ1113" s="15"/>
      <c r="UR1113" s="15"/>
      <c r="UU1113" s="15"/>
      <c r="UV1113" s="15"/>
      <c r="UY1113" s="15"/>
      <c r="UZ1113" s="15"/>
      <c r="VC1113" s="15"/>
      <c r="VD1113" s="15"/>
      <c r="VG1113" s="15"/>
      <c r="VH1113" s="15"/>
      <c r="VK1113" s="15"/>
      <c r="VL1113" s="15"/>
      <c r="VO1113" s="15"/>
      <c r="VP1113" s="15"/>
      <c r="VS1113" s="15"/>
      <c r="VT1113" s="15"/>
      <c r="VW1113" s="15"/>
      <c r="VX1113" s="15"/>
      <c r="WA1113" s="15"/>
      <c r="WB1113" s="15"/>
      <c r="WE1113" s="15"/>
      <c r="WF1113" s="15"/>
      <c r="WI1113" s="15"/>
      <c r="WJ1113" s="15"/>
      <c r="WM1113" s="15"/>
      <c r="WN1113" s="15"/>
      <c r="WQ1113" s="15"/>
      <c r="WR1113" s="15"/>
      <c r="WU1113" s="15"/>
      <c r="WV1113" s="15"/>
      <c r="WY1113" s="15"/>
      <c r="WZ1113" s="15"/>
      <c r="XC1113" s="15"/>
      <c r="XD1113" s="15"/>
      <c r="XG1113" s="15"/>
      <c r="XH1113" s="15"/>
      <c r="XK1113" s="15"/>
      <c r="XL1113" s="15"/>
      <c r="XO1113" s="15"/>
      <c r="XP1113" s="15"/>
      <c r="XS1113" s="15"/>
      <c r="XT1113" s="15"/>
      <c r="XW1113" s="15"/>
      <c r="XX1113" s="15"/>
      <c r="YA1113" s="15"/>
      <c r="YB1113" s="15"/>
      <c r="YE1113" s="15"/>
      <c r="YF1113" s="15"/>
      <c r="YI1113" s="15"/>
      <c r="YJ1113" s="15"/>
      <c r="YM1113" s="15"/>
      <c r="YN1113" s="15"/>
      <c r="YQ1113" s="15"/>
      <c r="YR1113" s="15"/>
      <c r="YU1113" s="15"/>
      <c r="YV1113" s="15"/>
      <c r="YY1113" s="15"/>
      <c r="YZ1113" s="15"/>
      <c r="ZC1113" s="15"/>
      <c r="ZD1113" s="15"/>
      <c r="ZG1113" s="15"/>
      <c r="ZH1113" s="15"/>
      <c r="ZK1113" s="15"/>
      <c r="ZL1113" s="15"/>
      <c r="ZO1113" s="15"/>
      <c r="ZP1113" s="15"/>
      <c r="ZS1113" s="15"/>
      <c r="ZT1113" s="15"/>
      <c r="ZW1113" s="15"/>
      <c r="ZX1113" s="15"/>
      <c r="AAA1113" s="15"/>
      <c r="AAB1113" s="15"/>
      <c r="AAE1113" s="15"/>
      <c r="AAF1113" s="15"/>
      <c r="AAI1113" s="15"/>
      <c r="AAJ1113" s="15"/>
      <c r="AAM1113" s="15"/>
      <c r="AAN1113" s="15"/>
      <c r="AAQ1113" s="15"/>
      <c r="AAR1113" s="15"/>
      <c r="AAU1113" s="15"/>
      <c r="AAV1113" s="15"/>
      <c r="AAY1113" s="15"/>
      <c r="AAZ1113" s="15"/>
      <c r="ABC1113" s="15"/>
      <c r="ABD1113" s="15"/>
      <c r="ABG1113" s="15"/>
      <c r="ABH1113" s="15"/>
      <c r="ABK1113" s="15"/>
      <c r="ABL1113" s="15"/>
      <c r="ABO1113" s="15"/>
      <c r="ABP1113" s="15"/>
      <c r="ABS1113" s="15"/>
      <c r="ABT1113" s="15"/>
      <c r="ABW1113" s="15"/>
      <c r="ABX1113" s="15"/>
      <c r="ACA1113" s="15"/>
      <c r="ACB1113" s="15"/>
      <c r="ACE1113" s="15"/>
      <c r="ACF1113" s="15"/>
      <c r="ACI1113" s="15"/>
      <c r="ACJ1113" s="15"/>
      <c r="ACM1113" s="15"/>
      <c r="ACN1113" s="15"/>
      <c r="ACQ1113" s="15"/>
      <c r="ACR1113" s="15"/>
      <c r="ACU1113" s="15"/>
      <c r="ACV1113" s="15"/>
      <c r="ACY1113" s="15"/>
      <c r="ACZ1113" s="15"/>
      <c r="ADC1113" s="15"/>
      <c r="ADD1113" s="15"/>
      <c r="ADG1113" s="15"/>
      <c r="ADH1113" s="15"/>
      <c r="ADK1113" s="15"/>
      <c r="ADL1113" s="15"/>
      <c r="ADO1113" s="15"/>
      <c r="ADP1113" s="15"/>
      <c r="ADS1113" s="15"/>
      <c r="ADT1113" s="15"/>
      <c r="ADW1113" s="15"/>
      <c r="ADX1113" s="15"/>
      <c r="AEA1113" s="15"/>
      <c r="AEB1113" s="15"/>
      <c r="AEE1113" s="15"/>
      <c r="AEF1113" s="15"/>
      <c r="AEI1113" s="15"/>
      <c r="AEJ1113" s="15"/>
      <c r="AEM1113" s="15"/>
      <c r="AEN1113" s="15"/>
      <c r="AEQ1113" s="15"/>
      <c r="AER1113" s="15"/>
      <c r="AEU1113" s="15"/>
      <c r="AEV1113" s="15"/>
      <c r="AEY1113" s="15"/>
      <c r="AEZ1113" s="15"/>
      <c r="AFC1113" s="15"/>
      <c r="AFD1113" s="15"/>
      <c r="AFG1113" s="15"/>
      <c r="AFH1113" s="15"/>
      <c r="AFK1113" s="15"/>
      <c r="AFL1113" s="15"/>
      <c r="AFO1113" s="15"/>
      <c r="AFP1113" s="15"/>
      <c r="AFS1113" s="15"/>
      <c r="AFT1113" s="15"/>
      <c r="AFW1113" s="15"/>
      <c r="AFX1113" s="15"/>
      <c r="AGA1113" s="15"/>
      <c r="AGB1113" s="15"/>
      <c r="AGE1113" s="15"/>
      <c r="AGF1113" s="15"/>
      <c r="AGI1113" s="15"/>
      <c r="AGJ1113" s="15"/>
      <c r="AGM1113" s="15"/>
      <c r="AGN1113" s="15"/>
      <c r="AGQ1113" s="15"/>
      <c r="AGR1113" s="15"/>
      <c r="AGU1113" s="15"/>
      <c r="AGV1113" s="15"/>
      <c r="AGY1113" s="15"/>
      <c r="AGZ1113" s="15"/>
      <c r="AHC1113" s="15"/>
      <c r="AHD1113" s="15"/>
      <c r="AHG1113" s="15"/>
      <c r="AHH1113" s="15"/>
      <c r="AHK1113" s="15"/>
      <c r="AHL1113" s="15"/>
      <c r="AHO1113" s="15"/>
      <c r="AHP1113" s="15"/>
      <c r="AHS1113" s="15"/>
      <c r="AHT1113" s="15"/>
      <c r="AHW1113" s="15"/>
      <c r="AHX1113" s="15"/>
      <c r="AIA1113" s="15"/>
      <c r="AIB1113" s="15"/>
      <c r="AIE1113" s="15"/>
      <c r="AIF1113" s="15"/>
      <c r="AII1113" s="15"/>
      <c r="AIJ1113" s="15"/>
      <c r="AIM1113" s="15"/>
      <c r="AIN1113" s="15"/>
      <c r="AIQ1113" s="15"/>
      <c r="AIR1113" s="15"/>
      <c r="AIU1113" s="15"/>
      <c r="AIV1113" s="15"/>
      <c r="AIY1113" s="15"/>
      <c r="AIZ1113" s="15"/>
      <c r="AJC1113" s="15"/>
      <c r="AJD1113" s="15"/>
      <c r="AJG1113" s="15"/>
      <c r="AJH1113" s="15"/>
      <c r="AJK1113" s="15"/>
      <c r="AJL1113" s="15"/>
      <c r="AJO1113" s="15"/>
      <c r="AJP1113" s="15"/>
      <c r="AJS1113" s="15"/>
      <c r="AJT1113" s="15"/>
      <c r="AJW1113" s="15"/>
      <c r="AJX1113" s="15"/>
      <c r="AKA1113" s="15"/>
      <c r="AKB1113" s="15"/>
      <c r="AKE1113" s="15"/>
      <c r="AKF1113" s="15"/>
      <c r="AKI1113" s="15"/>
      <c r="AKJ1113" s="15"/>
      <c r="AKM1113" s="15"/>
      <c r="AKN1113" s="15"/>
      <c r="AKQ1113" s="15"/>
      <c r="AKR1113" s="15"/>
      <c r="AKU1113" s="15"/>
      <c r="AKV1113" s="15"/>
      <c r="AKY1113" s="15"/>
      <c r="AKZ1113" s="15"/>
      <c r="ALC1113" s="15"/>
      <c r="ALD1113" s="15"/>
      <c r="ALG1113" s="15"/>
      <c r="ALH1113" s="15"/>
      <c r="ALK1113" s="15"/>
      <c r="ALL1113" s="15"/>
      <c r="ALO1113" s="15"/>
      <c r="ALP1113" s="15"/>
      <c r="ALS1113" s="15"/>
      <c r="ALT1113" s="15"/>
      <c r="ALW1113" s="15"/>
      <c r="ALX1113" s="15"/>
      <c r="AMA1113" s="15"/>
      <c r="AMB1113" s="15"/>
      <c r="AME1113" s="15"/>
      <c r="AMF1113" s="15"/>
      <c r="AMI1113" s="15"/>
      <c r="AMJ1113" s="15"/>
      <c r="AMM1113" s="15"/>
      <c r="AMN1113" s="15"/>
      <c r="AMQ1113" s="15"/>
      <c r="AMR1113" s="15"/>
      <c r="AMU1113" s="15"/>
      <c r="AMV1113" s="15"/>
      <c r="AMY1113" s="15"/>
      <c r="AMZ1113" s="15"/>
      <c r="ANC1113" s="15"/>
      <c r="AND1113" s="15"/>
      <c r="ANG1113" s="15"/>
      <c r="ANH1113" s="15"/>
      <c r="ANK1113" s="15"/>
      <c r="ANL1113" s="15"/>
      <c r="ANO1113" s="15"/>
      <c r="ANP1113" s="15"/>
      <c r="ANS1113" s="15"/>
      <c r="ANT1113" s="15"/>
      <c r="ANW1113" s="15"/>
      <c r="ANX1113" s="15"/>
      <c r="AOA1113" s="15"/>
      <c r="AOB1113" s="15"/>
      <c r="AOE1113" s="15"/>
      <c r="AOF1113" s="15"/>
      <c r="AOI1113" s="15"/>
      <c r="AOJ1113" s="15"/>
      <c r="AOM1113" s="15"/>
      <c r="AON1113" s="15"/>
      <c r="AOQ1113" s="15"/>
      <c r="AOR1113" s="15"/>
      <c r="AOU1113" s="15"/>
      <c r="AOV1113" s="15"/>
      <c r="AOY1113" s="15"/>
      <c r="AOZ1113" s="15"/>
      <c r="APC1113" s="15"/>
      <c r="APD1113" s="15"/>
      <c r="APG1113" s="15"/>
      <c r="APH1113" s="15"/>
      <c r="APK1113" s="15"/>
      <c r="APL1113" s="15"/>
      <c r="APO1113" s="15"/>
      <c r="APP1113" s="15"/>
      <c r="APS1113" s="15"/>
      <c r="APT1113" s="15"/>
      <c r="APW1113" s="15"/>
      <c r="APX1113" s="15"/>
      <c r="AQA1113" s="15"/>
      <c r="AQB1113" s="15"/>
      <c r="AQE1113" s="15"/>
      <c r="AQF1113" s="15"/>
      <c r="AQI1113" s="15"/>
      <c r="AQJ1113" s="15"/>
      <c r="AQM1113" s="15"/>
      <c r="AQN1113" s="15"/>
      <c r="AQQ1113" s="15"/>
      <c r="AQR1113" s="15"/>
      <c r="AQU1113" s="15"/>
      <c r="AQV1113" s="15"/>
      <c r="AQY1113" s="15"/>
      <c r="AQZ1113" s="15"/>
      <c r="ARC1113" s="15"/>
      <c r="ARD1113" s="15"/>
      <c r="ARG1113" s="15"/>
      <c r="ARH1113" s="15"/>
      <c r="ARK1113" s="15"/>
      <c r="ARL1113" s="15"/>
      <c r="ARO1113" s="15"/>
      <c r="ARP1113" s="15"/>
      <c r="ARS1113" s="15"/>
      <c r="ART1113" s="15"/>
      <c r="ARW1113" s="15"/>
      <c r="ARX1113" s="15"/>
      <c r="ASA1113" s="15"/>
      <c r="ASB1113" s="15"/>
      <c r="ASE1113" s="15"/>
      <c r="ASF1113" s="15"/>
      <c r="ASI1113" s="15"/>
      <c r="ASJ1113" s="15"/>
      <c r="ASM1113" s="15"/>
      <c r="ASN1113" s="15"/>
      <c r="ASQ1113" s="15"/>
      <c r="ASR1113" s="15"/>
      <c r="ASU1113" s="15"/>
      <c r="ASV1113" s="15"/>
      <c r="ASY1113" s="15"/>
      <c r="ASZ1113" s="15"/>
      <c r="ATC1113" s="15"/>
      <c r="ATD1113" s="15"/>
      <c r="ATG1113" s="15"/>
      <c r="ATH1113" s="15"/>
      <c r="ATK1113" s="15"/>
      <c r="ATL1113" s="15"/>
      <c r="ATO1113" s="15"/>
      <c r="ATP1113" s="15"/>
      <c r="ATS1113" s="15"/>
      <c r="ATT1113" s="15"/>
      <c r="ATW1113" s="15"/>
      <c r="ATX1113" s="15"/>
      <c r="AUA1113" s="15"/>
      <c r="AUB1113" s="15"/>
      <c r="AUE1113" s="15"/>
      <c r="AUF1113" s="15"/>
      <c r="AUI1113" s="15"/>
      <c r="AUJ1113" s="15"/>
      <c r="AUM1113" s="15"/>
      <c r="AUN1113" s="15"/>
      <c r="AUQ1113" s="15"/>
      <c r="AUR1113" s="15"/>
      <c r="AUU1113" s="15"/>
      <c r="AUV1113" s="15"/>
      <c r="AUY1113" s="15"/>
      <c r="AUZ1113" s="15"/>
      <c r="AVC1113" s="15"/>
      <c r="AVD1113" s="15"/>
      <c r="AVG1113" s="15"/>
      <c r="AVH1113" s="15"/>
      <c r="AVK1113" s="15"/>
      <c r="AVL1113" s="15"/>
      <c r="AVO1113" s="15"/>
      <c r="AVP1113" s="15"/>
      <c r="AVS1113" s="15"/>
      <c r="AVT1113" s="15"/>
      <c r="AVW1113" s="15"/>
      <c r="AVX1113" s="15"/>
      <c r="AWA1113" s="15"/>
      <c r="AWB1113" s="15"/>
      <c r="AWE1113" s="15"/>
      <c r="AWF1113" s="15"/>
      <c r="AWI1113" s="15"/>
      <c r="AWJ1113" s="15"/>
      <c r="AWM1113" s="15"/>
      <c r="AWN1113" s="15"/>
      <c r="AWQ1113" s="15"/>
      <c r="AWR1113" s="15"/>
      <c r="AWU1113" s="15"/>
      <c r="AWV1113" s="15"/>
      <c r="AWY1113" s="15"/>
      <c r="AWZ1113" s="15"/>
      <c r="AXC1113" s="15"/>
      <c r="AXD1113" s="15"/>
      <c r="AXG1113" s="15"/>
      <c r="AXH1113" s="15"/>
      <c r="AXK1113" s="15"/>
      <c r="AXL1113" s="15"/>
      <c r="AXO1113" s="15"/>
      <c r="AXP1113" s="15"/>
      <c r="AXS1113" s="15"/>
      <c r="AXT1113" s="15"/>
      <c r="AXW1113" s="15"/>
      <c r="AXX1113" s="15"/>
      <c r="AYA1113" s="15"/>
      <c r="AYB1113" s="15"/>
      <c r="AYE1113" s="15"/>
      <c r="AYF1113" s="15"/>
      <c r="AYI1113" s="15"/>
      <c r="AYJ1113" s="15"/>
      <c r="AYM1113" s="15"/>
      <c r="AYN1113" s="15"/>
      <c r="AYQ1113" s="15"/>
      <c r="AYR1113" s="15"/>
      <c r="AYU1113" s="15"/>
      <c r="AYV1113" s="15"/>
      <c r="AYY1113" s="15"/>
      <c r="AYZ1113" s="15"/>
      <c r="AZC1113" s="15"/>
      <c r="AZD1113" s="15"/>
      <c r="AZG1113" s="15"/>
      <c r="AZH1113" s="15"/>
      <c r="AZK1113" s="15"/>
      <c r="AZL1113" s="15"/>
      <c r="AZO1113" s="15"/>
      <c r="AZP1113" s="15"/>
      <c r="AZS1113" s="15"/>
      <c r="AZT1113" s="15"/>
      <c r="AZW1113" s="15"/>
      <c r="AZX1113" s="15"/>
      <c r="BAA1113" s="15"/>
      <c r="BAB1113" s="15"/>
      <c r="BAE1113" s="15"/>
      <c r="BAF1113" s="15"/>
      <c r="BAI1113" s="15"/>
      <c r="BAJ1113" s="15"/>
      <c r="BAM1113" s="15"/>
      <c r="BAN1113" s="15"/>
      <c r="BAQ1113" s="15"/>
      <c r="BAR1113" s="15"/>
      <c r="BAU1113" s="15"/>
      <c r="BAV1113" s="15"/>
      <c r="BAY1113" s="15"/>
      <c r="BAZ1113" s="15"/>
      <c r="BBC1113" s="15"/>
      <c r="BBD1113" s="15"/>
      <c r="BBG1113" s="15"/>
      <c r="BBH1113" s="15"/>
      <c r="BBK1113" s="15"/>
      <c r="BBL1113" s="15"/>
      <c r="BBO1113" s="15"/>
      <c r="BBP1113" s="15"/>
      <c r="BBS1113" s="15"/>
      <c r="BBT1113" s="15"/>
      <c r="BBW1113" s="15"/>
      <c r="BBX1113" s="15"/>
      <c r="BCA1113" s="15"/>
      <c r="BCB1113" s="15"/>
      <c r="BCE1113" s="15"/>
      <c r="BCF1113" s="15"/>
      <c r="BCI1113" s="15"/>
      <c r="BCJ1113" s="15"/>
      <c r="BCM1113" s="15"/>
      <c r="BCN1113" s="15"/>
      <c r="BCQ1113" s="15"/>
      <c r="BCR1113" s="15"/>
      <c r="BCU1113" s="15"/>
      <c r="BCV1113" s="15"/>
      <c r="BCY1113" s="15"/>
      <c r="BCZ1113" s="15"/>
      <c r="BDC1113" s="15"/>
      <c r="BDD1113" s="15"/>
      <c r="BDG1113" s="15"/>
      <c r="BDH1113" s="15"/>
      <c r="BDK1113" s="15"/>
      <c r="BDL1113" s="15"/>
      <c r="BDO1113" s="15"/>
      <c r="BDP1113" s="15"/>
      <c r="BDS1113" s="15"/>
      <c r="BDT1113" s="15"/>
      <c r="BDW1113" s="15"/>
      <c r="BDX1113" s="15"/>
      <c r="BEA1113" s="15"/>
      <c r="BEB1113" s="15"/>
      <c r="BEE1113" s="15"/>
      <c r="BEF1113" s="15"/>
      <c r="BEI1113" s="15"/>
      <c r="BEJ1113" s="15"/>
      <c r="BEM1113" s="15"/>
      <c r="BEN1113" s="15"/>
      <c r="BEQ1113" s="15"/>
      <c r="BER1113" s="15"/>
      <c r="BEU1113" s="15"/>
      <c r="BEV1113" s="15"/>
      <c r="BEY1113" s="15"/>
      <c r="BEZ1113" s="15"/>
      <c r="BFC1113" s="15"/>
      <c r="BFD1113" s="15"/>
      <c r="BFG1113" s="15"/>
      <c r="BFH1113" s="15"/>
      <c r="BFK1113" s="15"/>
      <c r="BFL1113" s="15"/>
      <c r="BFO1113" s="15"/>
      <c r="BFP1113" s="15"/>
      <c r="BFS1113" s="15"/>
      <c r="BFT1113" s="15"/>
      <c r="BFW1113" s="15"/>
      <c r="BFX1113" s="15"/>
      <c r="BGA1113" s="15"/>
      <c r="BGB1113" s="15"/>
      <c r="BGE1113" s="15"/>
      <c r="BGF1113" s="15"/>
      <c r="BGI1113" s="15"/>
      <c r="BGJ1113" s="15"/>
      <c r="BGM1113" s="15"/>
      <c r="BGN1113" s="15"/>
      <c r="BGQ1113" s="15"/>
      <c r="BGR1113" s="15"/>
      <c r="BGU1113" s="15"/>
      <c r="BGV1113" s="15"/>
      <c r="BGY1113" s="15"/>
      <c r="BGZ1113" s="15"/>
      <c r="BHC1113" s="15"/>
      <c r="BHD1113" s="15"/>
      <c r="BHG1113" s="15"/>
      <c r="BHH1113" s="15"/>
      <c r="BHK1113" s="15"/>
      <c r="BHL1113" s="15"/>
      <c r="BHO1113" s="15"/>
      <c r="BHP1113" s="15"/>
      <c r="BHS1113" s="15"/>
      <c r="BHT1113" s="15"/>
      <c r="BHW1113" s="15"/>
      <c r="BHX1113" s="15"/>
      <c r="BIA1113" s="15"/>
      <c r="BIB1113" s="15"/>
      <c r="BIE1113" s="15"/>
      <c r="BIF1113" s="15"/>
      <c r="BII1113" s="15"/>
      <c r="BIJ1113" s="15"/>
      <c r="BIM1113" s="15"/>
      <c r="BIN1113" s="15"/>
      <c r="BIQ1113" s="15"/>
      <c r="BIR1113" s="15"/>
      <c r="BIU1113" s="15"/>
      <c r="BIV1113" s="15"/>
      <c r="BIY1113" s="15"/>
      <c r="BIZ1113" s="15"/>
      <c r="BJC1113" s="15"/>
      <c r="BJD1113" s="15"/>
      <c r="BJG1113" s="15"/>
      <c r="BJH1113" s="15"/>
      <c r="BJK1113" s="15"/>
      <c r="BJL1113" s="15"/>
      <c r="BJO1113" s="15"/>
      <c r="BJP1113" s="15"/>
      <c r="BJS1113" s="15"/>
      <c r="BJT1113" s="15"/>
      <c r="BJW1113" s="15"/>
      <c r="BJX1113" s="15"/>
      <c r="BKA1113" s="15"/>
      <c r="BKB1113" s="15"/>
      <c r="BKE1113" s="15"/>
      <c r="BKF1113" s="15"/>
      <c r="BKI1113" s="15"/>
      <c r="BKJ1113" s="15"/>
      <c r="BKM1113" s="15"/>
      <c r="BKN1113" s="15"/>
      <c r="BKQ1113" s="15"/>
      <c r="BKR1113" s="15"/>
      <c r="BKU1113" s="15"/>
      <c r="BKV1113" s="15"/>
      <c r="BKY1113" s="15"/>
      <c r="BKZ1113" s="15"/>
      <c r="BLC1113" s="15"/>
      <c r="BLD1113" s="15"/>
      <c r="BLG1113" s="15"/>
      <c r="BLH1113" s="15"/>
      <c r="BLK1113" s="15"/>
      <c r="BLL1113" s="15"/>
      <c r="BLO1113" s="15"/>
      <c r="BLP1113" s="15"/>
      <c r="BLS1113" s="15"/>
      <c r="BLT1113" s="15"/>
      <c r="BLW1113" s="15"/>
      <c r="BLX1113" s="15"/>
      <c r="BMA1113" s="15"/>
      <c r="BMB1113" s="15"/>
      <c r="BME1113" s="15"/>
      <c r="BMF1113" s="15"/>
      <c r="BMI1113" s="15"/>
      <c r="BMJ1113" s="15"/>
      <c r="BMM1113" s="15"/>
      <c r="BMN1113" s="15"/>
      <c r="BMQ1113" s="15"/>
      <c r="BMR1113" s="15"/>
      <c r="BMU1113" s="15"/>
      <c r="BMV1113" s="15"/>
      <c r="BMY1113" s="15"/>
      <c r="BMZ1113" s="15"/>
      <c r="BNC1113" s="15"/>
      <c r="BND1113" s="15"/>
      <c r="BNG1113" s="15"/>
      <c r="BNH1113" s="15"/>
      <c r="BNK1113" s="15"/>
      <c r="BNL1113" s="15"/>
      <c r="BNO1113" s="15"/>
      <c r="BNP1113" s="15"/>
      <c r="BNS1113" s="15"/>
      <c r="BNT1113" s="15"/>
      <c r="BNW1113" s="15"/>
      <c r="BNX1113" s="15"/>
      <c r="BOA1113" s="15"/>
      <c r="BOB1113" s="15"/>
      <c r="BOE1113" s="15"/>
      <c r="BOF1113" s="15"/>
      <c r="BOI1113" s="15"/>
      <c r="BOJ1113" s="15"/>
      <c r="BOM1113" s="15"/>
      <c r="BON1113" s="15"/>
      <c r="BOQ1113" s="15"/>
      <c r="BOR1113" s="15"/>
      <c r="BOU1113" s="15"/>
      <c r="BOV1113" s="15"/>
      <c r="BOY1113" s="15"/>
      <c r="BOZ1113" s="15"/>
      <c r="BPC1113" s="15"/>
      <c r="BPD1113" s="15"/>
      <c r="BPG1113" s="15"/>
      <c r="BPH1113" s="15"/>
      <c r="BPK1113" s="15"/>
      <c r="BPL1113" s="15"/>
      <c r="BPO1113" s="15"/>
      <c r="BPP1113" s="15"/>
      <c r="BPS1113" s="15"/>
      <c r="BPT1113" s="15"/>
      <c r="BPW1113" s="15"/>
      <c r="BPX1113" s="15"/>
      <c r="BQA1113" s="15"/>
      <c r="BQB1113" s="15"/>
      <c r="BQE1113" s="15"/>
      <c r="BQF1113" s="15"/>
      <c r="BQI1113" s="15"/>
      <c r="BQJ1113" s="15"/>
      <c r="BQM1113" s="15"/>
      <c r="BQN1113" s="15"/>
      <c r="BQQ1113" s="15"/>
      <c r="BQR1113" s="15"/>
      <c r="BQU1113" s="15"/>
      <c r="BQV1113" s="15"/>
      <c r="BQY1113" s="15"/>
      <c r="BQZ1113" s="15"/>
      <c r="BRC1113" s="15"/>
      <c r="BRD1113" s="15"/>
      <c r="BRG1113" s="15"/>
      <c r="BRH1113" s="15"/>
      <c r="BRK1113" s="15"/>
      <c r="BRL1113" s="15"/>
      <c r="BRO1113" s="15"/>
      <c r="BRP1113" s="15"/>
      <c r="BRS1113" s="15"/>
      <c r="BRT1113" s="15"/>
      <c r="BRW1113" s="15"/>
      <c r="BRX1113" s="15"/>
      <c r="BSA1113" s="15"/>
      <c r="BSB1113" s="15"/>
      <c r="BSE1113" s="15"/>
      <c r="BSF1113" s="15"/>
      <c r="BSI1113" s="15"/>
      <c r="BSJ1113" s="15"/>
      <c r="BSM1113" s="15"/>
      <c r="BSN1113" s="15"/>
      <c r="BSQ1113" s="15"/>
      <c r="BSR1113" s="15"/>
      <c r="BSU1113" s="15"/>
      <c r="BSV1113" s="15"/>
      <c r="BSY1113" s="15"/>
      <c r="BSZ1113" s="15"/>
      <c r="BTC1113" s="15"/>
      <c r="BTD1113" s="15"/>
      <c r="BTG1113" s="15"/>
      <c r="BTH1113" s="15"/>
      <c r="BTK1113" s="15"/>
      <c r="BTL1113" s="15"/>
      <c r="BTO1113" s="15"/>
      <c r="BTP1113" s="15"/>
      <c r="BTS1113" s="15"/>
      <c r="BTT1113" s="15"/>
      <c r="BTW1113" s="15"/>
      <c r="BTX1113" s="15"/>
      <c r="BUA1113" s="15"/>
      <c r="BUB1113" s="15"/>
      <c r="BUE1113" s="15"/>
      <c r="BUF1113" s="15"/>
      <c r="BUI1113" s="15"/>
      <c r="BUJ1113" s="15"/>
      <c r="BUM1113" s="15"/>
      <c r="BUN1113" s="15"/>
      <c r="BUQ1113" s="15"/>
      <c r="BUR1113" s="15"/>
      <c r="BUU1113" s="15"/>
      <c r="BUV1113" s="15"/>
      <c r="BUY1113" s="15"/>
      <c r="BUZ1113" s="15"/>
      <c r="BVC1113" s="15"/>
      <c r="BVD1113" s="15"/>
      <c r="BVG1113" s="15"/>
      <c r="BVH1113" s="15"/>
      <c r="BVK1113" s="15"/>
      <c r="BVL1113" s="15"/>
      <c r="BVO1113" s="15"/>
      <c r="BVP1113" s="15"/>
      <c r="BVS1113" s="15"/>
      <c r="BVT1113" s="15"/>
      <c r="BVW1113" s="15"/>
      <c r="BVX1113" s="15"/>
      <c r="BWA1113" s="15"/>
      <c r="BWB1113" s="15"/>
      <c r="BWE1113" s="15"/>
      <c r="BWF1113" s="15"/>
      <c r="BWI1113" s="15"/>
      <c r="BWJ1113" s="15"/>
      <c r="BWM1113" s="15"/>
      <c r="BWN1113" s="15"/>
      <c r="BWQ1113" s="15"/>
      <c r="BWR1113" s="15"/>
      <c r="BWU1113" s="15"/>
      <c r="BWV1113" s="15"/>
      <c r="BWY1113" s="15"/>
      <c r="BWZ1113" s="15"/>
      <c r="BXC1113" s="15"/>
      <c r="BXD1113" s="15"/>
      <c r="BXG1113" s="15"/>
      <c r="BXH1113" s="15"/>
      <c r="BXK1113" s="15"/>
      <c r="BXL1113" s="15"/>
      <c r="BXO1113" s="15"/>
      <c r="BXP1113" s="15"/>
      <c r="BXS1113" s="15"/>
      <c r="BXT1113" s="15"/>
      <c r="BXW1113" s="15"/>
      <c r="BXX1113" s="15"/>
      <c r="BYA1113" s="15"/>
      <c r="BYB1113" s="15"/>
      <c r="BYE1113" s="15"/>
      <c r="BYF1113" s="15"/>
      <c r="BYI1113" s="15"/>
      <c r="BYJ1113" s="15"/>
      <c r="BYM1113" s="15"/>
      <c r="BYN1113" s="15"/>
      <c r="BYQ1113" s="15"/>
      <c r="BYR1113" s="15"/>
      <c r="BYU1113" s="15"/>
      <c r="BYV1113" s="15"/>
      <c r="BYY1113" s="15"/>
      <c r="BYZ1113" s="15"/>
      <c r="BZC1113" s="15"/>
      <c r="BZD1113" s="15"/>
      <c r="BZG1113" s="15"/>
      <c r="BZH1113" s="15"/>
      <c r="BZK1113" s="15"/>
      <c r="BZL1113" s="15"/>
      <c r="BZO1113" s="15"/>
      <c r="BZP1113" s="15"/>
      <c r="BZS1113" s="15"/>
      <c r="BZT1113" s="15"/>
      <c r="BZW1113" s="15"/>
      <c r="BZX1113" s="15"/>
      <c r="CAA1113" s="15"/>
      <c r="CAB1113" s="15"/>
      <c r="CAE1113" s="15"/>
      <c r="CAF1113" s="15"/>
      <c r="CAI1113" s="15"/>
      <c r="CAJ1113" s="15"/>
      <c r="CAM1113" s="15"/>
      <c r="CAN1113" s="15"/>
      <c r="CAQ1113" s="15"/>
      <c r="CAR1113" s="15"/>
      <c r="CAU1113" s="15"/>
      <c r="CAV1113" s="15"/>
      <c r="CAY1113" s="15"/>
      <c r="CAZ1113" s="15"/>
      <c r="CBC1113" s="15"/>
      <c r="CBD1113" s="15"/>
      <c r="CBG1113" s="15"/>
      <c r="CBH1113" s="15"/>
      <c r="CBK1113" s="15"/>
      <c r="CBL1113" s="15"/>
      <c r="CBO1113" s="15"/>
      <c r="CBP1113" s="15"/>
      <c r="CBS1113" s="15"/>
      <c r="CBT1113" s="15"/>
      <c r="CBW1113" s="15"/>
      <c r="CBX1113" s="15"/>
      <c r="CCA1113" s="15"/>
      <c r="CCB1113" s="15"/>
      <c r="CCE1113" s="15"/>
      <c r="CCF1113" s="15"/>
      <c r="CCI1113" s="15"/>
      <c r="CCJ1113" s="15"/>
      <c r="CCM1113" s="15"/>
      <c r="CCN1113" s="15"/>
      <c r="CCQ1113" s="15"/>
      <c r="CCR1113" s="15"/>
      <c r="CCU1113" s="15"/>
      <c r="CCV1113" s="15"/>
      <c r="CCY1113" s="15"/>
      <c r="CCZ1113" s="15"/>
      <c r="CDC1113" s="15"/>
      <c r="CDD1113" s="15"/>
      <c r="CDG1113" s="15"/>
      <c r="CDH1113" s="15"/>
      <c r="CDK1113" s="15"/>
      <c r="CDL1113" s="15"/>
      <c r="CDO1113" s="15"/>
      <c r="CDP1113" s="15"/>
      <c r="CDS1113" s="15"/>
      <c r="CDT1113" s="15"/>
      <c r="CDW1113" s="15"/>
      <c r="CDX1113" s="15"/>
      <c r="CEA1113" s="15"/>
      <c r="CEB1113" s="15"/>
      <c r="CEE1113" s="15"/>
      <c r="CEF1113" s="15"/>
      <c r="CEI1113" s="15"/>
      <c r="CEJ1113" s="15"/>
      <c r="CEM1113" s="15"/>
      <c r="CEN1113" s="15"/>
      <c r="CEQ1113" s="15"/>
      <c r="CER1113" s="15"/>
      <c r="CEU1113" s="15"/>
      <c r="CEV1113" s="15"/>
      <c r="CEY1113" s="15"/>
      <c r="CEZ1113" s="15"/>
      <c r="CFC1113" s="15"/>
      <c r="CFD1113" s="15"/>
      <c r="CFG1113" s="15"/>
      <c r="CFH1113" s="15"/>
      <c r="CFK1113" s="15"/>
      <c r="CFL1113" s="15"/>
      <c r="CFO1113" s="15"/>
      <c r="CFP1113" s="15"/>
      <c r="CFS1113" s="15"/>
      <c r="CFT1113" s="15"/>
      <c r="CFW1113" s="15"/>
      <c r="CFX1113" s="15"/>
      <c r="CGA1113" s="15"/>
      <c r="CGB1113" s="15"/>
      <c r="CGE1113" s="15"/>
      <c r="CGF1113" s="15"/>
      <c r="CGI1113" s="15"/>
      <c r="CGJ1113" s="15"/>
      <c r="CGM1113" s="15"/>
      <c r="CGN1113" s="15"/>
      <c r="CGQ1113" s="15"/>
      <c r="CGR1113" s="15"/>
      <c r="CGU1113" s="15"/>
      <c r="CGV1113" s="15"/>
      <c r="CGY1113" s="15"/>
      <c r="CGZ1113" s="15"/>
      <c r="CHC1113" s="15"/>
      <c r="CHD1113" s="15"/>
      <c r="CHG1113" s="15"/>
      <c r="CHH1113" s="15"/>
      <c r="CHK1113" s="15"/>
      <c r="CHL1113" s="15"/>
      <c r="CHO1113" s="15"/>
      <c r="CHP1113" s="15"/>
      <c r="CHS1113" s="15"/>
      <c r="CHT1113" s="15"/>
      <c r="CHW1113" s="15"/>
      <c r="CHX1113" s="15"/>
      <c r="CIA1113" s="15"/>
      <c r="CIB1113" s="15"/>
      <c r="CIE1113" s="15"/>
      <c r="CIF1113" s="15"/>
      <c r="CII1113" s="15"/>
      <c r="CIJ1113" s="15"/>
      <c r="CIM1113" s="15"/>
      <c r="CIN1113" s="15"/>
      <c r="CIQ1113" s="15"/>
      <c r="CIR1113" s="15"/>
      <c r="CIU1113" s="15"/>
      <c r="CIV1113" s="15"/>
      <c r="CIY1113" s="15"/>
      <c r="CIZ1113" s="15"/>
      <c r="CJC1113" s="15"/>
      <c r="CJD1113" s="15"/>
      <c r="CJG1113" s="15"/>
      <c r="CJH1113" s="15"/>
      <c r="CJK1113" s="15"/>
      <c r="CJL1113" s="15"/>
      <c r="CJO1113" s="15"/>
      <c r="CJP1113" s="15"/>
      <c r="CJS1113" s="15"/>
      <c r="CJT1113" s="15"/>
      <c r="CJW1113" s="15"/>
      <c r="CJX1113" s="15"/>
      <c r="CKA1113" s="15"/>
      <c r="CKB1113" s="15"/>
      <c r="CKE1113" s="15"/>
      <c r="CKF1113" s="15"/>
      <c r="CKI1113" s="15"/>
      <c r="CKJ1113" s="15"/>
      <c r="CKM1113" s="15"/>
      <c r="CKN1113" s="15"/>
      <c r="CKQ1113" s="15"/>
      <c r="CKR1113" s="15"/>
      <c r="CKU1113" s="15"/>
      <c r="CKV1113" s="15"/>
      <c r="CKY1113" s="15"/>
      <c r="CKZ1113" s="15"/>
      <c r="CLC1113" s="15"/>
      <c r="CLD1113" s="15"/>
      <c r="CLG1113" s="15"/>
      <c r="CLH1113" s="15"/>
      <c r="CLK1113" s="15"/>
      <c r="CLL1113" s="15"/>
      <c r="CLO1113" s="15"/>
      <c r="CLP1113" s="15"/>
      <c r="CLS1113" s="15"/>
      <c r="CLT1113" s="15"/>
      <c r="CLW1113" s="15"/>
      <c r="CLX1113" s="15"/>
      <c r="CMA1113" s="15"/>
      <c r="CMB1113" s="15"/>
      <c r="CME1113" s="15"/>
      <c r="CMF1113" s="15"/>
      <c r="CMI1113" s="15"/>
      <c r="CMJ1113" s="15"/>
      <c r="CMM1113" s="15"/>
      <c r="CMN1113" s="15"/>
      <c r="CMQ1113" s="15"/>
      <c r="CMR1113" s="15"/>
      <c r="CMU1113" s="15"/>
      <c r="CMV1113" s="15"/>
      <c r="CMY1113" s="15"/>
      <c r="CMZ1113" s="15"/>
      <c r="CNC1113" s="15"/>
      <c r="CND1113" s="15"/>
      <c r="CNG1113" s="15"/>
      <c r="CNH1113" s="15"/>
      <c r="CNK1113" s="15"/>
      <c r="CNL1113" s="15"/>
      <c r="CNO1113" s="15"/>
      <c r="CNP1113" s="15"/>
      <c r="CNS1113" s="15"/>
      <c r="CNT1113" s="15"/>
      <c r="CNW1113" s="15"/>
      <c r="CNX1113" s="15"/>
      <c r="COA1113" s="15"/>
      <c r="COB1113" s="15"/>
      <c r="COE1113" s="15"/>
      <c r="COF1113" s="15"/>
      <c r="COI1113" s="15"/>
      <c r="COJ1113" s="15"/>
      <c r="COM1113" s="15"/>
      <c r="CON1113" s="15"/>
      <c r="COQ1113" s="15"/>
      <c r="COR1113" s="15"/>
      <c r="COU1113" s="15"/>
      <c r="COV1113" s="15"/>
      <c r="COY1113" s="15"/>
      <c r="COZ1113" s="15"/>
      <c r="CPC1113" s="15"/>
      <c r="CPD1113" s="15"/>
      <c r="CPG1113" s="15"/>
      <c r="CPH1113" s="15"/>
      <c r="CPK1113" s="15"/>
      <c r="CPL1113" s="15"/>
      <c r="CPO1113" s="15"/>
      <c r="CPP1113" s="15"/>
      <c r="CPS1113" s="15"/>
      <c r="CPT1113" s="15"/>
      <c r="CPW1113" s="15"/>
      <c r="CPX1113" s="15"/>
      <c r="CQA1113" s="15"/>
      <c r="CQB1113" s="15"/>
      <c r="CQE1113" s="15"/>
      <c r="CQF1113" s="15"/>
      <c r="CQI1113" s="15"/>
      <c r="CQJ1113" s="15"/>
      <c r="CQM1113" s="15"/>
      <c r="CQN1113" s="15"/>
      <c r="CQQ1113" s="15"/>
      <c r="CQR1113" s="15"/>
      <c r="CQU1113" s="15"/>
      <c r="CQV1113" s="15"/>
      <c r="CQY1113" s="15"/>
      <c r="CQZ1113" s="15"/>
      <c r="CRC1113" s="15"/>
      <c r="CRD1113" s="15"/>
      <c r="CRG1113" s="15"/>
      <c r="CRH1113" s="15"/>
      <c r="CRK1113" s="15"/>
      <c r="CRL1113" s="15"/>
      <c r="CRO1113" s="15"/>
      <c r="CRP1113" s="15"/>
      <c r="CRS1113" s="15"/>
      <c r="CRT1113" s="15"/>
      <c r="CRW1113" s="15"/>
      <c r="CRX1113" s="15"/>
      <c r="CSA1113" s="15"/>
      <c r="CSB1113" s="15"/>
      <c r="CSE1113" s="15"/>
      <c r="CSF1113" s="15"/>
      <c r="CSI1113" s="15"/>
      <c r="CSJ1113" s="15"/>
      <c r="CSM1113" s="15"/>
      <c r="CSN1113" s="15"/>
      <c r="CSQ1113" s="15"/>
      <c r="CSR1113" s="15"/>
      <c r="CSU1113" s="15"/>
      <c r="CSV1113" s="15"/>
      <c r="CSY1113" s="15"/>
      <c r="CSZ1113" s="15"/>
      <c r="CTC1113" s="15"/>
      <c r="CTD1113" s="15"/>
      <c r="CTG1113" s="15"/>
      <c r="CTH1113" s="15"/>
      <c r="CTK1113" s="15"/>
      <c r="CTL1113" s="15"/>
      <c r="CTO1113" s="15"/>
      <c r="CTP1113" s="15"/>
      <c r="CTS1113" s="15"/>
      <c r="CTT1113" s="15"/>
      <c r="CTW1113" s="15"/>
      <c r="CTX1113" s="15"/>
      <c r="CUA1113" s="15"/>
      <c r="CUB1113" s="15"/>
      <c r="CUE1113" s="15"/>
      <c r="CUF1113" s="15"/>
      <c r="CUI1113" s="15"/>
      <c r="CUJ1113" s="15"/>
      <c r="CUM1113" s="15"/>
      <c r="CUN1113" s="15"/>
      <c r="CUQ1113" s="15"/>
      <c r="CUR1113" s="15"/>
      <c r="CUU1113" s="15"/>
      <c r="CUV1113" s="15"/>
      <c r="CUY1113" s="15"/>
      <c r="CUZ1113" s="15"/>
      <c r="CVC1113" s="15"/>
      <c r="CVD1113" s="15"/>
      <c r="CVG1113" s="15"/>
      <c r="CVH1113" s="15"/>
      <c r="CVK1113" s="15"/>
      <c r="CVL1113" s="15"/>
      <c r="CVO1113" s="15"/>
      <c r="CVP1113" s="15"/>
      <c r="CVS1113" s="15"/>
      <c r="CVT1113" s="15"/>
      <c r="CVW1113" s="15"/>
      <c r="CVX1113" s="15"/>
      <c r="CWA1113" s="15"/>
      <c r="CWB1113" s="15"/>
      <c r="CWE1113" s="15"/>
      <c r="CWF1113" s="15"/>
      <c r="CWI1113" s="15"/>
      <c r="CWJ1113" s="15"/>
      <c r="CWM1113" s="15"/>
      <c r="CWN1113" s="15"/>
      <c r="CWQ1113" s="15"/>
      <c r="CWR1113" s="15"/>
      <c r="CWU1113" s="15"/>
      <c r="CWV1113" s="15"/>
      <c r="CWY1113" s="15"/>
      <c r="CWZ1113" s="15"/>
      <c r="CXC1113" s="15"/>
      <c r="CXD1113" s="15"/>
      <c r="CXG1113" s="15"/>
      <c r="CXH1113" s="15"/>
      <c r="CXK1113" s="15"/>
      <c r="CXL1113" s="15"/>
      <c r="CXO1113" s="15"/>
      <c r="CXP1113" s="15"/>
      <c r="CXS1113" s="15"/>
      <c r="CXT1113" s="15"/>
      <c r="CXW1113" s="15"/>
      <c r="CXX1113" s="15"/>
      <c r="CYA1113" s="15"/>
      <c r="CYB1113" s="15"/>
      <c r="CYE1113" s="15"/>
      <c r="CYF1113" s="15"/>
      <c r="CYI1113" s="15"/>
      <c r="CYJ1113" s="15"/>
      <c r="CYM1113" s="15"/>
      <c r="CYN1113" s="15"/>
      <c r="CYQ1113" s="15"/>
      <c r="CYR1113" s="15"/>
      <c r="CYU1113" s="15"/>
      <c r="CYV1113" s="15"/>
      <c r="CYY1113" s="15"/>
      <c r="CYZ1113" s="15"/>
      <c r="CZC1113" s="15"/>
      <c r="CZD1113" s="15"/>
      <c r="CZG1113" s="15"/>
      <c r="CZH1113" s="15"/>
      <c r="CZK1113" s="15"/>
      <c r="CZL1113" s="15"/>
      <c r="CZO1113" s="15"/>
      <c r="CZP1113" s="15"/>
      <c r="CZS1113" s="15"/>
      <c r="CZT1113" s="15"/>
      <c r="CZW1113" s="15"/>
      <c r="CZX1113" s="15"/>
      <c r="DAA1113" s="15"/>
      <c r="DAB1113" s="15"/>
      <c r="DAE1113" s="15"/>
      <c r="DAF1113" s="15"/>
      <c r="DAI1113" s="15"/>
      <c r="DAJ1113" s="15"/>
      <c r="DAM1113" s="15"/>
      <c r="DAN1113" s="15"/>
      <c r="DAQ1113" s="15"/>
      <c r="DAR1113" s="15"/>
      <c r="DAU1113" s="15"/>
      <c r="DAV1113" s="15"/>
      <c r="DAY1113" s="15"/>
      <c r="DAZ1113" s="15"/>
      <c r="DBC1113" s="15"/>
      <c r="DBD1113" s="15"/>
      <c r="DBG1113" s="15"/>
      <c r="DBH1113" s="15"/>
      <c r="DBK1113" s="15"/>
      <c r="DBL1113" s="15"/>
      <c r="DBO1113" s="15"/>
      <c r="DBP1113" s="15"/>
      <c r="DBS1113" s="15"/>
      <c r="DBT1113" s="15"/>
      <c r="DBW1113" s="15"/>
      <c r="DBX1113" s="15"/>
      <c r="DCA1113" s="15"/>
      <c r="DCB1113" s="15"/>
      <c r="DCE1113" s="15"/>
      <c r="DCF1113" s="15"/>
      <c r="DCI1113" s="15"/>
      <c r="DCJ1113" s="15"/>
      <c r="DCM1113" s="15"/>
      <c r="DCN1113" s="15"/>
      <c r="DCQ1113" s="15"/>
      <c r="DCR1113" s="15"/>
      <c r="DCU1113" s="15"/>
      <c r="DCV1113" s="15"/>
      <c r="DCY1113" s="15"/>
      <c r="DCZ1113" s="15"/>
      <c r="DDC1113" s="15"/>
      <c r="DDD1113" s="15"/>
      <c r="DDG1113" s="15"/>
      <c r="DDH1113" s="15"/>
      <c r="DDK1113" s="15"/>
      <c r="DDL1113" s="15"/>
      <c r="DDO1113" s="15"/>
      <c r="DDP1113" s="15"/>
      <c r="DDS1113" s="15"/>
      <c r="DDT1113" s="15"/>
      <c r="DDW1113" s="15"/>
      <c r="DDX1113" s="15"/>
      <c r="DEA1113" s="15"/>
      <c r="DEB1113" s="15"/>
      <c r="DEE1113" s="15"/>
      <c r="DEF1113" s="15"/>
      <c r="DEI1113" s="15"/>
      <c r="DEJ1113" s="15"/>
      <c r="DEM1113" s="15"/>
      <c r="DEN1113" s="15"/>
      <c r="DEQ1113" s="15"/>
      <c r="DER1113" s="15"/>
      <c r="DEU1113" s="15"/>
      <c r="DEV1113" s="15"/>
      <c r="DEY1113" s="15"/>
      <c r="DEZ1113" s="15"/>
      <c r="DFC1113" s="15"/>
      <c r="DFD1113" s="15"/>
      <c r="DFG1113" s="15"/>
      <c r="DFH1113" s="15"/>
      <c r="DFK1113" s="15"/>
      <c r="DFL1113" s="15"/>
      <c r="DFO1113" s="15"/>
      <c r="DFP1113" s="15"/>
      <c r="DFS1113" s="15"/>
      <c r="DFT1113" s="15"/>
      <c r="DFW1113" s="15"/>
      <c r="DFX1113" s="15"/>
      <c r="DGA1113" s="15"/>
      <c r="DGB1113" s="15"/>
      <c r="DGE1113" s="15"/>
      <c r="DGF1113" s="15"/>
      <c r="DGI1113" s="15"/>
      <c r="DGJ1113" s="15"/>
      <c r="DGM1113" s="15"/>
      <c r="DGN1113" s="15"/>
      <c r="DGQ1113" s="15"/>
      <c r="DGR1113" s="15"/>
      <c r="DGU1113" s="15"/>
      <c r="DGV1113" s="15"/>
      <c r="DGY1113" s="15"/>
      <c r="DGZ1113" s="15"/>
      <c r="DHC1113" s="15"/>
      <c r="DHD1113" s="15"/>
      <c r="DHG1113" s="15"/>
      <c r="DHH1113" s="15"/>
      <c r="DHK1113" s="15"/>
      <c r="DHL1113" s="15"/>
      <c r="DHO1113" s="15"/>
      <c r="DHP1113" s="15"/>
      <c r="DHS1113" s="15"/>
      <c r="DHT1113" s="15"/>
      <c r="DHW1113" s="15"/>
      <c r="DHX1113" s="15"/>
      <c r="DIA1113" s="15"/>
      <c r="DIB1113" s="15"/>
      <c r="DIE1113" s="15"/>
      <c r="DIF1113" s="15"/>
      <c r="DII1113" s="15"/>
      <c r="DIJ1113" s="15"/>
      <c r="DIM1113" s="15"/>
      <c r="DIN1113" s="15"/>
      <c r="DIQ1113" s="15"/>
      <c r="DIR1113" s="15"/>
      <c r="DIU1113" s="15"/>
      <c r="DIV1113" s="15"/>
      <c r="DIY1113" s="15"/>
      <c r="DIZ1113" s="15"/>
      <c r="DJC1113" s="15"/>
      <c r="DJD1113" s="15"/>
      <c r="DJG1113" s="15"/>
      <c r="DJH1113" s="15"/>
      <c r="DJK1113" s="15"/>
      <c r="DJL1113" s="15"/>
      <c r="DJO1113" s="15"/>
      <c r="DJP1113" s="15"/>
      <c r="DJS1113" s="15"/>
      <c r="DJT1113" s="15"/>
      <c r="DJW1113" s="15"/>
      <c r="DJX1113" s="15"/>
      <c r="DKA1113" s="15"/>
      <c r="DKB1113" s="15"/>
      <c r="DKE1113" s="15"/>
      <c r="DKF1113" s="15"/>
      <c r="DKI1113" s="15"/>
      <c r="DKJ1113" s="15"/>
      <c r="DKM1113" s="15"/>
      <c r="DKN1113" s="15"/>
      <c r="DKQ1113" s="15"/>
      <c r="DKR1113" s="15"/>
      <c r="DKU1113" s="15"/>
      <c r="DKV1113" s="15"/>
      <c r="DKY1113" s="15"/>
      <c r="DKZ1113" s="15"/>
      <c r="DLC1113" s="15"/>
      <c r="DLD1113" s="15"/>
      <c r="DLG1113" s="15"/>
      <c r="DLH1113" s="15"/>
      <c r="DLK1113" s="15"/>
      <c r="DLL1113" s="15"/>
      <c r="DLO1113" s="15"/>
      <c r="DLP1113" s="15"/>
      <c r="DLS1113" s="15"/>
      <c r="DLT1113" s="15"/>
      <c r="DLW1113" s="15"/>
      <c r="DLX1113" s="15"/>
      <c r="DMA1113" s="15"/>
      <c r="DMB1113" s="15"/>
      <c r="DME1113" s="15"/>
      <c r="DMF1113" s="15"/>
      <c r="DMI1113" s="15"/>
      <c r="DMJ1113" s="15"/>
      <c r="DMM1113" s="15"/>
      <c r="DMN1113" s="15"/>
      <c r="DMQ1113" s="15"/>
      <c r="DMR1113" s="15"/>
      <c r="DMU1113" s="15"/>
      <c r="DMV1113" s="15"/>
      <c r="DMY1113" s="15"/>
      <c r="DMZ1113" s="15"/>
      <c r="DNC1113" s="15"/>
      <c r="DND1113" s="15"/>
      <c r="DNG1113" s="15"/>
      <c r="DNH1113" s="15"/>
      <c r="DNK1113" s="15"/>
      <c r="DNL1113" s="15"/>
      <c r="DNO1113" s="15"/>
      <c r="DNP1113" s="15"/>
      <c r="DNS1113" s="15"/>
      <c r="DNT1113" s="15"/>
      <c r="DNW1113" s="15"/>
      <c r="DNX1113" s="15"/>
      <c r="DOA1113" s="15"/>
      <c r="DOB1113" s="15"/>
      <c r="DOE1113" s="15"/>
      <c r="DOF1113" s="15"/>
      <c r="DOI1113" s="15"/>
      <c r="DOJ1113" s="15"/>
      <c r="DOM1113" s="15"/>
      <c r="DON1113" s="15"/>
      <c r="DOQ1113" s="15"/>
      <c r="DOR1113" s="15"/>
      <c r="DOU1113" s="15"/>
      <c r="DOV1113" s="15"/>
      <c r="DOY1113" s="15"/>
      <c r="DOZ1113" s="15"/>
      <c r="DPC1113" s="15"/>
      <c r="DPD1113" s="15"/>
      <c r="DPG1113" s="15"/>
      <c r="DPH1113" s="15"/>
      <c r="DPK1113" s="15"/>
      <c r="DPL1113" s="15"/>
      <c r="DPO1113" s="15"/>
      <c r="DPP1113" s="15"/>
      <c r="DPS1113" s="15"/>
      <c r="DPT1113" s="15"/>
      <c r="DPW1113" s="15"/>
      <c r="DPX1113" s="15"/>
      <c r="DQA1113" s="15"/>
      <c r="DQB1113" s="15"/>
      <c r="DQE1113" s="15"/>
      <c r="DQF1113" s="15"/>
      <c r="DQI1113" s="15"/>
      <c r="DQJ1113" s="15"/>
      <c r="DQM1113" s="15"/>
      <c r="DQN1113" s="15"/>
      <c r="DQQ1113" s="15"/>
      <c r="DQR1113" s="15"/>
      <c r="DQU1113" s="15"/>
      <c r="DQV1113" s="15"/>
      <c r="DQY1113" s="15"/>
      <c r="DQZ1113" s="15"/>
      <c r="DRC1113" s="15"/>
      <c r="DRD1113" s="15"/>
      <c r="DRG1113" s="15"/>
      <c r="DRH1113" s="15"/>
      <c r="DRK1113" s="15"/>
      <c r="DRL1113" s="15"/>
      <c r="DRO1113" s="15"/>
      <c r="DRP1113" s="15"/>
      <c r="DRS1113" s="15"/>
      <c r="DRT1113" s="15"/>
      <c r="DRW1113" s="15"/>
      <c r="DRX1113" s="15"/>
      <c r="DSA1113" s="15"/>
      <c r="DSB1113" s="15"/>
      <c r="DSE1113" s="15"/>
      <c r="DSF1113" s="15"/>
      <c r="DSI1113" s="15"/>
      <c r="DSJ1113" s="15"/>
      <c r="DSM1113" s="15"/>
      <c r="DSN1113" s="15"/>
      <c r="DSQ1113" s="15"/>
      <c r="DSR1113" s="15"/>
      <c r="DSU1113" s="15"/>
      <c r="DSV1113" s="15"/>
      <c r="DSY1113" s="15"/>
      <c r="DSZ1113" s="15"/>
      <c r="DTC1113" s="15"/>
      <c r="DTD1113" s="15"/>
      <c r="DTG1113" s="15"/>
      <c r="DTH1113" s="15"/>
      <c r="DTK1113" s="15"/>
      <c r="DTL1113" s="15"/>
      <c r="DTO1113" s="15"/>
      <c r="DTP1113" s="15"/>
      <c r="DTS1113" s="15"/>
      <c r="DTT1113" s="15"/>
      <c r="DTW1113" s="15"/>
      <c r="DTX1113" s="15"/>
      <c r="DUA1113" s="15"/>
      <c r="DUB1113" s="15"/>
      <c r="DUE1113" s="15"/>
      <c r="DUF1113" s="15"/>
      <c r="DUI1113" s="15"/>
      <c r="DUJ1113" s="15"/>
      <c r="DUM1113" s="15"/>
      <c r="DUN1113" s="15"/>
      <c r="DUQ1113" s="15"/>
      <c r="DUR1113" s="15"/>
      <c r="DUU1113" s="15"/>
      <c r="DUV1113" s="15"/>
      <c r="DUY1113" s="15"/>
      <c r="DUZ1113" s="15"/>
      <c r="DVC1113" s="15"/>
      <c r="DVD1113" s="15"/>
      <c r="DVG1113" s="15"/>
      <c r="DVH1113" s="15"/>
      <c r="DVK1113" s="15"/>
      <c r="DVL1113" s="15"/>
      <c r="DVO1113" s="15"/>
      <c r="DVP1113" s="15"/>
      <c r="DVS1113" s="15"/>
      <c r="DVT1113" s="15"/>
      <c r="DVW1113" s="15"/>
      <c r="DVX1113" s="15"/>
      <c r="DWA1113" s="15"/>
      <c r="DWB1113" s="15"/>
      <c r="DWE1113" s="15"/>
      <c r="DWF1113" s="15"/>
      <c r="DWI1113" s="15"/>
      <c r="DWJ1113" s="15"/>
      <c r="DWM1113" s="15"/>
      <c r="DWN1113" s="15"/>
      <c r="DWQ1113" s="15"/>
      <c r="DWR1113" s="15"/>
      <c r="DWU1113" s="15"/>
      <c r="DWV1113" s="15"/>
      <c r="DWY1113" s="15"/>
      <c r="DWZ1113" s="15"/>
      <c r="DXC1113" s="15"/>
      <c r="DXD1113" s="15"/>
      <c r="DXG1113" s="15"/>
      <c r="DXH1113" s="15"/>
      <c r="DXK1113" s="15"/>
      <c r="DXL1113" s="15"/>
      <c r="DXO1113" s="15"/>
      <c r="DXP1113" s="15"/>
      <c r="DXS1113" s="15"/>
      <c r="DXT1113" s="15"/>
      <c r="DXW1113" s="15"/>
      <c r="DXX1113" s="15"/>
      <c r="DYA1113" s="15"/>
      <c r="DYB1113" s="15"/>
      <c r="DYE1113" s="15"/>
      <c r="DYF1113" s="15"/>
      <c r="DYI1113" s="15"/>
      <c r="DYJ1113" s="15"/>
      <c r="DYM1113" s="15"/>
      <c r="DYN1113" s="15"/>
      <c r="DYQ1113" s="15"/>
      <c r="DYR1113" s="15"/>
      <c r="DYU1113" s="15"/>
      <c r="DYV1113" s="15"/>
      <c r="DYY1113" s="15"/>
      <c r="DYZ1113" s="15"/>
      <c r="DZC1113" s="15"/>
      <c r="DZD1113" s="15"/>
      <c r="DZG1113" s="15"/>
      <c r="DZH1113" s="15"/>
      <c r="DZK1113" s="15"/>
      <c r="DZL1113" s="15"/>
      <c r="DZO1113" s="15"/>
      <c r="DZP1113" s="15"/>
      <c r="DZS1113" s="15"/>
      <c r="DZT1113" s="15"/>
      <c r="DZW1113" s="15"/>
      <c r="DZX1113" s="15"/>
      <c r="EAA1113" s="15"/>
      <c r="EAB1113" s="15"/>
      <c r="EAE1113" s="15"/>
      <c r="EAF1113" s="15"/>
      <c r="EAI1113" s="15"/>
      <c r="EAJ1113" s="15"/>
      <c r="EAM1113" s="15"/>
      <c r="EAN1113" s="15"/>
      <c r="EAQ1113" s="15"/>
      <c r="EAR1113" s="15"/>
      <c r="EAU1113" s="15"/>
      <c r="EAV1113" s="15"/>
      <c r="EAY1113" s="15"/>
      <c r="EAZ1113" s="15"/>
      <c r="EBC1113" s="15"/>
      <c r="EBD1113" s="15"/>
      <c r="EBG1113" s="15"/>
      <c r="EBH1113" s="15"/>
      <c r="EBK1113" s="15"/>
      <c r="EBL1113" s="15"/>
      <c r="EBO1113" s="15"/>
      <c r="EBP1113" s="15"/>
      <c r="EBS1113" s="15"/>
      <c r="EBT1113" s="15"/>
      <c r="EBW1113" s="15"/>
      <c r="EBX1113" s="15"/>
      <c r="ECA1113" s="15"/>
      <c r="ECB1113" s="15"/>
      <c r="ECE1113" s="15"/>
      <c r="ECF1113" s="15"/>
      <c r="ECI1113" s="15"/>
      <c r="ECJ1113" s="15"/>
      <c r="ECM1113" s="15"/>
      <c r="ECN1113" s="15"/>
      <c r="ECQ1113" s="15"/>
      <c r="ECR1113" s="15"/>
      <c r="ECU1113" s="15"/>
      <c r="ECV1113" s="15"/>
      <c r="ECY1113" s="15"/>
      <c r="ECZ1113" s="15"/>
      <c r="EDC1113" s="15"/>
      <c r="EDD1113" s="15"/>
      <c r="EDG1113" s="15"/>
      <c r="EDH1113" s="15"/>
      <c r="EDK1113" s="15"/>
      <c r="EDL1113" s="15"/>
      <c r="EDO1113" s="15"/>
      <c r="EDP1113" s="15"/>
      <c r="EDS1113" s="15"/>
      <c r="EDT1113" s="15"/>
      <c r="EDW1113" s="15"/>
      <c r="EDX1113" s="15"/>
      <c r="EEA1113" s="15"/>
      <c r="EEB1113" s="15"/>
      <c r="EEE1113" s="15"/>
      <c r="EEF1113" s="15"/>
      <c r="EEI1113" s="15"/>
      <c r="EEJ1113" s="15"/>
      <c r="EEM1113" s="15"/>
      <c r="EEN1113" s="15"/>
      <c r="EEQ1113" s="15"/>
      <c r="EER1113" s="15"/>
      <c r="EEU1113" s="15"/>
      <c r="EEV1113" s="15"/>
      <c r="EEY1113" s="15"/>
      <c r="EEZ1113" s="15"/>
      <c r="EFC1113" s="15"/>
      <c r="EFD1113" s="15"/>
      <c r="EFG1113" s="15"/>
      <c r="EFH1113" s="15"/>
      <c r="EFK1113" s="15"/>
      <c r="EFL1113" s="15"/>
      <c r="EFO1113" s="15"/>
      <c r="EFP1113" s="15"/>
      <c r="EFS1113" s="15"/>
      <c r="EFT1113" s="15"/>
      <c r="EFW1113" s="15"/>
      <c r="EFX1113" s="15"/>
      <c r="EGA1113" s="15"/>
      <c r="EGB1113" s="15"/>
      <c r="EGE1113" s="15"/>
      <c r="EGF1113" s="15"/>
      <c r="EGI1113" s="15"/>
      <c r="EGJ1113" s="15"/>
      <c r="EGM1113" s="15"/>
      <c r="EGN1113" s="15"/>
      <c r="EGQ1113" s="15"/>
      <c r="EGR1113" s="15"/>
      <c r="EGU1113" s="15"/>
      <c r="EGV1113" s="15"/>
      <c r="EGY1113" s="15"/>
      <c r="EGZ1113" s="15"/>
      <c r="EHC1113" s="15"/>
      <c r="EHD1113" s="15"/>
      <c r="EHG1113" s="15"/>
      <c r="EHH1113" s="15"/>
      <c r="EHK1113" s="15"/>
      <c r="EHL1113" s="15"/>
      <c r="EHO1113" s="15"/>
      <c r="EHP1113" s="15"/>
      <c r="EHS1113" s="15"/>
      <c r="EHT1113" s="15"/>
      <c r="EHW1113" s="15"/>
      <c r="EHX1113" s="15"/>
      <c r="EIA1113" s="15"/>
      <c r="EIB1113" s="15"/>
      <c r="EIE1113" s="15"/>
      <c r="EIF1113" s="15"/>
      <c r="EII1113" s="15"/>
      <c r="EIJ1113" s="15"/>
      <c r="EIM1113" s="15"/>
      <c r="EIN1113" s="15"/>
      <c r="EIQ1113" s="15"/>
      <c r="EIR1113" s="15"/>
      <c r="EIU1113" s="15"/>
      <c r="EIV1113" s="15"/>
      <c r="EIY1113" s="15"/>
      <c r="EIZ1113" s="15"/>
      <c r="EJC1113" s="15"/>
      <c r="EJD1113" s="15"/>
      <c r="EJG1113" s="15"/>
      <c r="EJH1113" s="15"/>
      <c r="EJK1113" s="15"/>
      <c r="EJL1113" s="15"/>
      <c r="EJO1113" s="15"/>
      <c r="EJP1113" s="15"/>
      <c r="EJS1113" s="15"/>
      <c r="EJT1113" s="15"/>
      <c r="EJW1113" s="15"/>
      <c r="EJX1113" s="15"/>
      <c r="EKA1113" s="15"/>
      <c r="EKB1113" s="15"/>
      <c r="EKE1113" s="15"/>
      <c r="EKF1113" s="15"/>
      <c r="EKI1113" s="15"/>
      <c r="EKJ1113" s="15"/>
      <c r="EKM1113" s="15"/>
      <c r="EKN1113" s="15"/>
      <c r="EKQ1113" s="15"/>
      <c r="EKR1113" s="15"/>
      <c r="EKU1113" s="15"/>
      <c r="EKV1113" s="15"/>
      <c r="EKY1113" s="15"/>
      <c r="EKZ1113" s="15"/>
      <c r="ELC1113" s="15"/>
      <c r="ELD1113" s="15"/>
      <c r="ELG1113" s="15"/>
      <c r="ELH1113" s="15"/>
      <c r="ELK1113" s="15"/>
      <c r="ELL1113" s="15"/>
      <c r="ELO1113" s="15"/>
      <c r="ELP1113" s="15"/>
      <c r="ELS1113" s="15"/>
      <c r="ELT1113" s="15"/>
      <c r="ELW1113" s="15"/>
      <c r="ELX1113" s="15"/>
      <c r="EMA1113" s="15"/>
      <c r="EMB1113" s="15"/>
      <c r="EME1113" s="15"/>
      <c r="EMF1113" s="15"/>
      <c r="EMI1113" s="15"/>
      <c r="EMJ1113" s="15"/>
      <c r="EMM1113" s="15"/>
      <c r="EMN1113" s="15"/>
      <c r="EMQ1113" s="15"/>
      <c r="EMR1113" s="15"/>
      <c r="EMU1113" s="15"/>
      <c r="EMV1113" s="15"/>
      <c r="EMY1113" s="15"/>
      <c r="EMZ1113" s="15"/>
      <c r="ENC1113" s="15"/>
      <c r="END1113" s="15"/>
      <c r="ENG1113" s="15"/>
      <c r="ENH1113" s="15"/>
      <c r="ENK1113" s="15"/>
      <c r="ENL1113" s="15"/>
      <c r="ENO1113" s="15"/>
      <c r="ENP1113" s="15"/>
      <c r="ENS1113" s="15"/>
      <c r="ENT1113" s="15"/>
      <c r="ENW1113" s="15"/>
      <c r="ENX1113" s="15"/>
      <c r="EOA1113" s="15"/>
      <c r="EOB1113" s="15"/>
      <c r="EOE1113" s="15"/>
      <c r="EOF1113" s="15"/>
      <c r="EOI1113" s="15"/>
      <c r="EOJ1113" s="15"/>
      <c r="EOM1113" s="15"/>
      <c r="EON1113" s="15"/>
      <c r="EOQ1113" s="15"/>
      <c r="EOR1113" s="15"/>
      <c r="EOU1113" s="15"/>
      <c r="EOV1113" s="15"/>
      <c r="EOY1113" s="15"/>
      <c r="EOZ1113" s="15"/>
      <c r="EPC1113" s="15"/>
      <c r="EPD1113" s="15"/>
      <c r="EPG1113" s="15"/>
      <c r="EPH1113" s="15"/>
      <c r="EPK1113" s="15"/>
      <c r="EPL1113" s="15"/>
      <c r="EPO1113" s="15"/>
      <c r="EPP1113" s="15"/>
      <c r="EPS1113" s="15"/>
      <c r="EPT1113" s="15"/>
      <c r="EPW1113" s="15"/>
      <c r="EPX1113" s="15"/>
      <c r="EQA1113" s="15"/>
      <c r="EQB1113" s="15"/>
      <c r="EQE1113" s="15"/>
      <c r="EQF1113" s="15"/>
      <c r="EQI1113" s="15"/>
      <c r="EQJ1113" s="15"/>
      <c r="EQM1113" s="15"/>
      <c r="EQN1113" s="15"/>
      <c r="EQQ1113" s="15"/>
      <c r="EQR1113" s="15"/>
      <c r="EQU1113" s="15"/>
      <c r="EQV1113" s="15"/>
      <c r="EQY1113" s="15"/>
      <c r="EQZ1113" s="15"/>
      <c r="ERC1113" s="15"/>
      <c r="ERD1113" s="15"/>
      <c r="ERG1113" s="15"/>
      <c r="ERH1113" s="15"/>
      <c r="ERK1113" s="15"/>
      <c r="ERL1113" s="15"/>
      <c r="ERO1113" s="15"/>
      <c r="ERP1113" s="15"/>
      <c r="ERS1113" s="15"/>
      <c r="ERT1113" s="15"/>
      <c r="ERW1113" s="15"/>
      <c r="ERX1113" s="15"/>
      <c r="ESA1113" s="15"/>
      <c r="ESB1113" s="15"/>
      <c r="ESE1113" s="15"/>
      <c r="ESF1113" s="15"/>
      <c r="ESI1113" s="15"/>
      <c r="ESJ1113" s="15"/>
      <c r="ESM1113" s="15"/>
      <c r="ESN1113" s="15"/>
      <c r="ESQ1113" s="15"/>
      <c r="ESR1113" s="15"/>
      <c r="ESU1113" s="15"/>
      <c r="ESV1113" s="15"/>
      <c r="ESY1113" s="15"/>
      <c r="ESZ1113" s="15"/>
      <c r="ETC1113" s="15"/>
      <c r="ETD1113" s="15"/>
      <c r="ETG1113" s="15"/>
      <c r="ETH1113" s="15"/>
      <c r="ETK1113" s="15"/>
      <c r="ETL1113" s="15"/>
      <c r="ETO1113" s="15"/>
      <c r="ETP1113" s="15"/>
      <c r="ETS1113" s="15"/>
      <c r="ETT1113" s="15"/>
      <c r="ETW1113" s="15"/>
      <c r="ETX1113" s="15"/>
      <c r="EUA1113" s="15"/>
      <c r="EUB1113" s="15"/>
      <c r="EUE1113" s="15"/>
      <c r="EUF1113" s="15"/>
      <c r="EUI1113" s="15"/>
      <c r="EUJ1113" s="15"/>
      <c r="EUM1113" s="15"/>
      <c r="EUN1113" s="15"/>
      <c r="EUQ1113" s="15"/>
      <c r="EUR1113" s="15"/>
      <c r="EUU1113" s="15"/>
      <c r="EUV1113" s="15"/>
      <c r="EUY1113" s="15"/>
      <c r="EUZ1113" s="15"/>
      <c r="EVC1113" s="15"/>
      <c r="EVD1113" s="15"/>
      <c r="EVG1113" s="15"/>
      <c r="EVH1113" s="15"/>
      <c r="EVK1113" s="15"/>
      <c r="EVL1113" s="15"/>
      <c r="EVO1113" s="15"/>
      <c r="EVP1113" s="15"/>
      <c r="EVS1113" s="15"/>
      <c r="EVT1113" s="15"/>
      <c r="EVW1113" s="15"/>
      <c r="EVX1113" s="15"/>
      <c r="EWA1113" s="15"/>
      <c r="EWB1113" s="15"/>
      <c r="EWE1113" s="15"/>
      <c r="EWF1113" s="15"/>
      <c r="EWI1113" s="15"/>
      <c r="EWJ1113" s="15"/>
      <c r="EWM1113" s="15"/>
      <c r="EWN1113" s="15"/>
      <c r="EWQ1113" s="15"/>
      <c r="EWR1113" s="15"/>
      <c r="EWU1113" s="15"/>
      <c r="EWV1113" s="15"/>
      <c r="EWY1113" s="15"/>
      <c r="EWZ1113" s="15"/>
      <c r="EXC1113" s="15"/>
      <c r="EXD1113" s="15"/>
      <c r="EXG1113" s="15"/>
      <c r="EXH1113" s="15"/>
      <c r="EXK1113" s="15"/>
      <c r="EXL1113" s="15"/>
      <c r="EXO1113" s="15"/>
      <c r="EXP1113" s="15"/>
      <c r="EXS1113" s="15"/>
      <c r="EXT1113" s="15"/>
      <c r="EXW1113" s="15"/>
      <c r="EXX1113" s="15"/>
      <c r="EYA1113" s="15"/>
      <c r="EYB1113" s="15"/>
      <c r="EYE1113" s="15"/>
      <c r="EYF1113" s="15"/>
      <c r="EYI1113" s="15"/>
      <c r="EYJ1113" s="15"/>
      <c r="EYM1113" s="15"/>
      <c r="EYN1113" s="15"/>
      <c r="EYQ1113" s="15"/>
      <c r="EYR1113" s="15"/>
      <c r="EYU1113" s="15"/>
      <c r="EYV1113" s="15"/>
      <c r="EYY1113" s="15"/>
      <c r="EYZ1113" s="15"/>
      <c r="EZC1113" s="15"/>
      <c r="EZD1113" s="15"/>
      <c r="EZG1113" s="15"/>
      <c r="EZH1113" s="15"/>
      <c r="EZK1113" s="15"/>
      <c r="EZL1113" s="15"/>
      <c r="EZO1113" s="15"/>
      <c r="EZP1113" s="15"/>
      <c r="EZS1113" s="15"/>
      <c r="EZT1113" s="15"/>
      <c r="EZW1113" s="15"/>
      <c r="EZX1113" s="15"/>
      <c r="FAA1113" s="15"/>
      <c r="FAB1113" s="15"/>
      <c r="FAE1113" s="15"/>
      <c r="FAF1113" s="15"/>
      <c r="FAI1113" s="15"/>
      <c r="FAJ1113" s="15"/>
      <c r="FAM1113" s="15"/>
      <c r="FAN1113" s="15"/>
      <c r="FAQ1113" s="15"/>
      <c r="FAR1113" s="15"/>
      <c r="FAU1113" s="15"/>
      <c r="FAV1113" s="15"/>
      <c r="FAY1113" s="15"/>
      <c r="FAZ1113" s="15"/>
      <c r="FBC1113" s="15"/>
      <c r="FBD1113" s="15"/>
      <c r="FBG1113" s="15"/>
      <c r="FBH1113" s="15"/>
      <c r="FBK1113" s="15"/>
      <c r="FBL1113" s="15"/>
      <c r="FBO1113" s="15"/>
      <c r="FBP1113" s="15"/>
      <c r="FBS1113" s="15"/>
      <c r="FBT1113" s="15"/>
      <c r="FBW1113" s="15"/>
      <c r="FBX1113" s="15"/>
      <c r="FCA1113" s="15"/>
      <c r="FCB1113" s="15"/>
      <c r="FCE1113" s="15"/>
      <c r="FCF1113" s="15"/>
      <c r="FCI1113" s="15"/>
      <c r="FCJ1113" s="15"/>
      <c r="FCM1113" s="15"/>
      <c r="FCN1113" s="15"/>
      <c r="FCQ1113" s="15"/>
      <c r="FCR1113" s="15"/>
      <c r="FCU1113" s="15"/>
      <c r="FCV1113" s="15"/>
      <c r="FCY1113" s="15"/>
      <c r="FCZ1113" s="15"/>
      <c r="FDC1113" s="15"/>
      <c r="FDD1113" s="15"/>
      <c r="FDG1113" s="15"/>
      <c r="FDH1113" s="15"/>
      <c r="FDK1113" s="15"/>
      <c r="FDL1113" s="15"/>
      <c r="FDO1113" s="15"/>
      <c r="FDP1113" s="15"/>
      <c r="FDS1113" s="15"/>
      <c r="FDT1113" s="15"/>
      <c r="FDW1113" s="15"/>
      <c r="FDX1113" s="15"/>
      <c r="FEA1113" s="15"/>
      <c r="FEB1113" s="15"/>
      <c r="FEE1113" s="15"/>
      <c r="FEF1113" s="15"/>
      <c r="FEI1113" s="15"/>
      <c r="FEJ1113" s="15"/>
      <c r="FEM1113" s="15"/>
      <c r="FEN1113" s="15"/>
      <c r="FEQ1113" s="15"/>
      <c r="FER1113" s="15"/>
      <c r="FEU1113" s="15"/>
      <c r="FEV1113" s="15"/>
      <c r="FEY1113" s="15"/>
      <c r="FEZ1113" s="15"/>
      <c r="FFC1113" s="15"/>
      <c r="FFD1113" s="15"/>
      <c r="FFG1113" s="15"/>
      <c r="FFH1113" s="15"/>
      <c r="FFK1113" s="15"/>
      <c r="FFL1113" s="15"/>
      <c r="FFO1113" s="15"/>
      <c r="FFP1113" s="15"/>
      <c r="FFS1113" s="15"/>
      <c r="FFT1113" s="15"/>
      <c r="FFW1113" s="15"/>
      <c r="FFX1113" s="15"/>
      <c r="FGA1113" s="15"/>
      <c r="FGB1113" s="15"/>
      <c r="FGE1113" s="15"/>
      <c r="FGF1113" s="15"/>
      <c r="FGI1113" s="15"/>
      <c r="FGJ1113" s="15"/>
      <c r="FGM1113" s="15"/>
      <c r="FGN1113" s="15"/>
      <c r="FGQ1113" s="15"/>
      <c r="FGR1113" s="15"/>
      <c r="FGU1113" s="15"/>
      <c r="FGV1113" s="15"/>
      <c r="FGY1113" s="15"/>
      <c r="FGZ1113" s="15"/>
      <c r="FHC1113" s="15"/>
      <c r="FHD1113" s="15"/>
      <c r="FHG1113" s="15"/>
      <c r="FHH1113" s="15"/>
      <c r="FHK1113" s="15"/>
      <c r="FHL1113" s="15"/>
      <c r="FHO1113" s="15"/>
      <c r="FHP1113" s="15"/>
      <c r="FHS1113" s="15"/>
      <c r="FHT1113" s="15"/>
      <c r="FHW1113" s="15"/>
      <c r="FHX1113" s="15"/>
      <c r="FIA1113" s="15"/>
      <c r="FIB1113" s="15"/>
      <c r="FIE1113" s="15"/>
      <c r="FIF1113" s="15"/>
      <c r="FII1113" s="15"/>
      <c r="FIJ1113" s="15"/>
      <c r="FIM1113" s="15"/>
      <c r="FIN1113" s="15"/>
      <c r="FIQ1113" s="15"/>
      <c r="FIR1113" s="15"/>
      <c r="FIU1113" s="15"/>
      <c r="FIV1113" s="15"/>
      <c r="FIY1113" s="15"/>
      <c r="FIZ1113" s="15"/>
      <c r="FJC1113" s="15"/>
      <c r="FJD1113" s="15"/>
      <c r="FJG1113" s="15"/>
      <c r="FJH1113" s="15"/>
      <c r="FJK1113" s="15"/>
      <c r="FJL1113" s="15"/>
      <c r="FJO1113" s="15"/>
      <c r="FJP1113" s="15"/>
      <c r="FJS1113" s="15"/>
      <c r="FJT1113" s="15"/>
      <c r="FJW1113" s="15"/>
      <c r="FJX1113" s="15"/>
      <c r="FKA1113" s="15"/>
      <c r="FKB1113" s="15"/>
      <c r="FKE1113" s="15"/>
      <c r="FKF1113" s="15"/>
      <c r="FKI1113" s="15"/>
      <c r="FKJ1113" s="15"/>
      <c r="FKM1113" s="15"/>
      <c r="FKN1113" s="15"/>
      <c r="FKQ1113" s="15"/>
      <c r="FKR1113" s="15"/>
      <c r="FKU1113" s="15"/>
      <c r="FKV1113" s="15"/>
      <c r="FKY1113" s="15"/>
      <c r="FKZ1113" s="15"/>
      <c r="FLC1113" s="15"/>
      <c r="FLD1113" s="15"/>
      <c r="FLG1113" s="15"/>
      <c r="FLH1113" s="15"/>
      <c r="FLK1113" s="15"/>
      <c r="FLL1113" s="15"/>
      <c r="FLO1113" s="15"/>
      <c r="FLP1113" s="15"/>
      <c r="FLS1113" s="15"/>
      <c r="FLT1113" s="15"/>
      <c r="FLW1113" s="15"/>
      <c r="FLX1113" s="15"/>
      <c r="FMA1113" s="15"/>
      <c r="FMB1113" s="15"/>
      <c r="FME1113" s="15"/>
      <c r="FMF1113" s="15"/>
      <c r="FMI1113" s="15"/>
      <c r="FMJ1113" s="15"/>
      <c r="FMM1113" s="15"/>
      <c r="FMN1113" s="15"/>
      <c r="FMQ1113" s="15"/>
      <c r="FMR1113" s="15"/>
      <c r="FMU1113" s="15"/>
      <c r="FMV1113" s="15"/>
      <c r="FMY1113" s="15"/>
      <c r="FMZ1113" s="15"/>
      <c r="FNC1113" s="15"/>
      <c r="FND1113" s="15"/>
      <c r="FNG1113" s="15"/>
      <c r="FNH1113" s="15"/>
      <c r="FNK1113" s="15"/>
      <c r="FNL1113" s="15"/>
      <c r="FNO1113" s="15"/>
      <c r="FNP1113" s="15"/>
      <c r="FNS1113" s="15"/>
      <c r="FNT1113" s="15"/>
      <c r="FNW1113" s="15"/>
      <c r="FNX1113" s="15"/>
      <c r="FOA1113" s="15"/>
      <c r="FOB1113" s="15"/>
      <c r="FOE1113" s="15"/>
      <c r="FOF1113" s="15"/>
      <c r="FOI1113" s="15"/>
      <c r="FOJ1113" s="15"/>
      <c r="FOM1113" s="15"/>
      <c r="FON1113" s="15"/>
      <c r="FOQ1113" s="15"/>
      <c r="FOR1113" s="15"/>
      <c r="FOU1113" s="15"/>
      <c r="FOV1113" s="15"/>
      <c r="FOY1113" s="15"/>
      <c r="FOZ1113" s="15"/>
      <c r="FPC1113" s="15"/>
      <c r="FPD1113" s="15"/>
      <c r="FPG1113" s="15"/>
      <c r="FPH1113" s="15"/>
      <c r="FPK1113" s="15"/>
      <c r="FPL1113" s="15"/>
      <c r="FPO1113" s="15"/>
      <c r="FPP1113" s="15"/>
      <c r="FPS1113" s="15"/>
      <c r="FPT1113" s="15"/>
      <c r="FPW1113" s="15"/>
      <c r="FPX1113" s="15"/>
      <c r="FQA1113" s="15"/>
      <c r="FQB1113" s="15"/>
      <c r="FQE1113" s="15"/>
      <c r="FQF1113" s="15"/>
      <c r="FQI1113" s="15"/>
      <c r="FQJ1113" s="15"/>
      <c r="FQM1113" s="15"/>
      <c r="FQN1113" s="15"/>
      <c r="FQQ1113" s="15"/>
      <c r="FQR1113" s="15"/>
      <c r="FQU1113" s="15"/>
      <c r="FQV1113" s="15"/>
      <c r="FQY1113" s="15"/>
      <c r="FQZ1113" s="15"/>
      <c r="FRC1113" s="15"/>
      <c r="FRD1113" s="15"/>
      <c r="FRG1113" s="15"/>
      <c r="FRH1113" s="15"/>
      <c r="FRK1113" s="15"/>
      <c r="FRL1113" s="15"/>
      <c r="FRO1113" s="15"/>
      <c r="FRP1113" s="15"/>
      <c r="FRS1113" s="15"/>
      <c r="FRT1113" s="15"/>
      <c r="FRW1113" s="15"/>
      <c r="FRX1113" s="15"/>
      <c r="FSA1113" s="15"/>
      <c r="FSB1113" s="15"/>
      <c r="FSE1113" s="15"/>
      <c r="FSF1113" s="15"/>
      <c r="FSI1113" s="15"/>
      <c r="FSJ1113" s="15"/>
      <c r="FSM1113" s="15"/>
      <c r="FSN1113" s="15"/>
      <c r="FSQ1113" s="15"/>
      <c r="FSR1113" s="15"/>
      <c r="FSU1113" s="15"/>
      <c r="FSV1113" s="15"/>
      <c r="FSY1113" s="15"/>
      <c r="FSZ1113" s="15"/>
      <c r="FTC1113" s="15"/>
      <c r="FTD1113" s="15"/>
      <c r="FTG1113" s="15"/>
      <c r="FTH1113" s="15"/>
      <c r="FTK1113" s="15"/>
      <c r="FTL1113" s="15"/>
      <c r="FTO1113" s="15"/>
      <c r="FTP1113" s="15"/>
      <c r="FTS1113" s="15"/>
      <c r="FTT1113" s="15"/>
      <c r="FTW1113" s="15"/>
      <c r="FTX1113" s="15"/>
      <c r="FUA1113" s="15"/>
      <c r="FUB1113" s="15"/>
      <c r="FUE1113" s="15"/>
      <c r="FUF1113" s="15"/>
      <c r="FUI1113" s="15"/>
      <c r="FUJ1113" s="15"/>
      <c r="FUM1113" s="15"/>
      <c r="FUN1113" s="15"/>
      <c r="FUQ1113" s="15"/>
      <c r="FUR1113" s="15"/>
      <c r="FUU1113" s="15"/>
      <c r="FUV1113" s="15"/>
      <c r="FUY1113" s="15"/>
      <c r="FUZ1113" s="15"/>
      <c r="FVC1113" s="15"/>
      <c r="FVD1113" s="15"/>
      <c r="FVG1113" s="15"/>
      <c r="FVH1113" s="15"/>
      <c r="FVK1113" s="15"/>
      <c r="FVL1113" s="15"/>
      <c r="FVO1113" s="15"/>
      <c r="FVP1113" s="15"/>
      <c r="FVS1113" s="15"/>
      <c r="FVT1113" s="15"/>
      <c r="FVW1113" s="15"/>
      <c r="FVX1113" s="15"/>
      <c r="FWA1113" s="15"/>
      <c r="FWB1113" s="15"/>
      <c r="FWE1113" s="15"/>
      <c r="FWF1113" s="15"/>
      <c r="FWI1113" s="15"/>
      <c r="FWJ1113" s="15"/>
      <c r="FWM1113" s="15"/>
      <c r="FWN1113" s="15"/>
      <c r="FWQ1113" s="15"/>
      <c r="FWR1113" s="15"/>
      <c r="FWU1113" s="15"/>
      <c r="FWV1113" s="15"/>
      <c r="FWY1113" s="15"/>
      <c r="FWZ1113" s="15"/>
      <c r="FXC1113" s="15"/>
      <c r="FXD1113" s="15"/>
      <c r="FXG1113" s="15"/>
      <c r="FXH1113" s="15"/>
      <c r="FXK1113" s="15"/>
      <c r="FXL1113" s="15"/>
      <c r="FXO1113" s="15"/>
      <c r="FXP1113" s="15"/>
      <c r="FXS1113" s="15"/>
      <c r="FXT1113" s="15"/>
      <c r="FXW1113" s="15"/>
      <c r="FXX1113" s="15"/>
      <c r="FYA1113" s="15"/>
      <c r="FYB1113" s="15"/>
      <c r="FYE1113" s="15"/>
      <c r="FYF1113" s="15"/>
      <c r="FYI1113" s="15"/>
      <c r="FYJ1113" s="15"/>
      <c r="FYM1113" s="15"/>
      <c r="FYN1113" s="15"/>
      <c r="FYQ1113" s="15"/>
      <c r="FYR1113" s="15"/>
      <c r="FYU1113" s="15"/>
      <c r="FYV1113" s="15"/>
      <c r="FYY1113" s="15"/>
      <c r="FYZ1113" s="15"/>
      <c r="FZC1113" s="15"/>
      <c r="FZD1113" s="15"/>
      <c r="FZG1113" s="15"/>
      <c r="FZH1113" s="15"/>
      <c r="FZK1113" s="15"/>
      <c r="FZL1113" s="15"/>
      <c r="FZO1113" s="15"/>
      <c r="FZP1113" s="15"/>
      <c r="FZS1113" s="15"/>
      <c r="FZT1113" s="15"/>
      <c r="FZW1113" s="15"/>
      <c r="FZX1113" s="15"/>
      <c r="GAA1113" s="15"/>
      <c r="GAB1113" s="15"/>
      <c r="GAE1113" s="15"/>
      <c r="GAF1113" s="15"/>
      <c r="GAI1113" s="15"/>
      <c r="GAJ1113" s="15"/>
      <c r="GAM1113" s="15"/>
      <c r="GAN1113" s="15"/>
      <c r="GAQ1113" s="15"/>
      <c r="GAR1113" s="15"/>
      <c r="GAU1113" s="15"/>
      <c r="GAV1113" s="15"/>
      <c r="GAY1113" s="15"/>
      <c r="GAZ1113" s="15"/>
      <c r="GBC1113" s="15"/>
      <c r="GBD1113" s="15"/>
      <c r="GBG1113" s="15"/>
      <c r="GBH1113" s="15"/>
      <c r="GBK1113" s="15"/>
      <c r="GBL1113" s="15"/>
      <c r="GBO1113" s="15"/>
      <c r="GBP1113" s="15"/>
      <c r="GBS1113" s="15"/>
      <c r="GBT1113" s="15"/>
      <c r="GBW1113" s="15"/>
      <c r="GBX1113" s="15"/>
      <c r="GCA1113" s="15"/>
      <c r="GCB1113" s="15"/>
      <c r="GCE1113" s="15"/>
      <c r="GCF1113" s="15"/>
      <c r="GCI1113" s="15"/>
      <c r="GCJ1113" s="15"/>
      <c r="GCM1113" s="15"/>
      <c r="GCN1113" s="15"/>
      <c r="GCQ1113" s="15"/>
      <c r="GCR1113" s="15"/>
      <c r="GCU1113" s="15"/>
      <c r="GCV1113" s="15"/>
      <c r="GCY1113" s="15"/>
      <c r="GCZ1113" s="15"/>
      <c r="GDC1113" s="15"/>
      <c r="GDD1113" s="15"/>
      <c r="GDG1113" s="15"/>
      <c r="GDH1113" s="15"/>
      <c r="GDK1113" s="15"/>
      <c r="GDL1113" s="15"/>
      <c r="GDO1113" s="15"/>
      <c r="GDP1113" s="15"/>
      <c r="GDS1113" s="15"/>
      <c r="GDT1113" s="15"/>
      <c r="GDW1113" s="15"/>
      <c r="GDX1113" s="15"/>
      <c r="GEA1113" s="15"/>
      <c r="GEB1113" s="15"/>
      <c r="GEE1113" s="15"/>
      <c r="GEF1113" s="15"/>
      <c r="GEI1113" s="15"/>
      <c r="GEJ1113" s="15"/>
      <c r="GEM1113" s="15"/>
      <c r="GEN1113" s="15"/>
      <c r="GEQ1113" s="15"/>
      <c r="GER1113" s="15"/>
      <c r="GEU1113" s="15"/>
      <c r="GEV1113" s="15"/>
      <c r="GEY1113" s="15"/>
      <c r="GEZ1113" s="15"/>
      <c r="GFC1113" s="15"/>
      <c r="GFD1113" s="15"/>
      <c r="GFG1113" s="15"/>
      <c r="GFH1113" s="15"/>
      <c r="GFK1113" s="15"/>
      <c r="GFL1113" s="15"/>
      <c r="GFO1113" s="15"/>
      <c r="GFP1113" s="15"/>
      <c r="GFS1113" s="15"/>
      <c r="GFT1113" s="15"/>
      <c r="GFW1113" s="15"/>
      <c r="GFX1113" s="15"/>
      <c r="GGA1113" s="15"/>
      <c r="GGB1113" s="15"/>
      <c r="GGE1113" s="15"/>
      <c r="GGF1113" s="15"/>
      <c r="GGI1113" s="15"/>
      <c r="GGJ1113" s="15"/>
      <c r="GGM1113" s="15"/>
      <c r="GGN1113" s="15"/>
      <c r="GGQ1113" s="15"/>
      <c r="GGR1113" s="15"/>
      <c r="GGU1113" s="15"/>
      <c r="GGV1113" s="15"/>
      <c r="GGY1113" s="15"/>
      <c r="GGZ1113" s="15"/>
      <c r="GHC1113" s="15"/>
      <c r="GHD1113" s="15"/>
      <c r="GHG1113" s="15"/>
      <c r="GHH1113" s="15"/>
      <c r="GHK1113" s="15"/>
      <c r="GHL1113" s="15"/>
      <c r="GHO1113" s="15"/>
      <c r="GHP1113" s="15"/>
      <c r="GHS1113" s="15"/>
      <c r="GHT1113" s="15"/>
      <c r="GHW1113" s="15"/>
      <c r="GHX1113" s="15"/>
      <c r="GIA1113" s="15"/>
      <c r="GIB1113" s="15"/>
      <c r="GIE1113" s="15"/>
      <c r="GIF1113" s="15"/>
      <c r="GII1113" s="15"/>
      <c r="GIJ1113" s="15"/>
      <c r="GIM1113" s="15"/>
      <c r="GIN1113" s="15"/>
      <c r="GIQ1113" s="15"/>
      <c r="GIR1113" s="15"/>
      <c r="GIU1113" s="15"/>
      <c r="GIV1113" s="15"/>
      <c r="GIY1113" s="15"/>
      <c r="GIZ1113" s="15"/>
      <c r="GJC1113" s="15"/>
      <c r="GJD1113" s="15"/>
      <c r="GJG1113" s="15"/>
      <c r="GJH1113" s="15"/>
      <c r="GJK1113" s="15"/>
      <c r="GJL1113" s="15"/>
      <c r="GJO1113" s="15"/>
      <c r="GJP1113" s="15"/>
      <c r="GJS1113" s="15"/>
      <c r="GJT1113" s="15"/>
      <c r="GJW1113" s="15"/>
      <c r="GJX1113" s="15"/>
      <c r="GKA1113" s="15"/>
      <c r="GKB1113" s="15"/>
      <c r="GKE1113" s="15"/>
      <c r="GKF1113" s="15"/>
      <c r="GKI1113" s="15"/>
      <c r="GKJ1113" s="15"/>
      <c r="GKM1113" s="15"/>
      <c r="GKN1113" s="15"/>
      <c r="GKQ1113" s="15"/>
      <c r="GKR1113" s="15"/>
      <c r="GKU1113" s="15"/>
      <c r="GKV1113" s="15"/>
      <c r="GKY1113" s="15"/>
      <c r="GKZ1113" s="15"/>
      <c r="GLC1113" s="15"/>
      <c r="GLD1113" s="15"/>
      <c r="GLG1113" s="15"/>
      <c r="GLH1113" s="15"/>
      <c r="GLK1113" s="15"/>
      <c r="GLL1113" s="15"/>
      <c r="GLO1113" s="15"/>
      <c r="GLP1113" s="15"/>
      <c r="GLS1113" s="15"/>
      <c r="GLT1113" s="15"/>
      <c r="GLW1113" s="15"/>
      <c r="GLX1113" s="15"/>
      <c r="GMA1113" s="15"/>
      <c r="GMB1113" s="15"/>
      <c r="GME1113" s="15"/>
      <c r="GMF1113" s="15"/>
      <c r="GMI1113" s="15"/>
      <c r="GMJ1113" s="15"/>
      <c r="GMM1113" s="15"/>
      <c r="GMN1113" s="15"/>
      <c r="GMQ1113" s="15"/>
      <c r="GMR1113" s="15"/>
      <c r="GMU1113" s="15"/>
      <c r="GMV1113" s="15"/>
      <c r="GMY1113" s="15"/>
      <c r="GMZ1113" s="15"/>
      <c r="GNC1113" s="15"/>
      <c r="GND1113" s="15"/>
      <c r="GNG1113" s="15"/>
      <c r="GNH1113" s="15"/>
      <c r="GNK1113" s="15"/>
      <c r="GNL1113" s="15"/>
      <c r="GNO1113" s="15"/>
      <c r="GNP1113" s="15"/>
      <c r="GNS1113" s="15"/>
      <c r="GNT1113" s="15"/>
      <c r="GNW1113" s="15"/>
      <c r="GNX1113" s="15"/>
      <c r="GOA1113" s="15"/>
      <c r="GOB1113" s="15"/>
      <c r="GOE1113" s="15"/>
      <c r="GOF1113" s="15"/>
      <c r="GOI1113" s="15"/>
      <c r="GOJ1113" s="15"/>
      <c r="GOM1113" s="15"/>
      <c r="GON1113" s="15"/>
      <c r="GOQ1113" s="15"/>
      <c r="GOR1113" s="15"/>
      <c r="GOU1113" s="15"/>
      <c r="GOV1113" s="15"/>
      <c r="GOY1113" s="15"/>
      <c r="GOZ1113" s="15"/>
      <c r="GPC1113" s="15"/>
      <c r="GPD1113" s="15"/>
      <c r="GPG1113" s="15"/>
      <c r="GPH1113" s="15"/>
      <c r="GPK1113" s="15"/>
      <c r="GPL1113" s="15"/>
      <c r="GPO1113" s="15"/>
      <c r="GPP1113" s="15"/>
      <c r="GPS1113" s="15"/>
      <c r="GPT1113" s="15"/>
      <c r="GPW1113" s="15"/>
      <c r="GPX1113" s="15"/>
      <c r="GQA1113" s="15"/>
      <c r="GQB1113" s="15"/>
      <c r="GQE1113" s="15"/>
      <c r="GQF1113" s="15"/>
      <c r="GQI1113" s="15"/>
      <c r="GQJ1113" s="15"/>
      <c r="GQM1113" s="15"/>
      <c r="GQN1113" s="15"/>
      <c r="GQQ1113" s="15"/>
      <c r="GQR1113" s="15"/>
      <c r="GQU1113" s="15"/>
      <c r="GQV1113" s="15"/>
      <c r="GQY1113" s="15"/>
      <c r="GQZ1113" s="15"/>
      <c r="GRC1113" s="15"/>
      <c r="GRD1113" s="15"/>
      <c r="GRG1113" s="15"/>
      <c r="GRH1113" s="15"/>
      <c r="GRK1113" s="15"/>
      <c r="GRL1113" s="15"/>
      <c r="GRO1113" s="15"/>
      <c r="GRP1113" s="15"/>
      <c r="GRS1113" s="15"/>
      <c r="GRT1113" s="15"/>
      <c r="GRW1113" s="15"/>
      <c r="GRX1113" s="15"/>
      <c r="GSA1113" s="15"/>
      <c r="GSB1113" s="15"/>
      <c r="GSE1113" s="15"/>
      <c r="GSF1113" s="15"/>
      <c r="GSI1113" s="15"/>
      <c r="GSJ1113" s="15"/>
      <c r="GSM1113" s="15"/>
      <c r="GSN1113" s="15"/>
      <c r="GSQ1113" s="15"/>
      <c r="GSR1113" s="15"/>
      <c r="GSU1113" s="15"/>
      <c r="GSV1113" s="15"/>
      <c r="GSY1113" s="15"/>
      <c r="GSZ1113" s="15"/>
      <c r="GTC1113" s="15"/>
      <c r="GTD1113" s="15"/>
      <c r="GTG1113" s="15"/>
      <c r="GTH1113" s="15"/>
      <c r="GTK1113" s="15"/>
      <c r="GTL1113" s="15"/>
      <c r="GTO1113" s="15"/>
      <c r="GTP1113" s="15"/>
      <c r="GTS1113" s="15"/>
      <c r="GTT1113" s="15"/>
      <c r="GTW1113" s="15"/>
      <c r="GTX1113" s="15"/>
      <c r="GUA1113" s="15"/>
      <c r="GUB1113" s="15"/>
      <c r="GUE1113" s="15"/>
      <c r="GUF1113" s="15"/>
      <c r="GUI1113" s="15"/>
      <c r="GUJ1113" s="15"/>
      <c r="GUM1113" s="15"/>
      <c r="GUN1113" s="15"/>
      <c r="GUQ1113" s="15"/>
      <c r="GUR1113" s="15"/>
      <c r="GUU1113" s="15"/>
      <c r="GUV1113" s="15"/>
      <c r="GUY1113" s="15"/>
      <c r="GUZ1113" s="15"/>
      <c r="GVC1113" s="15"/>
      <c r="GVD1113" s="15"/>
      <c r="GVG1113" s="15"/>
      <c r="GVH1113" s="15"/>
      <c r="GVK1113" s="15"/>
      <c r="GVL1113" s="15"/>
      <c r="GVO1113" s="15"/>
      <c r="GVP1113" s="15"/>
      <c r="GVS1113" s="15"/>
      <c r="GVT1113" s="15"/>
      <c r="GVW1113" s="15"/>
      <c r="GVX1113" s="15"/>
      <c r="GWA1113" s="15"/>
      <c r="GWB1113" s="15"/>
      <c r="GWE1113" s="15"/>
      <c r="GWF1113" s="15"/>
      <c r="GWI1113" s="15"/>
      <c r="GWJ1113" s="15"/>
      <c r="GWM1113" s="15"/>
      <c r="GWN1113" s="15"/>
      <c r="GWQ1113" s="15"/>
      <c r="GWR1113" s="15"/>
      <c r="GWU1113" s="15"/>
      <c r="GWV1113" s="15"/>
      <c r="GWY1113" s="15"/>
      <c r="GWZ1113" s="15"/>
      <c r="GXC1113" s="15"/>
      <c r="GXD1113" s="15"/>
      <c r="GXG1113" s="15"/>
      <c r="GXH1113" s="15"/>
      <c r="GXK1113" s="15"/>
      <c r="GXL1113" s="15"/>
      <c r="GXO1113" s="15"/>
      <c r="GXP1113" s="15"/>
      <c r="GXS1113" s="15"/>
      <c r="GXT1113" s="15"/>
      <c r="GXW1113" s="15"/>
      <c r="GXX1113" s="15"/>
      <c r="GYA1113" s="15"/>
      <c r="GYB1113" s="15"/>
      <c r="GYE1113" s="15"/>
      <c r="GYF1113" s="15"/>
      <c r="GYI1113" s="15"/>
      <c r="GYJ1113" s="15"/>
      <c r="GYM1113" s="15"/>
      <c r="GYN1113" s="15"/>
      <c r="GYQ1113" s="15"/>
      <c r="GYR1113" s="15"/>
      <c r="GYU1113" s="15"/>
      <c r="GYV1113" s="15"/>
      <c r="GYY1113" s="15"/>
      <c r="GYZ1113" s="15"/>
      <c r="GZC1113" s="15"/>
      <c r="GZD1113" s="15"/>
      <c r="GZG1113" s="15"/>
      <c r="GZH1113" s="15"/>
      <c r="GZK1113" s="15"/>
      <c r="GZL1113" s="15"/>
      <c r="GZO1113" s="15"/>
      <c r="GZP1113" s="15"/>
      <c r="GZS1113" s="15"/>
      <c r="GZT1113" s="15"/>
      <c r="GZW1113" s="15"/>
      <c r="GZX1113" s="15"/>
      <c r="HAA1113" s="15"/>
      <c r="HAB1113" s="15"/>
      <c r="HAE1113" s="15"/>
      <c r="HAF1113" s="15"/>
      <c r="HAI1113" s="15"/>
      <c r="HAJ1113" s="15"/>
      <c r="HAM1113" s="15"/>
      <c r="HAN1113" s="15"/>
      <c r="HAQ1113" s="15"/>
      <c r="HAR1113" s="15"/>
      <c r="HAU1113" s="15"/>
      <c r="HAV1113" s="15"/>
      <c r="HAY1113" s="15"/>
      <c r="HAZ1113" s="15"/>
      <c r="HBC1113" s="15"/>
      <c r="HBD1113" s="15"/>
      <c r="HBG1113" s="15"/>
      <c r="HBH1113" s="15"/>
      <c r="HBK1113" s="15"/>
      <c r="HBL1113" s="15"/>
      <c r="HBO1113" s="15"/>
      <c r="HBP1113" s="15"/>
      <c r="HBS1113" s="15"/>
      <c r="HBT1113" s="15"/>
      <c r="HBW1113" s="15"/>
      <c r="HBX1113" s="15"/>
      <c r="HCA1113" s="15"/>
      <c r="HCB1113" s="15"/>
      <c r="HCE1113" s="15"/>
      <c r="HCF1113" s="15"/>
      <c r="HCI1113" s="15"/>
      <c r="HCJ1113" s="15"/>
      <c r="HCM1113" s="15"/>
      <c r="HCN1113" s="15"/>
      <c r="HCQ1113" s="15"/>
      <c r="HCR1113" s="15"/>
      <c r="HCU1113" s="15"/>
      <c r="HCV1113" s="15"/>
      <c r="HCY1113" s="15"/>
      <c r="HCZ1113" s="15"/>
      <c r="HDC1113" s="15"/>
      <c r="HDD1113" s="15"/>
      <c r="HDG1113" s="15"/>
      <c r="HDH1113" s="15"/>
      <c r="HDK1113" s="15"/>
      <c r="HDL1113" s="15"/>
      <c r="HDO1113" s="15"/>
      <c r="HDP1113" s="15"/>
      <c r="HDS1113" s="15"/>
      <c r="HDT1113" s="15"/>
      <c r="HDW1113" s="15"/>
      <c r="HDX1113" s="15"/>
      <c r="HEA1113" s="15"/>
      <c r="HEB1113" s="15"/>
      <c r="HEE1113" s="15"/>
      <c r="HEF1113" s="15"/>
      <c r="HEI1113" s="15"/>
      <c r="HEJ1113" s="15"/>
      <c r="HEM1113" s="15"/>
      <c r="HEN1113" s="15"/>
      <c r="HEQ1113" s="15"/>
      <c r="HER1113" s="15"/>
      <c r="HEU1113" s="15"/>
      <c r="HEV1113" s="15"/>
      <c r="HEY1113" s="15"/>
      <c r="HEZ1113" s="15"/>
      <c r="HFC1113" s="15"/>
      <c r="HFD1113" s="15"/>
      <c r="HFG1113" s="15"/>
      <c r="HFH1113" s="15"/>
      <c r="HFK1113" s="15"/>
      <c r="HFL1113" s="15"/>
      <c r="HFO1113" s="15"/>
      <c r="HFP1113" s="15"/>
      <c r="HFS1113" s="15"/>
      <c r="HFT1113" s="15"/>
      <c r="HFW1113" s="15"/>
      <c r="HFX1113" s="15"/>
      <c r="HGA1113" s="15"/>
      <c r="HGB1113" s="15"/>
      <c r="HGE1113" s="15"/>
      <c r="HGF1113" s="15"/>
      <c r="HGI1113" s="15"/>
      <c r="HGJ1113" s="15"/>
      <c r="HGM1113" s="15"/>
      <c r="HGN1113" s="15"/>
      <c r="HGQ1113" s="15"/>
      <c r="HGR1113" s="15"/>
      <c r="HGU1113" s="15"/>
      <c r="HGV1113" s="15"/>
      <c r="HGY1113" s="15"/>
      <c r="HGZ1113" s="15"/>
      <c r="HHC1113" s="15"/>
      <c r="HHD1113" s="15"/>
      <c r="HHG1113" s="15"/>
      <c r="HHH1113" s="15"/>
      <c r="HHK1113" s="15"/>
      <c r="HHL1113" s="15"/>
      <c r="HHO1113" s="15"/>
      <c r="HHP1113" s="15"/>
      <c r="HHS1113" s="15"/>
      <c r="HHT1113" s="15"/>
      <c r="HHW1113" s="15"/>
      <c r="HHX1113" s="15"/>
      <c r="HIA1113" s="15"/>
      <c r="HIB1113" s="15"/>
      <c r="HIE1113" s="15"/>
      <c r="HIF1113" s="15"/>
      <c r="HII1113" s="15"/>
      <c r="HIJ1113" s="15"/>
      <c r="HIM1113" s="15"/>
      <c r="HIN1113" s="15"/>
      <c r="HIQ1113" s="15"/>
      <c r="HIR1113" s="15"/>
      <c r="HIU1113" s="15"/>
      <c r="HIV1113" s="15"/>
      <c r="HIY1113" s="15"/>
      <c r="HIZ1113" s="15"/>
      <c r="HJC1113" s="15"/>
      <c r="HJD1113" s="15"/>
      <c r="HJG1113" s="15"/>
      <c r="HJH1113" s="15"/>
      <c r="HJK1113" s="15"/>
      <c r="HJL1113" s="15"/>
      <c r="HJO1113" s="15"/>
      <c r="HJP1113" s="15"/>
      <c r="HJS1113" s="15"/>
      <c r="HJT1113" s="15"/>
      <c r="HJW1113" s="15"/>
      <c r="HJX1113" s="15"/>
      <c r="HKA1113" s="15"/>
      <c r="HKB1113" s="15"/>
      <c r="HKE1113" s="15"/>
      <c r="HKF1113" s="15"/>
      <c r="HKI1113" s="15"/>
      <c r="HKJ1113" s="15"/>
      <c r="HKM1113" s="15"/>
      <c r="HKN1113" s="15"/>
      <c r="HKQ1113" s="15"/>
      <c r="HKR1113" s="15"/>
      <c r="HKU1113" s="15"/>
      <c r="HKV1113" s="15"/>
      <c r="HKY1113" s="15"/>
      <c r="HKZ1113" s="15"/>
      <c r="HLC1113" s="15"/>
      <c r="HLD1113" s="15"/>
      <c r="HLG1113" s="15"/>
      <c r="HLH1113" s="15"/>
      <c r="HLK1113" s="15"/>
      <c r="HLL1113" s="15"/>
      <c r="HLO1113" s="15"/>
      <c r="HLP1113" s="15"/>
      <c r="HLS1113" s="15"/>
      <c r="HLT1113" s="15"/>
      <c r="HLW1113" s="15"/>
      <c r="HLX1113" s="15"/>
      <c r="HMA1113" s="15"/>
      <c r="HMB1113" s="15"/>
      <c r="HME1113" s="15"/>
      <c r="HMF1113" s="15"/>
      <c r="HMI1113" s="15"/>
      <c r="HMJ1113" s="15"/>
      <c r="HMM1113" s="15"/>
      <c r="HMN1113" s="15"/>
      <c r="HMQ1113" s="15"/>
      <c r="HMR1113" s="15"/>
      <c r="HMU1113" s="15"/>
      <c r="HMV1113" s="15"/>
      <c r="HMY1113" s="15"/>
      <c r="HMZ1113" s="15"/>
      <c r="HNC1113" s="15"/>
      <c r="HND1113" s="15"/>
      <c r="HNG1113" s="15"/>
      <c r="HNH1113" s="15"/>
      <c r="HNK1113" s="15"/>
      <c r="HNL1113" s="15"/>
      <c r="HNO1113" s="15"/>
      <c r="HNP1113" s="15"/>
      <c r="HNS1113" s="15"/>
      <c r="HNT1113" s="15"/>
      <c r="HNW1113" s="15"/>
      <c r="HNX1113" s="15"/>
      <c r="HOA1113" s="15"/>
      <c r="HOB1113" s="15"/>
      <c r="HOE1113" s="15"/>
      <c r="HOF1113" s="15"/>
      <c r="HOI1113" s="15"/>
      <c r="HOJ1113" s="15"/>
      <c r="HOM1113" s="15"/>
      <c r="HON1113" s="15"/>
      <c r="HOQ1113" s="15"/>
      <c r="HOR1113" s="15"/>
      <c r="HOU1113" s="15"/>
      <c r="HOV1113" s="15"/>
      <c r="HOY1113" s="15"/>
      <c r="HOZ1113" s="15"/>
      <c r="HPC1113" s="15"/>
      <c r="HPD1113" s="15"/>
      <c r="HPG1113" s="15"/>
      <c r="HPH1113" s="15"/>
      <c r="HPK1113" s="15"/>
      <c r="HPL1113" s="15"/>
      <c r="HPO1113" s="15"/>
      <c r="HPP1113" s="15"/>
      <c r="HPS1113" s="15"/>
      <c r="HPT1113" s="15"/>
      <c r="HPW1113" s="15"/>
      <c r="HPX1113" s="15"/>
      <c r="HQA1113" s="15"/>
      <c r="HQB1113" s="15"/>
      <c r="HQE1113" s="15"/>
      <c r="HQF1113" s="15"/>
      <c r="HQI1113" s="15"/>
      <c r="HQJ1113" s="15"/>
      <c r="HQM1113" s="15"/>
      <c r="HQN1113" s="15"/>
      <c r="HQQ1113" s="15"/>
      <c r="HQR1113" s="15"/>
      <c r="HQU1113" s="15"/>
      <c r="HQV1113" s="15"/>
      <c r="HQY1113" s="15"/>
      <c r="HQZ1113" s="15"/>
      <c r="HRC1113" s="15"/>
      <c r="HRD1113" s="15"/>
      <c r="HRG1113" s="15"/>
      <c r="HRH1113" s="15"/>
      <c r="HRK1113" s="15"/>
      <c r="HRL1113" s="15"/>
      <c r="HRO1113" s="15"/>
      <c r="HRP1113" s="15"/>
      <c r="HRS1113" s="15"/>
      <c r="HRT1113" s="15"/>
      <c r="HRW1113" s="15"/>
      <c r="HRX1113" s="15"/>
      <c r="HSA1113" s="15"/>
      <c r="HSB1113" s="15"/>
      <c r="HSE1113" s="15"/>
      <c r="HSF1113" s="15"/>
      <c r="HSI1113" s="15"/>
      <c r="HSJ1113" s="15"/>
      <c r="HSM1113" s="15"/>
      <c r="HSN1113" s="15"/>
      <c r="HSQ1113" s="15"/>
      <c r="HSR1113" s="15"/>
      <c r="HSU1113" s="15"/>
      <c r="HSV1113" s="15"/>
      <c r="HSY1113" s="15"/>
      <c r="HSZ1113" s="15"/>
      <c r="HTC1113" s="15"/>
      <c r="HTD1113" s="15"/>
      <c r="HTG1113" s="15"/>
      <c r="HTH1113" s="15"/>
      <c r="HTK1113" s="15"/>
      <c r="HTL1113" s="15"/>
      <c r="HTO1113" s="15"/>
      <c r="HTP1113" s="15"/>
      <c r="HTS1113" s="15"/>
      <c r="HTT1113" s="15"/>
      <c r="HTW1113" s="15"/>
      <c r="HTX1113" s="15"/>
      <c r="HUA1113" s="15"/>
      <c r="HUB1113" s="15"/>
      <c r="HUE1113" s="15"/>
      <c r="HUF1113" s="15"/>
      <c r="HUI1113" s="15"/>
      <c r="HUJ1113" s="15"/>
      <c r="HUM1113" s="15"/>
      <c r="HUN1113" s="15"/>
      <c r="HUQ1113" s="15"/>
      <c r="HUR1113" s="15"/>
      <c r="HUU1113" s="15"/>
      <c r="HUV1113" s="15"/>
      <c r="HUY1113" s="15"/>
      <c r="HUZ1113" s="15"/>
      <c r="HVC1113" s="15"/>
      <c r="HVD1113" s="15"/>
      <c r="HVG1113" s="15"/>
      <c r="HVH1113" s="15"/>
      <c r="HVK1113" s="15"/>
      <c r="HVL1113" s="15"/>
      <c r="HVO1113" s="15"/>
      <c r="HVP1113" s="15"/>
      <c r="HVS1113" s="15"/>
      <c r="HVT1113" s="15"/>
      <c r="HVW1113" s="15"/>
      <c r="HVX1113" s="15"/>
      <c r="HWA1113" s="15"/>
      <c r="HWB1113" s="15"/>
      <c r="HWE1113" s="15"/>
      <c r="HWF1113" s="15"/>
      <c r="HWI1113" s="15"/>
      <c r="HWJ1113" s="15"/>
      <c r="HWM1113" s="15"/>
      <c r="HWN1113" s="15"/>
      <c r="HWQ1113" s="15"/>
      <c r="HWR1113" s="15"/>
      <c r="HWU1113" s="15"/>
      <c r="HWV1113" s="15"/>
      <c r="HWY1113" s="15"/>
      <c r="HWZ1113" s="15"/>
      <c r="HXC1113" s="15"/>
      <c r="HXD1113" s="15"/>
      <c r="HXG1113" s="15"/>
      <c r="HXH1113" s="15"/>
      <c r="HXK1113" s="15"/>
      <c r="HXL1113" s="15"/>
      <c r="HXO1113" s="15"/>
      <c r="HXP1113" s="15"/>
      <c r="HXS1113" s="15"/>
      <c r="HXT1113" s="15"/>
      <c r="HXW1113" s="15"/>
      <c r="HXX1113" s="15"/>
      <c r="HYA1113" s="15"/>
      <c r="HYB1113" s="15"/>
      <c r="HYE1113" s="15"/>
      <c r="HYF1113" s="15"/>
      <c r="HYI1113" s="15"/>
      <c r="HYJ1113" s="15"/>
      <c r="HYM1113" s="15"/>
      <c r="HYN1113" s="15"/>
      <c r="HYQ1113" s="15"/>
      <c r="HYR1113" s="15"/>
      <c r="HYU1113" s="15"/>
      <c r="HYV1113" s="15"/>
      <c r="HYY1113" s="15"/>
      <c r="HYZ1113" s="15"/>
      <c r="HZC1113" s="15"/>
      <c r="HZD1113" s="15"/>
      <c r="HZG1113" s="15"/>
      <c r="HZH1113" s="15"/>
      <c r="HZK1113" s="15"/>
      <c r="HZL1113" s="15"/>
      <c r="HZO1113" s="15"/>
      <c r="HZP1113" s="15"/>
      <c r="HZS1113" s="15"/>
      <c r="HZT1113" s="15"/>
      <c r="HZW1113" s="15"/>
      <c r="HZX1113" s="15"/>
      <c r="IAA1113" s="15"/>
      <c r="IAB1113" s="15"/>
      <c r="IAE1113" s="15"/>
      <c r="IAF1113" s="15"/>
      <c r="IAI1113" s="15"/>
      <c r="IAJ1113" s="15"/>
      <c r="IAM1113" s="15"/>
      <c r="IAN1113" s="15"/>
      <c r="IAQ1113" s="15"/>
      <c r="IAR1113" s="15"/>
      <c r="IAU1113" s="15"/>
      <c r="IAV1113" s="15"/>
      <c r="IAY1113" s="15"/>
      <c r="IAZ1113" s="15"/>
      <c r="IBC1113" s="15"/>
      <c r="IBD1113" s="15"/>
      <c r="IBG1113" s="15"/>
      <c r="IBH1113" s="15"/>
      <c r="IBK1113" s="15"/>
      <c r="IBL1113" s="15"/>
      <c r="IBO1113" s="15"/>
      <c r="IBP1113" s="15"/>
      <c r="IBS1113" s="15"/>
      <c r="IBT1113" s="15"/>
      <c r="IBW1113" s="15"/>
      <c r="IBX1113" s="15"/>
      <c r="ICA1113" s="15"/>
      <c r="ICB1113" s="15"/>
      <c r="ICE1113" s="15"/>
      <c r="ICF1113" s="15"/>
      <c r="ICI1113" s="15"/>
      <c r="ICJ1113" s="15"/>
      <c r="ICM1113" s="15"/>
      <c r="ICN1113" s="15"/>
      <c r="ICQ1113" s="15"/>
      <c r="ICR1113" s="15"/>
      <c r="ICU1113" s="15"/>
      <c r="ICV1113" s="15"/>
      <c r="ICY1113" s="15"/>
      <c r="ICZ1113" s="15"/>
      <c r="IDC1113" s="15"/>
      <c r="IDD1113" s="15"/>
      <c r="IDG1113" s="15"/>
      <c r="IDH1113" s="15"/>
      <c r="IDK1113" s="15"/>
      <c r="IDL1113" s="15"/>
      <c r="IDO1113" s="15"/>
      <c r="IDP1113" s="15"/>
      <c r="IDS1113" s="15"/>
      <c r="IDT1113" s="15"/>
      <c r="IDW1113" s="15"/>
      <c r="IDX1113" s="15"/>
      <c r="IEA1113" s="15"/>
      <c r="IEB1113" s="15"/>
      <c r="IEE1113" s="15"/>
      <c r="IEF1113" s="15"/>
      <c r="IEI1113" s="15"/>
      <c r="IEJ1113" s="15"/>
      <c r="IEM1113" s="15"/>
      <c r="IEN1113" s="15"/>
      <c r="IEQ1113" s="15"/>
      <c r="IER1113" s="15"/>
      <c r="IEU1113" s="15"/>
      <c r="IEV1113" s="15"/>
      <c r="IEY1113" s="15"/>
      <c r="IEZ1113" s="15"/>
      <c r="IFC1113" s="15"/>
      <c r="IFD1113" s="15"/>
      <c r="IFG1113" s="15"/>
      <c r="IFH1113" s="15"/>
      <c r="IFK1113" s="15"/>
      <c r="IFL1113" s="15"/>
      <c r="IFO1113" s="15"/>
      <c r="IFP1113" s="15"/>
      <c r="IFS1113" s="15"/>
      <c r="IFT1113" s="15"/>
      <c r="IFW1113" s="15"/>
      <c r="IFX1113" s="15"/>
      <c r="IGA1113" s="15"/>
      <c r="IGB1113" s="15"/>
      <c r="IGE1113" s="15"/>
      <c r="IGF1113" s="15"/>
      <c r="IGI1113" s="15"/>
      <c r="IGJ1113" s="15"/>
      <c r="IGM1113" s="15"/>
      <c r="IGN1113" s="15"/>
      <c r="IGQ1113" s="15"/>
      <c r="IGR1113" s="15"/>
      <c r="IGU1113" s="15"/>
      <c r="IGV1113" s="15"/>
      <c r="IGY1113" s="15"/>
      <c r="IGZ1113" s="15"/>
      <c r="IHC1113" s="15"/>
      <c r="IHD1113" s="15"/>
      <c r="IHG1113" s="15"/>
      <c r="IHH1113" s="15"/>
      <c r="IHK1113" s="15"/>
      <c r="IHL1113" s="15"/>
      <c r="IHO1113" s="15"/>
      <c r="IHP1113" s="15"/>
      <c r="IHS1113" s="15"/>
      <c r="IHT1113" s="15"/>
      <c r="IHW1113" s="15"/>
      <c r="IHX1113" s="15"/>
      <c r="IIA1113" s="15"/>
      <c r="IIB1113" s="15"/>
      <c r="IIE1113" s="15"/>
      <c r="IIF1113" s="15"/>
      <c r="III1113" s="15"/>
      <c r="IIJ1113" s="15"/>
      <c r="IIM1113" s="15"/>
      <c r="IIN1113" s="15"/>
      <c r="IIQ1113" s="15"/>
      <c r="IIR1113" s="15"/>
      <c r="IIU1113" s="15"/>
      <c r="IIV1113" s="15"/>
      <c r="IIY1113" s="15"/>
      <c r="IIZ1113" s="15"/>
      <c r="IJC1113" s="15"/>
      <c r="IJD1113" s="15"/>
      <c r="IJG1113" s="15"/>
      <c r="IJH1113" s="15"/>
      <c r="IJK1113" s="15"/>
      <c r="IJL1113" s="15"/>
      <c r="IJO1113" s="15"/>
      <c r="IJP1113" s="15"/>
      <c r="IJS1113" s="15"/>
      <c r="IJT1113" s="15"/>
      <c r="IJW1113" s="15"/>
      <c r="IJX1113" s="15"/>
      <c r="IKA1113" s="15"/>
      <c r="IKB1113" s="15"/>
      <c r="IKE1113" s="15"/>
      <c r="IKF1113" s="15"/>
      <c r="IKI1113" s="15"/>
      <c r="IKJ1113" s="15"/>
      <c r="IKM1113" s="15"/>
      <c r="IKN1113" s="15"/>
      <c r="IKQ1113" s="15"/>
      <c r="IKR1113" s="15"/>
      <c r="IKU1113" s="15"/>
      <c r="IKV1113" s="15"/>
      <c r="IKY1113" s="15"/>
      <c r="IKZ1113" s="15"/>
      <c r="ILC1113" s="15"/>
      <c r="ILD1113" s="15"/>
      <c r="ILG1113" s="15"/>
      <c r="ILH1113" s="15"/>
      <c r="ILK1113" s="15"/>
      <c r="ILL1113" s="15"/>
      <c r="ILO1113" s="15"/>
      <c r="ILP1113" s="15"/>
      <c r="ILS1113" s="15"/>
      <c r="ILT1113" s="15"/>
      <c r="ILW1113" s="15"/>
      <c r="ILX1113" s="15"/>
      <c r="IMA1113" s="15"/>
      <c r="IMB1113" s="15"/>
      <c r="IME1113" s="15"/>
      <c r="IMF1113" s="15"/>
      <c r="IMI1113" s="15"/>
      <c r="IMJ1113" s="15"/>
      <c r="IMM1113" s="15"/>
      <c r="IMN1113" s="15"/>
      <c r="IMQ1113" s="15"/>
      <c r="IMR1113" s="15"/>
      <c r="IMU1113" s="15"/>
      <c r="IMV1113" s="15"/>
      <c r="IMY1113" s="15"/>
      <c r="IMZ1113" s="15"/>
      <c r="INC1113" s="15"/>
      <c r="IND1113" s="15"/>
      <c r="ING1113" s="15"/>
      <c r="INH1113" s="15"/>
      <c r="INK1113" s="15"/>
      <c r="INL1113" s="15"/>
      <c r="INO1113" s="15"/>
      <c r="INP1113" s="15"/>
      <c r="INS1113" s="15"/>
      <c r="INT1113" s="15"/>
      <c r="INW1113" s="15"/>
      <c r="INX1113" s="15"/>
      <c r="IOA1113" s="15"/>
      <c r="IOB1113" s="15"/>
      <c r="IOE1113" s="15"/>
      <c r="IOF1113" s="15"/>
      <c r="IOI1113" s="15"/>
      <c r="IOJ1113" s="15"/>
      <c r="IOM1113" s="15"/>
      <c r="ION1113" s="15"/>
      <c r="IOQ1113" s="15"/>
      <c r="IOR1113" s="15"/>
      <c r="IOU1113" s="15"/>
      <c r="IOV1113" s="15"/>
      <c r="IOY1113" s="15"/>
      <c r="IOZ1113" s="15"/>
      <c r="IPC1113" s="15"/>
      <c r="IPD1113" s="15"/>
      <c r="IPG1113" s="15"/>
      <c r="IPH1113" s="15"/>
      <c r="IPK1113" s="15"/>
      <c r="IPL1113" s="15"/>
      <c r="IPO1113" s="15"/>
      <c r="IPP1113" s="15"/>
      <c r="IPS1113" s="15"/>
      <c r="IPT1113" s="15"/>
      <c r="IPW1113" s="15"/>
      <c r="IPX1113" s="15"/>
      <c r="IQA1113" s="15"/>
      <c r="IQB1113" s="15"/>
      <c r="IQE1113" s="15"/>
      <c r="IQF1113" s="15"/>
      <c r="IQI1113" s="15"/>
      <c r="IQJ1113" s="15"/>
      <c r="IQM1113" s="15"/>
      <c r="IQN1113" s="15"/>
      <c r="IQQ1113" s="15"/>
      <c r="IQR1113" s="15"/>
      <c r="IQU1113" s="15"/>
      <c r="IQV1113" s="15"/>
      <c r="IQY1113" s="15"/>
      <c r="IQZ1113" s="15"/>
      <c r="IRC1113" s="15"/>
      <c r="IRD1113" s="15"/>
      <c r="IRG1113" s="15"/>
      <c r="IRH1113" s="15"/>
      <c r="IRK1113" s="15"/>
      <c r="IRL1113" s="15"/>
      <c r="IRO1113" s="15"/>
      <c r="IRP1113" s="15"/>
      <c r="IRS1113" s="15"/>
      <c r="IRT1113" s="15"/>
      <c r="IRW1113" s="15"/>
      <c r="IRX1113" s="15"/>
      <c r="ISA1113" s="15"/>
      <c r="ISB1113" s="15"/>
      <c r="ISE1113" s="15"/>
      <c r="ISF1113" s="15"/>
      <c r="ISI1113" s="15"/>
      <c r="ISJ1113" s="15"/>
      <c r="ISM1113" s="15"/>
      <c r="ISN1113" s="15"/>
      <c r="ISQ1113" s="15"/>
      <c r="ISR1113" s="15"/>
      <c r="ISU1113" s="15"/>
      <c r="ISV1113" s="15"/>
      <c r="ISY1113" s="15"/>
      <c r="ISZ1113" s="15"/>
      <c r="ITC1113" s="15"/>
      <c r="ITD1113" s="15"/>
      <c r="ITG1113" s="15"/>
      <c r="ITH1113" s="15"/>
      <c r="ITK1113" s="15"/>
      <c r="ITL1113" s="15"/>
      <c r="ITO1113" s="15"/>
      <c r="ITP1113" s="15"/>
      <c r="ITS1113" s="15"/>
      <c r="ITT1113" s="15"/>
      <c r="ITW1113" s="15"/>
      <c r="ITX1113" s="15"/>
      <c r="IUA1113" s="15"/>
      <c r="IUB1113" s="15"/>
      <c r="IUE1113" s="15"/>
      <c r="IUF1113" s="15"/>
      <c r="IUI1113" s="15"/>
      <c r="IUJ1113" s="15"/>
      <c r="IUM1113" s="15"/>
      <c r="IUN1113" s="15"/>
      <c r="IUQ1113" s="15"/>
      <c r="IUR1113" s="15"/>
      <c r="IUU1113" s="15"/>
      <c r="IUV1113" s="15"/>
      <c r="IUY1113" s="15"/>
      <c r="IUZ1113" s="15"/>
      <c r="IVC1113" s="15"/>
      <c r="IVD1113" s="15"/>
      <c r="IVG1113" s="15"/>
      <c r="IVH1113" s="15"/>
      <c r="IVK1113" s="15"/>
      <c r="IVL1113" s="15"/>
      <c r="IVO1113" s="15"/>
      <c r="IVP1113" s="15"/>
      <c r="IVS1113" s="15"/>
      <c r="IVT1113" s="15"/>
      <c r="IVW1113" s="15"/>
      <c r="IVX1113" s="15"/>
      <c r="IWA1113" s="15"/>
      <c r="IWB1113" s="15"/>
      <c r="IWE1113" s="15"/>
      <c r="IWF1113" s="15"/>
      <c r="IWI1113" s="15"/>
      <c r="IWJ1113" s="15"/>
      <c r="IWM1113" s="15"/>
      <c r="IWN1113" s="15"/>
      <c r="IWQ1113" s="15"/>
      <c r="IWR1113" s="15"/>
      <c r="IWU1113" s="15"/>
      <c r="IWV1113" s="15"/>
      <c r="IWY1113" s="15"/>
      <c r="IWZ1113" s="15"/>
      <c r="IXC1113" s="15"/>
      <c r="IXD1113" s="15"/>
      <c r="IXG1113" s="15"/>
      <c r="IXH1113" s="15"/>
      <c r="IXK1113" s="15"/>
      <c r="IXL1113" s="15"/>
      <c r="IXO1113" s="15"/>
      <c r="IXP1113" s="15"/>
      <c r="IXS1113" s="15"/>
      <c r="IXT1113" s="15"/>
      <c r="IXW1113" s="15"/>
      <c r="IXX1113" s="15"/>
      <c r="IYA1113" s="15"/>
      <c r="IYB1113" s="15"/>
      <c r="IYE1113" s="15"/>
      <c r="IYF1113" s="15"/>
      <c r="IYI1113" s="15"/>
      <c r="IYJ1113" s="15"/>
      <c r="IYM1113" s="15"/>
      <c r="IYN1113" s="15"/>
      <c r="IYQ1113" s="15"/>
      <c r="IYR1113" s="15"/>
      <c r="IYU1113" s="15"/>
      <c r="IYV1113" s="15"/>
      <c r="IYY1113" s="15"/>
      <c r="IYZ1113" s="15"/>
      <c r="IZC1113" s="15"/>
      <c r="IZD1113" s="15"/>
      <c r="IZG1113" s="15"/>
      <c r="IZH1113" s="15"/>
      <c r="IZK1113" s="15"/>
      <c r="IZL1113" s="15"/>
      <c r="IZO1113" s="15"/>
      <c r="IZP1113" s="15"/>
      <c r="IZS1113" s="15"/>
      <c r="IZT1113" s="15"/>
      <c r="IZW1113" s="15"/>
      <c r="IZX1113" s="15"/>
      <c r="JAA1113" s="15"/>
      <c r="JAB1113" s="15"/>
      <c r="JAE1113" s="15"/>
      <c r="JAF1113" s="15"/>
      <c r="JAI1113" s="15"/>
      <c r="JAJ1113" s="15"/>
      <c r="JAM1113" s="15"/>
      <c r="JAN1113" s="15"/>
      <c r="JAQ1113" s="15"/>
      <c r="JAR1113" s="15"/>
      <c r="JAU1113" s="15"/>
      <c r="JAV1113" s="15"/>
      <c r="JAY1113" s="15"/>
      <c r="JAZ1113" s="15"/>
      <c r="JBC1113" s="15"/>
      <c r="JBD1113" s="15"/>
      <c r="JBG1113" s="15"/>
      <c r="JBH1113" s="15"/>
      <c r="JBK1113" s="15"/>
      <c r="JBL1113" s="15"/>
      <c r="JBO1113" s="15"/>
      <c r="JBP1113" s="15"/>
      <c r="JBS1113" s="15"/>
      <c r="JBT1113" s="15"/>
      <c r="JBW1113" s="15"/>
      <c r="JBX1113" s="15"/>
      <c r="JCA1113" s="15"/>
      <c r="JCB1113" s="15"/>
      <c r="JCE1113" s="15"/>
      <c r="JCF1113" s="15"/>
      <c r="JCI1113" s="15"/>
      <c r="JCJ1113" s="15"/>
      <c r="JCM1113" s="15"/>
      <c r="JCN1113" s="15"/>
      <c r="JCQ1113" s="15"/>
      <c r="JCR1113" s="15"/>
      <c r="JCU1113" s="15"/>
      <c r="JCV1113" s="15"/>
      <c r="JCY1113" s="15"/>
      <c r="JCZ1113" s="15"/>
      <c r="JDC1113" s="15"/>
      <c r="JDD1113" s="15"/>
      <c r="JDG1113" s="15"/>
      <c r="JDH1113" s="15"/>
      <c r="JDK1113" s="15"/>
      <c r="JDL1113" s="15"/>
      <c r="JDO1113" s="15"/>
      <c r="JDP1113" s="15"/>
      <c r="JDS1113" s="15"/>
      <c r="JDT1113" s="15"/>
      <c r="JDW1113" s="15"/>
      <c r="JDX1113" s="15"/>
      <c r="JEA1113" s="15"/>
      <c r="JEB1113" s="15"/>
      <c r="JEE1113" s="15"/>
      <c r="JEF1113" s="15"/>
      <c r="JEI1113" s="15"/>
      <c r="JEJ1113" s="15"/>
      <c r="JEM1113" s="15"/>
      <c r="JEN1113" s="15"/>
      <c r="JEQ1113" s="15"/>
      <c r="JER1113" s="15"/>
      <c r="JEU1113" s="15"/>
      <c r="JEV1113" s="15"/>
      <c r="JEY1113" s="15"/>
      <c r="JEZ1113" s="15"/>
      <c r="JFC1113" s="15"/>
      <c r="JFD1113" s="15"/>
      <c r="JFG1113" s="15"/>
      <c r="JFH1113" s="15"/>
      <c r="JFK1113" s="15"/>
      <c r="JFL1113" s="15"/>
      <c r="JFO1113" s="15"/>
      <c r="JFP1113" s="15"/>
      <c r="JFS1113" s="15"/>
      <c r="JFT1113" s="15"/>
      <c r="JFW1113" s="15"/>
      <c r="JFX1113" s="15"/>
      <c r="JGA1113" s="15"/>
      <c r="JGB1113" s="15"/>
      <c r="JGE1113" s="15"/>
      <c r="JGF1113" s="15"/>
      <c r="JGI1113" s="15"/>
      <c r="JGJ1113" s="15"/>
      <c r="JGM1113" s="15"/>
      <c r="JGN1113" s="15"/>
      <c r="JGQ1113" s="15"/>
      <c r="JGR1113" s="15"/>
      <c r="JGU1113" s="15"/>
      <c r="JGV1113" s="15"/>
      <c r="JGY1113" s="15"/>
      <c r="JGZ1113" s="15"/>
      <c r="JHC1113" s="15"/>
      <c r="JHD1113" s="15"/>
      <c r="JHG1113" s="15"/>
      <c r="JHH1113" s="15"/>
      <c r="JHK1113" s="15"/>
      <c r="JHL1113" s="15"/>
      <c r="JHO1113" s="15"/>
      <c r="JHP1113" s="15"/>
      <c r="JHS1113" s="15"/>
      <c r="JHT1113" s="15"/>
      <c r="JHW1113" s="15"/>
      <c r="JHX1113" s="15"/>
      <c r="JIA1113" s="15"/>
      <c r="JIB1113" s="15"/>
      <c r="JIE1113" s="15"/>
      <c r="JIF1113" s="15"/>
      <c r="JII1113" s="15"/>
      <c r="JIJ1113" s="15"/>
      <c r="JIM1113" s="15"/>
      <c r="JIN1113" s="15"/>
      <c r="JIQ1113" s="15"/>
      <c r="JIR1113" s="15"/>
      <c r="JIU1113" s="15"/>
      <c r="JIV1113" s="15"/>
      <c r="JIY1113" s="15"/>
      <c r="JIZ1113" s="15"/>
      <c r="JJC1113" s="15"/>
      <c r="JJD1113" s="15"/>
      <c r="JJG1113" s="15"/>
      <c r="JJH1113" s="15"/>
      <c r="JJK1113" s="15"/>
      <c r="JJL1113" s="15"/>
      <c r="JJO1113" s="15"/>
      <c r="JJP1113" s="15"/>
      <c r="JJS1113" s="15"/>
      <c r="JJT1113" s="15"/>
      <c r="JJW1113" s="15"/>
      <c r="JJX1113" s="15"/>
      <c r="JKA1113" s="15"/>
      <c r="JKB1113" s="15"/>
      <c r="JKE1113" s="15"/>
      <c r="JKF1113" s="15"/>
      <c r="JKI1113" s="15"/>
      <c r="JKJ1113" s="15"/>
      <c r="JKM1113" s="15"/>
      <c r="JKN1113" s="15"/>
      <c r="JKQ1113" s="15"/>
      <c r="JKR1113" s="15"/>
      <c r="JKU1113" s="15"/>
      <c r="JKV1113" s="15"/>
      <c r="JKY1113" s="15"/>
      <c r="JKZ1113" s="15"/>
      <c r="JLC1113" s="15"/>
      <c r="JLD1113" s="15"/>
      <c r="JLG1113" s="15"/>
      <c r="JLH1113" s="15"/>
      <c r="JLK1113" s="15"/>
      <c r="JLL1113" s="15"/>
      <c r="JLO1113" s="15"/>
      <c r="JLP1113" s="15"/>
      <c r="JLS1113" s="15"/>
      <c r="JLT1113" s="15"/>
      <c r="JLW1113" s="15"/>
      <c r="JLX1113" s="15"/>
      <c r="JMA1113" s="15"/>
      <c r="JMB1113" s="15"/>
      <c r="JME1113" s="15"/>
      <c r="JMF1113" s="15"/>
      <c r="JMI1113" s="15"/>
      <c r="JMJ1113" s="15"/>
      <c r="JMM1113" s="15"/>
      <c r="JMN1113" s="15"/>
      <c r="JMQ1113" s="15"/>
      <c r="JMR1113" s="15"/>
      <c r="JMU1113" s="15"/>
      <c r="JMV1113" s="15"/>
      <c r="JMY1113" s="15"/>
      <c r="JMZ1113" s="15"/>
      <c r="JNC1113" s="15"/>
      <c r="JND1113" s="15"/>
      <c r="JNG1113" s="15"/>
      <c r="JNH1113" s="15"/>
      <c r="JNK1113" s="15"/>
      <c r="JNL1113" s="15"/>
      <c r="JNO1113" s="15"/>
      <c r="JNP1113" s="15"/>
      <c r="JNS1113" s="15"/>
      <c r="JNT1113" s="15"/>
      <c r="JNW1113" s="15"/>
      <c r="JNX1113" s="15"/>
      <c r="JOA1113" s="15"/>
      <c r="JOB1113" s="15"/>
      <c r="JOE1113" s="15"/>
      <c r="JOF1113" s="15"/>
      <c r="JOI1113" s="15"/>
      <c r="JOJ1113" s="15"/>
      <c r="JOM1113" s="15"/>
      <c r="JON1113" s="15"/>
      <c r="JOQ1113" s="15"/>
      <c r="JOR1113" s="15"/>
      <c r="JOU1113" s="15"/>
      <c r="JOV1113" s="15"/>
      <c r="JOY1113" s="15"/>
      <c r="JOZ1113" s="15"/>
      <c r="JPC1113" s="15"/>
      <c r="JPD1113" s="15"/>
      <c r="JPG1113" s="15"/>
      <c r="JPH1113" s="15"/>
      <c r="JPK1113" s="15"/>
      <c r="JPL1113" s="15"/>
      <c r="JPO1113" s="15"/>
      <c r="JPP1113" s="15"/>
      <c r="JPS1113" s="15"/>
      <c r="JPT1113" s="15"/>
      <c r="JPW1113" s="15"/>
      <c r="JPX1113" s="15"/>
      <c r="JQA1113" s="15"/>
      <c r="JQB1113" s="15"/>
      <c r="JQE1113" s="15"/>
      <c r="JQF1113" s="15"/>
      <c r="JQI1113" s="15"/>
      <c r="JQJ1113" s="15"/>
      <c r="JQM1113" s="15"/>
      <c r="JQN1113" s="15"/>
      <c r="JQQ1113" s="15"/>
      <c r="JQR1113" s="15"/>
      <c r="JQU1113" s="15"/>
      <c r="JQV1113" s="15"/>
      <c r="JQY1113" s="15"/>
      <c r="JQZ1113" s="15"/>
      <c r="JRC1113" s="15"/>
      <c r="JRD1113" s="15"/>
      <c r="JRG1113" s="15"/>
      <c r="JRH1113" s="15"/>
      <c r="JRK1113" s="15"/>
      <c r="JRL1113" s="15"/>
      <c r="JRO1113" s="15"/>
      <c r="JRP1113" s="15"/>
      <c r="JRS1113" s="15"/>
      <c r="JRT1113" s="15"/>
      <c r="JRW1113" s="15"/>
      <c r="JRX1113" s="15"/>
      <c r="JSA1113" s="15"/>
      <c r="JSB1113" s="15"/>
      <c r="JSE1113" s="15"/>
      <c r="JSF1113" s="15"/>
      <c r="JSI1113" s="15"/>
      <c r="JSJ1113" s="15"/>
      <c r="JSM1113" s="15"/>
      <c r="JSN1113" s="15"/>
      <c r="JSQ1113" s="15"/>
      <c r="JSR1113" s="15"/>
      <c r="JSU1113" s="15"/>
      <c r="JSV1113" s="15"/>
      <c r="JSY1113" s="15"/>
      <c r="JSZ1113" s="15"/>
      <c r="JTC1113" s="15"/>
      <c r="JTD1113" s="15"/>
      <c r="JTG1113" s="15"/>
      <c r="JTH1113" s="15"/>
      <c r="JTK1113" s="15"/>
      <c r="JTL1113" s="15"/>
      <c r="JTO1113" s="15"/>
      <c r="JTP1113" s="15"/>
      <c r="JTS1113" s="15"/>
      <c r="JTT1113" s="15"/>
      <c r="JTW1113" s="15"/>
      <c r="JTX1113" s="15"/>
      <c r="JUA1113" s="15"/>
      <c r="JUB1113" s="15"/>
      <c r="JUE1113" s="15"/>
      <c r="JUF1113" s="15"/>
      <c r="JUI1113" s="15"/>
      <c r="JUJ1113" s="15"/>
      <c r="JUM1113" s="15"/>
      <c r="JUN1113" s="15"/>
      <c r="JUQ1113" s="15"/>
      <c r="JUR1113" s="15"/>
      <c r="JUU1113" s="15"/>
      <c r="JUV1113" s="15"/>
      <c r="JUY1113" s="15"/>
      <c r="JUZ1113" s="15"/>
      <c r="JVC1113" s="15"/>
      <c r="JVD1113" s="15"/>
      <c r="JVG1113" s="15"/>
      <c r="JVH1113" s="15"/>
      <c r="JVK1113" s="15"/>
      <c r="JVL1113" s="15"/>
      <c r="JVO1113" s="15"/>
      <c r="JVP1113" s="15"/>
      <c r="JVS1113" s="15"/>
      <c r="JVT1113" s="15"/>
      <c r="JVW1113" s="15"/>
      <c r="JVX1113" s="15"/>
      <c r="JWA1113" s="15"/>
      <c r="JWB1113" s="15"/>
      <c r="JWE1113" s="15"/>
      <c r="JWF1113" s="15"/>
      <c r="JWI1113" s="15"/>
      <c r="JWJ1113" s="15"/>
      <c r="JWM1113" s="15"/>
      <c r="JWN1113" s="15"/>
      <c r="JWQ1113" s="15"/>
      <c r="JWR1113" s="15"/>
      <c r="JWU1113" s="15"/>
      <c r="JWV1113" s="15"/>
      <c r="JWY1113" s="15"/>
      <c r="JWZ1113" s="15"/>
      <c r="JXC1113" s="15"/>
      <c r="JXD1113" s="15"/>
      <c r="JXG1113" s="15"/>
      <c r="JXH1113" s="15"/>
      <c r="JXK1113" s="15"/>
      <c r="JXL1113" s="15"/>
      <c r="JXO1113" s="15"/>
      <c r="JXP1113" s="15"/>
      <c r="JXS1113" s="15"/>
      <c r="JXT1113" s="15"/>
      <c r="JXW1113" s="15"/>
      <c r="JXX1113" s="15"/>
      <c r="JYA1113" s="15"/>
      <c r="JYB1113" s="15"/>
      <c r="JYE1113" s="15"/>
      <c r="JYF1113" s="15"/>
      <c r="JYI1113" s="15"/>
      <c r="JYJ1113" s="15"/>
      <c r="JYM1113" s="15"/>
      <c r="JYN1113" s="15"/>
      <c r="JYQ1113" s="15"/>
      <c r="JYR1113" s="15"/>
      <c r="JYU1113" s="15"/>
      <c r="JYV1113" s="15"/>
      <c r="JYY1113" s="15"/>
      <c r="JYZ1113" s="15"/>
      <c r="JZC1113" s="15"/>
      <c r="JZD1113" s="15"/>
      <c r="JZG1113" s="15"/>
      <c r="JZH1113" s="15"/>
      <c r="JZK1113" s="15"/>
      <c r="JZL1113" s="15"/>
      <c r="JZO1113" s="15"/>
      <c r="JZP1113" s="15"/>
      <c r="JZS1113" s="15"/>
      <c r="JZT1113" s="15"/>
      <c r="JZW1113" s="15"/>
      <c r="JZX1113" s="15"/>
      <c r="KAA1113" s="15"/>
      <c r="KAB1113" s="15"/>
      <c r="KAE1113" s="15"/>
      <c r="KAF1113" s="15"/>
      <c r="KAI1113" s="15"/>
      <c r="KAJ1113" s="15"/>
      <c r="KAM1113" s="15"/>
      <c r="KAN1113" s="15"/>
      <c r="KAQ1113" s="15"/>
      <c r="KAR1113" s="15"/>
      <c r="KAU1113" s="15"/>
      <c r="KAV1113" s="15"/>
      <c r="KAY1113" s="15"/>
      <c r="KAZ1113" s="15"/>
      <c r="KBC1113" s="15"/>
      <c r="KBD1113" s="15"/>
      <c r="KBG1113" s="15"/>
      <c r="KBH1113" s="15"/>
      <c r="KBK1113" s="15"/>
      <c r="KBL1113" s="15"/>
      <c r="KBO1113" s="15"/>
      <c r="KBP1113" s="15"/>
      <c r="KBS1113" s="15"/>
      <c r="KBT1113" s="15"/>
      <c r="KBW1113" s="15"/>
      <c r="KBX1113" s="15"/>
      <c r="KCA1113" s="15"/>
      <c r="KCB1113" s="15"/>
      <c r="KCE1113" s="15"/>
      <c r="KCF1113" s="15"/>
      <c r="KCI1113" s="15"/>
      <c r="KCJ1113" s="15"/>
      <c r="KCM1113" s="15"/>
      <c r="KCN1113" s="15"/>
      <c r="KCQ1113" s="15"/>
      <c r="KCR1113" s="15"/>
      <c r="KCU1113" s="15"/>
      <c r="KCV1113" s="15"/>
      <c r="KCY1113" s="15"/>
      <c r="KCZ1113" s="15"/>
      <c r="KDC1113" s="15"/>
      <c r="KDD1113" s="15"/>
      <c r="KDG1113" s="15"/>
      <c r="KDH1113" s="15"/>
      <c r="KDK1113" s="15"/>
      <c r="KDL1113" s="15"/>
      <c r="KDO1113" s="15"/>
      <c r="KDP1113" s="15"/>
      <c r="KDS1113" s="15"/>
      <c r="KDT1113" s="15"/>
      <c r="KDW1113" s="15"/>
      <c r="KDX1113" s="15"/>
      <c r="KEA1113" s="15"/>
      <c r="KEB1113" s="15"/>
      <c r="KEE1113" s="15"/>
      <c r="KEF1113" s="15"/>
      <c r="KEI1113" s="15"/>
      <c r="KEJ1113" s="15"/>
      <c r="KEM1113" s="15"/>
      <c r="KEN1113" s="15"/>
      <c r="KEQ1113" s="15"/>
      <c r="KER1113" s="15"/>
      <c r="KEU1113" s="15"/>
      <c r="KEV1113" s="15"/>
      <c r="KEY1113" s="15"/>
      <c r="KEZ1113" s="15"/>
      <c r="KFC1113" s="15"/>
      <c r="KFD1113" s="15"/>
      <c r="KFG1113" s="15"/>
      <c r="KFH1113" s="15"/>
      <c r="KFK1113" s="15"/>
      <c r="KFL1113" s="15"/>
      <c r="KFO1113" s="15"/>
      <c r="KFP1113" s="15"/>
      <c r="KFS1113" s="15"/>
      <c r="KFT1113" s="15"/>
      <c r="KFW1113" s="15"/>
      <c r="KFX1113" s="15"/>
      <c r="KGA1113" s="15"/>
      <c r="KGB1113" s="15"/>
      <c r="KGE1113" s="15"/>
      <c r="KGF1113" s="15"/>
      <c r="KGI1113" s="15"/>
      <c r="KGJ1113" s="15"/>
      <c r="KGM1113" s="15"/>
      <c r="KGN1113" s="15"/>
      <c r="KGQ1113" s="15"/>
      <c r="KGR1113" s="15"/>
      <c r="KGU1113" s="15"/>
      <c r="KGV1113" s="15"/>
      <c r="KGY1113" s="15"/>
      <c r="KGZ1113" s="15"/>
      <c r="KHC1113" s="15"/>
      <c r="KHD1113" s="15"/>
      <c r="KHG1113" s="15"/>
      <c r="KHH1113" s="15"/>
      <c r="KHK1113" s="15"/>
      <c r="KHL1113" s="15"/>
      <c r="KHO1113" s="15"/>
      <c r="KHP1113" s="15"/>
      <c r="KHS1113" s="15"/>
      <c r="KHT1113" s="15"/>
      <c r="KHW1113" s="15"/>
      <c r="KHX1113" s="15"/>
      <c r="KIA1113" s="15"/>
      <c r="KIB1113" s="15"/>
      <c r="KIE1113" s="15"/>
      <c r="KIF1113" s="15"/>
      <c r="KII1113" s="15"/>
      <c r="KIJ1113" s="15"/>
      <c r="KIM1113" s="15"/>
      <c r="KIN1113" s="15"/>
      <c r="KIQ1113" s="15"/>
      <c r="KIR1113" s="15"/>
      <c r="KIU1113" s="15"/>
      <c r="KIV1113" s="15"/>
      <c r="KIY1113" s="15"/>
      <c r="KIZ1113" s="15"/>
      <c r="KJC1113" s="15"/>
      <c r="KJD1113" s="15"/>
      <c r="KJG1113" s="15"/>
      <c r="KJH1113" s="15"/>
      <c r="KJK1113" s="15"/>
      <c r="KJL1113" s="15"/>
      <c r="KJO1113" s="15"/>
      <c r="KJP1113" s="15"/>
      <c r="KJS1113" s="15"/>
      <c r="KJT1113" s="15"/>
      <c r="KJW1113" s="15"/>
      <c r="KJX1113" s="15"/>
      <c r="KKA1113" s="15"/>
      <c r="KKB1113" s="15"/>
      <c r="KKE1113" s="15"/>
      <c r="KKF1113" s="15"/>
      <c r="KKI1113" s="15"/>
      <c r="KKJ1113" s="15"/>
      <c r="KKM1113" s="15"/>
      <c r="KKN1113" s="15"/>
      <c r="KKQ1113" s="15"/>
      <c r="KKR1113" s="15"/>
      <c r="KKU1113" s="15"/>
      <c r="KKV1113" s="15"/>
      <c r="KKY1113" s="15"/>
      <c r="KKZ1113" s="15"/>
      <c r="KLC1113" s="15"/>
      <c r="KLD1113" s="15"/>
      <c r="KLG1113" s="15"/>
      <c r="KLH1113" s="15"/>
      <c r="KLK1113" s="15"/>
      <c r="KLL1113" s="15"/>
      <c r="KLO1113" s="15"/>
      <c r="KLP1113" s="15"/>
      <c r="KLS1113" s="15"/>
      <c r="KLT1113" s="15"/>
      <c r="KLW1113" s="15"/>
      <c r="KLX1113" s="15"/>
      <c r="KMA1113" s="15"/>
      <c r="KMB1113" s="15"/>
      <c r="KME1113" s="15"/>
      <c r="KMF1113" s="15"/>
      <c r="KMI1113" s="15"/>
      <c r="KMJ1113" s="15"/>
      <c r="KMM1113" s="15"/>
      <c r="KMN1113" s="15"/>
      <c r="KMQ1113" s="15"/>
      <c r="KMR1113" s="15"/>
      <c r="KMU1113" s="15"/>
      <c r="KMV1113" s="15"/>
      <c r="KMY1113" s="15"/>
      <c r="KMZ1113" s="15"/>
      <c r="KNC1113" s="15"/>
      <c r="KND1113" s="15"/>
      <c r="KNG1113" s="15"/>
      <c r="KNH1113" s="15"/>
      <c r="KNK1113" s="15"/>
      <c r="KNL1113" s="15"/>
      <c r="KNO1113" s="15"/>
      <c r="KNP1113" s="15"/>
      <c r="KNS1113" s="15"/>
      <c r="KNT1113" s="15"/>
      <c r="KNW1113" s="15"/>
      <c r="KNX1113" s="15"/>
      <c r="KOA1113" s="15"/>
      <c r="KOB1113" s="15"/>
      <c r="KOE1113" s="15"/>
      <c r="KOF1113" s="15"/>
      <c r="KOI1113" s="15"/>
      <c r="KOJ1113" s="15"/>
      <c r="KOM1113" s="15"/>
      <c r="KON1113" s="15"/>
      <c r="KOQ1113" s="15"/>
      <c r="KOR1113" s="15"/>
      <c r="KOU1113" s="15"/>
      <c r="KOV1113" s="15"/>
      <c r="KOY1113" s="15"/>
      <c r="KOZ1113" s="15"/>
      <c r="KPC1113" s="15"/>
      <c r="KPD1113" s="15"/>
      <c r="KPG1113" s="15"/>
      <c r="KPH1113" s="15"/>
      <c r="KPK1113" s="15"/>
      <c r="KPL1113" s="15"/>
      <c r="KPO1113" s="15"/>
      <c r="KPP1113" s="15"/>
      <c r="KPS1113" s="15"/>
      <c r="KPT1113" s="15"/>
      <c r="KPW1113" s="15"/>
      <c r="KPX1113" s="15"/>
      <c r="KQA1113" s="15"/>
      <c r="KQB1113" s="15"/>
      <c r="KQE1113" s="15"/>
      <c r="KQF1113" s="15"/>
      <c r="KQI1113" s="15"/>
      <c r="KQJ1113" s="15"/>
      <c r="KQM1113" s="15"/>
      <c r="KQN1113" s="15"/>
      <c r="KQQ1113" s="15"/>
      <c r="KQR1113" s="15"/>
      <c r="KQU1113" s="15"/>
      <c r="KQV1113" s="15"/>
      <c r="KQY1113" s="15"/>
      <c r="KQZ1113" s="15"/>
      <c r="KRC1113" s="15"/>
      <c r="KRD1113" s="15"/>
      <c r="KRG1113" s="15"/>
      <c r="KRH1113" s="15"/>
      <c r="KRK1113" s="15"/>
      <c r="KRL1113" s="15"/>
      <c r="KRO1113" s="15"/>
      <c r="KRP1113" s="15"/>
      <c r="KRS1113" s="15"/>
      <c r="KRT1113" s="15"/>
      <c r="KRW1113" s="15"/>
      <c r="KRX1113" s="15"/>
      <c r="KSA1113" s="15"/>
      <c r="KSB1113" s="15"/>
      <c r="KSE1113" s="15"/>
      <c r="KSF1113" s="15"/>
      <c r="KSI1113" s="15"/>
      <c r="KSJ1113" s="15"/>
      <c r="KSM1113" s="15"/>
      <c r="KSN1113" s="15"/>
      <c r="KSQ1113" s="15"/>
      <c r="KSR1113" s="15"/>
      <c r="KSU1113" s="15"/>
      <c r="KSV1113" s="15"/>
      <c r="KSY1113" s="15"/>
      <c r="KSZ1113" s="15"/>
      <c r="KTC1113" s="15"/>
      <c r="KTD1113" s="15"/>
      <c r="KTG1113" s="15"/>
      <c r="KTH1113" s="15"/>
      <c r="KTK1113" s="15"/>
      <c r="KTL1113" s="15"/>
      <c r="KTO1113" s="15"/>
      <c r="KTP1113" s="15"/>
      <c r="KTS1113" s="15"/>
      <c r="KTT1113" s="15"/>
      <c r="KTW1113" s="15"/>
      <c r="KTX1113" s="15"/>
      <c r="KUA1113" s="15"/>
      <c r="KUB1113" s="15"/>
      <c r="KUE1113" s="15"/>
      <c r="KUF1113" s="15"/>
      <c r="KUI1113" s="15"/>
      <c r="KUJ1113" s="15"/>
      <c r="KUM1113" s="15"/>
      <c r="KUN1113" s="15"/>
      <c r="KUQ1113" s="15"/>
      <c r="KUR1113" s="15"/>
      <c r="KUU1113" s="15"/>
      <c r="KUV1113" s="15"/>
      <c r="KUY1113" s="15"/>
      <c r="KUZ1113" s="15"/>
      <c r="KVC1113" s="15"/>
      <c r="KVD1113" s="15"/>
      <c r="KVG1113" s="15"/>
      <c r="KVH1113" s="15"/>
      <c r="KVK1113" s="15"/>
      <c r="KVL1113" s="15"/>
      <c r="KVO1113" s="15"/>
      <c r="KVP1113" s="15"/>
      <c r="KVS1113" s="15"/>
      <c r="KVT1113" s="15"/>
      <c r="KVW1113" s="15"/>
      <c r="KVX1113" s="15"/>
      <c r="KWA1113" s="15"/>
      <c r="KWB1113" s="15"/>
      <c r="KWE1113" s="15"/>
      <c r="KWF1113" s="15"/>
      <c r="KWI1113" s="15"/>
      <c r="KWJ1113" s="15"/>
      <c r="KWM1113" s="15"/>
      <c r="KWN1113" s="15"/>
      <c r="KWQ1113" s="15"/>
      <c r="KWR1113" s="15"/>
      <c r="KWU1113" s="15"/>
      <c r="KWV1113" s="15"/>
      <c r="KWY1113" s="15"/>
      <c r="KWZ1113" s="15"/>
      <c r="KXC1113" s="15"/>
      <c r="KXD1113" s="15"/>
      <c r="KXG1113" s="15"/>
      <c r="KXH1113" s="15"/>
      <c r="KXK1113" s="15"/>
      <c r="KXL1113" s="15"/>
      <c r="KXO1113" s="15"/>
      <c r="KXP1113" s="15"/>
      <c r="KXS1113" s="15"/>
      <c r="KXT1113" s="15"/>
      <c r="KXW1113" s="15"/>
      <c r="KXX1113" s="15"/>
      <c r="KYA1113" s="15"/>
      <c r="KYB1113" s="15"/>
      <c r="KYE1113" s="15"/>
      <c r="KYF1113" s="15"/>
      <c r="KYI1113" s="15"/>
      <c r="KYJ1113" s="15"/>
      <c r="KYM1113" s="15"/>
      <c r="KYN1113" s="15"/>
      <c r="KYQ1113" s="15"/>
      <c r="KYR1113" s="15"/>
      <c r="KYU1113" s="15"/>
      <c r="KYV1113" s="15"/>
      <c r="KYY1113" s="15"/>
      <c r="KYZ1113" s="15"/>
      <c r="KZC1113" s="15"/>
      <c r="KZD1113" s="15"/>
      <c r="KZG1113" s="15"/>
      <c r="KZH1113" s="15"/>
      <c r="KZK1113" s="15"/>
      <c r="KZL1113" s="15"/>
      <c r="KZO1113" s="15"/>
      <c r="KZP1113" s="15"/>
      <c r="KZS1113" s="15"/>
      <c r="KZT1113" s="15"/>
      <c r="KZW1113" s="15"/>
      <c r="KZX1113" s="15"/>
      <c r="LAA1113" s="15"/>
      <c r="LAB1113" s="15"/>
      <c r="LAE1113" s="15"/>
      <c r="LAF1113" s="15"/>
      <c r="LAI1113" s="15"/>
      <c r="LAJ1113" s="15"/>
      <c r="LAM1113" s="15"/>
      <c r="LAN1113" s="15"/>
      <c r="LAQ1113" s="15"/>
      <c r="LAR1113" s="15"/>
      <c r="LAU1113" s="15"/>
      <c r="LAV1113" s="15"/>
      <c r="LAY1113" s="15"/>
      <c r="LAZ1113" s="15"/>
      <c r="LBC1113" s="15"/>
      <c r="LBD1113" s="15"/>
      <c r="LBG1113" s="15"/>
      <c r="LBH1113" s="15"/>
      <c r="LBK1113" s="15"/>
      <c r="LBL1113" s="15"/>
      <c r="LBO1113" s="15"/>
      <c r="LBP1113" s="15"/>
      <c r="LBS1113" s="15"/>
      <c r="LBT1113" s="15"/>
      <c r="LBW1113" s="15"/>
      <c r="LBX1113" s="15"/>
      <c r="LCA1113" s="15"/>
      <c r="LCB1113" s="15"/>
      <c r="LCE1113" s="15"/>
      <c r="LCF1113" s="15"/>
      <c r="LCI1113" s="15"/>
      <c r="LCJ1113" s="15"/>
      <c r="LCM1113" s="15"/>
      <c r="LCN1113" s="15"/>
      <c r="LCQ1113" s="15"/>
      <c r="LCR1113" s="15"/>
      <c r="LCU1113" s="15"/>
      <c r="LCV1113" s="15"/>
      <c r="LCY1113" s="15"/>
      <c r="LCZ1113" s="15"/>
      <c r="LDC1113" s="15"/>
      <c r="LDD1113" s="15"/>
      <c r="LDG1113" s="15"/>
      <c r="LDH1113" s="15"/>
      <c r="LDK1113" s="15"/>
      <c r="LDL1113" s="15"/>
      <c r="LDO1113" s="15"/>
      <c r="LDP1113" s="15"/>
      <c r="LDS1113" s="15"/>
      <c r="LDT1113" s="15"/>
      <c r="LDW1113" s="15"/>
      <c r="LDX1113" s="15"/>
      <c r="LEA1113" s="15"/>
      <c r="LEB1113" s="15"/>
      <c r="LEE1113" s="15"/>
      <c r="LEF1113" s="15"/>
      <c r="LEI1113" s="15"/>
      <c r="LEJ1113" s="15"/>
      <c r="LEM1113" s="15"/>
      <c r="LEN1113" s="15"/>
      <c r="LEQ1113" s="15"/>
      <c r="LER1113" s="15"/>
      <c r="LEU1113" s="15"/>
      <c r="LEV1113" s="15"/>
      <c r="LEY1113" s="15"/>
      <c r="LEZ1113" s="15"/>
      <c r="LFC1113" s="15"/>
      <c r="LFD1113" s="15"/>
      <c r="LFG1113" s="15"/>
      <c r="LFH1113" s="15"/>
      <c r="LFK1113" s="15"/>
      <c r="LFL1113" s="15"/>
      <c r="LFO1113" s="15"/>
      <c r="LFP1113" s="15"/>
      <c r="LFS1113" s="15"/>
      <c r="LFT1113" s="15"/>
      <c r="LFW1113" s="15"/>
      <c r="LFX1113" s="15"/>
      <c r="LGA1113" s="15"/>
      <c r="LGB1113" s="15"/>
      <c r="LGE1113" s="15"/>
      <c r="LGF1113" s="15"/>
      <c r="LGI1113" s="15"/>
      <c r="LGJ1113" s="15"/>
      <c r="LGM1113" s="15"/>
      <c r="LGN1113" s="15"/>
      <c r="LGQ1113" s="15"/>
      <c r="LGR1113" s="15"/>
      <c r="LGU1113" s="15"/>
      <c r="LGV1113" s="15"/>
      <c r="LGY1113" s="15"/>
      <c r="LGZ1113" s="15"/>
      <c r="LHC1113" s="15"/>
      <c r="LHD1113" s="15"/>
      <c r="LHG1113" s="15"/>
      <c r="LHH1113" s="15"/>
      <c r="LHK1113" s="15"/>
      <c r="LHL1113" s="15"/>
      <c r="LHO1113" s="15"/>
      <c r="LHP1113" s="15"/>
      <c r="LHS1113" s="15"/>
      <c r="LHT1113" s="15"/>
      <c r="LHW1113" s="15"/>
      <c r="LHX1113" s="15"/>
      <c r="LIA1113" s="15"/>
      <c r="LIB1113" s="15"/>
      <c r="LIE1113" s="15"/>
      <c r="LIF1113" s="15"/>
      <c r="LII1113" s="15"/>
      <c r="LIJ1113" s="15"/>
      <c r="LIM1113" s="15"/>
      <c r="LIN1113" s="15"/>
      <c r="LIQ1113" s="15"/>
      <c r="LIR1113" s="15"/>
      <c r="LIU1113" s="15"/>
      <c r="LIV1113" s="15"/>
      <c r="LIY1113" s="15"/>
      <c r="LIZ1113" s="15"/>
      <c r="LJC1113" s="15"/>
      <c r="LJD1113" s="15"/>
      <c r="LJG1113" s="15"/>
      <c r="LJH1113" s="15"/>
      <c r="LJK1113" s="15"/>
      <c r="LJL1113" s="15"/>
      <c r="LJO1113" s="15"/>
      <c r="LJP1113" s="15"/>
      <c r="LJS1113" s="15"/>
      <c r="LJT1113" s="15"/>
      <c r="LJW1113" s="15"/>
      <c r="LJX1113" s="15"/>
      <c r="LKA1113" s="15"/>
      <c r="LKB1113" s="15"/>
      <c r="LKE1113" s="15"/>
      <c r="LKF1113" s="15"/>
      <c r="LKI1113" s="15"/>
      <c r="LKJ1113" s="15"/>
      <c r="LKM1113" s="15"/>
      <c r="LKN1113" s="15"/>
      <c r="LKQ1113" s="15"/>
      <c r="LKR1113" s="15"/>
      <c r="LKU1113" s="15"/>
      <c r="LKV1113" s="15"/>
      <c r="LKY1113" s="15"/>
      <c r="LKZ1113" s="15"/>
      <c r="LLC1113" s="15"/>
      <c r="LLD1113" s="15"/>
      <c r="LLG1113" s="15"/>
      <c r="LLH1113" s="15"/>
      <c r="LLK1113" s="15"/>
      <c r="LLL1113" s="15"/>
      <c r="LLO1113" s="15"/>
      <c r="LLP1113" s="15"/>
      <c r="LLS1113" s="15"/>
      <c r="LLT1113" s="15"/>
      <c r="LLW1113" s="15"/>
      <c r="LLX1113" s="15"/>
      <c r="LMA1113" s="15"/>
      <c r="LMB1113" s="15"/>
      <c r="LME1113" s="15"/>
      <c r="LMF1113" s="15"/>
      <c r="LMI1113" s="15"/>
      <c r="LMJ1113" s="15"/>
      <c r="LMM1113" s="15"/>
      <c r="LMN1113" s="15"/>
      <c r="LMQ1113" s="15"/>
      <c r="LMR1113" s="15"/>
      <c r="LMU1113" s="15"/>
      <c r="LMV1113" s="15"/>
      <c r="LMY1113" s="15"/>
      <c r="LMZ1113" s="15"/>
      <c r="LNC1113" s="15"/>
      <c r="LND1113" s="15"/>
      <c r="LNG1113" s="15"/>
      <c r="LNH1113" s="15"/>
      <c r="LNK1113" s="15"/>
      <c r="LNL1113" s="15"/>
      <c r="LNO1113" s="15"/>
      <c r="LNP1113" s="15"/>
      <c r="LNS1113" s="15"/>
      <c r="LNT1113" s="15"/>
      <c r="LNW1113" s="15"/>
      <c r="LNX1113" s="15"/>
      <c r="LOA1113" s="15"/>
      <c r="LOB1113" s="15"/>
      <c r="LOE1113" s="15"/>
      <c r="LOF1113" s="15"/>
      <c r="LOI1113" s="15"/>
      <c r="LOJ1113" s="15"/>
      <c r="LOM1113" s="15"/>
      <c r="LON1113" s="15"/>
      <c r="LOQ1113" s="15"/>
      <c r="LOR1113" s="15"/>
      <c r="LOU1113" s="15"/>
      <c r="LOV1113" s="15"/>
      <c r="LOY1113" s="15"/>
      <c r="LOZ1113" s="15"/>
      <c r="LPC1113" s="15"/>
      <c r="LPD1113" s="15"/>
      <c r="LPG1113" s="15"/>
      <c r="LPH1113" s="15"/>
      <c r="LPK1113" s="15"/>
      <c r="LPL1113" s="15"/>
      <c r="LPO1113" s="15"/>
      <c r="LPP1113" s="15"/>
      <c r="LPS1113" s="15"/>
      <c r="LPT1113" s="15"/>
      <c r="LPW1113" s="15"/>
      <c r="LPX1113" s="15"/>
      <c r="LQA1113" s="15"/>
      <c r="LQB1113" s="15"/>
      <c r="LQE1113" s="15"/>
      <c r="LQF1113" s="15"/>
      <c r="LQI1113" s="15"/>
      <c r="LQJ1113" s="15"/>
      <c r="LQM1113" s="15"/>
      <c r="LQN1113" s="15"/>
      <c r="LQQ1113" s="15"/>
      <c r="LQR1113" s="15"/>
      <c r="LQU1113" s="15"/>
      <c r="LQV1113" s="15"/>
      <c r="LQY1113" s="15"/>
      <c r="LQZ1113" s="15"/>
      <c r="LRC1113" s="15"/>
      <c r="LRD1113" s="15"/>
      <c r="LRG1113" s="15"/>
      <c r="LRH1113" s="15"/>
      <c r="LRK1113" s="15"/>
      <c r="LRL1113" s="15"/>
      <c r="LRO1113" s="15"/>
      <c r="LRP1113" s="15"/>
      <c r="LRS1113" s="15"/>
      <c r="LRT1113" s="15"/>
      <c r="LRW1113" s="15"/>
      <c r="LRX1113" s="15"/>
      <c r="LSA1113" s="15"/>
      <c r="LSB1113" s="15"/>
      <c r="LSE1113" s="15"/>
      <c r="LSF1113" s="15"/>
      <c r="LSI1113" s="15"/>
      <c r="LSJ1113" s="15"/>
      <c r="LSM1113" s="15"/>
      <c r="LSN1113" s="15"/>
      <c r="LSQ1113" s="15"/>
      <c r="LSR1113" s="15"/>
      <c r="LSU1113" s="15"/>
      <c r="LSV1113" s="15"/>
      <c r="LSY1113" s="15"/>
      <c r="LSZ1113" s="15"/>
      <c r="LTC1113" s="15"/>
      <c r="LTD1113" s="15"/>
      <c r="LTG1113" s="15"/>
      <c r="LTH1113" s="15"/>
      <c r="LTK1113" s="15"/>
      <c r="LTL1113" s="15"/>
      <c r="LTO1113" s="15"/>
      <c r="LTP1113" s="15"/>
      <c r="LTS1113" s="15"/>
      <c r="LTT1113" s="15"/>
      <c r="LTW1113" s="15"/>
      <c r="LTX1113" s="15"/>
      <c r="LUA1113" s="15"/>
      <c r="LUB1113" s="15"/>
      <c r="LUE1113" s="15"/>
      <c r="LUF1113" s="15"/>
      <c r="LUI1113" s="15"/>
      <c r="LUJ1113" s="15"/>
      <c r="LUM1113" s="15"/>
      <c r="LUN1113" s="15"/>
      <c r="LUQ1113" s="15"/>
      <c r="LUR1113" s="15"/>
      <c r="LUU1113" s="15"/>
      <c r="LUV1113" s="15"/>
      <c r="LUY1113" s="15"/>
      <c r="LUZ1113" s="15"/>
      <c r="LVC1113" s="15"/>
      <c r="LVD1113" s="15"/>
      <c r="LVG1113" s="15"/>
      <c r="LVH1113" s="15"/>
      <c r="LVK1113" s="15"/>
      <c r="LVL1113" s="15"/>
      <c r="LVO1113" s="15"/>
      <c r="LVP1113" s="15"/>
      <c r="LVS1113" s="15"/>
      <c r="LVT1113" s="15"/>
      <c r="LVW1113" s="15"/>
      <c r="LVX1113" s="15"/>
      <c r="LWA1113" s="15"/>
      <c r="LWB1113" s="15"/>
      <c r="LWE1113" s="15"/>
      <c r="LWF1113" s="15"/>
      <c r="LWI1113" s="15"/>
      <c r="LWJ1113" s="15"/>
      <c r="LWM1113" s="15"/>
      <c r="LWN1113" s="15"/>
      <c r="LWQ1113" s="15"/>
      <c r="LWR1113" s="15"/>
      <c r="LWU1113" s="15"/>
      <c r="LWV1113" s="15"/>
      <c r="LWY1113" s="15"/>
      <c r="LWZ1113" s="15"/>
      <c r="LXC1113" s="15"/>
      <c r="LXD1113" s="15"/>
      <c r="LXG1113" s="15"/>
      <c r="LXH1113" s="15"/>
      <c r="LXK1113" s="15"/>
      <c r="LXL1113" s="15"/>
      <c r="LXO1113" s="15"/>
      <c r="LXP1113" s="15"/>
      <c r="LXS1113" s="15"/>
      <c r="LXT1113" s="15"/>
      <c r="LXW1113" s="15"/>
      <c r="LXX1113" s="15"/>
      <c r="LYA1113" s="15"/>
      <c r="LYB1113" s="15"/>
      <c r="LYE1113" s="15"/>
      <c r="LYF1113" s="15"/>
      <c r="LYI1113" s="15"/>
      <c r="LYJ1113" s="15"/>
      <c r="LYM1113" s="15"/>
      <c r="LYN1113" s="15"/>
      <c r="LYQ1113" s="15"/>
      <c r="LYR1113" s="15"/>
      <c r="LYU1113" s="15"/>
      <c r="LYV1113" s="15"/>
      <c r="LYY1113" s="15"/>
      <c r="LYZ1113" s="15"/>
      <c r="LZC1113" s="15"/>
      <c r="LZD1113" s="15"/>
      <c r="LZG1113" s="15"/>
      <c r="LZH1113" s="15"/>
      <c r="LZK1113" s="15"/>
      <c r="LZL1113" s="15"/>
      <c r="LZO1113" s="15"/>
      <c r="LZP1113" s="15"/>
      <c r="LZS1113" s="15"/>
      <c r="LZT1113" s="15"/>
      <c r="LZW1113" s="15"/>
      <c r="LZX1113" s="15"/>
      <c r="MAA1113" s="15"/>
      <c r="MAB1113" s="15"/>
      <c r="MAE1113" s="15"/>
      <c r="MAF1113" s="15"/>
      <c r="MAI1113" s="15"/>
      <c r="MAJ1113" s="15"/>
      <c r="MAM1113" s="15"/>
      <c r="MAN1113" s="15"/>
      <c r="MAQ1113" s="15"/>
      <c r="MAR1113" s="15"/>
      <c r="MAU1113" s="15"/>
      <c r="MAV1113" s="15"/>
      <c r="MAY1113" s="15"/>
      <c r="MAZ1113" s="15"/>
      <c r="MBC1113" s="15"/>
      <c r="MBD1113" s="15"/>
      <c r="MBG1113" s="15"/>
      <c r="MBH1113" s="15"/>
      <c r="MBK1113" s="15"/>
      <c r="MBL1113" s="15"/>
      <c r="MBO1113" s="15"/>
      <c r="MBP1113" s="15"/>
      <c r="MBS1113" s="15"/>
      <c r="MBT1113" s="15"/>
      <c r="MBW1113" s="15"/>
      <c r="MBX1113" s="15"/>
      <c r="MCA1113" s="15"/>
      <c r="MCB1113" s="15"/>
      <c r="MCE1113" s="15"/>
      <c r="MCF1113" s="15"/>
      <c r="MCI1113" s="15"/>
      <c r="MCJ1113" s="15"/>
      <c r="MCM1113" s="15"/>
      <c r="MCN1113" s="15"/>
      <c r="MCQ1113" s="15"/>
      <c r="MCR1113" s="15"/>
      <c r="MCU1113" s="15"/>
      <c r="MCV1113" s="15"/>
      <c r="MCY1113" s="15"/>
      <c r="MCZ1113" s="15"/>
      <c r="MDC1113" s="15"/>
      <c r="MDD1113" s="15"/>
      <c r="MDG1113" s="15"/>
      <c r="MDH1113" s="15"/>
      <c r="MDK1113" s="15"/>
      <c r="MDL1113" s="15"/>
      <c r="MDO1113" s="15"/>
      <c r="MDP1113" s="15"/>
      <c r="MDS1113" s="15"/>
      <c r="MDT1113" s="15"/>
      <c r="MDW1113" s="15"/>
      <c r="MDX1113" s="15"/>
      <c r="MEA1113" s="15"/>
      <c r="MEB1113" s="15"/>
      <c r="MEE1113" s="15"/>
      <c r="MEF1113" s="15"/>
      <c r="MEI1113" s="15"/>
      <c r="MEJ1113" s="15"/>
      <c r="MEM1113" s="15"/>
      <c r="MEN1113" s="15"/>
      <c r="MEQ1113" s="15"/>
      <c r="MER1113" s="15"/>
      <c r="MEU1113" s="15"/>
      <c r="MEV1113" s="15"/>
      <c r="MEY1113" s="15"/>
      <c r="MEZ1113" s="15"/>
      <c r="MFC1113" s="15"/>
      <c r="MFD1113" s="15"/>
      <c r="MFG1113" s="15"/>
      <c r="MFH1113" s="15"/>
      <c r="MFK1113" s="15"/>
      <c r="MFL1113" s="15"/>
      <c r="MFO1113" s="15"/>
      <c r="MFP1113" s="15"/>
      <c r="MFS1113" s="15"/>
      <c r="MFT1113" s="15"/>
      <c r="MFW1113" s="15"/>
      <c r="MFX1113" s="15"/>
      <c r="MGA1113" s="15"/>
      <c r="MGB1113" s="15"/>
      <c r="MGE1113" s="15"/>
      <c r="MGF1113" s="15"/>
      <c r="MGI1113" s="15"/>
      <c r="MGJ1113" s="15"/>
      <c r="MGM1113" s="15"/>
      <c r="MGN1113" s="15"/>
      <c r="MGQ1113" s="15"/>
      <c r="MGR1113" s="15"/>
      <c r="MGU1113" s="15"/>
      <c r="MGV1113" s="15"/>
      <c r="MGY1113" s="15"/>
      <c r="MGZ1113" s="15"/>
      <c r="MHC1113" s="15"/>
      <c r="MHD1113" s="15"/>
      <c r="MHG1113" s="15"/>
      <c r="MHH1113" s="15"/>
      <c r="MHK1113" s="15"/>
      <c r="MHL1113" s="15"/>
      <c r="MHO1113" s="15"/>
      <c r="MHP1113" s="15"/>
      <c r="MHS1113" s="15"/>
      <c r="MHT1113" s="15"/>
      <c r="MHW1113" s="15"/>
      <c r="MHX1113" s="15"/>
      <c r="MIA1113" s="15"/>
      <c r="MIB1113" s="15"/>
      <c r="MIE1113" s="15"/>
      <c r="MIF1113" s="15"/>
      <c r="MII1113" s="15"/>
      <c r="MIJ1113" s="15"/>
      <c r="MIM1113" s="15"/>
      <c r="MIN1113" s="15"/>
      <c r="MIQ1113" s="15"/>
      <c r="MIR1113" s="15"/>
      <c r="MIU1113" s="15"/>
      <c r="MIV1113" s="15"/>
      <c r="MIY1113" s="15"/>
      <c r="MIZ1113" s="15"/>
      <c r="MJC1113" s="15"/>
      <c r="MJD1113" s="15"/>
      <c r="MJG1113" s="15"/>
      <c r="MJH1113" s="15"/>
      <c r="MJK1113" s="15"/>
      <c r="MJL1113" s="15"/>
      <c r="MJO1113" s="15"/>
      <c r="MJP1113" s="15"/>
      <c r="MJS1113" s="15"/>
      <c r="MJT1113" s="15"/>
      <c r="MJW1113" s="15"/>
      <c r="MJX1113" s="15"/>
      <c r="MKA1113" s="15"/>
      <c r="MKB1113" s="15"/>
      <c r="MKE1113" s="15"/>
      <c r="MKF1113" s="15"/>
      <c r="MKI1113" s="15"/>
      <c r="MKJ1113" s="15"/>
      <c r="MKM1113" s="15"/>
      <c r="MKN1113" s="15"/>
      <c r="MKQ1113" s="15"/>
      <c r="MKR1113" s="15"/>
      <c r="MKU1113" s="15"/>
      <c r="MKV1113" s="15"/>
      <c r="MKY1113" s="15"/>
      <c r="MKZ1113" s="15"/>
      <c r="MLC1113" s="15"/>
      <c r="MLD1113" s="15"/>
      <c r="MLG1113" s="15"/>
      <c r="MLH1113" s="15"/>
      <c r="MLK1113" s="15"/>
      <c r="MLL1113" s="15"/>
      <c r="MLO1113" s="15"/>
      <c r="MLP1113" s="15"/>
      <c r="MLS1113" s="15"/>
      <c r="MLT1113" s="15"/>
      <c r="MLW1113" s="15"/>
      <c r="MLX1113" s="15"/>
      <c r="MMA1113" s="15"/>
      <c r="MMB1113" s="15"/>
      <c r="MME1113" s="15"/>
      <c r="MMF1113" s="15"/>
      <c r="MMI1113" s="15"/>
      <c r="MMJ1113" s="15"/>
      <c r="MMM1113" s="15"/>
      <c r="MMN1113" s="15"/>
      <c r="MMQ1113" s="15"/>
      <c r="MMR1113" s="15"/>
      <c r="MMU1113" s="15"/>
      <c r="MMV1113" s="15"/>
      <c r="MMY1113" s="15"/>
      <c r="MMZ1113" s="15"/>
      <c r="MNC1113" s="15"/>
      <c r="MND1113" s="15"/>
      <c r="MNG1113" s="15"/>
      <c r="MNH1113" s="15"/>
      <c r="MNK1113" s="15"/>
      <c r="MNL1113" s="15"/>
      <c r="MNO1113" s="15"/>
      <c r="MNP1113" s="15"/>
      <c r="MNS1113" s="15"/>
      <c r="MNT1113" s="15"/>
      <c r="MNW1113" s="15"/>
      <c r="MNX1113" s="15"/>
      <c r="MOA1113" s="15"/>
      <c r="MOB1113" s="15"/>
      <c r="MOE1113" s="15"/>
      <c r="MOF1113" s="15"/>
      <c r="MOI1113" s="15"/>
      <c r="MOJ1113" s="15"/>
      <c r="MOM1113" s="15"/>
      <c r="MON1113" s="15"/>
      <c r="MOQ1113" s="15"/>
      <c r="MOR1113" s="15"/>
      <c r="MOU1113" s="15"/>
      <c r="MOV1113" s="15"/>
      <c r="MOY1113" s="15"/>
      <c r="MOZ1113" s="15"/>
      <c r="MPC1113" s="15"/>
      <c r="MPD1113" s="15"/>
      <c r="MPG1113" s="15"/>
      <c r="MPH1113" s="15"/>
      <c r="MPK1113" s="15"/>
      <c r="MPL1113" s="15"/>
      <c r="MPO1113" s="15"/>
      <c r="MPP1113" s="15"/>
      <c r="MPS1113" s="15"/>
      <c r="MPT1113" s="15"/>
      <c r="MPW1113" s="15"/>
      <c r="MPX1113" s="15"/>
      <c r="MQA1113" s="15"/>
      <c r="MQB1113" s="15"/>
      <c r="MQE1113" s="15"/>
      <c r="MQF1113" s="15"/>
      <c r="MQI1113" s="15"/>
      <c r="MQJ1113" s="15"/>
      <c r="MQM1113" s="15"/>
      <c r="MQN1113" s="15"/>
      <c r="MQQ1113" s="15"/>
      <c r="MQR1113" s="15"/>
      <c r="MQU1113" s="15"/>
      <c r="MQV1113" s="15"/>
      <c r="MQY1113" s="15"/>
      <c r="MQZ1113" s="15"/>
      <c r="MRC1113" s="15"/>
      <c r="MRD1113" s="15"/>
      <c r="MRG1113" s="15"/>
      <c r="MRH1113" s="15"/>
      <c r="MRK1113" s="15"/>
      <c r="MRL1113" s="15"/>
      <c r="MRO1113" s="15"/>
      <c r="MRP1113" s="15"/>
      <c r="MRS1113" s="15"/>
      <c r="MRT1113" s="15"/>
      <c r="MRW1113" s="15"/>
      <c r="MRX1113" s="15"/>
      <c r="MSA1113" s="15"/>
      <c r="MSB1113" s="15"/>
      <c r="MSE1113" s="15"/>
      <c r="MSF1113" s="15"/>
      <c r="MSI1113" s="15"/>
      <c r="MSJ1113" s="15"/>
      <c r="MSM1113" s="15"/>
      <c r="MSN1113" s="15"/>
      <c r="MSQ1113" s="15"/>
      <c r="MSR1113" s="15"/>
      <c r="MSU1113" s="15"/>
      <c r="MSV1113" s="15"/>
      <c r="MSY1113" s="15"/>
      <c r="MSZ1113" s="15"/>
      <c r="MTC1113" s="15"/>
      <c r="MTD1113" s="15"/>
      <c r="MTG1113" s="15"/>
      <c r="MTH1113" s="15"/>
      <c r="MTK1113" s="15"/>
      <c r="MTL1113" s="15"/>
      <c r="MTO1113" s="15"/>
      <c r="MTP1113" s="15"/>
      <c r="MTS1113" s="15"/>
      <c r="MTT1113" s="15"/>
      <c r="MTW1113" s="15"/>
      <c r="MTX1113" s="15"/>
      <c r="MUA1113" s="15"/>
      <c r="MUB1113" s="15"/>
      <c r="MUE1113" s="15"/>
      <c r="MUF1113" s="15"/>
      <c r="MUI1113" s="15"/>
      <c r="MUJ1113" s="15"/>
      <c r="MUM1113" s="15"/>
      <c r="MUN1113" s="15"/>
      <c r="MUQ1113" s="15"/>
      <c r="MUR1113" s="15"/>
      <c r="MUU1113" s="15"/>
      <c r="MUV1113" s="15"/>
      <c r="MUY1113" s="15"/>
      <c r="MUZ1113" s="15"/>
      <c r="MVC1113" s="15"/>
      <c r="MVD1113" s="15"/>
      <c r="MVG1113" s="15"/>
      <c r="MVH1113" s="15"/>
      <c r="MVK1113" s="15"/>
      <c r="MVL1113" s="15"/>
      <c r="MVO1113" s="15"/>
      <c r="MVP1113" s="15"/>
      <c r="MVS1113" s="15"/>
      <c r="MVT1113" s="15"/>
      <c r="MVW1113" s="15"/>
      <c r="MVX1113" s="15"/>
      <c r="MWA1113" s="15"/>
      <c r="MWB1113" s="15"/>
      <c r="MWE1113" s="15"/>
      <c r="MWF1113" s="15"/>
      <c r="MWI1113" s="15"/>
      <c r="MWJ1113" s="15"/>
      <c r="MWM1113" s="15"/>
      <c r="MWN1113" s="15"/>
      <c r="MWQ1113" s="15"/>
      <c r="MWR1113" s="15"/>
      <c r="MWU1113" s="15"/>
      <c r="MWV1113" s="15"/>
      <c r="MWY1113" s="15"/>
      <c r="MWZ1113" s="15"/>
      <c r="MXC1113" s="15"/>
      <c r="MXD1113" s="15"/>
      <c r="MXG1113" s="15"/>
      <c r="MXH1113" s="15"/>
      <c r="MXK1113" s="15"/>
      <c r="MXL1113" s="15"/>
      <c r="MXO1113" s="15"/>
      <c r="MXP1113" s="15"/>
      <c r="MXS1113" s="15"/>
      <c r="MXT1113" s="15"/>
      <c r="MXW1113" s="15"/>
      <c r="MXX1113" s="15"/>
      <c r="MYA1113" s="15"/>
      <c r="MYB1113" s="15"/>
      <c r="MYE1113" s="15"/>
      <c r="MYF1113" s="15"/>
      <c r="MYI1113" s="15"/>
      <c r="MYJ1113" s="15"/>
      <c r="MYM1113" s="15"/>
      <c r="MYN1113" s="15"/>
      <c r="MYQ1113" s="15"/>
      <c r="MYR1113" s="15"/>
      <c r="MYU1113" s="15"/>
      <c r="MYV1113" s="15"/>
      <c r="MYY1113" s="15"/>
      <c r="MYZ1113" s="15"/>
      <c r="MZC1113" s="15"/>
      <c r="MZD1113" s="15"/>
      <c r="MZG1113" s="15"/>
      <c r="MZH1113" s="15"/>
      <c r="MZK1113" s="15"/>
      <c r="MZL1113" s="15"/>
      <c r="MZO1113" s="15"/>
      <c r="MZP1113" s="15"/>
      <c r="MZS1113" s="15"/>
      <c r="MZT1113" s="15"/>
      <c r="MZW1113" s="15"/>
      <c r="MZX1113" s="15"/>
      <c r="NAA1113" s="15"/>
      <c r="NAB1113" s="15"/>
      <c r="NAE1113" s="15"/>
      <c r="NAF1113" s="15"/>
      <c r="NAI1113" s="15"/>
      <c r="NAJ1113" s="15"/>
      <c r="NAM1113" s="15"/>
      <c r="NAN1113" s="15"/>
      <c r="NAQ1113" s="15"/>
      <c r="NAR1113" s="15"/>
      <c r="NAU1113" s="15"/>
      <c r="NAV1113" s="15"/>
      <c r="NAY1113" s="15"/>
      <c r="NAZ1113" s="15"/>
      <c r="NBC1113" s="15"/>
      <c r="NBD1113" s="15"/>
      <c r="NBG1113" s="15"/>
      <c r="NBH1113" s="15"/>
      <c r="NBK1113" s="15"/>
      <c r="NBL1113" s="15"/>
      <c r="NBO1113" s="15"/>
      <c r="NBP1113" s="15"/>
      <c r="NBS1113" s="15"/>
      <c r="NBT1113" s="15"/>
      <c r="NBW1113" s="15"/>
      <c r="NBX1113" s="15"/>
      <c r="NCA1113" s="15"/>
      <c r="NCB1113" s="15"/>
      <c r="NCE1113" s="15"/>
      <c r="NCF1113" s="15"/>
      <c r="NCI1113" s="15"/>
      <c r="NCJ1113" s="15"/>
      <c r="NCM1113" s="15"/>
      <c r="NCN1113" s="15"/>
      <c r="NCQ1113" s="15"/>
      <c r="NCR1113" s="15"/>
      <c r="NCU1113" s="15"/>
      <c r="NCV1113" s="15"/>
      <c r="NCY1113" s="15"/>
      <c r="NCZ1113" s="15"/>
      <c r="NDC1113" s="15"/>
      <c r="NDD1113" s="15"/>
      <c r="NDG1113" s="15"/>
      <c r="NDH1113" s="15"/>
      <c r="NDK1113" s="15"/>
      <c r="NDL1113" s="15"/>
      <c r="NDO1113" s="15"/>
      <c r="NDP1113" s="15"/>
      <c r="NDS1113" s="15"/>
      <c r="NDT1113" s="15"/>
      <c r="NDW1113" s="15"/>
      <c r="NDX1113" s="15"/>
      <c r="NEA1113" s="15"/>
      <c r="NEB1113" s="15"/>
      <c r="NEE1113" s="15"/>
      <c r="NEF1113" s="15"/>
      <c r="NEI1113" s="15"/>
      <c r="NEJ1113" s="15"/>
      <c r="NEM1113" s="15"/>
      <c r="NEN1113" s="15"/>
      <c r="NEQ1113" s="15"/>
      <c r="NER1113" s="15"/>
      <c r="NEU1113" s="15"/>
      <c r="NEV1113" s="15"/>
      <c r="NEY1113" s="15"/>
      <c r="NEZ1113" s="15"/>
      <c r="NFC1113" s="15"/>
      <c r="NFD1113" s="15"/>
      <c r="NFG1113" s="15"/>
      <c r="NFH1113" s="15"/>
      <c r="NFK1113" s="15"/>
      <c r="NFL1113" s="15"/>
      <c r="NFO1113" s="15"/>
      <c r="NFP1113" s="15"/>
      <c r="NFS1113" s="15"/>
      <c r="NFT1113" s="15"/>
      <c r="NFW1113" s="15"/>
      <c r="NFX1113" s="15"/>
      <c r="NGA1113" s="15"/>
      <c r="NGB1113" s="15"/>
      <c r="NGE1113" s="15"/>
      <c r="NGF1113" s="15"/>
      <c r="NGI1113" s="15"/>
      <c r="NGJ1113" s="15"/>
      <c r="NGM1113" s="15"/>
      <c r="NGN1113" s="15"/>
      <c r="NGQ1113" s="15"/>
      <c r="NGR1113" s="15"/>
      <c r="NGU1113" s="15"/>
      <c r="NGV1113" s="15"/>
      <c r="NGY1113" s="15"/>
      <c r="NGZ1113" s="15"/>
      <c r="NHC1113" s="15"/>
      <c r="NHD1113" s="15"/>
      <c r="NHG1113" s="15"/>
      <c r="NHH1113" s="15"/>
      <c r="NHK1113" s="15"/>
      <c r="NHL1113" s="15"/>
      <c r="NHO1113" s="15"/>
      <c r="NHP1113" s="15"/>
      <c r="NHS1113" s="15"/>
      <c r="NHT1113" s="15"/>
      <c r="NHW1113" s="15"/>
      <c r="NHX1113" s="15"/>
      <c r="NIA1113" s="15"/>
      <c r="NIB1113" s="15"/>
      <c r="NIE1113" s="15"/>
      <c r="NIF1113" s="15"/>
      <c r="NII1113" s="15"/>
      <c r="NIJ1113" s="15"/>
      <c r="NIM1113" s="15"/>
      <c r="NIN1113" s="15"/>
      <c r="NIQ1113" s="15"/>
      <c r="NIR1113" s="15"/>
      <c r="NIU1113" s="15"/>
      <c r="NIV1113" s="15"/>
      <c r="NIY1113" s="15"/>
      <c r="NIZ1113" s="15"/>
      <c r="NJC1113" s="15"/>
      <c r="NJD1113" s="15"/>
      <c r="NJG1113" s="15"/>
      <c r="NJH1113" s="15"/>
      <c r="NJK1113" s="15"/>
      <c r="NJL1113" s="15"/>
      <c r="NJO1113" s="15"/>
      <c r="NJP1113" s="15"/>
      <c r="NJS1113" s="15"/>
      <c r="NJT1113" s="15"/>
      <c r="NJW1113" s="15"/>
      <c r="NJX1113" s="15"/>
      <c r="NKA1113" s="15"/>
      <c r="NKB1113" s="15"/>
      <c r="NKE1113" s="15"/>
      <c r="NKF1113" s="15"/>
      <c r="NKI1113" s="15"/>
      <c r="NKJ1113" s="15"/>
      <c r="NKM1113" s="15"/>
      <c r="NKN1113" s="15"/>
      <c r="NKQ1113" s="15"/>
      <c r="NKR1113" s="15"/>
      <c r="NKU1113" s="15"/>
      <c r="NKV1113" s="15"/>
      <c r="NKY1113" s="15"/>
      <c r="NKZ1113" s="15"/>
      <c r="NLC1113" s="15"/>
      <c r="NLD1113" s="15"/>
      <c r="NLG1113" s="15"/>
      <c r="NLH1113" s="15"/>
      <c r="NLK1113" s="15"/>
      <c r="NLL1113" s="15"/>
      <c r="NLO1113" s="15"/>
      <c r="NLP1113" s="15"/>
      <c r="NLS1113" s="15"/>
      <c r="NLT1113" s="15"/>
      <c r="NLW1113" s="15"/>
      <c r="NLX1113" s="15"/>
      <c r="NMA1113" s="15"/>
      <c r="NMB1113" s="15"/>
      <c r="NME1113" s="15"/>
      <c r="NMF1113" s="15"/>
      <c r="NMI1113" s="15"/>
      <c r="NMJ1113" s="15"/>
      <c r="NMM1113" s="15"/>
      <c r="NMN1113" s="15"/>
      <c r="NMQ1113" s="15"/>
      <c r="NMR1113" s="15"/>
      <c r="NMU1113" s="15"/>
      <c r="NMV1113" s="15"/>
      <c r="NMY1113" s="15"/>
      <c r="NMZ1113" s="15"/>
      <c r="NNC1113" s="15"/>
      <c r="NND1113" s="15"/>
      <c r="NNG1113" s="15"/>
      <c r="NNH1113" s="15"/>
      <c r="NNK1113" s="15"/>
      <c r="NNL1113" s="15"/>
      <c r="NNO1113" s="15"/>
      <c r="NNP1113" s="15"/>
      <c r="NNS1113" s="15"/>
      <c r="NNT1113" s="15"/>
      <c r="NNW1113" s="15"/>
      <c r="NNX1113" s="15"/>
      <c r="NOA1113" s="15"/>
      <c r="NOB1113" s="15"/>
      <c r="NOE1113" s="15"/>
      <c r="NOF1113" s="15"/>
      <c r="NOI1113" s="15"/>
      <c r="NOJ1113" s="15"/>
      <c r="NOM1113" s="15"/>
      <c r="NON1113" s="15"/>
      <c r="NOQ1113" s="15"/>
      <c r="NOR1113" s="15"/>
      <c r="NOU1113" s="15"/>
      <c r="NOV1113" s="15"/>
      <c r="NOY1113" s="15"/>
      <c r="NOZ1113" s="15"/>
      <c r="NPC1113" s="15"/>
      <c r="NPD1113" s="15"/>
      <c r="NPG1113" s="15"/>
      <c r="NPH1113" s="15"/>
      <c r="NPK1113" s="15"/>
      <c r="NPL1113" s="15"/>
      <c r="NPO1113" s="15"/>
      <c r="NPP1113" s="15"/>
      <c r="NPS1113" s="15"/>
      <c r="NPT1113" s="15"/>
      <c r="NPW1113" s="15"/>
      <c r="NPX1113" s="15"/>
      <c r="NQA1113" s="15"/>
      <c r="NQB1113" s="15"/>
      <c r="NQE1113" s="15"/>
      <c r="NQF1113" s="15"/>
      <c r="NQI1113" s="15"/>
      <c r="NQJ1113" s="15"/>
      <c r="NQM1113" s="15"/>
      <c r="NQN1113" s="15"/>
      <c r="NQQ1113" s="15"/>
      <c r="NQR1113" s="15"/>
      <c r="NQU1113" s="15"/>
      <c r="NQV1113" s="15"/>
      <c r="NQY1113" s="15"/>
      <c r="NQZ1113" s="15"/>
      <c r="NRC1113" s="15"/>
      <c r="NRD1113" s="15"/>
      <c r="NRG1113" s="15"/>
      <c r="NRH1113" s="15"/>
      <c r="NRK1113" s="15"/>
      <c r="NRL1113" s="15"/>
      <c r="NRO1113" s="15"/>
      <c r="NRP1113" s="15"/>
      <c r="NRS1113" s="15"/>
      <c r="NRT1113" s="15"/>
      <c r="NRW1113" s="15"/>
      <c r="NRX1113" s="15"/>
      <c r="NSA1113" s="15"/>
      <c r="NSB1113" s="15"/>
      <c r="NSE1113" s="15"/>
      <c r="NSF1113" s="15"/>
      <c r="NSI1113" s="15"/>
      <c r="NSJ1113" s="15"/>
      <c r="NSM1113" s="15"/>
      <c r="NSN1113" s="15"/>
      <c r="NSQ1113" s="15"/>
      <c r="NSR1113" s="15"/>
      <c r="NSU1113" s="15"/>
      <c r="NSV1113" s="15"/>
      <c r="NSY1113" s="15"/>
      <c r="NSZ1113" s="15"/>
      <c r="NTC1113" s="15"/>
      <c r="NTD1113" s="15"/>
      <c r="NTG1113" s="15"/>
      <c r="NTH1113" s="15"/>
      <c r="NTK1113" s="15"/>
      <c r="NTL1113" s="15"/>
      <c r="NTO1113" s="15"/>
      <c r="NTP1113" s="15"/>
      <c r="NTS1113" s="15"/>
      <c r="NTT1113" s="15"/>
      <c r="NTW1113" s="15"/>
      <c r="NTX1113" s="15"/>
      <c r="NUA1113" s="15"/>
      <c r="NUB1113" s="15"/>
      <c r="NUE1113" s="15"/>
      <c r="NUF1113" s="15"/>
      <c r="NUI1113" s="15"/>
      <c r="NUJ1113" s="15"/>
      <c r="NUM1113" s="15"/>
      <c r="NUN1113" s="15"/>
      <c r="NUQ1113" s="15"/>
      <c r="NUR1113" s="15"/>
      <c r="NUU1113" s="15"/>
      <c r="NUV1113" s="15"/>
      <c r="NUY1113" s="15"/>
      <c r="NUZ1113" s="15"/>
      <c r="NVC1113" s="15"/>
      <c r="NVD1113" s="15"/>
      <c r="NVG1113" s="15"/>
      <c r="NVH1113" s="15"/>
      <c r="NVK1113" s="15"/>
      <c r="NVL1113" s="15"/>
      <c r="NVO1113" s="15"/>
      <c r="NVP1113" s="15"/>
      <c r="NVS1113" s="15"/>
      <c r="NVT1113" s="15"/>
      <c r="NVW1113" s="15"/>
      <c r="NVX1113" s="15"/>
      <c r="NWA1113" s="15"/>
      <c r="NWB1113" s="15"/>
      <c r="NWE1113" s="15"/>
      <c r="NWF1113" s="15"/>
      <c r="NWI1113" s="15"/>
      <c r="NWJ1113" s="15"/>
      <c r="NWM1113" s="15"/>
      <c r="NWN1113" s="15"/>
      <c r="NWQ1113" s="15"/>
      <c r="NWR1113" s="15"/>
      <c r="NWU1113" s="15"/>
      <c r="NWV1113" s="15"/>
      <c r="NWY1113" s="15"/>
      <c r="NWZ1113" s="15"/>
      <c r="NXC1113" s="15"/>
      <c r="NXD1113" s="15"/>
      <c r="NXG1113" s="15"/>
      <c r="NXH1113" s="15"/>
      <c r="NXK1113" s="15"/>
      <c r="NXL1113" s="15"/>
      <c r="NXO1113" s="15"/>
      <c r="NXP1113" s="15"/>
      <c r="NXS1113" s="15"/>
      <c r="NXT1113" s="15"/>
      <c r="NXW1113" s="15"/>
      <c r="NXX1113" s="15"/>
      <c r="NYA1113" s="15"/>
      <c r="NYB1113" s="15"/>
      <c r="NYE1113" s="15"/>
      <c r="NYF1113" s="15"/>
      <c r="NYI1113" s="15"/>
      <c r="NYJ1113" s="15"/>
      <c r="NYM1113" s="15"/>
      <c r="NYN1113" s="15"/>
      <c r="NYQ1113" s="15"/>
      <c r="NYR1113" s="15"/>
      <c r="NYU1113" s="15"/>
      <c r="NYV1113" s="15"/>
      <c r="NYY1113" s="15"/>
      <c r="NYZ1113" s="15"/>
      <c r="NZC1113" s="15"/>
      <c r="NZD1113" s="15"/>
      <c r="NZG1113" s="15"/>
      <c r="NZH1113" s="15"/>
      <c r="NZK1113" s="15"/>
      <c r="NZL1113" s="15"/>
      <c r="NZO1113" s="15"/>
      <c r="NZP1113" s="15"/>
      <c r="NZS1113" s="15"/>
      <c r="NZT1113" s="15"/>
      <c r="NZW1113" s="15"/>
      <c r="NZX1113" s="15"/>
      <c r="OAA1113" s="15"/>
      <c r="OAB1113" s="15"/>
      <c r="OAE1113" s="15"/>
      <c r="OAF1113" s="15"/>
      <c r="OAI1113" s="15"/>
      <c r="OAJ1113" s="15"/>
      <c r="OAM1113" s="15"/>
      <c r="OAN1113" s="15"/>
      <c r="OAQ1113" s="15"/>
      <c r="OAR1113" s="15"/>
      <c r="OAU1113" s="15"/>
      <c r="OAV1113" s="15"/>
      <c r="OAY1113" s="15"/>
      <c r="OAZ1113" s="15"/>
      <c r="OBC1113" s="15"/>
      <c r="OBD1113" s="15"/>
      <c r="OBG1113" s="15"/>
      <c r="OBH1113" s="15"/>
      <c r="OBK1113" s="15"/>
      <c r="OBL1113" s="15"/>
      <c r="OBO1113" s="15"/>
      <c r="OBP1113" s="15"/>
      <c r="OBS1113" s="15"/>
      <c r="OBT1113" s="15"/>
      <c r="OBW1113" s="15"/>
      <c r="OBX1113" s="15"/>
      <c r="OCA1113" s="15"/>
      <c r="OCB1113" s="15"/>
      <c r="OCE1113" s="15"/>
      <c r="OCF1113" s="15"/>
      <c r="OCI1113" s="15"/>
      <c r="OCJ1113" s="15"/>
      <c r="OCM1113" s="15"/>
      <c r="OCN1113" s="15"/>
      <c r="OCQ1113" s="15"/>
      <c r="OCR1113" s="15"/>
      <c r="OCU1113" s="15"/>
      <c r="OCV1113" s="15"/>
      <c r="OCY1113" s="15"/>
      <c r="OCZ1113" s="15"/>
      <c r="ODC1113" s="15"/>
      <c r="ODD1113" s="15"/>
      <c r="ODG1113" s="15"/>
      <c r="ODH1113" s="15"/>
      <c r="ODK1113" s="15"/>
      <c r="ODL1113" s="15"/>
      <c r="ODO1113" s="15"/>
      <c r="ODP1113" s="15"/>
      <c r="ODS1113" s="15"/>
      <c r="ODT1113" s="15"/>
      <c r="ODW1113" s="15"/>
      <c r="ODX1113" s="15"/>
      <c r="OEA1113" s="15"/>
      <c r="OEB1113" s="15"/>
      <c r="OEE1113" s="15"/>
      <c r="OEF1113" s="15"/>
      <c r="OEI1113" s="15"/>
      <c r="OEJ1113" s="15"/>
      <c r="OEM1113" s="15"/>
      <c r="OEN1113" s="15"/>
      <c r="OEQ1113" s="15"/>
      <c r="OER1113" s="15"/>
      <c r="OEU1113" s="15"/>
      <c r="OEV1113" s="15"/>
      <c r="OEY1113" s="15"/>
      <c r="OEZ1113" s="15"/>
      <c r="OFC1113" s="15"/>
      <c r="OFD1113" s="15"/>
      <c r="OFG1113" s="15"/>
      <c r="OFH1113" s="15"/>
      <c r="OFK1113" s="15"/>
      <c r="OFL1113" s="15"/>
      <c r="OFO1113" s="15"/>
      <c r="OFP1113" s="15"/>
      <c r="OFS1113" s="15"/>
      <c r="OFT1113" s="15"/>
      <c r="OFW1113" s="15"/>
      <c r="OFX1113" s="15"/>
      <c r="OGA1113" s="15"/>
      <c r="OGB1113" s="15"/>
      <c r="OGE1113" s="15"/>
      <c r="OGF1113" s="15"/>
      <c r="OGI1113" s="15"/>
      <c r="OGJ1113" s="15"/>
      <c r="OGM1113" s="15"/>
      <c r="OGN1113" s="15"/>
      <c r="OGQ1113" s="15"/>
      <c r="OGR1113" s="15"/>
      <c r="OGU1113" s="15"/>
      <c r="OGV1113" s="15"/>
      <c r="OGY1113" s="15"/>
      <c r="OGZ1113" s="15"/>
      <c r="OHC1113" s="15"/>
      <c r="OHD1113" s="15"/>
      <c r="OHG1113" s="15"/>
      <c r="OHH1113" s="15"/>
      <c r="OHK1113" s="15"/>
      <c r="OHL1113" s="15"/>
      <c r="OHO1113" s="15"/>
      <c r="OHP1113" s="15"/>
      <c r="OHS1113" s="15"/>
      <c r="OHT1113" s="15"/>
      <c r="OHW1113" s="15"/>
      <c r="OHX1113" s="15"/>
      <c r="OIA1113" s="15"/>
      <c r="OIB1113" s="15"/>
      <c r="OIE1113" s="15"/>
      <c r="OIF1113" s="15"/>
      <c r="OII1113" s="15"/>
      <c r="OIJ1113" s="15"/>
      <c r="OIM1113" s="15"/>
      <c r="OIN1113" s="15"/>
      <c r="OIQ1113" s="15"/>
      <c r="OIR1113" s="15"/>
      <c r="OIU1113" s="15"/>
      <c r="OIV1113" s="15"/>
      <c r="OIY1113" s="15"/>
      <c r="OIZ1113" s="15"/>
      <c r="OJC1113" s="15"/>
      <c r="OJD1113" s="15"/>
      <c r="OJG1113" s="15"/>
      <c r="OJH1113" s="15"/>
      <c r="OJK1113" s="15"/>
      <c r="OJL1113" s="15"/>
      <c r="OJO1113" s="15"/>
      <c r="OJP1113" s="15"/>
      <c r="OJS1113" s="15"/>
      <c r="OJT1113" s="15"/>
      <c r="OJW1113" s="15"/>
      <c r="OJX1113" s="15"/>
      <c r="OKA1113" s="15"/>
      <c r="OKB1113" s="15"/>
      <c r="OKE1113" s="15"/>
      <c r="OKF1113" s="15"/>
      <c r="OKI1113" s="15"/>
      <c r="OKJ1113" s="15"/>
      <c r="OKM1113" s="15"/>
      <c r="OKN1113" s="15"/>
      <c r="OKQ1113" s="15"/>
      <c r="OKR1113" s="15"/>
      <c r="OKU1113" s="15"/>
      <c r="OKV1113" s="15"/>
      <c r="OKY1113" s="15"/>
      <c r="OKZ1113" s="15"/>
      <c r="OLC1113" s="15"/>
      <c r="OLD1113" s="15"/>
      <c r="OLG1113" s="15"/>
      <c r="OLH1113" s="15"/>
      <c r="OLK1113" s="15"/>
      <c r="OLL1113" s="15"/>
      <c r="OLO1113" s="15"/>
      <c r="OLP1113" s="15"/>
      <c r="OLS1113" s="15"/>
      <c r="OLT1113" s="15"/>
      <c r="OLW1113" s="15"/>
      <c r="OLX1113" s="15"/>
      <c r="OMA1113" s="15"/>
      <c r="OMB1113" s="15"/>
      <c r="OME1113" s="15"/>
      <c r="OMF1113" s="15"/>
      <c r="OMI1113" s="15"/>
      <c r="OMJ1113" s="15"/>
      <c r="OMM1113" s="15"/>
      <c r="OMN1113" s="15"/>
      <c r="OMQ1113" s="15"/>
      <c r="OMR1113" s="15"/>
      <c r="OMU1113" s="15"/>
      <c r="OMV1113" s="15"/>
      <c r="OMY1113" s="15"/>
      <c r="OMZ1113" s="15"/>
      <c r="ONC1113" s="15"/>
      <c r="OND1113" s="15"/>
      <c r="ONG1113" s="15"/>
      <c r="ONH1113" s="15"/>
      <c r="ONK1113" s="15"/>
      <c r="ONL1113" s="15"/>
      <c r="ONO1113" s="15"/>
      <c r="ONP1113" s="15"/>
      <c r="ONS1113" s="15"/>
      <c r="ONT1113" s="15"/>
      <c r="ONW1113" s="15"/>
      <c r="ONX1113" s="15"/>
      <c r="OOA1113" s="15"/>
      <c r="OOB1113" s="15"/>
      <c r="OOE1113" s="15"/>
      <c r="OOF1113" s="15"/>
      <c r="OOI1113" s="15"/>
      <c r="OOJ1113" s="15"/>
      <c r="OOM1113" s="15"/>
      <c r="OON1113" s="15"/>
      <c r="OOQ1113" s="15"/>
      <c r="OOR1113" s="15"/>
      <c r="OOU1113" s="15"/>
      <c r="OOV1113" s="15"/>
      <c r="OOY1113" s="15"/>
      <c r="OOZ1113" s="15"/>
      <c r="OPC1113" s="15"/>
      <c r="OPD1113" s="15"/>
      <c r="OPG1113" s="15"/>
      <c r="OPH1113" s="15"/>
      <c r="OPK1113" s="15"/>
      <c r="OPL1113" s="15"/>
      <c r="OPO1113" s="15"/>
      <c r="OPP1113" s="15"/>
      <c r="OPS1113" s="15"/>
      <c r="OPT1113" s="15"/>
      <c r="OPW1113" s="15"/>
      <c r="OPX1113" s="15"/>
      <c r="OQA1113" s="15"/>
      <c r="OQB1113" s="15"/>
      <c r="OQE1113" s="15"/>
      <c r="OQF1113" s="15"/>
      <c r="OQI1113" s="15"/>
      <c r="OQJ1113" s="15"/>
      <c r="OQM1113" s="15"/>
      <c r="OQN1113" s="15"/>
      <c r="OQQ1113" s="15"/>
      <c r="OQR1113" s="15"/>
      <c r="OQU1113" s="15"/>
      <c r="OQV1113" s="15"/>
      <c r="OQY1113" s="15"/>
      <c r="OQZ1113" s="15"/>
      <c r="ORC1113" s="15"/>
      <c r="ORD1113" s="15"/>
      <c r="ORG1113" s="15"/>
      <c r="ORH1113" s="15"/>
      <c r="ORK1113" s="15"/>
      <c r="ORL1113" s="15"/>
      <c r="ORO1113" s="15"/>
      <c r="ORP1113" s="15"/>
      <c r="ORS1113" s="15"/>
      <c r="ORT1113" s="15"/>
      <c r="ORW1113" s="15"/>
      <c r="ORX1113" s="15"/>
      <c r="OSA1113" s="15"/>
      <c r="OSB1113" s="15"/>
      <c r="OSE1113" s="15"/>
      <c r="OSF1113" s="15"/>
      <c r="OSI1113" s="15"/>
      <c r="OSJ1113" s="15"/>
      <c r="OSM1113" s="15"/>
      <c r="OSN1113" s="15"/>
      <c r="OSQ1113" s="15"/>
      <c r="OSR1113" s="15"/>
      <c r="OSU1113" s="15"/>
      <c r="OSV1113" s="15"/>
      <c r="OSY1113" s="15"/>
      <c r="OSZ1113" s="15"/>
      <c r="OTC1113" s="15"/>
      <c r="OTD1113" s="15"/>
      <c r="OTG1113" s="15"/>
      <c r="OTH1113" s="15"/>
      <c r="OTK1113" s="15"/>
      <c r="OTL1113" s="15"/>
      <c r="OTO1113" s="15"/>
      <c r="OTP1113" s="15"/>
      <c r="OTS1113" s="15"/>
      <c r="OTT1113" s="15"/>
      <c r="OTW1113" s="15"/>
      <c r="OTX1113" s="15"/>
      <c r="OUA1113" s="15"/>
      <c r="OUB1113" s="15"/>
      <c r="OUE1113" s="15"/>
      <c r="OUF1113" s="15"/>
      <c r="OUI1113" s="15"/>
      <c r="OUJ1113" s="15"/>
      <c r="OUM1113" s="15"/>
      <c r="OUN1113" s="15"/>
      <c r="OUQ1113" s="15"/>
      <c r="OUR1113" s="15"/>
      <c r="OUU1113" s="15"/>
      <c r="OUV1113" s="15"/>
      <c r="OUY1113" s="15"/>
      <c r="OUZ1113" s="15"/>
      <c r="OVC1113" s="15"/>
      <c r="OVD1113" s="15"/>
      <c r="OVG1113" s="15"/>
      <c r="OVH1113" s="15"/>
      <c r="OVK1113" s="15"/>
      <c r="OVL1113" s="15"/>
      <c r="OVO1113" s="15"/>
      <c r="OVP1113" s="15"/>
      <c r="OVS1113" s="15"/>
      <c r="OVT1113" s="15"/>
      <c r="OVW1113" s="15"/>
      <c r="OVX1113" s="15"/>
      <c r="OWA1113" s="15"/>
      <c r="OWB1113" s="15"/>
      <c r="OWE1113" s="15"/>
      <c r="OWF1113" s="15"/>
      <c r="OWI1113" s="15"/>
      <c r="OWJ1113" s="15"/>
      <c r="OWM1113" s="15"/>
      <c r="OWN1113" s="15"/>
      <c r="OWQ1113" s="15"/>
      <c r="OWR1113" s="15"/>
      <c r="OWU1113" s="15"/>
      <c r="OWV1113" s="15"/>
      <c r="OWY1113" s="15"/>
      <c r="OWZ1113" s="15"/>
      <c r="OXC1113" s="15"/>
      <c r="OXD1113" s="15"/>
      <c r="OXG1113" s="15"/>
      <c r="OXH1113" s="15"/>
      <c r="OXK1113" s="15"/>
      <c r="OXL1113" s="15"/>
      <c r="OXO1113" s="15"/>
      <c r="OXP1113" s="15"/>
      <c r="OXS1113" s="15"/>
      <c r="OXT1113" s="15"/>
      <c r="OXW1113" s="15"/>
      <c r="OXX1113" s="15"/>
      <c r="OYA1113" s="15"/>
      <c r="OYB1113" s="15"/>
      <c r="OYE1113" s="15"/>
      <c r="OYF1113" s="15"/>
      <c r="OYI1113" s="15"/>
      <c r="OYJ1113" s="15"/>
      <c r="OYM1113" s="15"/>
      <c r="OYN1113" s="15"/>
      <c r="OYQ1113" s="15"/>
      <c r="OYR1113" s="15"/>
      <c r="OYU1113" s="15"/>
      <c r="OYV1113" s="15"/>
      <c r="OYY1113" s="15"/>
      <c r="OYZ1113" s="15"/>
      <c r="OZC1113" s="15"/>
      <c r="OZD1113" s="15"/>
      <c r="OZG1113" s="15"/>
      <c r="OZH1113" s="15"/>
      <c r="OZK1113" s="15"/>
      <c r="OZL1113" s="15"/>
      <c r="OZO1113" s="15"/>
      <c r="OZP1113" s="15"/>
      <c r="OZS1113" s="15"/>
      <c r="OZT1113" s="15"/>
      <c r="OZW1113" s="15"/>
      <c r="OZX1113" s="15"/>
      <c r="PAA1113" s="15"/>
      <c r="PAB1113" s="15"/>
      <c r="PAE1113" s="15"/>
      <c r="PAF1113" s="15"/>
      <c r="PAI1113" s="15"/>
      <c r="PAJ1113" s="15"/>
      <c r="PAM1113" s="15"/>
      <c r="PAN1113" s="15"/>
      <c r="PAQ1113" s="15"/>
      <c r="PAR1113" s="15"/>
      <c r="PAU1113" s="15"/>
      <c r="PAV1113" s="15"/>
      <c r="PAY1113" s="15"/>
      <c r="PAZ1113" s="15"/>
      <c r="PBC1113" s="15"/>
      <c r="PBD1113" s="15"/>
      <c r="PBG1113" s="15"/>
      <c r="PBH1113" s="15"/>
      <c r="PBK1113" s="15"/>
      <c r="PBL1113" s="15"/>
      <c r="PBO1113" s="15"/>
      <c r="PBP1113" s="15"/>
      <c r="PBS1113" s="15"/>
      <c r="PBT1113" s="15"/>
      <c r="PBW1113" s="15"/>
      <c r="PBX1113" s="15"/>
      <c r="PCA1113" s="15"/>
      <c r="PCB1113" s="15"/>
      <c r="PCE1113" s="15"/>
      <c r="PCF1113" s="15"/>
      <c r="PCI1113" s="15"/>
      <c r="PCJ1113" s="15"/>
      <c r="PCM1113" s="15"/>
      <c r="PCN1113" s="15"/>
      <c r="PCQ1113" s="15"/>
      <c r="PCR1113" s="15"/>
      <c r="PCU1113" s="15"/>
      <c r="PCV1113" s="15"/>
      <c r="PCY1113" s="15"/>
      <c r="PCZ1113" s="15"/>
      <c r="PDC1113" s="15"/>
      <c r="PDD1113" s="15"/>
      <c r="PDG1113" s="15"/>
      <c r="PDH1113" s="15"/>
      <c r="PDK1113" s="15"/>
      <c r="PDL1113" s="15"/>
      <c r="PDO1113" s="15"/>
      <c r="PDP1113" s="15"/>
      <c r="PDS1113" s="15"/>
      <c r="PDT1113" s="15"/>
      <c r="PDW1113" s="15"/>
      <c r="PDX1113" s="15"/>
      <c r="PEA1113" s="15"/>
      <c r="PEB1113" s="15"/>
      <c r="PEE1113" s="15"/>
      <c r="PEF1113" s="15"/>
      <c r="PEI1113" s="15"/>
      <c r="PEJ1113" s="15"/>
      <c r="PEM1113" s="15"/>
      <c r="PEN1113" s="15"/>
      <c r="PEQ1113" s="15"/>
      <c r="PER1113" s="15"/>
      <c r="PEU1113" s="15"/>
      <c r="PEV1113" s="15"/>
      <c r="PEY1113" s="15"/>
      <c r="PEZ1113" s="15"/>
      <c r="PFC1113" s="15"/>
      <c r="PFD1113" s="15"/>
      <c r="PFG1113" s="15"/>
      <c r="PFH1113" s="15"/>
      <c r="PFK1113" s="15"/>
      <c r="PFL1113" s="15"/>
      <c r="PFO1113" s="15"/>
      <c r="PFP1113" s="15"/>
      <c r="PFS1113" s="15"/>
      <c r="PFT1113" s="15"/>
      <c r="PFW1113" s="15"/>
      <c r="PFX1113" s="15"/>
      <c r="PGA1113" s="15"/>
      <c r="PGB1113" s="15"/>
      <c r="PGE1113" s="15"/>
      <c r="PGF1113" s="15"/>
      <c r="PGI1113" s="15"/>
      <c r="PGJ1113" s="15"/>
      <c r="PGM1113" s="15"/>
      <c r="PGN1113" s="15"/>
      <c r="PGQ1113" s="15"/>
      <c r="PGR1113" s="15"/>
      <c r="PGU1113" s="15"/>
      <c r="PGV1113" s="15"/>
      <c r="PGY1113" s="15"/>
      <c r="PGZ1113" s="15"/>
      <c r="PHC1113" s="15"/>
      <c r="PHD1113" s="15"/>
      <c r="PHG1113" s="15"/>
      <c r="PHH1113" s="15"/>
      <c r="PHK1113" s="15"/>
      <c r="PHL1113" s="15"/>
      <c r="PHO1113" s="15"/>
      <c r="PHP1113" s="15"/>
      <c r="PHS1113" s="15"/>
      <c r="PHT1113" s="15"/>
      <c r="PHW1113" s="15"/>
      <c r="PHX1113" s="15"/>
      <c r="PIA1113" s="15"/>
      <c r="PIB1113" s="15"/>
      <c r="PIE1113" s="15"/>
      <c r="PIF1113" s="15"/>
      <c r="PII1113" s="15"/>
      <c r="PIJ1113" s="15"/>
      <c r="PIM1113" s="15"/>
      <c r="PIN1113" s="15"/>
      <c r="PIQ1113" s="15"/>
      <c r="PIR1113" s="15"/>
      <c r="PIU1113" s="15"/>
      <c r="PIV1113" s="15"/>
      <c r="PIY1113" s="15"/>
      <c r="PIZ1113" s="15"/>
      <c r="PJC1113" s="15"/>
      <c r="PJD1113" s="15"/>
      <c r="PJG1113" s="15"/>
      <c r="PJH1113" s="15"/>
      <c r="PJK1113" s="15"/>
      <c r="PJL1113" s="15"/>
      <c r="PJO1113" s="15"/>
      <c r="PJP1113" s="15"/>
      <c r="PJS1113" s="15"/>
      <c r="PJT1113" s="15"/>
      <c r="PJW1113" s="15"/>
      <c r="PJX1113" s="15"/>
      <c r="PKA1113" s="15"/>
      <c r="PKB1113" s="15"/>
      <c r="PKE1113" s="15"/>
      <c r="PKF1113" s="15"/>
      <c r="PKI1113" s="15"/>
      <c r="PKJ1113" s="15"/>
      <c r="PKM1113" s="15"/>
      <c r="PKN1113" s="15"/>
      <c r="PKQ1113" s="15"/>
      <c r="PKR1113" s="15"/>
      <c r="PKU1113" s="15"/>
      <c r="PKV1113" s="15"/>
      <c r="PKY1113" s="15"/>
      <c r="PKZ1113" s="15"/>
      <c r="PLC1113" s="15"/>
      <c r="PLD1113" s="15"/>
      <c r="PLG1113" s="15"/>
      <c r="PLH1113" s="15"/>
      <c r="PLK1113" s="15"/>
      <c r="PLL1113" s="15"/>
      <c r="PLO1113" s="15"/>
      <c r="PLP1113" s="15"/>
      <c r="PLS1113" s="15"/>
      <c r="PLT1113" s="15"/>
      <c r="PLW1113" s="15"/>
      <c r="PLX1113" s="15"/>
      <c r="PMA1113" s="15"/>
      <c r="PMB1113" s="15"/>
      <c r="PME1113" s="15"/>
      <c r="PMF1113" s="15"/>
      <c r="PMI1113" s="15"/>
      <c r="PMJ1113" s="15"/>
      <c r="PMM1113" s="15"/>
      <c r="PMN1113" s="15"/>
      <c r="PMQ1113" s="15"/>
      <c r="PMR1113" s="15"/>
      <c r="PMU1113" s="15"/>
      <c r="PMV1113" s="15"/>
      <c r="PMY1113" s="15"/>
      <c r="PMZ1113" s="15"/>
      <c r="PNC1113" s="15"/>
      <c r="PND1113" s="15"/>
      <c r="PNG1113" s="15"/>
      <c r="PNH1113" s="15"/>
      <c r="PNK1113" s="15"/>
      <c r="PNL1113" s="15"/>
      <c r="PNO1113" s="15"/>
      <c r="PNP1113" s="15"/>
      <c r="PNS1113" s="15"/>
      <c r="PNT1113" s="15"/>
      <c r="PNW1113" s="15"/>
      <c r="PNX1113" s="15"/>
      <c r="POA1113" s="15"/>
      <c r="POB1113" s="15"/>
      <c r="POE1113" s="15"/>
      <c r="POF1113" s="15"/>
      <c r="POI1113" s="15"/>
      <c r="POJ1113" s="15"/>
      <c r="POM1113" s="15"/>
      <c r="PON1113" s="15"/>
      <c r="POQ1113" s="15"/>
      <c r="POR1113" s="15"/>
      <c r="POU1113" s="15"/>
      <c r="POV1113" s="15"/>
      <c r="POY1113" s="15"/>
      <c r="POZ1113" s="15"/>
      <c r="PPC1113" s="15"/>
      <c r="PPD1113" s="15"/>
      <c r="PPG1113" s="15"/>
      <c r="PPH1113" s="15"/>
      <c r="PPK1113" s="15"/>
      <c r="PPL1113" s="15"/>
      <c r="PPO1113" s="15"/>
      <c r="PPP1113" s="15"/>
      <c r="PPS1113" s="15"/>
      <c r="PPT1113" s="15"/>
      <c r="PPW1113" s="15"/>
      <c r="PPX1113" s="15"/>
      <c r="PQA1113" s="15"/>
      <c r="PQB1113" s="15"/>
      <c r="PQE1113" s="15"/>
      <c r="PQF1113" s="15"/>
      <c r="PQI1113" s="15"/>
      <c r="PQJ1113" s="15"/>
      <c r="PQM1113" s="15"/>
      <c r="PQN1113" s="15"/>
      <c r="PQQ1113" s="15"/>
      <c r="PQR1113" s="15"/>
      <c r="PQU1113" s="15"/>
      <c r="PQV1113" s="15"/>
      <c r="PQY1113" s="15"/>
      <c r="PQZ1113" s="15"/>
      <c r="PRC1113" s="15"/>
      <c r="PRD1113" s="15"/>
      <c r="PRG1113" s="15"/>
      <c r="PRH1113" s="15"/>
      <c r="PRK1113" s="15"/>
      <c r="PRL1113" s="15"/>
      <c r="PRO1113" s="15"/>
      <c r="PRP1113" s="15"/>
      <c r="PRS1113" s="15"/>
      <c r="PRT1113" s="15"/>
      <c r="PRW1113" s="15"/>
      <c r="PRX1113" s="15"/>
      <c r="PSA1113" s="15"/>
      <c r="PSB1113" s="15"/>
      <c r="PSE1113" s="15"/>
      <c r="PSF1113" s="15"/>
      <c r="PSI1113" s="15"/>
      <c r="PSJ1113" s="15"/>
      <c r="PSM1113" s="15"/>
      <c r="PSN1113" s="15"/>
      <c r="PSQ1113" s="15"/>
      <c r="PSR1113" s="15"/>
      <c r="PSU1113" s="15"/>
      <c r="PSV1113" s="15"/>
      <c r="PSY1113" s="15"/>
      <c r="PSZ1113" s="15"/>
      <c r="PTC1113" s="15"/>
      <c r="PTD1113" s="15"/>
      <c r="PTG1113" s="15"/>
      <c r="PTH1113" s="15"/>
      <c r="PTK1113" s="15"/>
      <c r="PTL1113" s="15"/>
      <c r="PTO1113" s="15"/>
      <c r="PTP1113" s="15"/>
      <c r="PTS1113" s="15"/>
      <c r="PTT1113" s="15"/>
      <c r="PTW1113" s="15"/>
      <c r="PTX1113" s="15"/>
      <c r="PUA1113" s="15"/>
      <c r="PUB1113" s="15"/>
      <c r="PUE1113" s="15"/>
      <c r="PUF1113" s="15"/>
      <c r="PUI1113" s="15"/>
      <c r="PUJ1113" s="15"/>
      <c r="PUM1113" s="15"/>
      <c r="PUN1113" s="15"/>
      <c r="PUQ1113" s="15"/>
      <c r="PUR1113" s="15"/>
      <c r="PUU1113" s="15"/>
      <c r="PUV1113" s="15"/>
      <c r="PUY1113" s="15"/>
      <c r="PUZ1113" s="15"/>
      <c r="PVC1113" s="15"/>
      <c r="PVD1113" s="15"/>
      <c r="PVG1113" s="15"/>
      <c r="PVH1113" s="15"/>
      <c r="PVK1113" s="15"/>
      <c r="PVL1113" s="15"/>
      <c r="PVO1113" s="15"/>
      <c r="PVP1113" s="15"/>
      <c r="PVS1113" s="15"/>
      <c r="PVT1113" s="15"/>
      <c r="PVW1113" s="15"/>
      <c r="PVX1113" s="15"/>
      <c r="PWA1113" s="15"/>
      <c r="PWB1113" s="15"/>
      <c r="PWE1113" s="15"/>
      <c r="PWF1113" s="15"/>
      <c r="PWI1113" s="15"/>
      <c r="PWJ1113" s="15"/>
      <c r="PWM1113" s="15"/>
      <c r="PWN1113" s="15"/>
      <c r="PWQ1113" s="15"/>
      <c r="PWR1113" s="15"/>
      <c r="PWU1113" s="15"/>
      <c r="PWV1113" s="15"/>
      <c r="PWY1113" s="15"/>
      <c r="PWZ1113" s="15"/>
      <c r="PXC1113" s="15"/>
      <c r="PXD1113" s="15"/>
      <c r="PXG1113" s="15"/>
      <c r="PXH1113" s="15"/>
      <c r="PXK1113" s="15"/>
      <c r="PXL1113" s="15"/>
      <c r="PXO1113" s="15"/>
      <c r="PXP1113" s="15"/>
      <c r="PXS1113" s="15"/>
      <c r="PXT1113" s="15"/>
      <c r="PXW1113" s="15"/>
      <c r="PXX1113" s="15"/>
      <c r="PYA1113" s="15"/>
      <c r="PYB1113" s="15"/>
      <c r="PYE1113" s="15"/>
      <c r="PYF1113" s="15"/>
      <c r="PYI1113" s="15"/>
      <c r="PYJ1113" s="15"/>
      <c r="PYM1113" s="15"/>
      <c r="PYN1113" s="15"/>
      <c r="PYQ1113" s="15"/>
      <c r="PYR1113" s="15"/>
      <c r="PYU1113" s="15"/>
      <c r="PYV1113" s="15"/>
      <c r="PYY1113" s="15"/>
      <c r="PYZ1113" s="15"/>
      <c r="PZC1113" s="15"/>
      <c r="PZD1113" s="15"/>
      <c r="PZG1113" s="15"/>
      <c r="PZH1113" s="15"/>
      <c r="PZK1113" s="15"/>
      <c r="PZL1113" s="15"/>
      <c r="PZO1113" s="15"/>
      <c r="PZP1113" s="15"/>
      <c r="PZS1113" s="15"/>
      <c r="PZT1113" s="15"/>
      <c r="PZW1113" s="15"/>
      <c r="PZX1113" s="15"/>
      <c r="QAA1113" s="15"/>
      <c r="QAB1113" s="15"/>
      <c r="QAE1113" s="15"/>
      <c r="QAF1113" s="15"/>
      <c r="QAI1113" s="15"/>
      <c r="QAJ1113" s="15"/>
      <c r="QAM1113" s="15"/>
      <c r="QAN1113" s="15"/>
      <c r="QAQ1113" s="15"/>
      <c r="QAR1113" s="15"/>
      <c r="QAU1113" s="15"/>
      <c r="QAV1113" s="15"/>
      <c r="QAY1113" s="15"/>
      <c r="QAZ1113" s="15"/>
      <c r="QBC1113" s="15"/>
      <c r="QBD1113" s="15"/>
      <c r="QBG1113" s="15"/>
      <c r="QBH1113" s="15"/>
      <c r="QBK1113" s="15"/>
      <c r="QBL1113" s="15"/>
      <c r="QBO1113" s="15"/>
      <c r="QBP1113" s="15"/>
      <c r="QBS1113" s="15"/>
      <c r="QBT1113" s="15"/>
      <c r="QBW1113" s="15"/>
      <c r="QBX1113" s="15"/>
      <c r="QCA1113" s="15"/>
      <c r="QCB1113" s="15"/>
      <c r="QCE1113" s="15"/>
      <c r="QCF1113" s="15"/>
      <c r="QCI1113" s="15"/>
      <c r="QCJ1113" s="15"/>
      <c r="QCM1113" s="15"/>
      <c r="QCN1113" s="15"/>
      <c r="QCQ1113" s="15"/>
      <c r="QCR1113" s="15"/>
      <c r="QCU1113" s="15"/>
      <c r="QCV1113" s="15"/>
      <c r="QCY1113" s="15"/>
      <c r="QCZ1113" s="15"/>
      <c r="QDC1113" s="15"/>
      <c r="QDD1113" s="15"/>
      <c r="QDG1113" s="15"/>
      <c r="QDH1113" s="15"/>
      <c r="QDK1113" s="15"/>
      <c r="QDL1113" s="15"/>
      <c r="QDO1113" s="15"/>
      <c r="QDP1113" s="15"/>
      <c r="QDS1113" s="15"/>
      <c r="QDT1113" s="15"/>
      <c r="QDW1113" s="15"/>
      <c r="QDX1113" s="15"/>
      <c r="QEA1113" s="15"/>
      <c r="QEB1113" s="15"/>
      <c r="QEE1113" s="15"/>
      <c r="QEF1113" s="15"/>
      <c r="QEI1113" s="15"/>
      <c r="QEJ1113" s="15"/>
      <c r="QEM1113" s="15"/>
      <c r="QEN1113" s="15"/>
      <c r="QEQ1113" s="15"/>
      <c r="QER1113" s="15"/>
      <c r="QEU1113" s="15"/>
      <c r="QEV1113" s="15"/>
      <c r="QEY1113" s="15"/>
      <c r="QEZ1113" s="15"/>
      <c r="QFC1113" s="15"/>
      <c r="QFD1113" s="15"/>
      <c r="QFG1113" s="15"/>
      <c r="QFH1113" s="15"/>
      <c r="QFK1113" s="15"/>
      <c r="QFL1113" s="15"/>
      <c r="QFO1113" s="15"/>
      <c r="QFP1113" s="15"/>
      <c r="QFS1113" s="15"/>
      <c r="QFT1113" s="15"/>
      <c r="QFW1113" s="15"/>
      <c r="QFX1113" s="15"/>
      <c r="QGA1113" s="15"/>
      <c r="QGB1113" s="15"/>
      <c r="QGE1113" s="15"/>
      <c r="QGF1113" s="15"/>
      <c r="QGI1113" s="15"/>
      <c r="QGJ1113" s="15"/>
      <c r="QGM1113" s="15"/>
      <c r="QGN1113" s="15"/>
      <c r="QGQ1113" s="15"/>
      <c r="QGR1113" s="15"/>
      <c r="QGU1113" s="15"/>
      <c r="QGV1113" s="15"/>
      <c r="QGY1113" s="15"/>
      <c r="QGZ1113" s="15"/>
      <c r="QHC1113" s="15"/>
      <c r="QHD1113" s="15"/>
      <c r="QHG1113" s="15"/>
      <c r="QHH1113" s="15"/>
      <c r="QHK1113" s="15"/>
      <c r="QHL1113" s="15"/>
      <c r="QHO1113" s="15"/>
      <c r="QHP1113" s="15"/>
      <c r="QHS1113" s="15"/>
      <c r="QHT1113" s="15"/>
      <c r="QHW1113" s="15"/>
      <c r="QHX1113" s="15"/>
      <c r="QIA1113" s="15"/>
      <c r="QIB1113" s="15"/>
      <c r="QIE1113" s="15"/>
      <c r="QIF1113" s="15"/>
      <c r="QII1113" s="15"/>
      <c r="QIJ1113" s="15"/>
      <c r="QIM1113" s="15"/>
      <c r="QIN1113" s="15"/>
      <c r="QIQ1113" s="15"/>
      <c r="QIR1113" s="15"/>
      <c r="QIU1113" s="15"/>
      <c r="QIV1113" s="15"/>
      <c r="QIY1113" s="15"/>
      <c r="QIZ1113" s="15"/>
      <c r="QJC1113" s="15"/>
      <c r="QJD1113" s="15"/>
      <c r="QJG1113" s="15"/>
      <c r="QJH1113" s="15"/>
      <c r="QJK1113" s="15"/>
      <c r="QJL1113" s="15"/>
      <c r="QJO1113" s="15"/>
      <c r="QJP1113" s="15"/>
      <c r="QJS1113" s="15"/>
      <c r="QJT1113" s="15"/>
      <c r="QJW1113" s="15"/>
      <c r="QJX1113" s="15"/>
      <c r="QKA1113" s="15"/>
      <c r="QKB1113" s="15"/>
      <c r="QKE1113" s="15"/>
      <c r="QKF1113" s="15"/>
      <c r="QKI1113" s="15"/>
      <c r="QKJ1113" s="15"/>
      <c r="QKM1113" s="15"/>
      <c r="QKN1113" s="15"/>
      <c r="QKQ1113" s="15"/>
      <c r="QKR1113" s="15"/>
      <c r="QKU1113" s="15"/>
      <c r="QKV1113" s="15"/>
      <c r="QKY1113" s="15"/>
      <c r="QKZ1113" s="15"/>
      <c r="QLC1113" s="15"/>
      <c r="QLD1113" s="15"/>
      <c r="QLG1113" s="15"/>
      <c r="QLH1113" s="15"/>
      <c r="QLK1113" s="15"/>
      <c r="QLL1113" s="15"/>
      <c r="QLO1113" s="15"/>
      <c r="QLP1113" s="15"/>
      <c r="QLS1113" s="15"/>
      <c r="QLT1113" s="15"/>
      <c r="QLW1113" s="15"/>
      <c r="QLX1113" s="15"/>
      <c r="QMA1113" s="15"/>
      <c r="QMB1113" s="15"/>
      <c r="QME1113" s="15"/>
      <c r="QMF1113" s="15"/>
      <c r="QMI1113" s="15"/>
      <c r="QMJ1113" s="15"/>
      <c r="QMM1113" s="15"/>
      <c r="QMN1113" s="15"/>
      <c r="QMQ1113" s="15"/>
      <c r="QMR1113" s="15"/>
      <c r="QMU1113" s="15"/>
      <c r="QMV1113" s="15"/>
      <c r="QMY1113" s="15"/>
      <c r="QMZ1113" s="15"/>
      <c r="QNC1113" s="15"/>
      <c r="QND1113" s="15"/>
      <c r="QNG1113" s="15"/>
      <c r="QNH1113" s="15"/>
      <c r="QNK1113" s="15"/>
      <c r="QNL1113" s="15"/>
      <c r="QNO1113" s="15"/>
      <c r="QNP1113" s="15"/>
      <c r="QNS1113" s="15"/>
      <c r="QNT1113" s="15"/>
      <c r="QNW1113" s="15"/>
      <c r="QNX1113" s="15"/>
      <c r="QOA1113" s="15"/>
      <c r="QOB1113" s="15"/>
      <c r="QOE1113" s="15"/>
      <c r="QOF1113" s="15"/>
      <c r="QOI1113" s="15"/>
      <c r="QOJ1113" s="15"/>
      <c r="QOM1113" s="15"/>
      <c r="QON1113" s="15"/>
      <c r="QOQ1113" s="15"/>
      <c r="QOR1113" s="15"/>
      <c r="QOU1113" s="15"/>
      <c r="QOV1113" s="15"/>
      <c r="QOY1113" s="15"/>
      <c r="QOZ1113" s="15"/>
      <c r="QPC1113" s="15"/>
      <c r="QPD1113" s="15"/>
      <c r="QPG1113" s="15"/>
      <c r="QPH1113" s="15"/>
      <c r="QPK1113" s="15"/>
      <c r="QPL1113" s="15"/>
      <c r="QPO1113" s="15"/>
      <c r="QPP1113" s="15"/>
      <c r="QPS1113" s="15"/>
      <c r="QPT1113" s="15"/>
      <c r="QPW1113" s="15"/>
      <c r="QPX1113" s="15"/>
      <c r="QQA1113" s="15"/>
      <c r="QQB1113" s="15"/>
      <c r="QQE1113" s="15"/>
      <c r="QQF1113" s="15"/>
      <c r="QQI1113" s="15"/>
      <c r="QQJ1113" s="15"/>
      <c r="QQM1113" s="15"/>
      <c r="QQN1113" s="15"/>
      <c r="QQQ1113" s="15"/>
      <c r="QQR1113" s="15"/>
      <c r="QQU1113" s="15"/>
      <c r="QQV1113" s="15"/>
      <c r="QQY1113" s="15"/>
      <c r="QQZ1113" s="15"/>
      <c r="QRC1113" s="15"/>
      <c r="QRD1113" s="15"/>
      <c r="QRG1113" s="15"/>
      <c r="QRH1113" s="15"/>
      <c r="QRK1113" s="15"/>
      <c r="QRL1113" s="15"/>
      <c r="QRO1113" s="15"/>
      <c r="QRP1113" s="15"/>
      <c r="QRS1113" s="15"/>
      <c r="QRT1113" s="15"/>
      <c r="QRW1113" s="15"/>
      <c r="QRX1113" s="15"/>
      <c r="QSA1113" s="15"/>
      <c r="QSB1113" s="15"/>
      <c r="QSE1113" s="15"/>
      <c r="QSF1113" s="15"/>
      <c r="QSI1113" s="15"/>
      <c r="QSJ1113" s="15"/>
      <c r="QSM1113" s="15"/>
      <c r="QSN1113" s="15"/>
      <c r="QSQ1113" s="15"/>
      <c r="QSR1113" s="15"/>
      <c r="QSU1113" s="15"/>
      <c r="QSV1113" s="15"/>
      <c r="QSY1113" s="15"/>
      <c r="QSZ1113" s="15"/>
      <c r="QTC1113" s="15"/>
      <c r="QTD1113" s="15"/>
      <c r="QTG1113" s="15"/>
      <c r="QTH1113" s="15"/>
      <c r="QTK1113" s="15"/>
      <c r="QTL1113" s="15"/>
      <c r="QTO1113" s="15"/>
      <c r="QTP1113" s="15"/>
      <c r="QTS1113" s="15"/>
      <c r="QTT1113" s="15"/>
      <c r="QTW1113" s="15"/>
      <c r="QTX1113" s="15"/>
      <c r="QUA1113" s="15"/>
      <c r="QUB1113" s="15"/>
      <c r="QUE1113" s="15"/>
      <c r="QUF1113" s="15"/>
      <c r="QUI1113" s="15"/>
      <c r="QUJ1113" s="15"/>
      <c r="QUM1113" s="15"/>
      <c r="QUN1113" s="15"/>
      <c r="QUQ1113" s="15"/>
      <c r="QUR1113" s="15"/>
      <c r="QUU1113" s="15"/>
      <c r="QUV1113" s="15"/>
      <c r="QUY1113" s="15"/>
      <c r="QUZ1113" s="15"/>
      <c r="QVC1113" s="15"/>
      <c r="QVD1113" s="15"/>
      <c r="QVG1113" s="15"/>
      <c r="QVH1113" s="15"/>
      <c r="QVK1113" s="15"/>
      <c r="QVL1113" s="15"/>
      <c r="QVO1113" s="15"/>
      <c r="QVP1113" s="15"/>
      <c r="QVS1113" s="15"/>
      <c r="QVT1113" s="15"/>
      <c r="QVW1113" s="15"/>
      <c r="QVX1113" s="15"/>
      <c r="QWA1113" s="15"/>
      <c r="QWB1113" s="15"/>
      <c r="QWE1113" s="15"/>
      <c r="QWF1113" s="15"/>
      <c r="QWI1113" s="15"/>
      <c r="QWJ1113" s="15"/>
      <c r="QWM1113" s="15"/>
      <c r="QWN1113" s="15"/>
      <c r="QWQ1113" s="15"/>
      <c r="QWR1113" s="15"/>
      <c r="QWU1113" s="15"/>
      <c r="QWV1113" s="15"/>
      <c r="QWY1113" s="15"/>
      <c r="QWZ1113" s="15"/>
      <c r="QXC1113" s="15"/>
      <c r="QXD1113" s="15"/>
      <c r="QXG1113" s="15"/>
      <c r="QXH1113" s="15"/>
      <c r="QXK1113" s="15"/>
      <c r="QXL1113" s="15"/>
      <c r="QXO1113" s="15"/>
      <c r="QXP1113" s="15"/>
      <c r="QXS1113" s="15"/>
      <c r="QXT1113" s="15"/>
      <c r="QXW1113" s="15"/>
      <c r="QXX1113" s="15"/>
      <c r="QYA1113" s="15"/>
      <c r="QYB1113" s="15"/>
      <c r="QYE1113" s="15"/>
      <c r="QYF1113" s="15"/>
      <c r="QYI1113" s="15"/>
      <c r="QYJ1113" s="15"/>
      <c r="QYM1113" s="15"/>
      <c r="QYN1113" s="15"/>
      <c r="QYQ1113" s="15"/>
      <c r="QYR1113" s="15"/>
      <c r="QYU1113" s="15"/>
      <c r="QYV1113" s="15"/>
      <c r="QYY1113" s="15"/>
      <c r="QYZ1113" s="15"/>
      <c r="QZC1113" s="15"/>
      <c r="QZD1113" s="15"/>
      <c r="QZG1113" s="15"/>
      <c r="QZH1113" s="15"/>
      <c r="QZK1113" s="15"/>
      <c r="QZL1113" s="15"/>
      <c r="QZO1113" s="15"/>
      <c r="QZP1113" s="15"/>
      <c r="QZS1113" s="15"/>
      <c r="QZT1113" s="15"/>
      <c r="QZW1113" s="15"/>
      <c r="QZX1113" s="15"/>
      <c r="RAA1113" s="15"/>
      <c r="RAB1113" s="15"/>
      <c r="RAE1113" s="15"/>
      <c r="RAF1113" s="15"/>
      <c r="RAI1113" s="15"/>
      <c r="RAJ1113" s="15"/>
      <c r="RAM1113" s="15"/>
      <c r="RAN1113" s="15"/>
      <c r="RAQ1113" s="15"/>
      <c r="RAR1113" s="15"/>
      <c r="RAU1113" s="15"/>
      <c r="RAV1113" s="15"/>
      <c r="RAY1113" s="15"/>
      <c r="RAZ1113" s="15"/>
      <c r="RBC1113" s="15"/>
      <c r="RBD1113" s="15"/>
      <c r="RBG1113" s="15"/>
      <c r="RBH1113" s="15"/>
      <c r="RBK1113" s="15"/>
      <c r="RBL1113" s="15"/>
      <c r="RBO1113" s="15"/>
      <c r="RBP1113" s="15"/>
      <c r="RBS1113" s="15"/>
      <c r="RBT1113" s="15"/>
      <c r="RBW1113" s="15"/>
      <c r="RBX1113" s="15"/>
      <c r="RCA1113" s="15"/>
      <c r="RCB1113" s="15"/>
      <c r="RCE1113" s="15"/>
      <c r="RCF1113" s="15"/>
      <c r="RCI1113" s="15"/>
      <c r="RCJ1113" s="15"/>
      <c r="RCM1113" s="15"/>
      <c r="RCN1113" s="15"/>
      <c r="RCQ1113" s="15"/>
      <c r="RCR1113" s="15"/>
      <c r="RCU1113" s="15"/>
      <c r="RCV1113" s="15"/>
      <c r="RCY1113" s="15"/>
      <c r="RCZ1113" s="15"/>
      <c r="RDC1113" s="15"/>
      <c r="RDD1113" s="15"/>
      <c r="RDG1113" s="15"/>
      <c r="RDH1113" s="15"/>
      <c r="RDK1113" s="15"/>
      <c r="RDL1113" s="15"/>
      <c r="RDO1113" s="15"/>
      <c r="RDP1113" s="15"/>
      <c r="RDS1113" s="15"/>
      <c r="RDT1113" s="15"/>
      <c r="RDW1113" s="15"/>
      <c r="RDX1113" s="15"/>
      <c r="REA1113" s="15"/>
      <c r="REB1113" s="15"/>
      <c r="REE1113" s="15"/>
      <c r="REF1113" s="15"/>
      <c r="REI1113" s="15"/>
      <c r="REJ1113" s="15"/>
      <c r="REM1113" s="15"/>
      <c r="REN1113" s="15"/>
      <c r="REQ1113" s="15"/>
      <c r="RER1113" s="15"/>
      <c r="REU1113" s="15"/>
      <c r="REV1113" s="15"/>
      <c r="REY1113" s="15"/>
      <c r="REZ1113" s="15"/>
      <c r="RFC1113" s="15"/>
      <c r="RFD1113" s="15"/>
      <c r="RFG1113" s="15"/>
      <c r="RFH1113" s="15"/>
      <c r="RFK1113" s="15"/>
      <c r="RFL1113" s="15"/>
      <c r="RFO1113" s="15"/>
      <c r="RFP1113" s="15"/>
      <c r="RFS1113" s="15"/>
      <c r="RFT1113" s="15"/>
      <c r="RFW1113" s="15"/>
      <c r="RFX1113" s="15"/>
      <c r="RGA1113" s="15"/>
      <c r="RGB1113" s="15"/>
      <c r="RGE1113" s="15"/>
      <c r="RGF1113" s="15"/>
      <c r="RGI1113" s="15"/>
      <c r="RGJ1113" s="15"/>
      <c r="RGM1113" s="15"/>
      <c r="RGN1113" s="15"/>
      <c r="RGQ1113" s="15"/>
      <c r="RGR1113" s="15"/>
      <c r="RGU1113" s="15"/>
      <c r="RGV1113" s="15"/>
      <c r="RGY1113" s="15"/>
      <c r="RGZ1113" s="15"/>
      <c r="RHC1113" s="15"/>
      <c r="RHD1113" s="15"/>
      <c r="RHG1113" s="15"/>
      <c r="RHH1113" s="15"/>
      <c r="RHK1113" s="15"/>
      <c r="RHL1113" s="15"/>
      <c r="RHO1113" s="15"/>
      <c r="RHP1113" s="15"/>
      <c r="RHS1113" s="15"/>
      <c r="RHT1113" s="15"/>
      <c r="RHW1113" s="15"/>
      <c r="RHX1113" s="15"/>
      <c r="RIA1113" s="15"/>
      <c r="RIB1113" s="15"/>
      <c r="RIE1113" s="15"/>
      <c r="RIF1113" s="15"/>
      <c r="RII1113" s="15"/>
      <c r="RIJ1113" s="15"/>
      <c r="RIM1113" s="15"/>
      <c r="RIN1113" s="15"/>
      <c r="RIQ1113" s="15"/>
      <c r="RIR1113" s="15"/>
      <c r="RIU1113" s="15"/>
      <c r="RIV1113" s="15"/>
      <c r="RIY1113" s="15"/>
      <c r="RIZ1113" s="15"/>
      <c r="RJC1113" s="15"/>
      <c r="RJD1113" s="15"/>
      <c r="RJG1113" s="15"/>
      <c r="RJH1113" s="15"/>
      <c r="RJK1113" s="15"/>
      <c r="RJL1113" s="15"/>
      <c r="RJO1113" s="15"/>
      <c r="RJP1113" s="15"/>
      <c r="RJS1113" s="15"/>
      <c r="RJT1113" s="15"/>
      <c r="RJW1113" s="15"/>
      <c r="RJX1113" s="15"/>
      <c r="RKA1113" s="15"/>
      <c r="RKB1113" s="15"/>
      <c r="RKE1113" s="15"/>
      <c r="RKF1113" s="15"/>
      <c r="RKI1113" s="15"/>
      <c r="RKJ1113" s="15"/>
      <c r="RKM1113" s="15"/>
      <c r="RKN1113" s="15"/>
      <c r="RKQ1113" s="15"/>
      <c r="RKR1113" s="15"/>
      <c r="RKU1113" s="15"/>
      <c r="RKV1113" s="15"/>
      <c r="RKY1113" s="15"/>
      <c r="RKZ1113" s="15"/>
      <c r="RLC1113" s="15"/>
      <c r="RLD1113" s="15"/>
      <c r="RLG1113" s="15"/>
      <c r="RLH1113" s="15"/>
      <c r="RLK1113" s="15"/>
      <c r="RLL1113" s="15"/>
      <c r="RLO1113" s="15"/>
      <c r="RLP1113" s="15"/>
      <c r="RLS1113" s="15"/>
      <c r="RLT1113" s="15"/>
      <c r="RLW1113" s="15"/>
      <c r="RLX1113" s="15"/>
      <c r="RMA1113" s="15"/>
      <c r="RMB1113" s="15"/>
      <c r="RME1113" s="15"/>
      <c r="RMF1113" s="15"/>
      <c r="RMI1113" s="15"/>
      <c r="RMJ1113" s="15"/>
      <c r="RMM1113" s="15"/>
      <c r="RMN1113" s="15"/>
      <c r="RMQ1113" s="15"/>
      <c r="RMR1113" s="15"/>
      <c r="RMU1113" s="15"/>
      <c r="RMV1113" s="15"/>
      <c r="RMY1113" s="15"/>
      <c r="RMZ1113" s="15"/>
      <c r="RNC1113" s="15"/>
      <c r="RND1113" s="15"/>
      <c r="RNG1113" s="15"/>
      <c r="RNH1113" s="15"/>
      <c r="RNK1113" s="15"/>
      <c r="RNL1113" s="15"/>
      <c r="RNO1113" s="15"/>
      <c r="RNP1113" s="15"/>
      <c r="RNS1113" s="15"/>
      <c r="RNT1113" s="15"/>
      <c r="RNW1113" s="15"/>
      <c r="RNX1113" s="15"/>
      <c r="ROA1113" s="15"/>
      <c r="ROB1113" s="15"/>
      <c r="ROE1113" s="15"/>
      <c r="ROF1113" s="15"/>
      <c r="ROI1113" s="15"/>
      <c r="ROJ1113" s="15"/>
      <c r="ROM1113" s="15"/>
      <c r="RON1113" s="15"/>
      <c r="ROQ1113" s="15"/>
      <c r="ROR1113" s="15"/>
      <c r="ROU1113" s="15"/>
      <c r="ROV1113" s="15"/>
      <c r="ROY1113" s="15"/>
      <c r="ROZ1113" s="15"/>
      <c r="RPC1113" s="15"/>
      <c r="RPD1113" s="15"/>
      <c r="RPG1113" s="15"/>
      <c r="RPH1113" s="15"/>
      <c r="RPK1113" s="15"/>
      <c r="RPL1113" s="15"/>
      <c r="RPO1113" s="15"/>
      <c r="RPP1113" s="15"/>
      <c r="RPS1113" s="15"/>
      <c r="RPT1113" s="15"/>
      <c r="RPW1113" s="15"/>
      <c r="RPX1113" s="15"/>
      <c r="RQA1113" s="15"/>
      <c r="RQB1113" s="15"/>
      <c r="RQE1113" s="15"/>
      <c r="RQF1113" s="15"/>
      <c r="RQI1113" s="15"/>
      <c r="RQJ1113" s="15"/>
      <c r="RQM1113" s="15"/>
      <c r="RQN1113" s="15"/>
      <c r="RQQ1113" s="15"/>
      <c r="RQR1113" s="15"/>
      <c r="RQU1113" s="15"/>
      <c r="RQV1113" s="15"/>
      <c r="RQY1113" s="15"/>
      <c r="RQZ1113" s="15"/>
      <c r="RRC1113" s="15"/>
      <c r="RRD1113" s="15"/>
      <c r="RRG1113" s="15"/>
      <c r="RRH1113" s="15"/>
      <c r="RRK1113" s="15"/>
      <c r="RRL1113" s="15"/>
      <c r="RRO1113" s="15"/>
      <c r="RRP1113" s="15"/>
      <c r="RRS1113" s="15"/>
      <c r="RRT1113" s="15"/>
      <c r="RRW1113" s="15"/>
      <c r="RRX1113" s="15"/>
      <c r="RSA1113" s="15"/>
      <c r="RSB1113" s="15"/>
      <c r="RSE1113" s="15"/>
      <c r="RSF1113" s="15"/>
      <c r="RSI1113" s="15"/>
      <c r="RSJ1113" s="15"/>
      <c r="RSM1113" s="15"/>
      <c r="RSN1113" s="15"/>
      <c r="RSQ1113" s="15"/>
      <c r="RSR1113" s="15"/>
      <c r="RSU1113" s="15"/>
      <c r="RSV1113" s="15"/>
      <c r="RSY1113" s="15"/>
      <c r="RSZ1113" s="15"/>
      <c r="RTC1113" s="15"/>
      <c r="RTD1113" s="15"/>
      <c r="RTG1113" s="15"/>
      <c r="RTH1113" s="15"/>
      <c r="RTK1113" s="15"/>
      <c r="RTL1113" s="15"/>
      <c r="RTO1113" s="15"/>
      <c r="RTP1113" s="15"/>
      <c r="RTS1113" s="15"/>
      <c r="RTT1113" s="15"/>
      <c r="RTW1113" s="15"/>
      <c r="RTX1113" s="15"/>
      <c r="RUA1113" s="15"/>
      <c r="RUB1113" s="15"/>
      <c r="RUE1113" s="15"/>
      <c r="RUF1113" s="15"/>
      <c r="RUI1113" s="15"/>
      <c r="RUJ1113" s="15"/>
      <c r="RUM1113" s="15"/>
      <c r="RUN1113" s="15"/>
      <c r="RUQ1113" s="15"/>
      <c r="RUR1113" s="15"/>
      <c r="RUU1113" s="15"/>
      <c r="RUV1113" s="15"/>
      <c r="RUY1113" s="15"/>
      <c r="RUZ1113" s="15"/>
      <c r="RVC1113" s="15"/>
      <c r="RVD1113" s="15"/>
      <c r="RVG1113" s="15"/>
      <c r="RVH1113" s="15"/>
      <c r="RVK1113" s="15"/>
      <c r="RVL1113" s="15"/>
      <c r="RVO1113" s="15"/>
      <c r="RVP1113" s="15"/>
      <c r="RVS1113" s="15"/>
      <c r="RVT1113" s="15"/>
      <c r="RVW1113" s="15"/>
      <c r="RVX1113" s="15"/>
      <c r="RWA1113" s="15"/>
      <c r="RWB1113" s="15"/>
      <c r="RWE1113" s="15"/>
      <c r="RWF1113" s="15"/>
      <c r="RWI1113" s="15"/>
      <c r="RWJ1113" s="15"/>
      <c r="RWM1113" s="15"/>
      <c r="RWN1113" s="15"/>
      <c r="RWQ1113" s="15"/>
      <c r="RWR1113" s="15"/>
      <c r="RWU1113" s="15"/>
      <c r="RWV1113" s="15"/>
      <c r="RWY1113" s="15"/>
      <c r="RWZ1113" s="15"/>
      <c r="RXC1113" s="15"/>
      <c r="RXD1113" s="15"/>
      <c r="RXG1113" s="15"/>
      <c r="RXH1113" s="15"/>
      <c r="RXK1113" s="15"/>
      <c r="RXL1113" s="15"/>
      <c r="RXO1113" s="15"/>
      <c r="RXP1113" s="15"/>
      <c r="RXS1113" s="15"/>
      <c r="RXT1113" s="15"/>
      <c r="RXW1113" s="15"/>
      <c r="RXX1113" s="15"/>
      <c r="RYA1113" s="15"/>
      <c r="RYB1113" s="15"/>
      <c r="RYE1113" s="15"/>
      <c r="RYF1113" s="15"/>
      <c r="RYI1113" s="15"/>
      <c r="RYJ1113" s="15"/>
      <c r="RYM1113" s="15"/>
      <c r="RYN1113" s="15"/>
      <c r="RYQ1113" s="15"/>
      <c r="RYR1113" s="15"/>
      <c r="RYU1113" s="15"/>
      <c r="RYV1113" s="15"/>
      <c r="RYY1113" s="15"/>
      <c r="RYZ1113" s="15"/>
      <c r="RZC1113" s="15"/>
      <c r="RZD1113" s="15"/>
      <c r="RZG1113" s="15"/>
      <c r="RZH1113" s="15"/>
      <c r="RZK1113" s="15"/>
      <c r="RZL1113" s="15"/>
      <c r="RZO1113" s="15"/>
      <c r="RZP1113" s="15"/>
      <c r="RZS1113" s="15"/>
      <c r="RZT1113" s="15"/>
      <c r="RZW1113" s="15"/>
      <c r="RZX1113" s="15"/>
      <c r="SAA1113" s="15"/>
      <c r="SAB1113" s="15"/>
      <c r="SAE1113" s="15"/>
      <c r="SAF1113" s="15"/>
      <c r="SAI1113" s="15"/>
      <c r="SAJ1113" s="15"/>
      <c r="SAM1113" s="15"/>
      <c r="SAN1113" s="15"/>
      <c r="SAQ1113" s="15"/>
      <c r="SAR1113" s="15"/>
      <c r="SAU1113" s="15"/>
      <c r="SAV1113" s="15"/>
      <c r="SAY1113" s="15"/>
      <c r="SAZ1113" s="15"/>
      <c r="SBC1113" s="15"/>
      <c r="SBD1113" s="15"/>
      <c r="SBG1113" s="15"/>
      <c r="SBH1113" s="15"/>
      <c r="SBK1113" s="15"/>
      <c r="SBL1113" s="15"/>
      <c r="SBO1113" s="15"/>
      <c r="SBP1113" s="15"/>
      <c r="SBS1113" s="15"/>
      <c r="SBT1113" s="15"/>
      <c r="SBW1113" s="15"/>
      <c r="SBX1113" s="15"/>
      <c r="SCA1113" s="15"/>
      <c r="SCB1113" s="15"/>
      <c r="SCE1113" s="15"/>
      <c r="SCF1113" s="15"/>
      <c r="SCI1113" s="15"/>
      <c r="SCJ1113" s="15"/>
      <c r="SCM1113" s="15"/>
      <c r="SCN1113" s="15"/>
      <c r="SCQ1113" s="15"/>
      <c r="SCR1113" s="15"/>
      <c r="SCU1113" s="15"/>
      <c r="SCV1113" s="15"/>
      <c r="SCY1113" s="15"/>
      <c r="SCZ1113" s="15"/>
      <c r="SDC1113" s="15"/>
      <c r="SDD1113" s="15"/>
      <c r="SDG1113" s="15"/>
      <c r="SDH1113" s="15"/>
      <c r="SDK1113" s="15"/>
      <c r="SDL1113" s="15"/>
      <c r="SDO1113" s="15"/>
      <c r="SDP1113" s="15"/>
      <c r="SDS1113" s="15"/>
      <c r="SDT1113" s="15"/>
      <c r="SDW1113" s="15"/>
      <c r="SDX1113" s="15"/>
      <c r="SEA1113" s="15"/>
      <c r="SEB1113" s="15"/>
      <c r="SEE1113" s="15"/>
      <c r="SEF1113" s="15"/>
      <c r="SEI1113" s="15"/>
      <c r="SEJ1113" s="15"/>
      <c r="SEM1113" s="15"/>
      <c r="SEN1113" s="15"/>
      <c r="SEQ1113" s="15"/>
      <c r="SER1113" s="15"/>
      <c r="SEU1113" s="15"/>
      <c r="SEV1113" s="15"/>
      <c r="SEY1113" s="15"/>
      <c r="SEZ1113" s="15"/>
      <c r="SFC1113" s="15"/>
      <c r="SFD1113" s="15"/>
      <c r="SFG1113" s="15"/>
      <c r="SFH1113" s="15"/>
      <c r="SFK1113" s="15"/>
      <c r="SFL1113" s="15"/>
      <c r="SFO1113" s="15"/>
      <c r="SFP1113" s="15"/>
      <c r="SFS1113" s="15"/>
      <c r="SFT1113" s="15"/>
      <c r="SFW1113" s="15"/>
      <c r="SFX1113" s="15"/>
      <c r="SGA1113" s="15"/>
      <c r="SGB1113" s="15"/>
      <c r="SGE1113" s="15"/>
      <c r="SGF1113" s="15"/>
      <c r="SGI1113" s="15"/>
      <c r="SGJ1113" s="15"/>
      <c r="SGM1113" s="15"/>
      <c r="SGN1113" s="15"/>
      <c r="SGQ1113" s="15"/>
      <c r="SGR1113" s="15"/>
      <c r="SGU1113" s="15"/>
      <c r="SGV1113" s="15"/>
      <c r="SGY1113" s="15"/>
      <c r="SGZ1113" s="15"/>
      <c r="SHC1113" s="15"/>
      <c r="SHD1113" s="15"/>
      <c r="SHG1113" s="15"/>
      <c r="SHH1113" s="15"/>
      <c r="SHK1113" s="15"/>
      <c r="SHL1113" s="15"/>
      <c r="SHO1113" s="15"/>
      <c r="SHP1113" s="15"/>
      <c r="SHS1113" s="15"/>
      <c r="SHT1113" s="15"/>
      <c r="SHW1113" s="15"/>
      <c r="SHX1113" s="15"/>
      <c r="SIA1113" s="15"/>
      <c r="SIB1113" s="15"/>
      <c r="SIE1113" s="15"/>
      <c r="SIF1113" s="15"/>
      <c r="SII1113" s="15"/>
      <c r="SIJ1113" s="15"/>
      <c r="SIM1113" s="15"/>
      <c r="SIN1113" s="15"/>
      <c r="SIQ1113" s="15"/>
      <c r="SIR1113" s="15"/>
      <c r="SIU1113" s="15"/>
      <c r="SIV1113" s="15"/>
      <c r="SIY1113" s="15"/>
      <c r="SIZ1113" s="15"/>
      <c r="SJC1113" s="15"/>
      <c r="SJD1113" s="15"/>
      <c r="SJG1113" s="15"/>
      <c r="SJH1113" s="15"/>
      <c r="SJK1113" s="15"/>
      <c r="SJL1113" s="15"/>
      <c r="SJO1113" s="15"/>
      <c r="SJP1113" s="15"/>
      <c r="SJS1113" s="15"/>
      <c r="SJT1113" s="15"/>
      <c r="SJW1113" s="15"/>
      <c r="SJX1113" s="15"/>
      <c r="SKA1113" s="15"/>
      <c r="SKB1113" s="15"/>
      <c r="SKE1113" s="15"/>
      <c r="SKF1113" s="15"/>
      <c r="SKI1113" s="15"/>
      <c r="SKJ1113" s="15"/>
      <c r="SKM1113" s="15"/>
      <c r="SKN1113" s="15"/>
      <c r="SKQ1113" s="15"/>
      <c r="SKR1113" s="15"/>
      <c r="SKU1113" s="15"/>
      <c r="SKV1113" s="15"/>
      <c r="SKY1113" s="15"/>
      <c r="SKZ1113" s="15"/>
      <c r="SLC1113" s="15"/>
      <c r="SLD1113" s="15"/>
      <c r="SLG1113" s="15"/>
      <c r="SLH1113" s="15"/>
      <c r="SLK1113" s="15"/>
      <c r="SLL1113" s="15"/>
      <c r="SLO1113" s="15"/>
      <c r="SLP1113" s="15"/>
      <c r="SLS1113" s="15"/>
      <c r="SLT1113" s="15"/>
      <c r="SLW1113" s="15"/>
      <c r="SLX1113" s="15"/>
      <c r="SMA1113" s="15"/>
      <c r="SMB1113" s="15"/>
      <c r="SME1113" s="15"/>
      <c r="SMF1113" s="15"/>
      <c r="SMI1113" s="15"/>
      <c r="SMJ1113" s="15"/>
      <c r="SMM1113" s="15"/>
      <c r="SMN1113" s="15"/>
      <c r="SMQ1113" s="15"/>
      <c r="SMR1113" s="15"/>
      <c r="SMU1113" s="15"/>
      <c r="SMV1113" s="15"/>
      <c r="SMY1113" s="15"/>
      <c r="SMZ1113" s="15"/>
      <c r="SNC1113" s="15"/>
      <c r="SND1113" s="15"/>
      <c r="SNG1113" s="15"/>
      <c r="SNH1113" s="15"/>
      <c r="SNK1113" s="15"/>
      <c r="SNL1113" s="15"/>
      <c r="SNO1113" s="15"/>
      <c r="SNP1113" s="15"/>
      <c r="SNS1113" s="15"/>
      <c r="SNT1113" s="15"/>
      <c r="SNW1113" s="15"/>
      <c r="SNX1113" s="15"/>
      <c r="SOA1113" s="15"/>
      <c r="SOB1113" s="15"/>
      <c r="SOE1113" s="15"/>
      <c r="SOF1113" s="15"/>
      <c r="SOI1113" s="15"/>
      <c r="SOJ1113" s="15"/>
      <c r="SOM1113" s="15"/>
      <c r="SON1113" s="15"/>
      <c r="SOQ1113" s="15"/>
      <c r="SOR1113" s="15"/>
      <c r="SOU1113" s="15"/>
      <c r="SOV1113" s="15"/>
      <c r="SOY1113" s="15"/>
      <c r="SOZ1113" s="15"/>
      <c r="SPC1113" s="15"/>
      <c r="SPD1113" s="15"/>
      <c r="SPG1113" s="15"/>
      <c r="SPH1113" s="15"/>
      <c r="SPK1113" s="15"/>
      <c r="SPL1113" s="15"/>
      <c r="SPO1113" s="15"/>
      <c r="SPP1113" s="15"/>
      <c r="SPS1113" s="15"/>
      <c r="SPT1113" s="15"/>
      <c r="SPW1113" s="15"/>
      <c r="SPX1113" s="15"/>
      <c r="SQA1113" s="15"/>
      <c r="SQB1113" s="15"/>
      <c r="SQE1113" s="15"/>
      <c r="SQF1113" s="15"/>
      <c r="SQI1113" s="15"/>
      <c r="SQJ1113" s="15"/>
      <c r="SQM1113" s="15"/>
      <c r="SQN1113" s="15"/>
      <c r="SQQ1113" s="15"/>
      <c r="SQR1113" s="15"/>
      <c r="SQU1113" s="15"/>
      <c r="SQV1113" s="15"/>
      <c r="SQY1113" s="15"/>
      <c r="SQZ1113" s="15"/>
      <c r="SRC1113" s="15"/>
      <c r="SRD1113" s="15"/>
      <c r="SRG1113" s="15"/>
      <c r="SRH1113" s="15"/>
      <c r="SRK1113" s="15"/>
      <c r="SRL1113" s="15"/>
      <c r="SRO1113" s="15"/>
      <c r="SRP1113" s="15"/>
      <c r="SRS1113" s="15"/>
      <c r="SRT1113" s="15"/>
      <c r="SRW1113" s="15"/>
      <c r="SRX1113" s="15"/>
      <c r="SSA1113" s="15"/>
      <c r="SSB1113" s="15"/>
      <c r="SSE1113" s="15"/>
      <c r="SSF1113" s="15"/>
      <c r="SSI1113" s="15"/>
      <c r="SSJ1113" s="15"/>
      <c r="SSM1113" s="15"/>
      <c r="SSN1113" s="15"/>
      <c r="SSQ1113" s="15"/>
      <c r="SSR1113" s="15"/>
      <c r="SSU1113" s="15"/>
      <c r="SSV1113" s="15"/>
      <c r="SSY1113" s="15"/>
      <c r="SSZ1113" s="15"/>
      <c r="STC1113" s="15"/>
      <c r="STD1113" s="15"/>
      <c r="STG1113" s="15"/>
      <c r="STH1113" s="15"/>
      <c r="STK1113" s="15"/>
      <c r="STL1113" s="15"/>
      <c r="STO1113" s="15"/>
      <c r="STP1113" s="15"/>
      <c r="STS1113" s="15"/>
      <c r="STT1113" s="15"/>
      <c r="STW1113" s="15"/>
      <c r="STX1113" s="15"/>
      <c r="SUA1113" s="15"/>
      <c r="SUB1113" s="15"/>
      <c r="SUE1113" s="15"/>
      <c r="SUF1113" s="15"/>
      <c r="SUI1113" s="15"/>
      <c r="SUJ1113" s="15"/>
      <c r="SUM1113" s="15"/>
      <c r="SUN1113" s="15"/>
      <c r="SUQ1113" s="15"/>
      <c r="SUR1113" s="15"/>
      <c r="SUU1113" s="15"/>
      <c r="SUV1113" s="15"/>
      <c r="SUY1113" s="15"/>
      <c r="SUZ1113" s="15"/>
      <c r="SVC1113" s="15"/>
      <c r="SVD1113" s="15"/>
      <c r="SVG1113" s="15"/>
      <c r="SVH1113" s="15"/>
      <c r="SVK1113" s="15"/>
      <c r="SVL1113" s="15"/>
      <c r="SVO1113" s="15"/>
      <c r="SVP1113" s="15"/>
      <c r="SVS1113" s="15"/>
      <c r="SVT1113" s="15"/>
      <c r="SVW1113" s="15"/>
      <c r="SVX1113" s="15"/>
      <c r="SWA1113" s="15"/>
      <c r="SWB1113" s="15"/>
      <c r="SWE1113" s="15"/>
      <c r="SWF1113" s="15"/>
      <c r="SWI1113" s="15"/>
      <c r="SWJ1113" s="15"/>
      <c r="SWM1113" s="15"/>
      <c r="SWN1113" s="15"/>
      <c r="SWQ1113" s="15"/>
      <c r="SWR1113" s="15"/>
      <c r="SWU1113" s="15"/>
      <c r="SWV1113" s="15"/>
      <c r="SWY1113" s="15"/>
      <c r="SWZ1113" s="15"/>
      <c r="SXC1113" s="15"/>
      <c r="SXD1113" s="15"/>
      <c r="SXG1113" s="15"/>
      <c r="SXH1113" s="15"/>
      <c r="SXK1113" s="15"/>
      <c r="SXL1113" s="15"/>
      <c r="SXO1113" s="15"/>
      <c r="SXP1113" s="15"/>
      <c r="SXS1113" s="15"/>
      <c r="SXT1113" s="15"/>
      <c r="SXW1113" s="15"/>
      <c r="SXX1113" s="15"/>
      <c r="SYA1113" s="15"/>
      <c r="SYB1113" s="15"/>
      <c r="SYE1113" s="15"/>
      <c r="SYF1113" s="15"/>
      <c r="SYI1113" s="15"/>
      <c r="SYJ1113" s="15"/>
      <c r="SYM1113" s="15"/>
      <c r="SYN1113" s="15"/>
      <c r="SYQ1113" s="15"/>
      <c r="SYR1113" s="15"/>
      <c r="SYU1113" s="15"/>
      <c r="SYV1113" s="15"/>
      <c r="SYY1113" s="15"/>
      <c r="SYZ1113" s="15"/>
      <c r="SZC1113" s="15"/>
      <c r="SZD1113" s="15"/>
      <c r="SZG1113" s="15"/>
      <c r="SZH1113" s="15"/>
      <c r="SZK1113" s="15"/>
      <c r="SZL1113" s="15"/>
      <c r="SZO1113" s="15"/>
      <c r="SZP1113" s="15"/>
      <c r="SZS1113" s="15"/>
      <c r="SZT1113" s="15"/>
      <c r="SZW1113" s="15"/>
      <c r="SZX1113" s="15"/>
      <c r="TAA1113" s="15"/>
      <c r="TAB1113" s="15"/>
      <c r="TAE1113" s="15"/>
      <c r="TAF1113" s="15"/>
      <c r="TAI1113" s="15"/>
      <c r="TAJ1113" s="15"/>
      <c r="TAM1113" s="15"/>
      <c r="TAN1113" s="15"/>
      <c r="TAQ1113" s="15"/>
      <c r="TAR1113" s="15"/>
      <c r="TAU1113" s="15"/>
      <c r="TAV1113" s="15"/>
      <c r="TAY1113" s="15"/>
      <c r="TAZ1113" s="15"/>
      <c r="TBC1113" s="15"/>
      <c r="TBD1113" s="15"/>
      <c r="TBG1113" s="15"/>
      <c r="TBH1113" s="15"/>
      <c r="TBK1113" s="15"/>
      <c r="TBL1113" s="15"/>
      <c r="TBO1113" s="15"/>
      <c r="TBP1113" s="15"/>
      <c r="TBS1113" s="15"/>
      <c r="TBT1113" s="15"/>
      <c r="TBW1113" s="15"/>
      <c r="TBX1113" s="15"/>
      <c r="TCA1113" s="15"/>
      <c r="TCB1113" s="15"/>
      <c r="TCE1113" s="15"/>
      <c r="TCF1113" s="15"/>
      <c r="TCI1113" s="15"/>
      <c r="TCJ1113" s="15"/>
      <c r="TCM1113" s="15"/>
      <c r="TCN1113" s="15"/>
      <c r="TCQ1113" s="15"/>
      <c r="TCR1113" s="15"/>
      <c r="TCU1113" s="15"/>
      <c r="TCV1113" s="15"/>
      <c r="TCY1113" s="15"/>
      <c r="TCZ1113" s="15"/>
      <c r="TDC1113" s="15"/>
      <c r="TDD1113" s="15"/>
      <c r="TDG1113" s="15"/>
      <c r="TDH1113" s="15"/>
      <c r="TDK1113" s="15"/>
      <c r="TDL1113" s="15"/>
      <c r="TDO1113" s="15"/>
      <c r="TDP1113" s="15"/>
      <c r="TDS1113" s="15"/>
      <c r="TDT1113" s="15"/>
      <c r="TDW1113" s="15"/>
      <c r="TDX1113" s="15"/>
      <c r="TEA1113" s="15"/>
      <c r="TEB1113" s="15"/>
      <c r="TEE1113" s="15"/>
      <c r="TEF1113" s="15"/>
      <c r="TEI1113" s="15"/>
      <c r="TEJ1113" s="15"/>
      <c r="TEM1113" s="15"/>
      <c r="TEN1113" s="15"/>
      <c r="TEQ1113" s="15"/>
      <c r="TER1113" s="15"/>
      <c r="TEU1113" s="15"/>
      <c r="TEV1113" s="15"/>
      <c r="TEY1113" s="15"/>
      <c r="TEZ1113" s="15"/>
      <c r="TFC1113" s="15"/>
      <c r="TFD1113" s="15"/>
      <c r="TFG1113" s="15"/>
      <c r="TFH1113" s="15"/>
      <c r="TFK1113" s="15"/>
      <c r="TFL1113" s="15"/>
      <c r="TFO1113" s="15"/>
      <c r="TFP1113" s="15"/>
      <c r="TFS1113" s="15"/>
      <c r="TFT1113" s="15"/>
      <c r="TFW1113" s="15"/>
      <c r="TFX1113" s="15"/>
      <c r="TGA1113" s="15"/>
      <c r="TGB1113" s="15"/>
      <c r="TGE1113" s="15"/>
      <c r="TGF1113" s="15"/>
      <c r="TGI1113" s="15"/>
      <c r="TGJ1113" s="15"/>
      <c r="TGM1113" s="15"/>
      <c r="TGN1113" s="15"/>
      <c r="TGQ1113" s="15"/>
      <c r="TGR1113" s="15"/>
      <c r="TGU1113" s="15"/>
      <c r="TGV1113" s="15"/>
      <c r="TGY1113" s="15"/>
      <c r="TGZ1113" s="15"/>
      <c r="THC1113" s="15"/>
      <c r="THD1113" s="15"/>
      <c r="THG1113" s="15"/>
      <c r="THH1113" s="15"/>
      <c r="THK1113" s="15"/>
      <c r="THL1113" s="15"/>
      <c r="THO1113" s="15"/>
      <c r="THP1113" s="15"/>
      <c r="THS1113" s="15"/>
      <c r="THT1113" s="15"/>
      <c r="THW1113" s="15"/>
      <c r="THX1113" s="15"/>
      <c r="TIA1113" s="15"/>
      <c r="TIB1113" s="15"/>
      <c r="TIE1113" s="15"/>
      <c r="TIF1113" s="15"/>
      <c r="TII1113" s="15"/>
      <c r="TIJ1113" s="15"/>
      <c r="TIM1113" s="15"/>
      <c r="TIN1113" s="15"/>
      <c r="TIQ1113" s="15"/>
      <c r="TIR1113" s="15"/>
      <c r="TIU1113" s="15"/>
      <c r="TIV1113" s="15"/>
      <c r="TIY1113" s="15"/>
      <c r="TIZ1113" s="15"/>
      <c r="TJC1113" s="15"/>
      <c r="TJD1113" s="15"/>
      <c r="TJG1113" s="15"/>
      <c r="TJH1113" s="15"/>
      <c r="TJK1113" s="15"/>
      <c r="TJL1113" s="15"/>
      <c r="TJO1113" s="15"/>
      <c r="TJP1113" s="15"/>
      <c r="TJS1113" s="15"/>
      <c r="TJT1113" s="15"/>
      <c r="TJW1113" s="15"/>
      <c r="TJX1113" s="15"/>
      <c r="TKA1113" s="15"/>
      <c r="TKB1113" s="15"/>
      <c r="TKE1113" s="15"/>
      <c r="TKF1113" s="15"/>
      <c r="TKI1113" s="15"/>
      <c r="TKJ1113" s="15"/>
      <c r="TKM1113" s="15"/>
      <c r="TKN1113" s="15"/>
      <c r="TKQ1113" s="15"/>
      <c r="TKR1113" s="15"/>
      <c r="TKU1113" s="15"/>
      <c r="TKV1113" s="15"/>
      <c r="TKY1113" s="15"/>
      <c r="TKZ1113" s="15"/>
      <c r="TLC1113" s="15"/>
      <c r="TLD1113" s="15"/>
      <c r="TLG1113" s="15"/>
      <c r="TLH1113" s="15"/>
      <c r="TLK1113" s="15"/>
      <c r="TLL1113" s="15"/>
      <c r="TLO1113" s="15"/>
      <c r="TLP1113" s="15"/>
      <c r="TLS1113" s="15"/>
      <c r="TLT1113" s="15"/>
      <c r="TLW1113" s="15"/>
      <c r="TLX1113" s="15"/>
      <c r="TMA1113" s="15"/>
      <c r="TMB1113" s="15"/>
      <c r="TME1113" s="15"/>
      <c r="TMF1113" s="15"/>
      <c r="TMI1113" s="15"/>
      <c r="TMJ1113" s="15"/>
      <c r="TMM1113" s="15"/>
      <c r="TMN1113" s="15"/>
      <c r="TMQ1113" s="15"/>
      <c r="TMR1113" s="15"/>
      <c r="TMU1113" s="15"/>
      <c r="TMV1113" s="15"/>
      <c r="TMY1113" s="15"/>
      <c r="TMZ1113" s="15"/>
      <c r="TNC1113" s="15"/>
      <c r="TND1113" s="15"/>
      <c r="TNG1113" s="15"/>
      <c r="TNH1113" s="15"/>
      <c r="TNK1113" s="15"/>
      <c r="TNL1113" s="15"/>
      <c r="TNO1113" s="15"/>
      <c r="TNP1113" s="15"/>
      <c r="TNS1113" s="15"/>
      <c r="TNT1113" s="15"/>
      <c r="TNW1113" s="15"/>
      <c r="TNX1113" s="15"/>
      <c r="TOA1113" s="15"/>
      <c r="TOB1113" s="15"/>
      <c r="TOE1113" s="15"/>
      <c r="TOF1113" s="15"/>
      <c r="TOI1113" s="15"/>
      <c r="TOJ1113" s="15"/>
      <c r="TOM1113" s="15"/>
      <c r="TON1113" s="15"/>
      <c r="TOQ1113" s="15"/>
      <c r="TOR1113" s="15"/>
      <c r="TOU1113" s="15"/>
      <c r="TOV1113" s="15"/>
      <c r="TOY1113" s="15"/>
      <c r="TOZ1113" s="15"/>
      <c r="TPC1113" s="15"/>
      <c r="TPD1113" s="15"/>
      <c r="TPG1113" s="15"/>
      <c r="TPH1113" s="15"/>
      <c r="TPK1113" s="15"/>
      <c r="TPL1113" s="15"/>
      <c r="TPO1113" s="15"/>
      <c r="TPP1113" s="15"/>
      <c r="TPS1113" s="15"/>
      <c r="TPT1113" s="15"/>
      <c r="TPW1113" s="15"/>
      <c r="TPX1113" s="15"/>
      <c r="TQA1113" s="15"/>
      <c r="TQB1113" s="15"/>
      <c r="TQE1113" s="15"/>
      <c r="TQF1113" s="15"/>
      <c r="TQI1113" s="15"/>
      <c r="TQJ1113" s="15"/>
      <c r="TQM1113" s="15"/>
      <c r="TQN1113" s="15"/>
      <c r="TQQ1113" s="15"/>
      <c r="TQR1113" s="15"/>
      <c r="TQU1113" s="15"/>
      <c r="TQV1113" s="15"/>
      <c r="TQY1113" s="15"/>
      <c r="TQZ1113" s="15"/>
      <c r="TRC1113" s="15"/>
      <c r="TRD1113" s="15"/>
      <c r="TRG1113" s="15"/>
      <c r="TRH1113" s="15"/>
      <c r="TRK1113" s="15"/>
      <c r="TRL1113" s="15"/>
      <c r="TRO1113" s="15"/>
      <c r="TRP1113" s="15"/>
      <c r="TRS1113" s="15"/>
      <c r="TRT1113" s="15"/>
      <c r="TRW1113" s="15"/>
      <c r="TRX1113" s="15"/>
      <c r="TSA1113" s="15"/>
      <c r="TSB1113" s="15"/>
      <c r="TSE1113" s="15"/>
      <c r="TSF1113" s="15"/>
      <c r="TSI1113" s="15"/>
      <c r="TSJ1113" s="15"/>
      <c r="TSM1113" s="15"/>
      <c r="TSN1113" s="15"/>
      <c r="TSQ1113" s="15"/>
      <c r="TSR1113" s="15"/>
      <c r="TSU1113" s="15"/>
      <c r="TSV1113" s="15"/>
      <c r="TSY1113" s="15"/>
      <c r="TSZ1113" s="15"/>
      <c r="TTC1113" s="15"/>
      <c r="TTD1113" s="15"/>
      <c r="TTG1113" s="15"/>
      <c r="TTH1113" s="15"/>
      <c r="TTK1113" s="15"/>
      <c r="TTL1113" s="15"/>
      <c r="TTO1113" s="15"/>
      <c r="TTP1113" s="15"/>
      <c r="TTS1113" s="15"/>
      <c r="TTT1113" s="15"/>
      <c r="TTW1113" s="15"/>
      <c r="TTX1113" s="15"/>
      <c r="TUA1113" s="15"/>
      <c r="TUB1113" s="15"/>
      <c r="TUE1113" s="15"/>
      <c r="TUF1113" s="15"/>
      <c r="TUI1113" s="15"/>
      <c r="TUJ1113" s="15"/>
      <c r="TUM1113" s="15"/>
      <c r="TUN1113" s="15"/>
      <c r="TUQ1113" s="15"/>
      <c r="TUR1113" s="15"/>
      <c r="TUU1113" s="15"/>
      <c r="TUV1113" s="15"/>
      <c r="TUY1113" s="15"/>
      <c r="TUZ1113" s="15"/>
      <c r="TVC1113" s="15"/>
      <c r="TVD1113" s="15"/>
      <c r="TVG1113" s="15"/>
      <c r="TVH1113" s="15"/>
      <c r="TVK1113" s="15"/>
      <c r="TVL1113" s="15"/>
      <c r="TVO1113" s="15"/>
      <c r="TVP1113" s="15"/>
      <c r="TVS1113" s="15"/>
      <c r="TVT1113" s="15"/>
      <c r="TVW1113" s="15"/>
      <c r="TVX1113" s="15"/>
      <c r="TWA1113" s="15"/>
      <c r="TWB1113" s="15"/>
      <c r="TWE1113" s="15"/>
      <c r="TWF1113" s="15"/>
      <c r="TWI1113" s="15"/>
      <c r="TWJ1113" s="15"/>
      <c r="TWM1113" s="15"/>
      <c r="TWN1113" s="15"/>
      <c r="TWQ1113" s="15"/>
      <c r="TWR1113" s="15"/>
      <c r="TWU1113" s="15"/>
      <c r="TWV1113" s="15"/>
      <c r="TWY1113" s="15"/>
      <c r="TWZ1113" s="15"/>
      <c r="TXC1113" s="15"/>
      <c r="TXD1113" s="15"/>
      <c r="TXG1113" s="15"/>
      <c r="TXH1113" s="15"/>
      <c r="TXK1113" s="15"/>
      <c r="TXL1113" s="15"/>
      <c r="TXO1113" s="15"/>
      <c r="TXP1113" s="15"/>
      <c r="TXS1113" s="15"/>
      <c r="TXT1113" s="15"/>
      <c r="TXW1113" s="15"/>
      <c r="TXX1113" s="15"/>
      <c r="TYA1113" s="15"/>
      <c r="TYB1113" s="15"/>
      <c r="TYE1113" s="15"/>
      <c r="TYF1113" s="15"/>
      <c r="TYI1113" s="15"/>
      <c r="TYJ1113" s="15"/>
      <c r="TYM1113" s="15"/>
      <c r="TYN1113" s="15"/>
      <c r="TYQ1113" s="15"/>
      <c r="TYR1113" s="15"/>
      <c r="TYU1113" s="15"/>
      <c r="TYV1113" s="15"/>
      <c r="TYY1113" s="15"/>
      <c r="TYZ1113" s="15"/>
      <c r="TZC1113" s="15"/>
      <c r="TZD1113" s="15"/>
      <c r="TZG1113" s="15"/>
      <c r="TZH1113" s="15"/>
      <c r="TZK1113" s="15"/>
      <c r="TZL1113" s="15"/>
      <c r="TZO1113" s="15"/>
      <c r="TZP1113" s="15"/>
      <c r="TZS1113" s="15"/>
      <c r="TZT1113" s="15"/>
      <c r="TZW1113" s="15"/>
      <c r="TZX1113" s="15"/>
      <c r="UAA1113" s="15"/>
      <c r="UAB1113" s="15"/>
      <c r="UAE1113" s="15"/>
      <c r="UAF1113" s="15"/>
      <c r="UAI1113" s="15"/>
      <c r="UAJ1113" s="15"/>
      <c r="UAM1113" s="15"/>
      <c r="UAN1113" s="15"/>
      <c r="UAQ1113" s="15"/>
      <c r="UAR1113" s="15"/>
      <c r="UAU1113" s="15"/>
      <c r="UAV1113" s="15"/>
      <c r="UAY1113" s="15"/>
      <c r="UAZ1113" s="15"/>
      <c r="UBC1113" s="15"/>
      <c r="UBD1113" s="15"/>
      <c r="UBG1113" s="15"/>
      <c r="UBH1113" s="15"/>
      <c r="UBK1113" s="15"/>
      <c r="UBL1113" s="15"/>
      <c r="UBO1113" s="15"/>
      <c r="UBP1113" s="15"/>
      <c r="UBS1113" s="15"/>
      <c r="UBT1113" s="15"/>
      <c r="UBW1113" s="15"/>
      <c r="UBX1113" s="15"/>
      <c r="UCA1113" s="15"/>
      <c r="UCB1113" s="15"/>
      <c r="UCE1113" s="15"/>
      <c r="UCF1113" s="15"/>
      <c r="UCI1113" s="15"/>
      <c r="UCJ1113" s="15"/>
      <c r="UCM1113" s="15"/>
      <c r="UCN1113" s="15"/>
      <c r="UCQ1113" s="15"/>
      <c r="UCR1113" s="15"/>
      <c r="UCU1113" s="15"/>
      <c r="UCV1113" s="15"/>
      <c r="UCY1113" s="15"/>
      <c r="UCZ1113" s="15"/>
      <c r="UDC1113" s="15"/>
      <c r="UDD1113" s="15"/>
      <c r="UDG1113" s="15"/>
      <c r="UDH1113" s="15"/>
      <c r="UDK1113" s="15"/>
      <c r="UDL1113" s="15"/>
      <c r="UDO1113" s="15"/>
      <c r="UDP1113" s="15"/>
      <c r="UDS1113" s="15"/>
      <c r="UDT1113" s="15"/>
      <c r="UDW1113" s="15"/>
      <c r="UDX1113" s="15"/>
      <c r="UEA1113" s="15"/>
      <c r="UEB1113" s="15"/>
      <c r="UEE1113" s="15"/>
      <c r="UEF1113" s="15"/>
      <c r="UEI1113" s="15"/>
      <c r="UEJ1113" s="15"/>
      <c r="UEM1113" s="15"/>
      <c r="UEN1113" s="15"/>
      <c r="UEQ1113" s="15"/>
      <c r="UER1113" s="15"/>
      <c r="UEU1113" s="15"/>
      <c r="UEV1113" s="15"/>
      <c r="UEY1113" s="15"/>
      <c r="UEZ1113" s="15"/>
      <c r="UFC1113" s="15"/>
      <c r="UFD1113" s="15"/>
      <c r="UFG1113" s="15"/>
      <c r="UFH1113" s="15"/>
      <c r="UFK1113" s="15"/>
      <c r="UFL1113" s="15"/>
      <c r="UFO1113" s="15"/>
      <c r="UFP1113" s="15"/>
      <c r="UFS1113" s="15"/>
      <c r="UFT1113" s="15"/>
      <c r="UFW1113" s="15"/>
      <c r="UFX1113" s="15"/>
      <c r="UGA1113" s="15"/>
      <c r="UGB1113" s="15"/>
      <c r="UGE1113" s="15"/>
      <c r="UGF1113" s="15"/>
      <c r="UGI1113" s="15"/>
      <c r="UGJ1113" s="15"/>
      <c r="UGM1113" s="15"/>
      <c r="UGN1113" s="15"/>
      <c r="UGQ1113" s="15"/>
      <c r="UGR1113" s="15"/>
      <c r="UGU1113" s="15"/>
      <c r="UGV1113" s="15"/>
      <c r="UGY1113" s="15"/>
      <c r="UGZ1113" s="15"/>
      <c r="UHC1113" s="15"/>
      <c r="UHD1113" s="15"/>
      <c r="UHG1113" s="15"/>
      <c r="UHH1113" s="15"/>
      <c r="UHK1113" s="15"/>
      <c r="UHL1113" s="15"/>
      <c r="UHO1113" s="15"/>
      <c r="UHP1113" s="15"/>
      <c r="UHS1113" s="15"/>
      <c r="UHT1113" s="15"/>
      <c r="UHW1113" s="15"/>
      <c r="UHX1113" s="15"/>
      <c r="UIA1113" s="15"/>
      <c r="UIB1113" s="15"/>
      <c r="UIE1113" s="15"/>
      <c r="UIF1113" s="15"/>
      <c r="UII1113" s="15"/>
      <c r="UIJ1113" s="15"/>
      <c r="UIM1113" s="15"/>
      <c r="UIN1113" s="15"/>
      <c r="UIQ1113" s="15"/>
      <c r="UIR1113" s="15"/>
      <c r="UIU1113" s="15"/>
      <c r="UIV1113" s="15"/>
      <c r="UIY1113" s="15"/>
      <c r="UIZ1113" s="15"/>
      <c r="UJC1113" s="15"/>
      <c r="UJD1113" s="15"/>
      <c r="UJG1113" s="15"/>
      <c r="UJH1113" s="15"/>
      <c r="UJK1113" s="15"/>
      <c r="UJL1113" s="15"/>
      <c r="UJO1113" s="15"/>
      <c r="UJP1113" s="15"/>
      <c r="UJS1113" s="15"/>
      <c r="UJT1113" s="15"/>
      <c r="UJW1113" s="15"/>
      <c r="UJX1113" s="15"/>
      <c r="UKA1113" s="15"/>
      <c r="UKB1113" s="15"/>
      <c r="UKE1113" s="15"/>
      <c r="UKF1113" s="15"/>
      <c r="UKI1113" s="15"/>
      <c r="UKJ1113" s="15"/>
      <c r="UKM1113" s="15"/>
      <c r="UKN1113" s="15"/>
      <c r="UKQ1113" s="15"/>
      <c r="UKR1113" s="15"/>
      <c r="UKU1113" s="15"/>
      <c r="UKV1113" s="15"/>
      <c r="UKY1113" s="15"/>
      <c r="UKZ1113" s="15"/>
      <c r="ULC1113" s="15"/>
      <c r="ULD1113" s="15"/>
      <c r="ULG1113" s="15"/>
      <c r="ULH1113" s="15"/>
      <c r="ULK1113" s="15"/>
      <c r="ULL1113" s="15"/>
      <c r="ULO1113" s="15"/>
      <c r="ULP1113" s="15"/>
      <c r="ULS1113" s="15"/>
      <c r="ULT1113" s="15"/>
      <c r="ULW1113" s="15"/>
      <c r="ULX1113" s="15"/>
      <c r="UMA1113" s="15"/>
      <c r="UMB1113" s="15"/>
      <c r="UME1113" s="15"/>
      <c r="UMF1113" s="15"/>
      <c r="UMI1113" s="15"/>
      <c r="UMJ1113" s="15"/>
      <c r="UMM1113" s="15"/>
      <c r="UMN1113" s="15"/>
      <c r="UMQ1113" s="15"/>
      <c r="UMR1113" s="15"/>
      <c r="UMU1113" s="15"/>
      <c r="UMV1113" s="15"/>
      <c r="UMY1113" s="15"/>
      <c r="UMZ1113" s="15"/>
      <c r="UNC1113" s="15"/>
      <c r="UND1113" s="15"/>
      <c r="UNG1113" s="15"/>
      <c r="UNH1113" s="15"/>
      <c r="UNK1113" s="15"/>
      <c r="UNL1113" s="15"/>
      <c r="UNO1113" s="15"/>
      <c r="UNP1113" s="15"/>
      <c r="UNS1113" s="15"/>
      <c r="UNT1113" s="15"/>
      <c r="UNW1113" s="15"/>
      <c r="UNX1113" s="15"/>
      <c r="UOA1113" s="15"/>
      <c r="UOB1113" s="15"/>
      <c r="UOE1113" s="15"/>
      <c r="UOF1113" s="15"/>
      <c r="UOI1113" s="15"/>
      <c r="UOJ1113" s="15"/>
      <c r="UOM1113" s="15"/>
      <c r="UON1113" s="15"/>
      <c r="UOQ1113" s="15"/>
      <c r="UOR1113" s="15"/>
      <c r="UOU1113" s="15"/>
      <c r="UOV1113" s="15"/>
      <c r="UOY1113" s="15"/>
      <c r="UOZ1113" s="15"/>
      <c r="UPC1113" s="15"/>
      <c r="UPD1113" s="15"/>
      <c r="UPG1113" s="15"/>
      <c r="UPH1113" s="15"/>
      <c r="UPK1113" s="15"/>
      <c r="UPL1113" s="15"/>
      <c r="UPO1113" s="15"/>
      <c r="UPP1113" s="15"/>
      <c r="UPS1113" s="15"/>
      <c r="UPT1113" s="15"/>
      <c r="UPW1113" s="15"/>
      <c r="UPX1113" s="15"/>
      <c r="UQA1113" s="15"/>
      <c r="UQB1113" s="15"/>
      <c r="UQE1113" s="15"/>
      <c r="UQF1113" s="15"/>
      <c r="UQI1113" s="15"/>
      <c r="UQJ1113" s="15"/>
      <c r="UQM1113" s="15"/>
      <c r="UQN1113" s="15"/>
      <c r="UQQ1113" s="15"/>
      <c r="UQR1113" s="15"/>
      <c r="UQU1113" s="15"/>
      <c r="UQV1113" s="15"/>
      <c r="UQY1113" s="15"/>
      <c r="UQZ1113" s="15"/>
      <c r="URC1113" s="15"/>
      <c r="URD1113" s="15"/>
      <c r="URG1113" s="15"/>
      <c r="URH1113" s="15"/>
      <c r="URK1113" s="15"/>
      <c r="URL1113" s="15"/>
      <c r="URO1113" s="15"/>
      <c r="URP1113" s="15"/>
      <c r="URS1113" s="15"/>
      <c r="URT1113" s="15"/>
      <c r="URW1113" s="15"/>
      <c r="URX1113" s="15"/>
      <c r="USA1113" s="15"/>
      <c r="USB1113" s="15"/>
      <c r="USE1113" s="15"/>
      <c r="USF1113" s="15"/>
      <c r="USI1113" s="15"/>
      <c r="USJ1113" s="15"/>
      <c r="USM1113" s="15"/>
      <c r="USN1113" s="15"/>
      <c r="USQ1113" s="15"/>
      <c r="USR1113" s="15"/>
      <c r="USU1113" s="15"/>
      <c r="USV1113" s="15"/>
      <c r="USY1113" s="15"/>
      <c r="USZ1113" s="15"/>
      <c r="UTC1113" s="15"/>
      <c r="UTD1113" s="15"/>
      <c r="UTG1113" s="15"/>
      <c r="UTH1113" s="15"/>
      <c r="UTK1113" s="15"/>
      <c r="UTL1113" s="15"/>
      <c r="UTO1113" s="15"/>
      <c r="UTP1113" s="15"/>
      <c r="UTS1113" s="15"/>
      <c r="UTT1113" s="15"/>
      <c r="UTW1113" s="15"/>
      <c r="UTX1113" s="15"/>
      <c r="UUA1113" s="15"/>
      <c r="UUB1113" s="15"/>
      <c r="UUE1113" s="15"/>
      <c r="UUF1113" s="15"/>
      <c r="UUI1113" s="15"/>
      <c r="UUJ1113" s="15"/>
      <c r="UUM1113" s="15"/>
      <c r="UUN1113" s="15"/>
      <c r="UUQ1113" s="15"/>
      <c r="UUR1113" s="15"/>
      <c r="UUU1113" s="15"/>
      <c r="UUV1113" s="15"/>
      <c r="UUY1113" s="15"/>
      <c r="UUZ1113" s="15"/>
      <c r="UVC1113" s="15"/>
      <c r="UVD1113" s="15"/>
      <c r="UVG1113" s="15"/>
      <c r="UVH1113" s="15"/>
      <c r="UVK1113" s="15"/>
      <c r="UVL1113" s="15"/>
      <c r="UVO1113" s="15"/>
      <c r="UVP1113" s="15"/>
      <c r="UVS1113" s="15"/>
      <c r="UVT1113" s="15"/>
      <c r="UVW1113" s="15"/>
      <c r="UVX1113" s="15"/>
      <c r="UWA1113" s="15"/>
      <c r="UWB1113" s="15"/>
      <c r="UWE1113" s="15"/>
      <c r="UWF1113" s="15"/>
      <c r="UWI1113" s="15"/>
      <c r="UWJ1113" s="15"/>
      <c r="UWM1113" s="15"/>
      <c r="UWN1113" s="15"/>
      <c r="UWQ1113" s="15"/>
      <c r="UWR1113" s="15"/>
      <c r="UWU1113" s="15"/>
      <c r="UWV1113" s="15"/>
      <c r="UWY1113" s="15"/>
      <c r="UWZ1113" s="15"/>
      <c r="UXC1113" s="15"/>
      <c r="UXD1113" s="15"/>
      <c r="UXG1113" s="15"/>
      <c r="UXH1113" s="15"/>
      <c r="UXK1113" s="15"/>
      <c r="UXL1113" s="15"/>
      <c r="UXO1113" s="15"/>
      <c r="UXP1113" s="15"/>
      <c r="UXS1113" s="15"/>
      <c r="UXT1113" s="15"/>
      <c r="UXW1113" s="15"/>
      <c r="UXX1113" s="15"/>
      <c r="UYA1113" s="15"/>
      <c r="UYB1113" s="15"/>
      <c r="UYE1113" s="15"/>
      <c r="UYF1113" s="15"/>
      <c r="UYI1113" s="15"/>
      <c r="UYJ1113" s="15"/>
      <c r="UYM1113" s="15"/>
      <c r="UYN1113" s="15"/>
      <c r="UYQ1113" s="15"/>
      <c r="UYR1113" s="15"/>
      <c r="UYU1113" s="15"/>
      <c r="UYV1113" s="15"/>
      <c r="UYY1113" s="15"/>
      <c r="UYZ1113" s="15"/>
      <c r="UZC1113" s="15"/>
      <c r="UZD1113" s="15"/>
      <c r="UZG1113" s="15"/>
      <c r="UZH1113" s="15"/>
      <c r="UZK1113" s="15"/>
      <c r="UZL1113" s="15"/>
      <c r="UZO1113" s="15"/>
      <c r="UZP1113" s="15"/>
      <c r="UZS1113" s="15"/>
      <c r="UZT1113" s="15"/>
      <c r="UZW1113" s="15"/>
      <c r="UZX1113" s="15"/>
      <c r="VAA1113" s="15"/>
      <c r="VAB1113" s="15"/>
      <c r="VAE1113" s="15"/>
      <c r="VAF1113" s="15"/>
      <c r="VAI1113" s="15"/>
      <c r="VAJ1113" s="15"/>
      <c r="VAM1113" s="15"/>
      <c r="VAN1113" s="15"/>
      <c r="VAQ1113" s="15"/>
      <c r="VAR1113" s="15"/>
      <c r="VAU1113" s="15"/>
      <c r="VAV1113" s="15"/>
      <c r="VAY1113" s="15"/>
      <c r="VAZ1113" s="15"/>
      <c r="VBC1113" s="15"/>
      <c r="VBD1113" s="15"/>
      <c r="VBG1113" s="15"/>
      <c r="VBH1113" s="15"/>
      <c r="VBK1113" s="15"/>
      <c r="VBL1113" s="15"/>
      <c r="VBO1113" s="15"/>
      <c r="VBP1113" s="15"/>
      <c r="VBS1113" s="15"/>
      <c r="VBT1113" s="15"/>
      <c r="VBW1113" s="15"/>
      <c r="VBX1113" s="15"/>
      <c r="VCA1113" s="15"/>
      <c r="VCB1113" s="15"/>
      <c r="VCE1113" s="15"/>
      <c r="VCF1113" s="15"/>
      <c r="VCI1113" s="15"/>
      <c r="VCJ1113" s="15"/>
      <c r="VCM1113" s="15"/>
      <c r="VCN1113" s="15"/>
      <c r="VCQ1113" s="15"/>
      <c r="VCR1113" s="15"/>
      <c r="VCU1113" s="15"/>
      <c r="VCV1113" s="15"/>
      <c r="VCY1113" s="15"/>
      <c r="VCZ1113" s="15"/>
      <c r="VDC1113" s="15"/>
      <c r="VDD1113" s="15"/>
      <c r="VDG1113" s="15"/>
      <c r="VDH1113" s="15"/>
      <c r="VDK1113" s="15"/>
      <c r="VDL1113" s="15"/>
      <c r="VDO1113" s="15"/>
      <c r="VDP1113" s="15"/>
      <c r="VDS1113" s="15"/>
      <c r="VDT1113" s="15"/>
      <c r="VDW1113" s="15"/>
      <c r="VDX1113" s="15"/>
      <c r="VEA1113" s="15"/>
      <c r="VEB1113" s="15"/>
      <c r="VEE1113" s="15"/>
      <c r="VEF1113" s="15"/>
      <c r="VEI1113" s="15"/>
      <c r="VEJ1113" s="15"/>
      <c r="VEM1113" s="15"/>
      <c r="VEN1113" s="15"/>
      <c r="VEQ1113" s="15"/>
      <c r="VER1113" s="15"/>
      <c r="VEU1113" s="15"/>
      <c r="VEV1113" s="15"/>
      <c r="VEY1113" s="15"/>
      <c r="VEZ1113" s="15"/>
      <c r="VFC1113" s="15"/>
      <c r="VFD1113" s="15"/>
      <c r="VFG1113" s="15"/>
      <c r="VFH1113" s="15"/>
      <c r="VFK1113" s="15"/>
      <c r="VFL1113" s="15"/>
      <c r="VFO1113" s="15"/>
      <c r="VFP1113" s="15"/>
      <c r="VFS1113" s="15"/>
      <c r="VFT1113" s="15"/>
      <c r="VFW1113" s="15"/>
      <c r="VFX1113" s="15"/>
      <c r="VGA1113" s="15"/>
      <c r="VGB1113" s="15"/>
      <c r="VGE1113" s="15"/>
      <c r="VGF1113" s="15"/>
      <c r="VGI1113" s="15"/>
      <c r="VGJ1113" s="15"/>
      <c r="VGM1113" s="15"/>
      <c r="VGN1113" s="15"/>
      <c r="VGQ1113" s="15"/>
      <c r="VGR1113" s="15"/>
      <c r="VGU1113" s="15"/>
      <c r="VGV1113" s="15"/>
      <c r="VGY1113" s="15"/>
      <c r="VGZ1113" s="15"/>
      <c r="VHC1113" s="15"/>
      <c r="VHD1113" s="15"/>
      <c r="VHG1113" s="15"/>
      <c r="VHH1113" s="15"/>
      <c r="VHK1113" s="15"/>
      <c r="VHL1113" s="15"/>
      <c r="VHO1113" s="15"/>
      <c r="VHP1113" s="15"/>
      <c r="VHS1113" s="15"/>
      <c r="VHT1113" s="15"/>
      <c r="VHW1113" s="15"/>
      <c r="VHX1113" s="15"/>
      <c r="VIA1113" s="15"/>
      <c r="VIB1113" s="15"/>
      <c r="VIE1113" s="15"/>
      <c r="VIF1113" s="15"/>
      <c r="VII1113" s="15"/>
      <c r="VIJ1113" s="15"/>
      <c r="VIM1113" s="15"/>
      <c r="VIN1113" s="15"/>
      <c r="VIQ1113" s="15"/>
      <c r="VIR1113" s="15"/>
      <c r="VIU1113" s="15"/>
      <c r="VIV1113" s="15"/>
      <c r="VIY1113" s="15"/>
      <c r="VIZ1113" s="15"/>
      <c r="VJC1113" s="15"/>
      <c r="VJD1113" s="15"/>
      <c r="VJG1113" s="15"/>
      <c r="VJH1113" s="15"/>
      <c r="VJK1113" s="15"/>
      <c r="VJL1113" s="15"/>
      <c r="VJO1113" s="15"/>
      <c r="VJP1113" s="15"/>
      <c r="VJS1113" s="15"/>
      <c r="VJT1113" s="15"/>
      <c r="VJW1113" s="15"/>
      <c r="VJX1113" s="15"/>
      <c r="VKA1113" s="15"/>
      <c r="VKB1113" s="15"/>
      <c r="VKE1113" s="15"/>
      <c r="VKF1113" s="15"/>
      <c r="VKI1113" s="15"/>
      <c r="VKJ1113" s="15"/>
      <c r="VKM1113" s="15"/>
      <c r="VKN1113" s="15"/>
      <c r="VKQ1113" s="15"/>
      <c r="VKR1113" s="15"/>
      <c r="VKU1113" s="15"/>
      <c r="VKV1113" s="15"/>
      <c r="VKY1113" s="15"/>
      <c r="VKZ1113" s="15"/>
      <c r="VLC1113" s="15"/>
      <c r="VLD1113" s="15"/>
      <c r="VLG1113" s="15"/>
      <c r="VLH1113" s="15"/>
      <c r="VLK1113" s="15"/>
      <c r="VLL1113" s="15"/>
      <c r="VLO1113" s="15"/>
      <c r="VLP1113" s="15"/>
      <c r="VLS1113" s="15"/>
      <c r="VLT1113" s="15"/>
      <c r="VLW1113" s="15"/>
      <c r="VLX1113" s="15"/>
      <c r="VMA1113" s="15"/>
      <c r="VMB1113" s="15"/>
      <c r="VME1113" s="15"/>
      <c r="VMF1113" s="15"/>
      <c r="VMI1113" s="15"/>
      <c r="VMJ1113" s="15"/>
      <c r="VMM1113" s="15"/>
      <c r="VMN1113" s="15"/>
      <c r="VMQ1113" s="15"/>
      <c r="VMR1113" s="15"/>
      <c r="VMU1113" s="15"/>
      <c r="VMV1113" s="15"/>
      <c r="VMY1113" s="15"/>
      <c r="VMZ1113" s="15"/>
      <c r="VNC1113" s="15"/>
      <c r="VND1113" s="15"/>
      <c r="VNG1113" s="15"/>
      <c r="VNH1113" s="15"/>
      <c r="VNK1113" s="15"/>
      <c r="VNL1113" s="15"/>
      <c r="VNO1113" s="15"/>
      <c r="VNP1113" s="15"/>
      <c r="VNS1113" s="15"/>
      <c r="VNT1113" s="15"/>
      <c r="VNW1113" s="15"/>
      <c r="VNX1113" s="15"/>
      <c r="VOA1113" s="15"/>
      <c r="VOB1113" s="15"/>
      <c r="VOE1113" s="15"/>
      <c r="VOF1113" s="15"/>
      <c r="VOI1113" s="15"/>
      <c r="VOJ1113" s="15"/>
      <c r="VOM1113" s="15"/>
      <c r="VON1113" s="15"/>
      <c r="VOQ1113" s="15"/>
      <c r="VOR1113" s="15"/>
      <c r="VOU1113" s="15"/>
      <c r="VOV1113" s="15"/>
      <c r="VOY1113" s="15"/>
      <c r="VOZ1113" s="15"/>
      <c r="VPC1113" s="15"/>
      <c r="VPD1113" s="15"/>
      <c r="VPG1113" s="15"/>
      <c r="VPH1113" s="15"/>
      <c r="VPK1113" s="15"/>
      <c r="VPL1113" s="15"/>
      <c r="VPO1113" s="15"/>
      <c r="VPP1113" s="15"/>
      <c r="VPS1113" s="15"/>
      <c r="VPT1113" s="15"/>
      <c r="VPW1113" s="15"/>
      <c r="VPX1113" s="15"/>
      <c r="VQA1113" s="15"/>
      <c r="VQB1113" s="15"/>
      <c r="VQE1113" s="15"/>
      <c r="VQF1113" s="15"/>
      <c r="VQI1113" s="15"/>
      <c r="VQJ1113" s="15"/>
      <c r="VQM1113" s="15"/>
      <c r="VQN1113" s="15"/>
      <c r="VQQ1113" s="15"/>
      <c r="VQR1113" s="15"/>
      <c r="VQU1113" s="15"/>
      <c r="VQV1113" s="15"/>
      <c r="VQY1113" s="15"/>
      <c r="VQZ1113" s="15"/>
      <c r="VRC1113" s="15"/>
      <c r="VRD1113" s="15"/>
      <c r="VRG1113" s="15"/>
      <c r="VRH1113" s="15"/>
      <c r="VRK1113" s="15"/>
      <c r="VRL1113" s="15"/>
      <c r="VRO1113" s="15"/>
      <c r="VRP1113" s="15"/>
      <c r="VRS1113" s="15"/>
      <c r="VRT1113" s="15"/>
      <c r="VRW1113" s="15"/>
      <c r="VRX1113" s="15"/>
      <c r="VSA1113" s="15"/>
      <c r="VSB1113" s="15"/>
      <c r="VSE1113" s="15"/>
      <c r="VSF1113" s="15"/>
      <c r="VSI1113" s="15"/>
      <c r="VSJ1113" s="15"/>
      <c r="VSM1113" s="15"/>
      <c r="VSN1113" s="15"/>
      <c r="VSQ1113" s="15"/>
      <c r="VSR1113" s="15"/>
      <c r="VSU1113" s="15"/>
      <c r="VSV1113" s="15"/>
      <c r="VSY1113" s="15"/>
      <c r="VSZ1113" s="15"/>
      <c r="VTC1113" s="15"/>
      <c r="VTD1113" s="15"/>
      <c r="VTG1113" s="15"/>
      <c r="VTH1113" s="15"/>
      <c r="VTK1113" s="15"/>
      <c r="VTL1113" s="15"/>
      <c r="VTO1113" s="15"/>
      <c r="VTP1113" s="15"/>
      <c r="VTS1113" s="15"/>
      <c r="VTT1113" s="15"/>
      <c r="VTW1113" s="15"/>
      <c r="VTX1113" s="15"/>
      <c r="VUA1113" s="15"/>
      <c r="VUB1113" s="15"/>
      <c r="VUE1113" s="15"/>
      <c r="VUF1113" s="15"/>
      <c r="VUI1113" s="15"/>
      <c r="VUJ1113" s="15"/>
      <c r="VUM1113" s="15"/>
      <c r="VUN1113" s="15"/>
      <c r="VUQ1113" s="15"/>
      <c r="VUR1113" s="15"/>
      <c r="VUU1113" s="15"/>
      <c r="VUV1113" s="15"/>
      <c r="VUY1113" s="15"/>
      <c r="VUZ1113" s="15"/>
      <c r="VVC1113" s="15"/>
      <c r="VVD1113" s="15"/>
      <c r="VVG1113" s="15"/>
      <c r="VVH1113" s="15"/>
      <c r="VVK1113" s="15"/>
      <c r="VVL1113" s="15"/>
      <c r="VVO1113" s="15"/>
      <c r="VVP1113" s="15"/>
      <c r="VVS1113" s="15"/>
      <c r="VVT1113" s="15"/>
      <c r="VVW1113" s="15"/>
      <c r="VVX1113" s="15"/>
      <c r="VWA1113" s="15"/>
      <c r="VWB1113" s="15"/>
      <c r="VWE1113" s="15"/>
      <c r="VWF1113" s="15"/>
      <c r="VWI1113" s="15"/>
      <c r="VWJ1113" s="15"/>
      <c r="VWM1113" s="15"/>
      <c r="VWN1113" s="15"/>
      <c r="VWQ1113" s="15"/>
      <c r="VWR1113" s="15"/>
      <c r="VWU1113" s="15"/>
      <c r="VWV1113" s="15"/>
      <c r="VWY1113" s="15"/>
      <c r="VWZ1113" s="15"/>
      <c r="VXC1113" s="15"/>
      <c r="VXD1113" s="15"/>
      <c r="VXG1113" s="15"/>
      <c r="VXH1113" s="15"/>
      <c r="VXK1113" s="15"/>
      <c r="VXL1113" s="15"/>
      <c r="VXO1113" s="15"/>
      <c r="VXP1113" s="15"/>
      <c r="VXS1113" s="15"/>
      <c r="VXT1113" s="15"/>
      <c r="VXW1113" s="15"/>
      <c r="VXX1113" s="15"/>
      <c r="VYA1113" s="15"/>
      <c r="VYB1113" s="15"/>
      <c r="VYE1113" s="15"/>
      <c r="VYF1113" s="15"/>
      <c r="VYI1113" s="15"/>
      <c r="VYJ1113" s="15"/>
      <c r="VYM1113" s="15"/>
      <c r="VYN1113" s="15"/>
      <c r="VYQ1113" s="15"/>
      <c r="VYR1113" s="15"/>
      <c r="VYU1113" s="15"/>
      <c r="VYV1113" s="15"/>
      <c r="VYY1113" s="15"/>
      <c r="VYZ1113" s="15"/>
      <c r="VZC1113" s="15"/>
      <c r="VZD1113" s="15"/>
      <c r="VZG1113" s="15"/>
      <c r="VZH1113" s="15"/>
      <c r="VZK1113" s="15"/>
      <c r="VZL1113" s="15"/>
      <c r="VZO1113" s="15"/>
      <c r="VZP1113" s="15"/>
      <c r="VZS1113" s="15"/>
      <c r="VZT1113" s="15"/>
      <c r="VZW1113" s="15"/>
      <c r="VZX1113" s="15"/>
      <c r="WAA1113" s="15"/>
      <c r="WAB1113" s="15"/>
      <c r="WAE1113" s="15"/>
      <c r="WAF1113" s="15"/>
      <c r="WAI1113" s="15"/>
      <c r="WAJ1113" s="15"/>
      <c r="WAM1113" s="15"/>
      <c r="WAN1113" s="15"/>
      <c r="WAQ1113" s="15"/>
      <c r="WAR1113" s="15"/>
      <c r="WAU1113" s="15"/>
      <c r="WAV1113" s="15"/>
      <c r="WAY1113" s="15"/>
      <c r="WAZ1113" s="15"/>
      <c r="WBC1113" s="15"/>
      <c r="WBD1113" s="15"/>
      <c r="WBG1113" s="15"/>
      <c r="WBH1113" s="15"/>
      <c r="WBK1113" s="15"/>
      <c r="WBL1113" s="15"/>
      <c r="WBO1113" s="15"/>
      <c r="WBP1113" s="15"/>
      <c r="WBS1113" s="15"/>
      <c r="WBT1113" s="15"/>
      <c r="WBW1113" s="15"/>
      <c r="WBX1113" s="15"/>
      <c r="WCA1113" s="15"/>
      <c r="WCB1113" s="15"/>
      <c r="WCE1113" s="15"/>
      <c r="WCF1113" s="15"/>
      <c r="WCI1113" s="15"/>
      <c r="WCJ1113" s="15"/>
      <c r="WCM1113" s="15"/>
      <c r="WCN1113" s="15"/>
      <c r="WCQ1113" s="15"/>
      <c r="WCR1113" s="15"/>
      <c r="WCU1113" s="15"/>
      <c r="WCV1113" s="15"/>
      <c r="WCY1113" s="15"/>
      <c r="WCZ1113" s="15"/>
      <c r="WDC1113" s="15"/>
      <c r="WDD1113" s="15"/>
      <c r="WDG1113" s="15"/>
      <c r="WDH1113" s="15"/>
      <c r="WDK1113" s="15"/>
      <c r="WDL1113" s="15"/>
      <c r="WDO1113" s="15"/>
      <c r="WDP1113" s="15"/>
      <c r="WDS1113" s="15"/>
      <c r="WDT1113" s="15"/>
      <c r="WDW1113" s="15"/>
      <c r="WDX1113" s="15"/>
      <c r="WEA1113" s="15"/>
      <c r="WEB1113" s="15"/>
      <c r="WEE1113" s="15"/>
      <c r="WEF1113" s="15"/>
      <c r="WEI1113" s="15"/>
      <c r="WEJ1113" s="15"/>
      <c r="WEM1113" s="15"/>
      <c r="WEN1113" s="15"/>
      <c r="WEQ1113" s="15"/>
      <c r="WER1113" s="15"/>
      <c r="WEU1113" s="15"/>
      <c r="WEV1113" s="15"/>
      <c r="WEY1113" s="15"/>
      <c r="WEZ1113" s="15"/>
      <c r="WFC1113" s="15"/>
      <c r="WFD1113" s="15"/>
      <c r="WFG1113" s="15"/>
      <c r="WFH1113" s="15"/>
      <c r="WFK1113" s="15"/>
      <c r="WFL1113" s="15"/>
      <c r="WFO1113" s="15"/>
      <c r="WFP1113" s="15"/>
      <c r="WFS1113" s="15"/>
      <c r="WFT1113" s="15"/>
      <c r="WFW1113" s="15"/>
      <c r="WFX1113" s="15"/>
      <c r="WGA1113" s="15"/>
      <c r="WGB1113" s="15"/>
      <c r="WGE1113" s="15"/>
      <c r="WGF1113" s="15"/>
      <c r="WGI1113" s="15"/>
      <c r="WGJ1113" s="15"/>
      <c r="WGM1113" s="15"/>
      <c r="WGN1113" s="15"/>
      <c r="WGQ1113" s="15"/>
      <c r="WGR1113" s="15"/>
      <c r="WGU1113" s="15"/>
      <c r="WGV1113" s="15"/>
      <c r="WGY1113" s="15"/>
      <c r="WGZ1113" s="15"/>
      <c r="WHC1113" s="15"/>
      <c r="WHD1113" s="15"/>
      <c r="WHG1113" s="15"/>
      <c r="WHH1113" s="15"/>
      <c r="WHK1113" s="15"/>
      <c r="WHL1113" s="15"/>
      <c r="WHO1113" s="15"/>
      <c r="WHP1113" s="15"/>
      <c r="WHS1113" s="15"/>
      <c r="WHT1113" s="15"/>
      <c r="WHW1113" s="15"/>
      <c r="WHX1113" s="15"/>
      <c r="WIA1113" s="15"/>
      <c r="WIB1113" s="15"/>
      <c r="WIE1113" s="15"/>
      <c r="WIF1113" s="15"/>
      <c r="WII1113" s="15"/>
      <c r="WIJ1113" s="15"/>
      <c r="WIM1113" s="15"/>
      <c r="WIN1113" s="15"/>
      <c r="WIQ1113" s="15"/>
      <c r="WIR1113" s="15"/>
      <c r="WIU1113" s="15"/>
      <c r="WIV1113" s="15"/>
      <c r="WIY1113" s="15"/>
      <c r="WIZ1113" s="15"/>
      <c r="WJC1113" s="15"/>
      <c r="WJD1113" s="15"/>
      <c r="WJG1113" s="15"/>
      <c r="WJH1113" s="15"/>
      <c r="WJK1113" s="15"/>
      <c r="WJL1113" s="15"/>
      <c r="WJO1113" s="15"/>
      <c r="WJP1113" s="15"/>
      <c r="WJS1113" s="15"/>
      <c r="WJT1113" s="15"/>
      <c r="WJW1113" s="15"/>
      <c r="WJX1113" s="15"/>
      <c r="WKA1113" s="15"/>
      <c r="WKB1113" s="15"/>
      <c r="WKE1113" s="15"/>
      <c r="WKF1113" s="15"/>
      <c r="WKI1113" s="15"/>
      <c r="WKJ1113" s="15"/>
      <c r="WKM1113" s="15"/>
      <c r="WKN1113" s="15"/>
      <c r="WKQ1113" s="15"/>
      <c r="WKR1113" s="15"/>
      <c r="WKU1113" s="15"/>
      <c r="WKV1113" s="15"/>
      <c r="WKY1113" s="15"/>
      <c r="WKZ1113" s="15"/>
      <c r="WLC1113" s="15"/>
      <c r="WLD1113" s="15"/>
      <c r="WLG1113" s="15"/>
      <c r="WLH1113" s="15"/>
      <c r="WLK1113" s="15"/>
      <c r="WLL1113" s="15"/>
      <c r="WLO1113" s="15"/>
      <c r="WLP1113" s="15"/>
      <c r="WLS1113" s="15"/>
      <c r="WLT1113" s="15"/>
      <c r="WLW1113" s="15"/>
      <c r="WLX1113" s="15"/>
      <c r="WMA1113" s="15"/>
      <c r="WMB1113" s="15"/>
      <c r="WME1113" s="15"/>
      <c r="WMF1113" s="15"/>
      <c r="WMI1113" s="15"/>
      <c r="WMJ1113" s="15"/>
      <c r="WMM1113" s="15"/>
      <c r="WMN1113" s="15"/>
      <c r="WMQ1113" s="15"/>
      <c r="WMR1113" s="15"/>
      <c r="WMU1113" s="15"/>
      <c r="WMV1113" s="15"/>
      <c r="WMY1113" s="15"/>
      <c r="WMZ1113" s="15"/>
      <c r="WNC1113" s="15"/>
      <c r="WND1113" s="15"/>
      <c r="WNG1113" s="15"/>
      <c r="WNH1113" s="15"/>
      <c r="WNK1113" s="15"/>
      <c r="WNL1113" s="15"/>
      <c r="WNO1113" s="15"/>
      <c r="WNP1113" s="15"/>
      <c r="WNS1113" s="15"/>
      <c r="WNT1113" s="15"/>
      <c r="WNW1113" s="15"/>
      <c r="WNX1113" s="15"/>
      <c r="WOA1113" s="15"/>
      <c r="WOB1113" s="15"/>
      <c r="WOE1113" s="15"/>
      <c r="WOF1113" s="15"/>
      <c r="WOI1113" s="15"/>
      <c r="WOJ1113" s="15"/>
      <c r="WOM1113" s="15"/>
      <c r="WON1113" s="15"/>
      <c r="WOQ1113" s="15"/>
      <c r="WOR1113" s="15"/>
      <c r="WOU1113" s="15"/>
      <c r="WOV1113" s="15"/>
      <c r="WOY1113" s="15"/>
      <c r="WOZ1113" s="15"/>
      <c r="WPC1113" s="15"/>
      <c r="WPD1113" s="15"/>
      <c r="WPG1113" s="15"/>
      <c r="WPH1113" s="15"/>
      <c r="WPK1113" s="15"/>
      <c r="WPL1113" s="15"/>
      <c r="WPO1113" s="15"/>
      <c r="WPP1113" s="15"/>
      <c r="WPS1113" s="15"/>
      <c r="WPT1113" s="15"/>
      <c r="WPW1113" s="15"/>
      <c r="WPX1113" s="15"/>
      <c r="WQA1113" s="15"/>
      <c r="WQB1113" s="15"/>
      <c r="WQE1113" s="15"/>
      <c r="WQF1113" s="15"/>
      <c r="WQI1113" s="15"/>
      <c r="WQJ1113" s="15"/>
      <c r="WQM1113" s="15"/>
      <c r="WQN1113" s="15"/>
      <c r="WQQ1113" s="15"/>
      <c r="WQR1113" s="15"/>
      <c r="WQU1113" s="15"/>
      <c r="WQV1113" s="15"/>
      <c r="WQY1113" s="15"/>
      <c r="WQZ1113" s="15"/>
      <c r="WRC1113" s="15"/>
      <c r="WRD1113" s="15"/>
      <c r="WRG1113" s="15"/>
      <c r="WRH1113" s="15"/>
      <c r="WRK1113" s="15"/>
      <c r="WRL1113" s="15"/>
      <c r="WRO1113" s="15"/>
      <c r="WRP1113" s="15"/>
      <c r="WRS1113" s="15"/>
      <c r="WRT1113" s="15"/>
      <c r="WRW1113" s="15"/>
      <c r="WRX1113" s="15"/>
      <c r="WSA1113" s="15"/>
      <c r="WSB1113" s="15"/>
      <c r="WSE1113" s="15"/>
      <c r="WSF1113" s="15"/>
      <c r="WSI1113" s="15"/>
      <c r="WSJ1113" s="15"/>
      <c r="WSM1113" s="15"/>
      <c r="WSN1113" s="15"/>
      <c r="WSQ1113" s="15"/>
      <c r="WSR1113" s="15"/>
      <c r="WSU1113" s="15"/>
      <c r="WSV1113" s="15"/>
      <c r="WSY1113" s="15"/>
      <c r="WSZ1113" s="15"/>
      <c r="WTC1113" s="15"/>
      <c r="WTD1113" s="15"/>
      <c r="WTG1113" s="15"/>
      <c r="WTH1113" s="15"/>
      <c r="WTK1113" s="15"/>
      <c r="WTL1113" s="15"/>
      <c r="WTO1113" s="15"/>
      <c r="WTP1113" s="15"/>
      <c r="WTS1113" s="15"/>
      <c r="WTT1113" s="15"/>
      <c r="WTW1113" s="15"/>
      <c r="WTX1113" s="15"/>
      <c r="WUA1113" s="15"/>
      <c r="WUB1113" s="15"/>
      <c r="WUE1113" s="15"/>
      <c r="WUF1113" s="15"/>
      <c r="WUI1113" s="15"/>
      <c r="WUJ1113" s="15"/>
      <c r="WUM1113" s="15"/>
      <c r="WUN1113" s="15"/>
      <c r="WUQ1113" s="15"/>
      <c r="WUR1113" s="15"/>
      <c r="WUU1113" s="15"/>
      <c r="WUV1113" s="15"/>
      <c r="WUY1113" s="15"/>
      <c r="WUZ1113" s="15"/>
      <c r="WVC1113" s="15"/>
      <c r="WVD1113" s="15"/>
      <c r="WVG1113" s="15"/>
      <c r="WVH1113" s="15"/>
      <c r="WVK1113" s="15"/>
      <c r="WVL1113" s="15"/>
      <c r="WVO1113" s="15"/>
      <c r="WVP1113" s="15"/>
      <c r="WVS1113" s="15"/>
      <c r="WVT1113" s="15"/>
      <c r="WVW1113" s="15"/>
      <c r="WVX1113" s="15"/>
      <c r="WWA1113" s="15"/>
      <c r="WWB1113" s="15"/>
      <c r="WWE1113" s="15"/>
      <c r="WWF1113" s="15"/>
      <c r="WWI1113" s="15"/>
      <c r="WWJ1113" s="15"/>
      <c r="WWM1113" s="15"/>
      <c r="WWN1113" s="15"/>
      <c r="WWQ1113" s="15"/>
      <c r="WWR1113" s="15"/>
      <c r="WWU1113" s="15"/>
      <c r="WWV1113" s="15"/>
      <c r="WWY1113" s="15"/>
      <c r="WWZ1113" s="15"/>
      <c r="WXC1113" s="15"/>
      <c r="WXD1113" s="15"/>
      <c r="WXG1113" s="15"/>
      <c r="WXH1113" s="15"/>
      <c r="WXK1113" s="15"/>
      <c r="WXL1113" s="15"/>
      <c r="WXO1113" s="15"/>
      <c r="WXP1113" s="15"/>
      <c r="WXS1113" s="15"/>
      <c r="WXT1113" s="15"/>
      <c r="WXW1113" s="15"/>
      <c r="WXX1113" s="15"/>
      <c r="WYA1113" s="15"/>
      <c r="WYB1113" s="15"/>
      <c r="WYE1113" s="15"/>
      <c r="WYF1113" s="15"/>
      <c r="WYI1113" s="15"/>
      <c r="WYJ1113" s="15"/>
      <c r="WYM1113" s="15"/>
      <c r="WYN1113" s="15"/>
      <c r="WYQ1113" s="15"/>
      <c r="WYR1113" s="15"/>
      <c r="WYU1113" s="15"/>
      <c r="WYV1113" s="15"/>
      <c r="WYY1113" s="15"/>
      <c r="WYZ1113" s="15"/>
      <c r="WZC1113" s="15"/>
      <c r="WZD1113" s="15"/>
      <c r="WZG1113" s="15"/>
      <c r="WZH1113" s="15"/>
      <c r="WZK1113" s="15"/>
      <c r="WZL1113" s="15"/>
      <c r="WZO1113" s="15"/>
      <c r="WZP1113" s="15"/>
      <c r="WZS1113" s="15"/>
      <c r="WZT1113" s="15"/>
      <c r="WZW1113" s="15"/>
      <c r="WZX1113" s="15"/>
      <c r="XAA1113" s="15"/>
      <c r="XAB1113" s="15"/>
      <c r="XAE1113" s="15"/>
      <c r="XAF1113" s="15"/>
      <c r="XAI1113" s="15"/>
      <c r="XAJ1113" s="15"/>
      <c r="XAM1113" s="15"/>
      <c r="XAN1113" s="15"/>
      <c r="XAQ1113" s="15"/>
      <c r="XAR1113" s="15"/>
      <c r="XAU1113" s="15"/>
      <c r="XAV1113" s="15"/>
      <c r="XAY1113" s="15"/>
      <c r="XAZ1113" s="15"/>
      <c r="XBC1113" s="15"/>
      <c r="XBD1113" s="15"/>
      <c r="XBG1113" s="15"/>
      <c r="XBH1113" s="15"/>
      <c r="XBK1113" s="15"/>
      <c r="XBL1113" s="15"/>
      <c r="XBO1113" s="15"/>
      <c r="XBP1113" s="15"/>
      <c r="XBS1113" s="15"/>
      <c r="XBT1113" s="15"/>
      <c r="XBW1113" s="15"/>
      <c r="XBX1113" s="15"/>
      <c r="XCA1113" s="15"/>
      <c r="XCB1113" s="15"/>
      <c r="XCE1113" s="15"/>
      <c r="XCF1113" s="15"/>
      <c r="XCI1113" s="15"/>
      <c r="XCJ1113" s="15"/>
      <c r="XCM1113" s="15"/>
      <c r="XCN1113" s="15"/>
      <c r="XCQ1113" s="15"/>
      <c r="XCR1113" s="15"/>
      <c r="XCU1113" s="15"/>
      <c r="XCV1113" s="15"/>
      <c r="XCY1113" s="15"/>
      <c r="XCZ1113" s="15"/>
      <c r="XDC1113" s="15"/>
      <c r="XDD1113" s="15"/>
      <c r="XDG1113" s="15"/>
      <c r="XDH1113" s="15"/>
      <c r="XDK1113" s="15"/>
      <c r="XDL1113" s="15"/>
      <c r="XDO1113" s="15"/>
      <c r="XDP1113" s="15"/>
      <c r="XDS1113" s="15"/>
      <c r="XDT1113" s="15"/>
      <c r="XDW1113" s="15"/>
      <c r="XDX1113" s="15"/>
      <c r="XEA1113" s="15"/>
      <c r="XEB1113" s="15"/>
      <c r="XEE1113" s="15"/>
      <c r="XEF1113" s="15"/>
      <c r="XEI1113" s="15"/>
      <c r="XEJ1113" s="15"/>
      <c r="XEM1113" s="15"/>
      <c r="XEN1113" s="15"/>
      <c r="XEQ1113" s="15"/>
      <c r="XER1113" s="15"/>
      <c r="XEU1113" s="15"/>
      <c r="XEV1113" s="15"/>
      <c r="XEY1113" s="15"/>
      <c r="XEZ1113" s="15"/>
      <c r="XFC1113" s="15"/>
      <c r="XFD1113" s="15"/>
    </row>
    <row r="1114" spans="1:1024 1027:2048 2051:3072 3075:4096 4099:5120 5123:6144 6147:7168 7171:8192 8195:9216 9219:10240 10243:11264 11267:12288 12291:13312 13315:14336 14339:15360 15363:16384" outlineLevel="1" x14ac:dyDescent="0.3">
      <c r="A1114" t="s">
        <v>1848</v>
      </c>
      <c r="B1114" t="s">
        <v>269</v>
      </c>
      <c r="C1114" s="15" t="s">
        <v>10</v>
      </c>
      <c r="D1114" s="15" t="s">
        <v>1849</v>
      </c>
      <c r="E1114" t="s">
        <v>8506</v>
      </c>
      <c r="G1114" s="15"/>
      <c r="H1114" s="15"/>
      <c r="K1114" s="15"/>
      <c r="L1114" s="15"/>
      <c r="O1114" s="15"/>
      <c r="P1114" s="15"/>
      <c r="S1114" s="15"/>
      <c r="T1114" s="15"/>
      <c r="W1114" s="15"/>
      <c r="X1114" s="15"/>
      <c r="AA1114" s="15"/>
      <c r="AB1114" s="15"/>
      <c r="AE1114" s="15"/>
      <c r="AF1114" s="15"/>
      <c r="AI1114" s="15"/>
      <c r="AJ1114" s="15"/>
      <c r="AM1114" s="15"/>
      <c r="AN1114" s="15"/>
      <c r="AQ1114" s="15"/>
      <c r="AR1114" s="15"/>
      <c r="AU1114" s="15"/>
      <c r="AV1114" s="15"/>
      <c r="AY1114" s="15"/>
      <c r="AZ1114" s="15"/>
      <c r="BC1114" s="15"/>
      <c r="BD1114" s="15"/>
      <c r="BG1114" s="15"/>
      <c r="BH1114" s="15"/>
      <c r="BK1114" s="15"/>
      <c r="BL1114" s="15"/>
      <c r="BO1114" s="15"/>
      <c r="BP1114" s="15"/>
      <c r="BS1114" s="15"/>
      <c r="BT1114" s="15"/>
      <c r="BW1114" s="15"/>
      <c r="BX1114" s="15"/>
      <c r="CA1114" s="15"/>
      <c r="CB1114" s="15"/>
      <c r="CE1114" s="15"/>
      <c r="CF1114" s="15"/>
      <c r="CI1114" s="15"/>
      <c r="CJ1114" s="15"/>
      <c r="CM1114" s="15"/>
      <c r="CN1114" s="15"/>
      <c r="CQ1114" s="15"/>
      <c r="CR1114" s="15"/>
      <c r="CU1114" s="15"/>
      <c r="CV1114" s="15"/>
      <c r="CY1114" s="15"/>
      <c r="CZ1114" s="15"/>
      <c r="DC1114" s="15"/>
      <c r="DD1114" s="15"/>
      <c r="DG1114" s="15"/>
      <c r="DH1114" s="15"/>
      <c r="DK1114" s="15"/>
      <c r="DL1114" s="15"/>
      <c r="DO1114" s="15"/>
      <c r="DP1114" s="15"/>
      <c r="DS1114" s="15"/>
      <c r="DT1114" s="15"/>
      <c r="DW1114" s="15"/>
      <c r="DX1114" s="15"/>
      <c r="EA1114" s="15"/>
      <c r="EB1114" s="15"/>
      <c r="EE1114" s="15"/>
      <c r="EF1114" s="15"/>
      <c r="EI1114" s="15"/>
      <c r="EJ1114" s="15"/>
      <c r="EM1114" s="15"/>
      <c r="EN1114" s="15"/>
      <c r="EQ1114" s="15"/>
      <c r="ER1114" s="15"/>
      <c r="EU1114" s="15"/>
      <c r="EV1114" s="15"/>
      <c r="EY1114" s="15"/>
      <c r="EZ1114" s="15"/>
      <c r="FC1114" s="15"/>
      <c r="FD1114" s="15"/>
      <c r="FG1114" s="15"/>
      <c r="FH1114" s="15"/>
      <c r="FK1114" s="15"/>
      <c r="FL1114" s="15"/>
      <c r="FO1114" s="15"/>
      <c r="FP1114" s="15"/>
      <c r="FS1114" s="15"/>
      <c r="FT1114" s="15"/>
      <c r="FW1114" s="15"/>
      <c r="FX1114" s="15"/>
      <c r="GA1114" s="15"/>
      <c r="GB1114" s="15"/>
      <c r="GE1114" s="15"/>
      <c r="GF1114" s="15"/>
      <c r="GI1114" s="15"/>
      <c r="GJ1114" s="15"/>
      <c r="GM1114" s="15"/>
      <c r="GN1114" s="15"/>
      <c r="GQ1114" s="15"/>
      <c r="GR1114" s="15"/>
      <c r="GU1114" s="15"/>
      <c r="GV1114" s="15"/>
      <c r="GY1114" s="15"/>
      <c r="GZ1114" s="15"/>
      <c r="HC1114" s="15"/>
      <c r="HD1114" s="15"/>
      <c r="HG1114" s="15"/>
      <c r="HH1114" s="15"/>
      <c r="HK1114" s="15"/>
      <c r="HL1114" s="15"/>
      <c r="HO1114" s="15"/>
      <c r="HP1114" s="15"/>
      <c r="HS1114" s="15"/>
      <c r="HT1114" s="15"/>
      <c r="HW1114" s="15"/>
      <c r="HX1114" s="15"/>
      <c r="IA1114" s="15"/>
      <c r="IB1114" s="15"/>
      <c r="IE1114" s="15"/>
      <c r="IF1114" s="15"/>
      <c r="II1114" s="15"/>
      <c r="IJ1114" s="15"/>
      <c r="IM1114" s="15"/>
      <c r="IN1114" s="15"/>
      <c r="IQ1114" s="15"/>
      <c r="IR1114" s="15"/>
      <c r="IU1114" s="15"/>
      <c r="IV1114" s="15"/>
      <c r="IY1114" s="15"/>
      <c r="IZ1114" s="15"/>
      <c r="JC1114" s="15"/>
      <c r="JD1114" s="15"/>
      <c r="JG1114" s="15"/>
      <c r="JH1114" s="15"/>
      <c r="JK1114" s="15"/>
      <c r="JL1114" s="15"/>
      <c r="JO1114" s="15"/>
      <c r="JP1114" s="15"/>
      <c r="JS1114" s="15"/>
      <c r="JT1114" s="15"/>
      <c r="JW1114" s="15"/>
      <c r="JX1114" s="15"/>
      <c r="KA1114" s="15"/>
      <c r="KB1114" s="15"/>
      <c r="KE1114" s="15"/>
      <c r="KF1114" s="15"/>
      <c r="KI1114" s="15"/>
      <c r="KJ1114" s="15"/>
      <c r="KM1114" s="15"/>
      <c r="KN1114" s="15"/>
      <c r="KQ1114" s="15"/>
      <c r="KR1114" s="15"/>
      <c r="KU1114" s="15"/>
      <c r="KV1114" s="15"/>
      <c r="KY1114" s="15"/>
      <c r="KZ1114" s="15"/>
      <c r="LC1114" s="15"/>
      <c r="LD1114" s="15"/>
      <c r="LG1114" s="15"/>
      <c r="LH1114" s="15"/>
      <c r="LK1114" s="15"/>
      <c r="LL1114" s="15"/>
      <c r="LO1114" s="15"/>
      <c r="LP1114" s="15"/>
      <c r="LS1114" s="15"/>
      <c r="LT1114" s="15"/>
      <c r="LW1114" s="15"/>
      <c r="LX1114" s="15"/>
      <c r="MA1114" s="15"/>
      <c r="MB1114" s="15"/>
      <c r="ME1114" s="15"/>
      <c r="MF1114" s="15"/>
      <c r="MI1114" s="15"/>
      <c r="MJ1114" s="15"/>
      <c r="MM1114" s="15"/>
      <c r="MN1114" s="15"/>
      <c r="MQ1114" s="15"/>
      <c r="MR1114" s="15"/>
      <c r="MU1114" s="15"/>
      <c r="MV1114" s="15"/>
      <c r="MY1114" s="15"/>
      <c r="MZ1114" s="15"/>
      <c r="NC1114" s="15"/>
      <c r="ND1114" s="15"/>
      <c r="NG1114" s="15"/>
      <c r="NH1114" s="15"/>
      <c r="NK1114" s="15"/>
      <c r="NL1114" s="15"/>
      <c r="NO1114" s="15"/>
      <c r="NP1114" s="15"/>
      <c r="NS1114" s="15"/>
      <c r="NT1114" s="15"/>
      <c r="NW1114" s="15"/>
      <c r="NX1114" s="15"/>
      <c r="OA1114" s="15"/>
      <c r="OB1114" s="15"/>
      <c r="OE1114" s="15"/>
      <c r="OF1114" s="15"/>
      <c r="OI1114" s="15"/>
      <c r="OJ1114" s="15"/>
      <c r="OM1114" s="15"/>
      <c r="ON1114" s="15"/>
      <c r="OQ1114" s="15"/>
      <c r="OR1114" s="15"/>
      <c r="OU1114" s="15"/>
      <c r="OV1114" s="15"/>
      <c r="OY1114" s="15"/>
      <c r="OZ1114" s="15"/>
      <c r="PC1114" s="15"/>
      <c r="PD1114" s="15"/>
      <c r="PG1114" s="15"/>
      <c r="PH1114" s="15"/>
      <c r="PK1114" s="15"/>
      <c r="PL1114" s="15"/>
      <c r="PO1114" s="15"/>
      <c r="PP1114" s="15"/>
      <c r="PS1114" s="15"/>
      <c r="PT1114" s="15"/>
      <c r="PW1114" s="15"/>
      <c r="PX1114" s="15"/>
      <c r="QA1114" s="15"/>
      <c r="QB1114" s="15"/>
      <c r="QE1114" s="15"/>
      <c r="QF1114" s="15"/>
      <c r="QI1114" s="15"/>
      <c r="QJ1114" s="15"/>
      <c r="QM1114" s="15"/>
      <c r="QN1114" s="15"/>
      <c r="QQ1114" s="15"/>
      <c r="QR1114" s="15"/>
      <c r="QU1114" s="15"/>
      <c r="QV1114" s="15"/>
      <c r="QY1114" s="15"/>
      <c r="QZ1114" s="15"/>
      <c r="RC1114" s="15"/>
      <c r="RD1114" s="15"/>
      <c r="RG1114" s="15"/>
      <c r="RH1114" s="15"/>
      <c r="RK1114" s="15"/>
      <c r="RL1114" s="15"/>
      <c r="RO1114" s="15"/>
      <c r="RP1114" s="15"/>
      <c r="RS1114" s="15"/>
      <c r="RT1114" s="15"/>
      <c r="RW1114" s="15"/>
      <c r="RX1114" s="15"/>
      <c r="SA1114" s="15"/>
      <c r="SB1114" s="15"/>
      <c r="SE1114" s="15"/>
      <c r="SF1114" s="15"/>
      <c r="SI1114" s="15"/>
      <c r="SJ1114" s="15"/>
      <c r="SM1114" s="15"/>
      <c r="SN1114" s="15"/>
      <c r="SQ1114" s="15"/>
      <c r="SR1114" s="15"/>
      <c r="SU1114" s="15"/>
      <c r="SV1114" s="15"/>
      <c r="SY1114" s="15"/>
      <c r="SZ1114" s="15"/>
      <c r="TC1114" s="15"/>
      <c r="TD1114" s="15"/>
      <c r="TG1114" s="15"/>
      <c r="TH1114" s="15"/>
      <c r="TK1114" s="15"/>
      <c r="TL1114" s="15"/>
      <c r="TO1114" s="15"/>
      <c r="TP1114" s="15"/>
      <c r="TS1114" s="15"/>
      <c r="TT1114" s="15"/>
      <c r="TW1114" s="15"/>
      <c r="TX1114" s="15"/>
      <c r="UA1114" s="15"/>
      <c r="UB1114" s="15"/>
      <c r="UE1114" s="15"/>
      <c r="UF1114" s="15"/>
      <c r="UI1114" s="15"/>
      <c r="UJ1114" s="15"/>
      <c r="UM1114" s="15"/>
      <c r="UN1114" s="15"/>
      <c r="UQ1114" s="15"/>
      <c r="UR1114" s="15"/>
      <c r="UU1114" s="15"/>
      <c r="UV1114" s="15"/>
      <c r="UY1114" s="15"/>
      <c r="UZ1114" s="15"/>
      <c r="VC1114" s="15"/>
      <c r="VD1114" s="15"/>
      <c r="VG1114" s="15"/>
      <c r="VH1114" s="15"/>
      <c r="VK1114" s="15"/>
      <c r="VL1114" s="15"/>
      <c r="VO1114" s="15"/>
      <c r="VP1114" s="15"/>
      <c r="VS1114" s="15"/>
      <c r="VT1114" s="15"/>
      <c r="VW1114" s="15"/>
      <c r="VX1114" s="15"/>
      <c r="WA1114" s="15"/>
      <c r="WB1114" s="15"/>
      <c r="WE1114" s="15"/>
      <c r="WF1114" s="15"/>
      <c r="WI1114" s="15"/>
      <c r="WJ1114" s="15"/>
      <c r="WM1114" s="15"/>
      <c r="WN1114" s="15"/>
      <c r="WQ1114" s="15"/>
      <c r="WR1114" s="15"/>
      <c r="WU1114" s="15"/>
      <c r="WV1114" s="15"/>
      <c r="WY1114" s="15"/>
      <c r="WZ1114" s="15"/>
      <c r="XC1114" s="15"/>
      <c r="XD1114" s="15"/>
      <c r="XG1114" s="15"/>
      <c r="XH1114" s="15"/>
      <c r="XK1114" s="15"/>
      <c r="XL1114" s="15"/>
      <c r="XO1114" s="15"/>
      <c r="XP1114" s="15"/>
      <c r="XS1114" s="15"/>
      <c r="XT1114" s="15"/>
      <c r="XW1114" s="15"/>
      <c r="XX1114" s="15"/>
      <c r="YA1114" s="15"/>
      <c r="YB1114" s="15"/>
      <c r="YE1114" s="15"/>
      <c r="YF1114" s="15"/>
      <c r="YI1114" s="15"/>
      <c r="YJ1114" s="15"/>
      <c r="YM1114" s="15"/>
      <c r="YN1114" s="15"/>
      <c r="YQ1114" s="15"/>
      <c r="YR1114" s="15"/>
      <c r="YU1114" s="15"/>
      <c r="YV1114" s="15"/>
      <c r="YY1114" s="15"/>
      <c r="YZ1114" s="15"/>
      <c r="ZC1114" s="15"/>
      <c r="ZD1114" s="15"/>
      <c r="ZG1114" s="15"/>
      <c r="ZH1114" s="15"/>
      <c r="ZK1114" s="15"/>
      <c r="ZL1114" s="15"/>
      <c r="ZO1114" s="15"/>
      <c r="ZP1114" s="15"/>
      <c r="ZS1114" s="15"/>
      <c r="ZT1114" s="15"/>
      <c r="ZW1114" s="15"/>
      <c r="ZX1114" s="15"/>
      <c r="AAA1114" s="15"/>
      <c r="AAB1114" s="15"/>
      <c r="AAE1114" s="15"/>
      <c r="AAF1114" s="15"/>
      <c r="AAI1114" s="15"/>
      <c r="AAJ1114" s="15"/>
      <c r="AAM1114" s="15"/>
      <c r="AAN1114" s="15"/>
      <c r="AAQ1114" s="15"/>
      <c r="AAR1114" s="15"/>
      <c r="AAU1114" s="15"/>
      <c r="AAV1114" s="15"/>
      <c r="AAY1114" s="15"/>
      <c r="AAZ1114" s="15"/>
      <c r="ABC1114" s="15"/>
      <c r="ABD1114" s="15"/>
      <c r="ABG1114" s="15"/>
      <c r="ABH1114" s="15"/>
      <c r="ABK1114" s="15"/>
      <c r="ABL1114" s="15"/>
      <c r="ABO1114" s="15"/>
      <c r="ABP1114" s="15"/>
      <c r="ABS1114" s="15"/>
      <c r="ABT1114" s="15"/>
      <c r="ABW1114" s="15"/>
      <c r="ABX1114" s="15"/>
      <c r="ACA1114" s="15"/>
      <c r="ACB1114" s="15"/>
      <c r="ACE1114" s="15"/>
      <c r="ACF1114" s="15"/>
      <c r="ACI1114" s="15"/>
      <c r="ACJ1114" s="15"/>
      <c r="ACM1114" s="15"/>
      <c r="ACN1114" s="15"/>
      <c r="ACQ1114" s="15"/>
      <c r="ACR1114" s="15"/>
      <c r="ACU1114" s="15"/>
      <c r="ACV1114" s="15"/>
      <c r="ACY1114" s="15"/>
      <c r="ACZ1114" s="15"/>
      <c r="ADC1114" s="15"/>
      <c r="ADD1114" s="15"/>
      <c r="ADG1114" s="15"/>
      <c r="ADH1114" s="15"/>
      <c r="ADK1114" s="15"/>
      <c r="ADL1114" s="15"/>
      <c r="ADO1114" s="15"/>
      <c r="ADP1114" s="15"/>
      <c r="ADS1114" s="15"/>
      <c r="ADT1114" s="15"/>
      <c r="ADW1114" s="15"/>
      <c r="ADX1114" s="15"/>
      <c r="AEA1114" s="15"/>
      <c r="AEB1114" s="15"/>
      <c r="AEE1114" s="15"/>
      <c r="AEF1114" s="15"/>
      <c r="AEI1114" s="15"/>
      <c r="AEJ1114" s="15"/>
      <c r="AEM1114" s="15"/>
      <c r="AEN1114" s="15"/>
      <c r="AEQ1114" s="15"/>
      <c r="AER1114" s="15"/>
      <c r="AEU1114" s="15"/>
      <c r="AEV1114" s="15"/>
      <c r="AEY1114" s="15"/>
      <c r="AEZ1114" s="15"/>
      <c r="AFC1114" s="15"/>
      <c r="AFD1114" s="15"/>
      <c r="AFG1114" s="15"/>
      <c r="AFH1114" s="15"/>
      <c r="AFK1114" s="15"/>
      <c r="AFL1114" s="15"/>
      <c r="AFO1114" s="15"/>
      <c r="AFP1114" s="15"/>
      <c r="AFS1114" s="15"/>
      <c r="AFT1114" s="15"/>
      <c r="AFW1114" s="15"/>
      <c r="AFX1114" s="15"/>
      <c r="AGA1114" s="15"/>
      <c r="AGB1114" s="15"/>
      <c r="AGE1114" s="15"/>
      <c r="AGF1114" s="15"/>
      <c r="AGI1114" s="15"/>
      <c r="AGJ1114" s="15"/>
      <c r="AGM1114" s="15"/>
      <c r="AGN1114" s="15"/>
      <c r="AGQ1114" s="15"/>
      <c r="AGR1114" s="15"/>
      <c r="AGU1114" s="15"/>
      <c r="AGV1114" s="15"/>
      <c r="AGY1114" s="15"/>
      <c r="AGZ1114" s="15"/>
      <c r="AHC1114" s="15"/>
      <c r="AHD1114" s="15"/>
      <c r="AHG1114" s="15"/>
      <c r="AHH1114" s="15"/>
      <c r="AHK1114" s="15"/>
      <c r="AHL1114" s="15"/>
      <c r="AHO1114" s="15"/>
      <c r="AHP1114" s="15"/>
      <c r="AHS1114" s="15"/>
      <c r="AHT1114" s="15"/>
      <c r="AHW1114" s="15"/>
      <c r="AHX1114" s="15"/>
      <c r="AIA1114" s="15"/>
      <c r="AIB1114" s="15"/>
      <c r="AIE1114" s="15"/>
      <c r="AIF1114" s="15"/>
      <c r="AII1114" s="15"/>
      <c r="AIJ1114" s="15"/>
      <c r="AIM1114" s="15"/>
      <c r="AIN1114" s="15"/>
      <c r="AIQ1114" s="15"/>
      <c r="AIR1114" s="15"/>
      <c r="AIU1114" s="15"/>
      <c r="AIV1114" s="15"/>
      <c r="AIY1114" s="15"/>
      <c r="AIZ1114" s="15"/>
      <c r="AJC1114" s="15"/>
      <c r="AJD1114" s="15"/>
      <c r="AJG1114" s="15"/>
      <c r="AJH1114" s="15"/>
      <c r="AJK1114" s="15"/>
      <c r="AJL1114" s="15"/>
      <c r="AJO1114" s="15"/>
      <c r="AJP1114" s="15"/>
      <c r="AJS1114" s="15"/>
      <c r="AJT1114" s="15"/>
      <c r="AJW1114" s="15"/>
      <c r="AJX1114" s="15"/>
      <c r="AKA1114" s="15"/>
      <c r="AKB1114" s="15"/>
      <c r="AKE1114" s="15"/>
      <c r="AKF1114" s="15"/>
      <c r="AKI1114" s="15"/>
      <c r="AKJ1114" s="15"/>
      <c r="AKM1114" s="15"/>
      <c r="AKN1114" s="15"/>
      <c r="AKQ1114" s="15"/>
      <c r="AKR1114" s="15"/>
      <c r="AKU1114" s="15"/>
      <c r="AKV1114" s="15"/>
      <c r="AKY1114" s="15"/>
      <c r="AKZ1114" s="15"/>
      <c r="ALC1114" s="15"/>
      <c r="ALD1114" s="15"/>
      <c r="ALG1114" s="15"/>
      <c r="ALH1114" s="15"/>
      <c r="ALK1114" s="15"/>
      <c r="ALL1114" s="15"/>
      <c r="ALO1114" s="15"/>
      <c r="ALP1114" s="15"/>
      <c r="ALS1114" s="15"/>
      <c r="ALT1114" s="15"/>
      <c r="ALW1114" s="15"/>
      <c r="ALX1114" s="15"/>
      <c r="AMA1114" s="15"/>
      <c r="AMB1114" s="15"/>
      <c r="AME1114" s="15"/>
      <c r="AMF1114" s="15"/>
      <c r="AMI1114" s="15"/>
      <c r="AMJ1114" s="15"/>
      <c r="AMM1114" s="15"/>
      <c r="AMN1114" s="15"/>
      <c r="AMQ1114" s="15"/>
      <c r="AMR1114" s="15"/>
      <c r="AMU1114" s="15"/>
      <c r="AMV1114" s="15"/>
      <c r="AMY1114" s="15"/>
      <c r="AMZ1114" s="15"/>
      <c r="ANC1114" s="15"/>
      <c r="AND1114" s="15"/>
      <c r="ANG1114" s="15"/>
      <c r="ANH1114" s="15"/>
      <c r="ANK1114" s="15"/>
      <c r="ANL1114" s="15"/>
      <c r="ANO1114" s="15"/>
      <c r="ANP1114" s="15"/>
      <c r="ANS1114" s="15"/>
      <c r="ANT1114" s="15"/>
      <c r="ANW1114" s="15"/>
      <c r="ANX1114" s="15"/>
      <c r="AOA1114" s="15"/>
      <c r="AOB1114" s="15"/>
      <c r="AOE1114" s="15"/>
      <c r="AOF1114" s="15"/>
      <c r="AOI1114" s="15"/>
      <c r="AOJ1114" s="15"/>
      <c r="AOM1114" s="15"/>
      <c r="AON1114" s="15"/>
      <c r="AOQ1114" s="15"/>
      <c r="AOR1114" s="15"/>
      <c r="AOU1114" s="15"/>
      <c r="AOV1114" s="15"/>
      <c r="AOY1114" s="15"/>
      <c r="AOZ1114" s="15"/>
      <c r="APC1114" s="15"/>
      <c r="APD1114" s="15"/>
      <c r="APG1114" s="15"/>
      <c r="APH1114" s="15"/>
      <c r="APK1114" s="15"/>
      <c r="APL1114" s="15"/>
      <c r="APO1114" s="15"/>
      <c r="APP1114" s="15"/>
      <c r="APS1114" s="15"/>
      <c r="APT1114" s="15"/>
      <c r="APW1114" s="15"/>
      <c r="APX1114" s="15"/>
      <c r="AQA1114" s="15"/>
      <c r="AQB1114" s="15"/>
      <c r="AQE1114" s="15"/>
      <c r="AQF1114" s="15"/>
      <c r="AQI1114" s="15"/>
      <c r="AQJ1114" s="15"/>
      <c r="AQM1114" s="15"/>
      <c r="AQN1114" s="15"/>
      <c r="AQQ1114" s="15"/>
      <c r="AQR1114" s="15"/>
      <c r="AQU1114" s="15"/>
      <c r="AQV1114" s="15"/>
      <c r="AQY1114" s="15"/>
      <c r="AQZ1114" s="15"/>
      <c r="ARC1114" s="15"/>
      <c r="ARD1114" s="15"/>
      <c r="ARG1114" s="15"/>
      <c r="ARH1114" s="15"/>
      <c r="ARK1114" s="15"/>
      <c r="ARL1114" s="15"/>
      <c r="ARO1114" s="15"/>
      <c r="ARP1114" s="15"/>
      <c r="ARS1114" s="15"/>
      <c r="ART1114" s="15"/>
      <c r="ARW1114" s="15"/>
      <c r="ARX1114" s="15"/>
      <c r="ASA1114" s="15"/>
      <c r="ASB1114" s="15"/>
      <c r="ASE1114" s="15"/>
      <c r="ASF1114" s="15"/>
      <c r="ASI1114" s="15"/>
      <c r="ASJ1114" s="15"/>
      <c r="ASM1114" s="15"/>
      <c r="ASN1114" s="15"/>
      <c r="ASQ1114" s="15"/>
      <c r="ASR1114" s="15"/>
      <c r="ASU1114" s="15"/>
      <c r="ASV1114" s="15"/>
      <c r="ASY1114" s="15"/>
      <c r="ASZ1114" s="15"/>
      <c r="ATC1114" s="15"/>
      <c r="ATD1114" s="15"/>
      <c r="ATG1114" s="15"/>
      <c r="ATH1114" s="15"/>
      <c r="ATK1114" s="15"/>
      <c r="ATL1114" s="15"/>
      <c r="ATO1114" s="15"/>
      <c r="ATP1114" s="15"/>
      <c r="ATS1114" s="15"/>
      <c r="ATT1114" s="15"/>
      <c r="ATW1114" s="15"/>
      <c r="ATX1114" s="15"/>
      <c r="AUA1114" s="15"/>
      <c r="AUB1114" s="15"/>
      <c r="AUE1114" s="15"/>
      <c r="AUF1114" s="15"/>
      <c r="AUI1114" s="15"/>
      <c r="AUJ1114" s="15"/>
      <c r="AUM1114" s="15"/>
      <c r="AUN1114" s="15"/>
      <c r="AUQ1114" s="15"/>
      <c r="AUR1114" s="15"/>
      <c r="AUU1114" s="15"/>
      <c r="AUV1114" s="15"/>
      <c r="AUY1114" s="15"/>
      <c r="AUZ1114" s="15"/>
      <c r="AVC1114" s="15"/>
      <c r="AVD1114" s="15"/>
      <c r="AVG1114" s="15"/>
      <c r="AVH1114" s="15"/>
      <c r="AVK1114" s="15"/>
      <c r="AVL1114" s="15"/>
      <c r="AVO1114" s="15"/>
      <c r="AVP1114" s="15"/>
      <c r="AVS1114" s="15"/>
      <c r="AVT1114" s="15"/>
      <c r="AVW1114" s="15"/>
      <c r="AVX1114" s="15"/>
      <c r="AWA1114" s="15"/>
      <c r="AWB1114" s="15"/>
      <c r="AWE1114" s="15"/>
      <c r="AWF1114" s="15"/>
      <c r="AWI1114" s="15"/>
      <c r="AWJ1114" s="15"/>
      <c r="AWM1114" s="15"/>
      <c r="AWN1114" s="15"/>
      <c r="AWQ1114" s="15"/>
      <c r="AWR1114" s="15"/>
      <c r="AWU1114" s="15"/>
      <c r="AWV1114" s="15"/>
      <c r="AWY1114" s="15"/>
      <c r="AWZ1114" s="15"/>
      <c r="AXC1114" s="15"/>
      <c r="AXD1114" s="15"/>
      <c r="AXG1114" s="15"/>
      <c r="AXH1114" s="15"/>
      <c r="AXK1114" s="15"/>
      <c r="AXL1114" s="15"/>
      <c r="AXO1114" s="15"/>
      <c r="AXP1114" s="15"/>
      <c r="AXS1114" s="15"/>
      <c r="AXT1114" s="15"/>
      <c r="AXW1114" s="15"/>
      <c r="AXX1114" s="15"/>
      <c r="AYA1114" s="15"/>
      <c r="AYB1114" s="15"/>
      <c r="AYE1114" s="15"/>
      <c r="AYF1114" s="15"/>
      <c r="AYI1114" s="15"/>
      <c r="AYJ1114" s="15"/>
      <c r="AYM1114" s="15"/>
      <c r="AYN1114" s="15"/>
      <c r="AYQ1114" s="15"/>
      <c r="AYR1114" s="15"/>
      <c r="AYU1114" s="15"/>
      <c r="AYV1114" s="15"/>
      <c r="AYY1114" s="15"/>
      <c r="AYZ1114" s="15"/>
      <c r="AZC1114" s="15"/>
      <c r="AZD1114" s="15"/>
      <c r="AZG1114" s="15"/>
      <c r="AZH1114" s="15"/>
      <c r="AZK1114" s="15"/>
      <c r="AZL1114" s="15"/>
      <c r="AZO1114" s="15"/>
      <c r="AZP1114" s="15"/>
      <c r="AZS1114" s="15"/>
      <c r="AZT1114" s="15"/>
      <c r="AZW1114" s="15"/>
      <c r="AZX1114" s="15"/>
      <c r="BAA1114" s="15"/>
      <c r="BAB1114" s="15"/>
      <c r="BAE1114" s="15"/>
      <c r="BAF1114" s="15"/>
      <c r="BAI1114" s="15"/>
      <c r="BAJ1114" s="15"/>
      <c r="BAM1114" s="15"/>
      <c r="BAN1114" s="15"/>
      <c r="BAQ1114" s="15"/>
      <c r="BAR1114" s="15"/>
      <c r="BAU1114" s="15"/>
      <c r="BAV1114" s="15"/>
      <c r="BAY1114" s="15"/>
      <c r="BAZ1114" s="15"/>
      <c r="BBC1114" s="15"/>
      <c r="BBD1114" s="15"/>
      <c r="BBG1114" s="15"/>
      <c r="BBH1114" s="15"/>
      <c r="BBK1114" s="15"/>
      <c r="BBL1114" s="15"/>
      <c r="BBO1114" s="15"/>
      <c r="BBP1114" s="15"/>
      <c r="BBS1114" s="15"/>
      <c r="BBT1114" s="15"/>
      <c r="BBW1114" s="15"/>
      <c r="BBX1114" s="15"/>
      <c r="BCA1114" s="15"/>
      <c r="BCB1114" s="15"/>
      <c r="BCE1114" s="15"/>
      <c r="BCF1114" s="15"/>
      <c r="BCI1114" s="15"/>
      <c r="BCJ1114" s="15"/>
      <c r="BCM1114" s="15"/>
      <c r="BCN1114" s="15"/>
      <c r="BCQ1114" s="15"/>
      <c r="BCR1114" s="15"/>
      <c r="BCU1114" s="15"/>
      <c r="BCV1114" s="15"/>
      <c r="BCY1114" s="15"/>
      <c r="BCZ1114" s="15"/>
      <c r="BDC1114" s="15"/>
      <c r="BDD1114" s="15"/>
      <c r="BDG1114" s="15"/>
      <c r="BDH1114" s="15"/>
      <c r="BDK1114" s="15"/>
      <c r="BDL1114" s="15"/>
      <c r="BDO1114" s="15"/>
      <c r="BDP1114" s="15"/>
      <c r="BDS1114" s="15"/>
      <c r="BDT1114" s="15"/>
      <c r="BDW1114" s="15"/>
      <c r="BDX1114" s="15"/>
      <c r="BEA1114" s="15"/>
      <c r="BEB1114" s="15"/>
      <c r="BEE1114" s="15"/>
      <c r="BEF1114" s="15"/>
      <c r="BEI1114" s="15"/>
      <c r="BEJ1114" s="15"/>
      <c r="BEM1114" s="15"/>
      <c r="BEN1114" s="15"/>
      <c r="BEQ1114" s="15"/>
      <c r="BER1114" s="15"/>
      <c r="BEU1114" s="15"/>
      <c r="BEV1114" s="15"/>
      <c r="BEY1114" s="15"/>
      <c r="BEZ1114" s="15"/>
      <c r="BFC1114" s="15"/>
      <c r="BFD1114" s="15"/>
      <c r="BFG1114" s="15"/>
      <c r="BFH1114" s="15"/>
      <c r="BFK1114" s="15"/>
      <c r="BFL1114" s="15"/>
      <c r="BFO1114" s="15"/>
      <c r="BFP1114" s="15"/>
      <c r="BFS1114" s="15"/>
      <c r="BFT1114" s="15"/>
      <c r="BFW1114" s="15"/>
      <c r="BFX1114" s="15"/>
      <c r="BGA1114" s="15"/>
      <c r="BGB1114" s="15"/>
      <c r="BGE1114" s="15"/>
      <c r="BGF1114" s="15"/>
      <c r="BGI1114" s="15"/>
      <c r="BGJ1114" s="15"/>
      <c r="BGM1114" s="15"/>
      <c r="BGN1114" s="15"/>
      <c r="BGQ1114" s="15"/>
      <c r="BGR1114" s="15"/>
      <c r="BGU1114" s="15"/>
      <c r="BGV1114" s="15"/>
      <c r="BGY1114" s="15"/>
      <c r="BGZ1114" s="15"/>
      <c r="BHC1114" s="15"/>
      <c r="BHD1114" s="15"/>
      <c r="BHG1114" s="15"/>
      <c r="BHH1114" s="15"/>
      <c r="BHK1114" s="15"/>
      <c r="BHL1114" s="15"/>
      <c r="BHO1114" s="15"/>
      <c r="BHP1114" s="15"/>
      <c r="BHS1114" s="15"/>
      <c r="BHT1114" s="15"/>
      <c r="BHW1114" s="15"/>
      <c r="BHX1114" s="15"/>
      <c r="BIA1114" s="15"/>
      <c r="BIB1114" s="15"/>
      <c r="BIE1114" s="15"/>
      <c r="BIF1114" s="15"/>
      <c r="BII1114" s="15"/>
      <c r="BIJ1114" s="15"/>
      <c r="BIM1114" s="15"/>
      <c r="BIN1114" s="15"/>
      <c r="BIQ1114" s="15"/>
      <c r="BIR1114" s="15"/>
      <c r="BIU1114" s="15"/>
      <c r="BIV1114" s="15"/>
      <c r="BIY1114" s="15"/>
      <c r="BIZ1114" s="15"/>
      <c r="BJC1114" s="15"/>
      <c r="BJD1114" s="15"/>
      <c r="BJG1114" s="15"/>
      <c r="BJH1114" s="15"/>
      <c r="BJK1114" s="15"/>
      <c r="BJL1114" s="15"/>
      <c r="BJO1114" s="15"/>
      <c r="BJP1114" s="15"/>
      <c r="BJS1114" s="15"/>
      <c r="BJT1114" s="15"/>
      <c r="BJW1114" s="15"/>
      <c r="BJX1114" s="15"/>
      <c r="BKA1114" s="15"/>
      <c r="BKB1114" s="15"/>
      <c r="BKE1114" s="15"/>
      <c r="BKF1114" s="15"/>
      <c r="BKI1114" s="15"/>
      <c r="BKJ1114" s="15"/>
      <c r="BKM1114" s="15"/>
      <c r="BKN1114" s="15"/>
      <c r="BKQ1114" s="15"/>
      <c r="BKR1114" s="15"/>
      <c r="BKU1114" s="15"/>
      <c r="BKV1114" s="15"/>
      <c r="BKY1114" s="15"/>
      <c r="BKZ1114" s="15"/>
      <c r="BLC1114" s="15"/>
      <c r="BLD1114" s="15"/>
      <c r="BLG1114" s="15"/>
      <c r="BLH1114" s="15"/>
      <c r="BLK1114" s="15"/>
      <c r="BLL1114" s="15"/>
      <c r="BLO1114" s="15"/>
      <c r="BLP1114" s="15"/>
      <c r="BLS1114" s="15"/>
      <c r="BLT1114" s="15"/>
      <c r="BLW1114" s="15"/>
      <c r="BLX1114" s="15"/>
      <c r="BMA1114" s="15"/>
      <c r="BMB1114" s="15"/>
      <c r="BME1114" s="15"/>
      <c r="BMF1114" s="15"/>
      <c r="BMI1114" s="15"/>
      <c r="BMJ1114" s="15"/>
      <c r="BMM1114" s="15"/>
      <c r="BMN1114" s="15"/>
      <c r="BMQ1114" s="15"/>
      <c r="BMR1114" s="15"/>
      <c r="BMU1114" s="15"/>
      <c r="BMV1114" s="15"/>
      <c r="BMY1114" s="15"/>
      <c r="BMZ1114" s="15"/>
      <c r="BNC1114" s="15"/>
      <c r="BND1114" s="15"/>
      <c r="BNG1114" s="15"/>
      <c r="BNH1114" s="15"/>
      <c r="BNK1114" s="15"/>
      <c r="BNL1114" s="15"/>
      <c r="BNO1114" s="15"/>
      <c r="BNP1114" s="15"/>
      <c r="BNS1114" s="15"/>
      <c r="BNT1114" s="15"/>
      <c r="BNW1114" s="15"/>
      <c r="BNX1114" s="15"/>
      <c r="BOA1114" s="15"/>
      <c r="BOB1114" s="15"/>
      <c r="BOE1114" s="15"/>
      <c r="BOF1114" s="15"/>
      <c r="BOI1114" s="15"/>
      <c r="BOJ1114" s="15"/>
      <c r="BOM1114" s="15"/>
      <c r="BON1114" s="15"/>
      <c r="BOQ1114" s="15"/>
      <c r="BOR1114" s="15"/>
      <c r="BOU1114" s="15"/>
      <c r="BOV1114" s="15"/>
      <c r="BOY1114" s="15"/>
      <c r="BOZ1114" s="15"/>
      <c r="BPC1114" s="15"/>
      <c r="BPD1114" s="15"/>
      <c r="BPG1114" s="15"/>
      <c r="BPH1114" s="15"/>
      <c r="BPK1114" s="15"/>
      <c r="BPL1114" s="15"/>
      <c r="BPO1114" s="15"/>
      <c r="BPP1114" s="15"/>
      <c r="BPS1114" s="15"/>
      <c r="BPT1114" s="15"/>
      <c r="BPW1114" s="15"/>
      <c r="BPX1114" s="15"/>
      <c r="BQA1114" s="15"/>
      <c r="BQB1114" s="15"/>
      <c r="BQE1114" s="15"/>
      <c r="BQF1114" s="15"/>
      <c r="BQI1114" s="15"/>
      <c r="BQJ1114" s="15"/>
      <c r="BQM1114" s="15"/>
      <c r="BQN1114" s="15"/>
      <c r="BQQ1114" s="15"/>
      <c r="BQR1114" s="15"/>
      <c r="BQU1114" s="15"/>
      <c r="BQV1114" s="15"/>
      <c r="BQY1114" s="15"/>
      <c r="BQZ1114" s="15"/>
      <c r="BRC1114" s="15"/>
      <c r="BRD1114" s="15"/>
      <c r="BRG1114" s="15"/>
      <c r="BRH1114" s="15"/>
      <c r="BRK1114" s="15"/>
      <c r="BRL1114" s="15"/>
      <c r="BRO1114" s="15"/>
      <c r="BRP1114" s="15"/>
      <c r="BRS1114" s="15"/>
      <c r="BRT1114" s="15"/>
      <c r="BRW1114" s="15"/>
      <c r="BRX1114" s="15"/>
      <c r="BSA1114" s="15"/>
      <c r="BSB1114" s="15"/>
      <c r="BSE1114" s="15"/>
      <c r="BSF1114" s="15"/>
      <c r="BSI1114" s="15"/>
      <c r="BSJ1114" s="15"/>
      <c r="BSM1114" s="15"/>
      <c r="BSN1114" s="15"/>
      <c r="BSQ1114" s="15"/>
      <c r="BSR1114" s="15"/>
      <c r="BSU1114" s="15"/>
      <c r="BSV1114" s="15"/>
      <c r="BSY1114" s="15"/>
      <c r="BSZ1114" s="15"/>
      <c r="BTC1114" s="15"/>
      <c r="BTD1114" s="15"/>
      <c r="BTG1114" s="15"/>
      <c r="BTH1114" s="15"/>
      <c r="BTK1114" s="15"/>
      <c r="BTL1114" s="15"/>
      <c r="BTO1114" s="15"/>
      <c r="BTP1114" s="15"/>
      <c r="BTS1114" s="15"/>
      <c r="BTT1114" s="15"/>
      <c r="BTW1114" s="15"/>
      <c r="BTX1114" s="15"/>
      <c r="BUA1114" s="15"/>
      <c r="BUB1114" s="15"/>
      <c r="BUE1114" s="15"/>
      <c r="BUF1114" s="15"/>
      <c r="BUI1114" s="15"/>
      <c r="BUJ1114" s="15"/>
      <c r="BUM1114" s="15"/>
      <c r="BUN1114" s="15"/>
      <c r="BUQ1114" s="15"/>
      <c r="BUR1114" s="15"/>
      <c r="BUU1114" s="15"/>
      <c r="BUV1114" s="15"/>
      <c r="BUY1114" s="15"/>
      <c r="BUZ1114" s="15"/>
      <c r="BVC1114" s="15"/>
      <c r="BVD1114" s="15"/>
      <c r="BVG1114" s="15"/>
      <c r="BVH1114" s="15"/>
      <c r="BVK1114" s="15"/>
      <c r="BVL1114" s="15"/>
      <c r="BVO1114" s="15"/>
      <c r="BVP1114" s="15"/>
      <c r="BVS1114" s="15"/>
      <c r="BVT1114" s="15"/>
      <c r="BVW1114" s="15"/>
      <c r="BVX1114" s="15"/>
      <c r="BWA1114" s="15"/>
      <c r="BWB1114" s="15"/>
      <c r="BWE1114" s="15"/>
      <c r="BWF1114" s="15"/>
      <c r="BWI1114" s="15"/>
      <c r="BWJ1114" s="15"/>
      <c r="BWM1114" s="15"/>
      <c r="BWN1114" s="15"/>
      <c r="BWQ1114" s="15"/>
      <c r="BWR1114" s="15"/>
      <c r="BWU1114" s="15"/>
      <c r="BWV1114" s="15"/>
      <c r="BWY1114" s="15"/>
      <c r="BWZ1114" s="15"/>
      <c r="BXC1114" s="15"/>
      <c r="BXD1114" s="15"/>
      <c r="BXG1114" s="15"/>
      <c r="BXH1114" s="15"/>
      <c r="BXK1114" s="15"/>
      <c r="BXL1114" s="15"/>
      <c r="BXO1114" s="15"/>
      <c r="BXP1114" s="15"/>
      <c r="BXS1114" s="15"/>
      <c r="BXT1114" s="15"/>
      <c r="BXW1114" s="15"/>
      <c r="BXX1114" s="15"/>
      <c r="BYA1114" s="15"/>
      <c r="BYB1114" s="15"/>
      <c r="BYE1114" s="15"/>
      <c r="BYF1114" s="15"/>
      <c r="BYI1114" s="15"/>
      <c r="BYJ1114" s="15"/>
      <c r="BYM1114" s="15"/>
      <c r="BYN1114" s="15"/>
      <c r="BYQ1114" s="15"/>
      <c r="BYR1114" s="15"/>
      <c r="BYU1114" s="15"/>
      <c r="BYV1114" s="15"/>
      <c r="BYY1114" s="15"/>
      <c r="BYZ1114" s="15"/>
      <c r="BZC1114" s="15"/>
      <c r="BZD1114" s="15"/>
      <c r="BZG1114" s="15"/>
      <c r="BZH1114" s="15"/>
      <c r="BZK1114" s="15"/>
      <c r="BZL1114" s="15"/>
      <c r="BZO1114" s="15"/>
      <c r="BZP1114" s="15"/>
      <c r="BZS1114" s="15"/>
      <c r="BZT1114" s="15"/>
      <c r="BZW1114" s="15"/>
      <c r="BZX1114" s="15"/>
      <c r="CAA1114" s="15"/>
      <c r="CAB1114" s="15"/>
      <c r="CAE1114" s="15"/>
      <c r="CAF1114" s="15"/>
      <c r="CAI1114" s="15"/>
      <c r="CAJ1114" s="15"/>
      <c r="CAM1114" s="15"/>
      <c r="CAN1114" s="15"/>
      <c r="CAQ1114" s="15"/>
      <c r="CAR1114" s="15"/>
      <c r="CAU1114" s="15"/>
      <c r="CAV1114" s="15"/>
      <c r="CAY1114" s="15"/>
      <c r="CAZ1114" s="15"/>
      <c r="CBC1114" s="15"/>
      <c r="CBD1114" s="15"/>
      <c r="CBG1114" s="15"/>
      <c r="CBH1114" s="15"/>
      <c r="CBK1114" s="15"/>
      <c r="CBL1114" s="15"/>
      <c r="CBO1114" s="15"/>
      <c r="CBP1114" s="15"/>
      <c r="CBS1114" s="15"/>
      <c r="CBT1114" s="15"/>
      <c r="CBW1114" s="15"/>
      <c r="CBX1114" s="15"/>
      <c r="CCA1114" s="15"/>
      <c r="CCB1114" s="15"/>
      <c r="CCE1114" s="15"/>
      <c r="CCF1114" s="15"/>
      <c r="CCI1114" s="15"/>
      <c r="CCJ1114" s="15"/>
      <c r="CCM1114" s="15"/>
      <c r="CCN1114" s="15"/>
      <c r="CCQ1114" s="15"/>
      <c r="CCR1114" s="15"/>
      <c r="CCU1114" s="15"/>
      <c r="CCV1114" s="15"/>
      <c r="CCY1114" s="15"/>
      <c r="CCZ1114" s="15"/>
      <c r="CDC1114" s="15"/>
      <c r="CDD1114" s="15"/>
      <c r="CDG1114" s="15"/>
      <c r="CDH1114" s="15"/>
      <c r="CDK1114" s="15"/>
      <c r="CDL1114" s="15"/>
      <c r="CDO1114" s="15"/>
      <c r="CDP1114" s="15"/>
      <c r="CDS1114" s="15"/>
      <c r="CDT1114" s="15"/>
      <c r="CDW1114" s="15"/>
      <c r="CDX1114" s="15"/>
      <c r="CEA1114" s="15"/>
      <c r="CEB1114" s="15"/>
      <c r="CEE1114" s="15"/>
      <c r="CEF1114" s="15"/>
      <c r="CEI1114" s="15"/>
      <c r="CEJ1114" s="15"/>
      <c r="CEM1114" s="15"/>
      <c r="CEN1114" s="15"/>
      <c r="CEQ1114" s="15"/>
      <c r="CER1114" s="15"/>
      <c r="CEU1114" s="15"/>
      <c r="CEV1114" s="15"/>
      <c r="CEY1114" s="15"/>
      <c r="CEZ1114" s="15"/>
      <c r="CFC1114" s="15"/>
      <c r="CFD1114" s="15"/>
      <c r="CFG1114" s="15"/>
      <c r="CFH1114" s="15"/>
      <c r="CFK1114" s="15"/>
      <c r="CFL1114" s="15"/>
      <c r="CFO1114" s="15"/>
      <c r="CFP1114" s="15"/>
      <c r="CFS1114" s="15"/>
      <c r="CFT1114" s="15"/>
      <c r="CFW1114" s="15"/>
      <c r="CFX1114" s="15"/>
      <c r="CGA1114" s="15"/>
      <c r="CGB1114" s="15"/>
      <c r="CGE1114" s="15"/>
      <c r="CGF1114" s="15"/>
      <c r="CGI1114" s="15"/>
      <c r="CGJ1114" s="15"/>
      <c r="CGM1114" s="15"/>
      <c r="CGN1114" s="15"/>
      <c r="CGQ1114" s="15"/>
      <c r="CGR1114" s="15"/>
      <c r="CGU1114" s="15"/>
      <c r="CGV1114" s="15"/>
      <c r="CGY1114" s="15"/>
      <c r="CGZ1114" s="15"/>
      <c r="CHC1114" s="15"/>
      <c r="CHD1114" s="15"/>
      <c r="CHG1114" s="15"/>
      <c r="CHH1114" s="15"/>
      <c r="CHK1114" s="15"/>
      <c r="CHL1114" s="15"/>
      <c r="CHO1114" s="15"/>
      <c r="CHP1114" s="15"/>
      <c r="CHS1114" s="15"/>
      <c r="CHT1114" s="15"/>
      <c r="CHW1114" s="15"/>
      <c r="CHX1114" s="15"/>
      <c r="CIA1114" s="15"/>
      <c r="CIB1114" s="15"/>
      <c r="CIE1114" s="15"/>
      <c r="CIF1114" s="15"/>
      <c r="CII1114" s="15"/>
      <c r="CIJ1114" s="15"/>
      <c r="CIM1114" s="15"/>
      <c r="CIN1114" s="15"/>
      <c r="CIQ1114" s="15"/>
      <c r="CIR1114" s="15"/>
      <c r="CIU1114" s="15"/>
      <c r="CIV1114" s="15"/>
      <c r="CIY1114" s="15"/>
      <c r="CIZ1114" s="15"/>
      <c r="CJC1114" s="15"/>
      <c r="CJD1114" s="15"/>
      <c r="CJG1114" s="15"/>
      <c r="CJH1114" s="15"/>
      <c r="CJK1114" s="15"/>
      <c r="CJL1114" s="15"/>
      <c r="CJO1114" s="15"/>
      <c r="CJP1114" s="15"/>
      <c r="CJS1114" s="15"/>
      <c r="CJT1114" s="15"/>
      <c r="CJW1114" s="15"/>
      <c r="CJX1114" s="15"/>
      <c r="CKA1114" s="15"/>
      <c r="CKB1114" s="15"/>
      <c r="CKE1114" s="15"/>
      <c r="CKF1114" s="15"/>
      <c r="CKI1114" s="15"/>
      <c r="CKJ1114" s="15"/>
      <c r="CKM1114" s="15"/>
      <c r="CKN1114" s="15"/>
      <c r="CKQ1114" s="15"/>
      <c r="CKR1114" s="15"/>
      <c r="CKU1114" s="15"/>
      <c r="CKV1114" s="15"/>
      <c r="CKY1114" s="15"/>
      <c r="CKZ1114" s="15"/>
      <c r="CLC1114" s="15"/>
      <c r="CLD1114" s="15"/>
      <c r="CLG1114" s="15"/>
      <c r="CLH1114" s="15"/>
      <c r="CLK1114" s="15"/>
      <c r="CLL1114" s="15"/>
      <c r="CLO1114" s="15"/>
      <c r="CLP1114" s="15"/>
      <c r="CLS1114" s="15"/>
      <c r="CLT1114" s="15"/>
      <c r="CLW1114" s="15"/>
      <c r="CLX1114" s="15"/>
      <c r="CMA1114" s="15"/>
      <c r="CMB1114" s="15"/>
      <c r="CME1114" s="15"/>
      <c r="CMF1114" s="15"/>
      <c r="CMI1114" s="15"/>
      <c r="CMJ1114" s="15"/>
      <c r="CMM1114" s="15"/>
      <c r="CMN1114" s="15"/>
      <c r="CMQ1114" s="15"/>
      <c r="CMR1114" s="15"/>
      <c r="CMU1114" s="15"/>
      <c r="CMV1114" s="15"/>
      <c r="CMY1114" s="15"/>
      <c r="CMZ1114" s="15"/>
      <c r="CNC1114" s="15"/>
      <c r="CND1114" s="15"/>
      <c r="CNG1114" s="15"/>
      <c r="CNH1114" s="15"/>
      <c r="CNK1114" s="15"/>
      <c r="CNL1114" s="15"/>
      <c r="CNO1114" s="15"/>
      <c r="CNP1114" s="15"/>
      <c r="CNS1114" s="15"/>
      <c r="CNT1114" s="15"/>
      <c r="CNW1114" s="15"/>
      <c r="CNX1114" s="15"/>
      <c r="COA1114" s="15"/>
      <c r="COB1114" s="15"/>
      <c r="COE1114" s="15"/>
      <c r="COF1114" s="15"/>
      <c r="COI1114" s="15"/>
      <c r="COJ1114" s="15"/>
      <c r="COM1114" s="15"/>
      <c r="CON1114" s="15"/>
      <c r="COQ1114" s="15"/>
      <c r="COR1114" s="15"/>
      <c r="COU1114" s="15"/>
      <c r="COV1114" s="15"/>
      <c r="COY1114" s="15"/>
      <c r="COZ1114" s="15"/>
      <c r="CPC1114" s="15"/>
      <c r="CPD1114" s="15"/>
      <c r="CPG1114" s="15"/>
      <c r="CPH1114" s="15"/>
      <c r="CPK1114" s="15"/>
      <c r="CPL1114" s="15"/>
      <c r="CPO1114" s="15"/>
      <c r="CPP1114" s="15"/>
      <c r="CPS1114" s="15"/>
      <c r="CPT1114" s="15"/>
      <c r="CPW1114" s="15"/>
      <c r="CPX1114" s="15"/>
      <c r="CQA1114" s="15"/>
      <c r="CQB1114" s="15"/>
      <c r="CQE1114" s="15"/>
      <c r="CQF1114" s="15"/>
      <c r="CQI1114" s="15"/>
      <c r="CQJ1114" s="15"/>
      <c r="CQM1114" s="15"/>
      <c r="CQN1114" s="15"/>
      <c r="CQQ1114" s="15"/>
      <c r="CQR1114" s="15"/>
      <c r="CQU1114" s="15"/>
      <c r="CQV1114" s="15"/>
      <c r="CQY1114" s="15"/>
      <c r="CQZ1114" s="15"/>
      <c r="CRC1114" s="15"/>
      <c r="CRD1114" s="15"/>
      <c r="CRG1114" s="15"/>
      <c r="CRH1114" s="15"/>
      <c r="CRK1114" s="15"/>
      <c r="CRL1114" s="15"/>
      <c r="CRO1114" s="15"/>
      <c r="CRP1114" s="15"/>
      <c r="CRS1114" s="15"/>
      <c r="CRT1114" s="15"/>
      <c r="CRW1114" s="15"/>
      <c r="CRX1114" s="15"/>
      <c r="CSA1114" s="15"/>
      <c r="CSB1114" s="15"/>
      <c r="CSE1114" s="15"/>
      <c r="CSF1114" s="15"/>
      <c r="CSI1114" s="15"/>
      <c r="CSJ1114" s="15"/>
      <c r="CSM1114" s="15"/>
      <c r="CSN1114" s="15"/>
      <c r="CSQ1114" s="15"/>
      <c r="CSR1114" s="15"/>
      <c r="CSU1114" s="15"/>
      <c r="CSV1114" s="15"/>
      <c r="CSY1114" s="15"/>
      <c r="CSZ1114" s="15"/>
      <c r="CTC1114" s="15"/>
      <c r="CTD1114" s="15"/>
      <c r="CTG1114" s="15"/>
      <c r="CTH1114" s="15"/>
      <c r="CTK1114" s="15"/>
      <c r="CTL1114" s="15"/>
      <c r="CTO1114" s="15"/>
      <c r="CTP1114" s="15"/>
      <c r="CTS1114" s="15"/>
      <c r="CTT1114" s="15"/>
      <c r="CTW1114" s="15"/>
      <c r="CTX1114" s="15"/>
      <c r="CUA1114" s="15"/>
      <c r="CUB1114" s="15"/>
      <c r="CUE1114" s="15"/>
      <c r="CUF1114" s="15"/>
      <c r="CUI1114" s="15"/>
      <c r="CUJ1114" s="15"/>
      <c r="CUM1114" s="15"/>
      <c r="CUN1114" s="15"/>
      <c r="CUQ1114" s="15"/>
      <c r="CUR1114" s="15"/>
      <c r="CUU1114" s="15"/>
      <c r="CUV1114" s="15"/>
      <c r="CUY1114" s="15"/>
      <c r="CUZ1114" s="15"/>
      <c r="CVC1114" s="15"/>
      <c r="CVD1114" s="15"/>
      <c r="CVG1114" s="15"/>
      <c r="CVH1114" s="15"/>
      <c r="CVK1114" s="15"/>
      <c r="CVL1114" s="15"/>
      <c r="CVO1114" s="15"/>
      <c r="CVP1114" s="15"/>
      <c r="CVS1114" s="15"/>
      <c r="CVT1114" s="15"/>
      <c r="CVW1114" s="15"/>
      <c r="CVX1114" s="15"/>
      <c r="CWA1114" s="15"/>
      <c r="CWB1114" s="15"/>
      <c r="CWE1114" s="15"/>
      <c r="CWF1114" s="15"/>
      <c r="CWI1114" s="15"/>
      <c r="CWJ1114" s="15"/>
      <c r="CWM1114" s="15"/>
      <c r="CWN1114" s="15"/>
      <c r="CWQ1114" s="15"/>
      <c r="CWR1114" s="15"/>
      <c r="CWU1114" s="15"/>
      <c r="CWV1114" s="15"/>
      <c r="CWY1114" s="15"/>
      <c r="CWZ1114" s="15"/>
      <c r="CXC1114" s="15"/>
      <c r="CXD1114" s="15"/>
      <c r="CXG1114" s="15"/>
      <c r="CXH1114" s="15"/>
      <c r="CXK1114" s="15"/>
      <c r="CXL1114" s="15"/>
      <c r="CXO1114" s="15"/>
      <c r="CXP1114" s="15"/>
      <c r="CXS1114" s="15"/>
      <c r="CXT1114" s="15"/>
      <c r="CXW1114" s="15"/>
      <c r="CXX1114" s="15"/>
      <c r="CYA1114" s="15"/>
      <c r="CYB1114" s="15"/>
      <c r="CYE1114" s="15"/>
      <c r="CYF1114" s="15"/>
      <c r="CYI1114" s="15"/>
      <c r="CYJ1114" s="15"/>
      <c r="CYM1114" s="15"/>
      <c r="CYN1114" s="15"/>
      <c r="CYQ1114" s="15"/>
      <c r="CYR1114" s="15"/>
      <c r="CYU1114" s="15"/>
      <c r="CYV1114" s="15"/>
      <c r="CYY1114" s="15"/>
      <c r="CYZ1114" s="15"/>
      <c r="CZC1114" s="15"/>
      <c r="CZD1114" s="15"/>
      <c r="CZG1114" s="15"/>
      <c r="CZH1114" s="15"/>
      <c r="CZK1114" s="15"/>
      <c r="CZL1114" s="15"/>
      <c r="CZO1114" s="15"/>
      <c r="CZP1114" s="15"/>
      <c r="CZS1114" s="15"/>
      <c r="CZT1114" s="15"/>
      <c r="CZW1114" s="15"/>
      <c r="CZX1114" s="15"/>
      <c r="DAA1114" s="15"/>
      <c r="DAB1114" s="15"/>
      <c r="DAE1114" s="15"/>
      <c r="DAF1114" s="15"/>
      <c r="DAI1114" s="15"/>
      <c r="DAJ1114" s="15"/>
      <c r="DAM1114" s="15"/>
      <c r="DAN1114" s="15"/>
      <c r="DAQ1114" s="15"/>
      <c r="DAR1114" s="15"/>
      <c r="DAU1114" s="15"/>
      <c r="DAV1114" s="15"/>
      <c r="DAY1114" s="15"/>
      <c r="DAZ1114" s="15"/>
      <c r="DBC1114" s="15"/>
      <c r="DBD1114" s="15"/>
      <c r="DBG1114" s="15"/>
      <c r="DBH1114" s="15"/>
      <c r="DBK1114" s="15"/>
      <c r="DBL1114" s="15"/>
      <c r="DBO1114" s="15"/>
      <c r="DBP1114" s="15"/>
      <c r="DBS1114" s="15"/>
      <c r="DBT1114" s="15"/>
      <c r="DBW1114" s="15"/>
      <c r="DBX1114" s="15"/>
      <c r="DCA1114" s="15"/>
      <c r="DCB1114" s="15"/>
      <c r="DCE1114" s="15"/>
      <c r="DCF1114" s="15"/>
      <c r="DCI1114" s="15"/>
      <c r="DCJ1114" s="15"/>
      <c r="DCM1114" s="15"/>
      <c r="DCN1114" s="15"/>
      <c r="DCQ1114" s="15"/>
      <c r="DCR1114" s="15"/>
      <c r="DCU1114" s="15"/>
      <c r="DCV1114" s="15"/>
      <c r="DCY1114" s="15"/>
      <c r="DCZ1114" s="15"/>
      <c r="DDC1114" s="15"/>
      <c r="DDD1114" s="15"/>
      <c r="DDG1114" s="15"/>
      <c r="DDH1114" s="15"/>
      <c r="DDK1114" s="15"/>
      <c r="DDL1114" s="15"/>
      <c r="DDO1114" s="15"/>
      <c r="DDP1114" s="15"/>
      <c r="DDS1114" s="15"/>
      <c r="DDT1114" s="15"/>
      <c r="DDW1114" s="15"/>
      <c r="DDX1114" s="15"/>
      <c r="DEA1114" s="15"/>
      <c r="DEB1114" s="15"/>
      <c r="DEE1114" s="15"/>
      <c r="DEF1114" s="15"/>
      <c r="DEI1114" s="15"/>
      <c r="DEJ1114" s="15"/>
      <c r="DEM1114" s="15"/>
      <c r="DEN1114" s="15"/>
      <c r="DEQ1114" s="15"/>
      <c r="DER1114" s="15"/>
      <c r="DEU1114" s="15"/>
      <c r="DEV1114" s="15"/>
      <c r="DEY1114" s="15"/>
      <c r="DEZ1114" s="15"/>
      <c r="DFC1114" s="15"/>
      <c r="DFD1114" s="15"/>
      <c r="DFG1114" s="15"/>
      <c r="DFH1114" s="15"/>
      <c r="DFK1114" s="15"/>
      <c r="DFL1114" s="15"/>
      <c r="DFO1114" s="15"/>
      <c r="DFP1114" s="15"/>
      <c r="DFS1114" s="15"/>
      <c r="DFT1114" s="15"/>
      <c r="DFW1114" s="15"/>
      <c r="DFX1114" s="15"/>
      <c r="DGA1114" s="15"/>
      <c r="DGB1114" s="15"/>
      <c r="DGE1114" s="15"/>
      <c r="DGF1114" s="15"/>
      <c r="DGI1114" s="15"/>
      <c r="DGJ1114" s="15"/>
      <c r="DGM1114" s="15"/>
      <c r="DGN1114" s="15"/>
      <c r="DGQ1114" s="15"/>
      <c r="DGR1114" s="15"/>
      <c r="DGU1114" s="15"/>
      <c r="DGV1114" s="15"/>
      <c r="DGY1114" s="15"/>
      <c r="DGZ1114" s="15"/>
      <c r="DHC1114" s="15"/>
      <c r="DHD1114" s="15"/>
      <c r="DHG1114" s="15"/>
      <c r="DHH1114" s="15"/>
      <c r="DHK1114" s="15"/>
      <c r="DHL1114" s="15"/>
      <c r="DHO1114" s="15"/>
      <c r="DHP1114" s="15"/>
      <c r="DHS1114" s="15"/>
      <c r="DHT1114" s="15"/>
      <c r="DHW1114" s="15"/>
      <c r="DHX1114" s="15"/>
      <c r="DIA1114" s="15"/>
      <c r="DIB1114" s="15"/>
      <c r="DIE1114" s="15"/>
      <c r="DIF1114" s="15"/>
      <c r="DII1114" s="15"/>
      <c r="DIJ1114" s="15"/>
      <c r="DIM1114" s="15"/>
      <c r="DIN1114" s="15"/>
      <c r="DIQ1114" s="15"/>
      <c r="DIR1114" s="15"/>
      <c r="DIU1114" s="15"/>
      <c r="DIV1114" s="15"/>
      <c r="DIY1114" s="15"/>
      <c r="DIZ1114" s="15"/>
      <c r="DJC1114" s="15"/>
      <c r="DJD1114" s="15"/>
      <c r="DJG1114" s="15"/>
      <c r="DJH1114" s="15"/>
      <c r="DJK1114" s="15"/>
      <c r="DJL1114" s="15"/>
      <c r="DJO1114" s="15"/>
      <c r="DJP1114" s="15"/>
      <c r="DJS1114" s="15"/>
      <c r="DJT1114" s="15"/>
      <c r="DJW1114" s="15"/>
      <c r="DJX1114" s="15"/>
      <c r="DKA1114" s="15"/>
      <c r="DKB1114" s="15"/>
      <c r="DKE1114" s="15"/>
      <c r="DKF1114" s="15"/>
      <c r="DKI1114" s="15"/>
      <c r="DKJ1114" s="15"/>
      <c r="DKM1114" s="15"/>
      <c r="DKN1114" s="15"/>
      <c r="DKQ1114" s="15"/>
      <c r="DKR1114" s="15"/>
      <c r="DKU1114" s="15"/>
      <c r="DKV1114" s="15"/>
      <c r="DKY1114" s="15"/>
      <c r="DKZ1114" s="15"/>
      <c r="DLC1114" s="15"/>
      <c r="DLD1114" s="15"/>
      <c r="DLG1114" s="15"/>
      <c r="DLH1114" s="15"/>
      <c r="DLK1114" s="15"/>
      <c r="DLL1114" s="15"/>
      <c r="DLO1114" s="15"/>
      <c r="DLP1114" s="15"/>
      <c r="DLS1114" s="15"/>
      <c r="DLT1114" s="15"/>
      <c r="DLW1114" s="15"/>
      <c r="DLX1114" s="15"/>
      <c r="DMA1114" s="15"/>
      <c r="DMB1114" s="15"/>
      <c r="DME1114" s="15"/>
      <c r="DMF1114" s="15"/>
      <c r="DMI1114" s="15"/>
      <c r="DMJ1114" s="15"/>
      <c r="DMM1114" s="15"/>
      <c r="DMN1114" s="15"/>
      <c r="DMQ1114" s="15"/>
      <c r="DMR1114" s="15"/>
      <c r="DMU1114" s="15"/>
      <c r="DMV1114" s="15"/>
      <c r="DMY1114" s="15"/>
      <c r="DMZ1114" s="15"/>
      <c r="DNC1114" s="15"/>
      <c r="DND1114" s="15"/>
      <c r="DNG1114" s="15"/>
      <c r="DNH1114" s="15"/>
      <c r="DNK1114" s="15"/>
      <c r="DNL1114" s="15"/>
      <c r="DNO1114" s="15"/>
      <c r="DNP1114" s="15"/>
      <c r="DNS1114" s="15"/>
      <c r="DNT1114" s="15"/>
      <c r="DNW1114" s="15"/>
      <c r="DNX1114" s="15"/>
      <c r="DOA1114" s="15"/>
      <c r="DOB1114" s="15"/>
      <c r="DOE1114" s="15"/>
      <c r="DOF1114" s="15"/>
      <c r="DOI1114" s="15"/>
      <c r="DOJ1114" s="15"/>
      <c r="DOM1114" s="15"/>
      <c r="DON1114" s="15"/>
      <c r="DOQ1114" s="15"/>
      <c r="DOR1114" s="15"/>
      <c r="DOU1114" s="15"/>
      <c r="DOV1114" s="15"/>
      <c r="DOY1114" s="15"/>
      <c r="DOZ1114" s="15"/>
      <c r="DPC1114" s="15"/>
      <c r="DPD1114" s="15"/>
      <c r="DPG1114" s="15"/>
      <c r="DPH1114" s="15"/>
      <c r="DPK1114" s="15"/>
      <c r="DPL1114" s="15"/>
      <c r="DPO1114" s="15"/>
      <c r="DPP1114" s="15"/>
      <c r="DPS1114" s="15"/>
      <c r="DPT1114" s="15"/>
      <c r="DPW1114" s="15"/>
      <c r="DPX1114" s="15"/>
      <c r="DQA1114" s="15"/>
      <c r="DQB1114" s="15"/>
      <c r="DQE1114" s="15"/>
      <c r="DQF1114" s="15"/>
      <c r="DQI1114" s="15"/>
      <c r="DQJ1114" s="15"/>
      <c r="DQM1114" s="15"/>
      <c r="DQN1114" s="15"/>
      <c r="DQQ1114" s="15"/>
      <c r="DQR1114" s="15"/>
      <c r="DQU1114" s="15"/>
      <c r="DQV1114" s="15"/>
      <c r="DQY1114" s="15"/>
      <c r="DQZ1114" s="15"/>
      <c r="DRC1114" s="15"/>
      <c r="DRD1114" s="15"/>
      <c r="DRG1114" s="15"/>
      <c r="DRH1114" s="15"/>
      <c r="DRK1114" s="15"/>
      <c r="DRL1114" s="15"/>
      <c r="DRO1114" s="15"/>
      <c r="DRP1114" s="15"/>
      <c r="DRS1114" s="15"/>
      <c r="DRT1114" s="15"/>
      <c r="DRW1114" s="15"/>
      <c r="DRX1114" s="15"/>
      <c r="DSA1114" s="15"/>
      <c r="DSB1114" s="15"/>
      <c r="DSE1114" s="15"/>
      <c r="DSF1114" s="15"/>
      <c r="DSI1114" s="15"/>
      <c r="DSJ1114" s="15"/>
      <c r="DSM1114" s="15"/>
      <c r="DSN1114" s="15"/>
      <c r="DSQ1114" s="15"/>
      <c r="DSR1114" s="15"/>
      <c r="DSU1114" s="15"/>
      <c r="DSV1114" s="15"/>
      <c r="DSY1114" s="15"/>
      <c r="DSZ1114" s="15"/>
      <c r="DTC1114" s="15"/>
      <c r="DTD1114" s="15"/>
      <c r="DTG1114" s="15"/>
      <c r="DTH1114" s="15"/>
      <c r="DTK1114" s="15"/>
      <c r="DTL1114" s="15"/>
      <c r="DTO1114" s="15"/>
      <c r="DTP1114" s="15"/>
      <c r="DTS1114" s="15"/>
      <c r="DTT1114" s="15"/>
      <c r="DTW1114" s="15"/>
      <c r="DTX1114" s="15"/>
      <c r="DUA1114" s="15"/>
      <c r="DUB1114" s="15"/>
      <c r="DUE1114" s="15"/>
      <c r="DUF1114" s="15"/>
      <c r="DUI1114" s="15"/>
      <c r="DUJ1114" s="15"/>
      <c r="DUM1114" s="15"/>
      <c r="DUN1114" s="15"/>
      <c r="DUQ1114" s="15"/>
      <c r="DUR1114" s="15"/>
      <c r="DUU1114" s="15"/>
      <c r="DUV1114" s="15"/>
      <c r="DUY1114" s="15"/>
      <c r="DUZ1114" s="15"/>
      <c r="DVC1114" s="15"/>
      <c r="DVD1114" s="15"/>
      <c r="DVG1114" s="15"/>
      <c r="DVH1114" s="15"/>
      <c r="DVK1114" s="15"/>
      <c r="DVL1114" s="15"/>
      <c r="DVO1114" s="15"/>
      <c r="DVP1114" s="15"/>
      <c r="DVS1114" s="15"/>
      <c r="DVT1114" s="15"/>
      <c r="DVW1114" s="15"/>
      <c r="DVX1114" s="15"/>
      <c r="DWA1114" s="15"/>
      <c r="DWB1114" s="15"/>
      <c r="DWE1114" s="15"/>
      <c r="DWF1114" s="15"/>
      <c r="DWI1114" s="15"/>
      <c r="DWJ1114" s="15"/>
      <c r="DWM1114" s="15"/>
      <c r="DWN1114" s="15"/>
      <c r="DWQ1114" s="15"/>
      <c r="DWR1114" s="15"/>
      <c r="DWU1114" s="15"/>
      <c r="DWV1114" s="15"/>
      <c r="DWY1114" s="15"/>
      <c r="DWZ1114" s="15"/>
      <c r="DXC1114" s="15"/>
      <c r="DXD1114" s="15"/>
      <c r="DXG1114" s="15"/>
      <c r="DXH1114" s="15"/>
      <c r="DXK1114" s="15"/>
      <c r="DXL1114" s="15"/>
      <c r="DXO1114" s="15"/>
      <c r="DXP1114" s="15"/>
      <c r="DXS1114" s="15"/>
      <c r="DXT1114" s="15"/>
      <c r="DXW1114" s="15"/>
      <c r="DXX1114" s="15"/>
      <c r="DYA1114" s="15"/>
      <c r="DYB1114" s="15"/>
      <c r="DYE1114" s="15"/>
      <c r="DYF1114" s="15"/>
      <c r="DYI1114" s="15"/>
      <c r="DYJ1114" s="15"/>
      <c r="DYM1114" s="15"/>
      <c r="DYN1114" s="15"/>
      <c r="DYQ1114" s="15"/>
      <c r="DYR1114" s="15"/>
      <c r="DYU1114" s="15"/>
      <c r="DYV1114" s="15"/>
      <c r="DYY1114" s="15"/>
      <c r="DYZ1114" s="15"/>
      <c r="DZC1114" s="15"/>
      <c r="DZD1114" s="15"/>
      <c r="DZG1114" s="15"/>
      <c r="DZH1114" s="15"/>
      <c r="DZK1114" s="15"/>
      <c r="DZL1114" s="15"/>
      <c r="DZO1114" s="15"/>
      <c r="DZP1114" s="15"/>
      <c r="DZS1114" s="15"/>
      <c r="DZT1114" s="15"/>
      <c r="DZW1114" s="15"/>
      <c r="DZX1114" s="15"/>
      <c r="EAA1114" s="15"/>
      <c r="EAB1114" s="15"/>
      <c r="EAE1114" s="15"/>
      <c r="EAF1114" s="15"/>
      <c r="EAI1114" s="15"/>
      <c r="EAJ1114" s="15"/>
      <c r="EAM1114" s="15"/>
      <c r="EAN1114" s="15"/>
      <c r="EAQ1114" s="15"/>
      <c r="EAR1114" s="15"/>
      <c r="EAU1114" s="15"/>
      <c r="EAV1114" s="15"/>
      <c r="EAY1114" s="15"/>
      <c r="EAZ1114" s="15"/>
      <c r="EBC1114" s="15"/>
      <c r="EBD1114" s="15"/>
      <c r="EBG1114" s="15"/>
      <c r="EBH1114" s="15"/>
      <c r="EBK1114" s="15"/>
      <c r="EBL1114" s="15"/>
      <c r="EBO1114" s="15"/>
      <c r="EBP1114" s="15"/>
      <c r="EBS1114" s="15"/>
      <c r="EBT1114" s="15"/>
      <c r="EBW1114" s="15"/>
      <c r="EBX1114" s="15"/>
      <c r="ECA1114" s="15"/>
      <c r="ECB1114" s="15"/>
      <c r="ECE1114" s="15"/>
      <c r="ECF1114" s="15"/>
      <c r="ECI1114" s="15"/>
      <c r="ECJ1114" s="15"/>
      <c r="ECM1114" s="15"/>
      <c r="ECN1114" s="15"/>
      <c r="ECQ1114" s="15"/>
      <c r="ECR1114" s="15"/>
      <c r="ECU1114" s="15"/>
      <c r="ECV1114" s="15"/>
      <c r="ECY1114" s="15"/>
      <c r="ECZ1114" s="15"/>
      <c r="EDC1114" s="15"/>
      <c r="EDD1114" s="15"/>
      <c r="EDG1114" s="15"/>
      <c r="EDH1114" s="15"/>
      <c r="EDK1114" s="15"/>
      <c r="EDL1114" s="15"/>
      <c r="EDO1114" s="15"/>
      <c r="EDP1114" s="15"/>
      <c r="EDS1114" s="15"/>
      <c r="EDT1114" s="15"/>
      <c r="EDW1114" s="15"/>
      <c r="EDX1114" s="15"/>
      <c r="EEA1114" s="15"/>
      <c r="EEB1114" s="15"/>
      <c r="EEE1114" s="15"/>
      <c r="EEF1114" s="15"/>
      <c r="EEI1114" s="15"/>
      <c r="EEJ1114" s="15"/>
      <c r="EEM1114" s="15"/>
      <c r="EEN1114" s="15"/>
      <c r="EEQ1114" s="15"/>
      <c r="EER1114" s="15"/>
      <c r="EEU1114" s="15"/>
      <c r="EEV1114" s="15"/>
      <c r="EEY1114" s="15"/>
      <c r="EEZ1114" s="15"/>
      <c r="EFC1114" s="15"/>
      <c r="EFD1114" s="15"/>
      <c r="EFG1114" s="15"/>
      <c r="EFH1114" s="15"/>
      <c r="EFK1114" s="15"/>
      <c r="EFL1114" s="15"/>
      <c r="EFO1114" s="15"/>
      <c r="EFP1114" s="15"/>
      <c r="EFS1114" s="15"/>
      <c r="EFT1114" s="15"/>
      <c r="EFW1114" s="15"/>
      <c r="EFX1114" s="15"/>
      <c r="EGA1114" s="15"/>
      <c r="EGB1114" s="15"/>
      <c r="EGE1114" s="15"/>
      <c r="EGF1114" s="15"/>
      <c r="EGI1114" s="15"/>
      <c r="EGJ1114" s="15"/>
      <c r="EGM1114" s="15"/>
      <c r="EGN1114" s="15"/>
      <c r="EGQ1114" s="15"/>
      <c r="EGR1114" s="15"/>
      <c r="EGU1114" s="15"/>
      <c r="EGV1114" s="15"/>
      <c r="EGY1114" s="15"/>
      <c r="EGZ1114" s="15"/>
      <c r="EHC1114" s="15"/>
      <c r="EHD1114" s="15"/>
      <c r="EHG1114" s="15"/>
      <c r="EHH1114" s="15"/>
      <c r="EHK1114" s="15"/>
      <c r="EHL1114" s="15"/>
      <c r="EHO1114" s="15"/>
      <c r="EHP1114" s="15"/>
      <c r="EHS1114" s="15"/>
      <c r="EHT1114" s="15"/>
      <c r="EHW1114" s="15"/>
      <c r="EHX1114" s="15"/>
      <c r="EIA1114" s="15"/>
      <c r="EIB1114" s="15"/>
      <c r="EIE1114" s="15"/>
      <c r="EIF1114" s="15"/>
      <c r="EII1114" s="15"/>
      <c r="EIJ1114" s="15"/>
      <c r="EIM1114" s="15"/>
      <c r="EIN1114" s="15"/>
      <c r="EIQ1114" s="15"/>
      <c r="EIR1114" s="15"/>
      <c r="EIU1114" s="15"/>
      <c r="EIV1114" s="15"/>
      <c r="EIY1114" s="15"/>
      <c r="EIZ1114" s="15"/>
      <c r="EJC1114" s="15"/>
      <c r="EJD1114" s="15"/>
      <c r="EJG1114" s="15"/>
      <c r="EJH1114" s="15"/>
      <c r="EJK1114" s="15"/>
      <c r="EJL1114" s="15"/>
      <c r="EJO1114" s="15"/>
      <c r="EJP1114" s="15"/>
      <c r="EJS1114" s="15"/>
      <c r="EJT1114" s="15"/>
      <c r="EJW1114" s="15"/>
      <c r="EJX1114" s="15"/>
      <c r="EKA1114" s="15"/>
      <c r="EKB1114" s="15"/>
      <c r="EKE1114" s="15"/>
      <c r="EKF1114" s="15"/>
      <c r="EKI1114" s="15"/>
      <c r="EKJ1114" s="15"/>
      <c r="EKM1114" s="15"/>
      <c r="EKN1114" s="15"/>
      <c r="EKQ1114" s="15"/>
      <c r="EKR1114" s="15"/>
      <c r="EKU1114" s="15"/>
      <c r="EKV1114" s="15"/>
      <c r="EKY1114" s="15"/>
      <c r="EKZ1114" s="15"/>
      <c r="ELC1114" s="15"/>
      <c r="ELD1114" s="15"/>
      <c r="ELG1114" s="15"/>
      <c r="ELH1114" s="15"/>
      <c r="ELK1114" s="15"/>
      <c r="ELL1114" s="15"/>
      <c r="ELO1114" s="15"/>
      <c r="ELP1114" s="15"/>
      <c r="ELS1114" s="15"/>
      <c r="ELT1114" s="15"/>
      <c r="ELW1114" s="15"/>
      <c r="ELX1114" s="15"/>
      <c r="EMA1114" s="15"/>
      <c r="EMB1114" s="15"/>
      <c r="EME1114" s="15"/>
      <c r="EMF1114" s="15"/>
      <c r="EMI1114" s="15"/>
      <c r="EMJ1114" s="15"/>
      <c r="EMM1114" s="15"/>
      <c r="EMN1114" s="15"/>
      <c r="EMQ1114" s="15"/>
      <c r="EMR1114" s="15"/>
      <c r="EMU1114" s="15"/>
      <c r="EMV1114" s="15"/>
      <c r="EMY1114" s="15"/>
      <c r="EMZ1114" s="15"/>
      <c r="ENC1114" s="15"/>
      <c r="END1114" s="15"/>
      <c r="ENG1114" s="15"/>
      <c r="ENH1114" s="15"/>
      <c r="ENK1114" s="15"/>
      <c r="ENL1114" s="15"/>
      <c r="ENO1114" s="15"/>
      <c r="ENP1114" s="15"/>
      <c r="ENS1114" s="15"/>
      <c r="ENT1114" s="15"/>
      <c r="ENW1114" s="15"/>
      <c r="ENX1114" s="15"/>
      <c r="EOA1114" s="15"/>
      <c r="EOB1114" s="15"/>
      <c r="EOE1114" s="15"/>
      <c r="EOF1114" s="15"/>
      <c r="EOI1114" s="15"/>
      <c r="EOJ1114" s="15"/>
      <c r="EOM1114" s="15"/>
      <c r="EON1114" s="15"/>
      <c r="EOQ1114" s="15"/>
      <c r="EOR1114" s="15"/>
      <c r="EOU1114" s="15"/>
      <c r="EOV1114" s="15"/>
      <c r="EOY1114" s="15"/>
      <c r="EOZ1114" s="15"/>
      <c r="EPC1114" s="15"/>
      <c r="EPD1114" s="15"/>
      <c r="EPG1114" s="15"/>
      <c r="EPH1114" s="15"/>
      <c r="EPK1114" s="15"/>
      <c r="EPL1114" s="15"/>
      <c r="EPO1114" s="15"/>
      <c r="EPP1114" s="15"/>
      <c r="EPS1114" s="15"/>
      <c r="EPT1114" s="15"/>
      <c r="EPW1114" s="15"/>
      <c r="EPX1114" s="15"/>
      <c r="EQA1114" s="15"/>
      <c r="EQB1114" s="15"/>
      <c r="EQE1114" s="15"/>
      <c r="EQF1114" s="15"/>
      <c r="EQI1114" s="15"/>
      <c r="EQJ1114" s="15"/>
      <c r="EQM1114" s="15"/>
      <c r="EQN1114" s="15"/>
      <c r="EQQ1114" s="15"/>
      <c r="EQR1114" s="15"/>
      <c r="EQU1114" s="15"/>
      <c r="EQV1114" s="15"/>
      <c r="EQY1114" s="15"/>
      <c r="EQZ1114" s="15"/>
      <c r="ERC1114" s="15"/>
      <c r="ERD1114" s="15"/>
      <c r="ERG1114" s="15"/>
      <c r="ERH1114" s="15"/>
      <c r="ERK1114" s="15"/>
      <c r="ERL1114" s="15"/>
      <c r="ERO1114" s="15"/>
      <c r="ERP1114" s="15"/>
      <c r="ERS1114" s="15"/>
      <c r="ERT1114" s="15"/>
      <c r="ERW1114" s="15"/>
      <c r="ERX1114" s="15"/>
      <c r="ESA1114" s="15"/>
      <c r="ESB1114" s="15"/>
      <c r="ESE1114" s="15"/>
      <c r="ESF1114" s="15"/>
      <c r="ESI1114" s="15"/>
      <c r="ESJ1114" s="15"/>
      <c r="ESM1114" s="15"/>
      <c r="ESN1114" s="15"/>
      <c r="ESQ1114" s="15"/>
      <c r="ESR1114" s="15"/>
      <c r="ESU1114" s="15"/>
      <c r="ESV1114" s="15"/>
      <c r="ESY1114" s="15"/>
      <c r="ESZ1114" s="15"/>
      <c r="ETC1114" s="15"/>
      <c r="ETD1114" s="15"/>
      <c r="ETG1114" s="15"/>
      <c r="ETH1114" s="15"/>
      <c r="ETK1114" s="15"/>
      <c r="ETL1114" s="15"/>
      <c r="ETO1114" s="15"/>
      <c r="ETP1114" s="15"/>
      <c r="ETS1114" s="15"/>
      <c r="ETT1114" s="15"/>
      <c r="ETW1114" s="15"/>
      <c r="ETX1114" s="15"/>
      <c r="EUA1114" s="15"/>
      <c r="EUB1114" s="15"/>
      <c r="EUE1114" s="15"/>
      <c r="EUF1114" s="15"/>
      <c r="EUI1114" s="15"/>
      <c r="EUJ1114" s="15"/>
      <c r="EUM1114" s="15"/>
      <c r="EUN1114" s="15"/>
      <c r="EUQ1114" s="15"/>
      <c r="EUR1114" s="15"/>
      <c r="EUU1114" s="15"/>
      <c r="EUV1114" s="15"/>
      <c r="EUY1114" s="15"/>
      <c r="EUZ1114" s="15"/>
      <c r="EVC1114" s="15"/>
      <c r="EVD1114" s="15"/>
      <c r="EVG1114" s="15"/>
      <c r="EVH1114" s="15"/>
      <c r="EVK1114" s="15"/>
      <c r="EVL1114" s="15"/>
      <c r="EVO1114" s="15"/>
      <c r="EVP1114" s="15"/>
      <c r="EVS1114" s="15"/>
      <c r="EVT1114" s="15"/>
      <c r="EVW1114" s="15"/>
      <c r="EVX1114" s="15"/>
      <c r="EWA1114" s="15"/>
      <c r="EWB1114" s="15"/>
      <c r="EWE1114" s="15"/>
      <c r="EWF1114" s="15"/>
      <c r="EWI1114" s="15"/>
      <c r="EWJ1114" s="15"/>
      <c r="EWM1114" s="15"/>
      <c r="EWN1114" s="15"/>
      <c r="EWQ1114" s="15"/>
      <c r="EWR1114" s="15"/>
      <c r="EWU1114" s="15"/>
      <c r="EWV1114" s="15"/>
      <c r="EWY1114" s="15"/>
      <c r="EWZ1114" s="15"/>
      <c r="EXC1114" s="15"/>
      <c r="EXD1114" s="15"/>
      <c r="EXG1114" s="15"/>
      <c r="EXH1114" s="15"/>
      <c r="EXK1114" s="15"/>
      <c r="EXL1114" s="15"/>
      <c r="EXO1114" s="15"/>
      <c r="EXP1114" s="15"/>
      <c r="EXS1114" s="15"/>
      <c r="EXT1114" s="15"/>
      <c r="EXW1114" s="15"/>
      <c r="EXX1114" s="15"/>
      <c r="EYA1114" s="15"/>
      <c r="EYB1114" s="15"/>
      <c r="EYE1114" s="15"/>
      <c r="EYF1114" s="15"/>
      <c r="EYI1114" s="15"/>
      <c r="EYJ1114" s="15"/>
      <c r="EYM1114" s="15"/>
      <c r="EYN1114" s="15"/>
      <c r="EYQ1114" s="15"/>
      <c r="EYR1114" s="15"/>
      <c r="EYU1114" s="15"/>
      <c r="EYV1114" s="15"/>
      <c r="EYY1114" s="15"/>
      <c r="EYZ1114" s="15"/>
      <c r="EZC1114" s="15"/>
      <c r="EZD1114" s="15"/>
      <c r="EZG1114" s="15"/>
      <c r="EZH1114" s="15"/>
      <c r="EZK1114" s="15"/>
      <c r="EZL1114" s="15"/>
      <c r="EZO1114" s="15"/>
      <c r="EZP1114" s="15"/>
      <c r="EZS1114" s="15"/>
      <c r="EZT1114" s="15"/>
      <c r="EZW1114" s="15"/>
      <c r="EZX1114" s="15"/>
      <c r="FAA1114" s="15"/>
      <c r="FAB1114" s="15"/>
      <c r="FAE1114" s="15"/>
      <c r="FAF1114" s="15"/>
      <c r="FAI1114" s="15"/>
      <c r="FAJ1114" s="15"/>
      <c r="FAM1114" s="15"/>
      <c r="FAN1114" s="15"/>
      <c r="FAQ1114" s="15"/>
      <c r="FAR1114" s="15"/>
      <c r="FAU1114" s="15"/>
      <c r="FAV1114" s="15"/>
      <c r="FAY1114" s="15"/>
      <c r="FAZ1114" s="15"/>
      <c r="FBC1114" s="15"/>
      <c r="FBD1114" s="15"/>
      <c r="FBG1114" s="15"/>
      <c r="FBH1114" s="15"/>
      <c r="FBK1114" s="15"/>
      <c r="FBL1114" s="15"/>
      <c r="FBO1114" s="15"/>
      <c r="FBP1114" s="15"/>
      <c r="FBS1114" s="15"/>
      <c r="FBT1114" s="15"/>
      <c r="FBW1114" s="15"/>
      <c r="FBX1114" s="15"/>
      <c r="FCA1114" s="15"/>
      <c r="FCB1114" s="15"/>
      <c r="FCE1114" s="15"/>
      <c r="FCF1114" s="15"/>
      <c r="FCI1114" s="15"/>
      <c r="FCJ1114" s="15"/>
      <c r="FCM1114" s="15"/>
      <c r="FCN1114" s="15"/>
      <c r="FCQ1114" s="15"/>
      <c r="FCR1114" s="15"/>
      <c r="FCU1114" s="15"/>
      <c r="FCV1114" s="15"/>
      <c r="FCY1114" s="15"/>
      <c r="FCZ1114" s="15"/>
      <c r="FDC1114" s="15"/>
      <c r="FDD1114" s="15"/>
      <c r="FDG1114" s="15"/>
      <c r="FDH1114" s="15"/>
      <c r="FDK1114" s="15"/>
      <c r="FDL1114" s="15"/>
      <c r="FDO1114" s="15"/>
      <c r="FDP1114" s="15"/>
      <c r="FDS1114" s="15"/>
      <c r="FDT1114" s="15"/>
      <c r="FDW1114" s="15"/>
      <c r="FDX1114" s="15"/>
      <c r="FEA1114" s="15"/>
      <c r="FEB1114" s="15"/>
      <c r="FEE1114" s="15"/>
      <c r="FEF1114" s="15"/>
      <c r="FEI1114" s="15"/>
      <c r="FEJ1114" s="15"/>
      <c r="FEM1114" s="15"/>
      <c r="FEN1114" s="15"/>
      <c r="FEQ1114" s="15"/>
      <c r="FER1114" s="15"/>
      <c r="FEU1114" s="15"/>
      <c r="FEV1114" s="15"/>
      <c r="FEY1114" s="15"/>
      <c r="FEZ1114" s="15"/>
      <c r="FFC1114" s="15"/>
      <c r="FFD1114" s="15"/>
      <c r="FFG1114" s="15"/>
      <c r="FFH1114" s="15"/>
      <c r="FFK1114" s="15"/>
      <c r="FFL1114" s="15"/>
      <c r="FFO1114" s="15"/>
      <c r="FFP1114" s="15"/>
      <c r="FFS1114" s="15"/>
      <c r="FFT1114" s="15"/>
      <c r="FFW1114" s="15"/>
      <c r="FFX1114" s="15"/>
      <c r="FGA1114" s="15"/>
      <c r="FGB1114" s="15"/>
      <c r="FGE1114" s="15"/>
      <c r="FGF1114" s="15"/>
      <c r="FGI1114" s="15"/>
      <c r="FGJ1114" s="15"/>
      <c r="FGM1114" s="15"/>
      <c r="FGN1114" s="15"/>
      <c r="FGQ1114" s="15"/>
      <c r="FGR1114" s="15"/>
      <c r="FGU1114" s="15"/>
      <c r="FGV1114" s="15"/>
      <c r="FGY1114" s="15"/>
      <c r="FGZ1114" s="15"/>
      <c r="FHC1114" s="15"/>
      <c r="FHD1114" s="15"/>
      <c r="FHG1114" s="15"/>
      <c r="FHH1114" s="15"/>
      <c r="FHK1114" s="15"/>
      <c r="FHL1114" s="15"/>
      <c r="FHO1114" s="15"/>
      <c r="FHP1114" s="15"/>
      <c r="FHS1114" s="15"/>
      <c r="FHT1114" s="15"/>
      <c r="FHW1114" s="15"/>
      <c r="FHX1114" s="15"/>
      <c r="FIA1114" s="15"/>
      <c r="FIB1114" s="15"/>
      <c r="FIE1114" s="15"/>
      <c r="FIF1114" s="15"/>
      <c r="FII1114" s="15"/>
      <c r="FIJ1114" s="15"/>
      <c r="FIM1114" s="15"/>
      <c r="FIN1114" s="15"/>
      <c r="FIQ1114" s="15"/>
      <c r="FIR1114" s="15"/>
      <c r="FIU1114" s="15"/>
      <c r="FIV1114" s="15"/>
      <c r="FIY1114" s="15"/>
      <c r="FIZ1114" s="15"/>
      <c r="FJC1114" s="15"/>
      <c r="FJD1114" s="15"/>
      <c r="FJG1114" s="15"/>
      <c r="FJH1114" s="15"/>
      <c r="FJK1114" s="15"/>
      <c r="FJL1114" s="15"/>
      <c r="FJO1114" s="15"/>
      <c r="FJP1114" s="15"/>
      <c r="FJS1114" s="15"/>
      <c r="FJT1114" s="15"/>
      <c r="FJW1114" s="15"/>
      <c r="FJX1114" s="15"/>
      <c r="FKA1114" s="15"/>
      <c r="FKB1114" s="15"/>
      <c r="FKE1114" s="15"/>
      <c r="FKF1114" s="15"/>
      <c r="FKI1114" s="15"/>
      <c r="FKJ1114" s="15"/>
      <c r="FKM1114" s="15"/>
      <c r="FKN1114" s="15"/>
      <c r="FKQ1114" s="15"/>
      <c r="FKR1114" s="15"/>
      <c r="FKU1114" s="15"/>
      <c r="FKV1114" s="15"/>
      <c r="FKY1114" s="15"/>
      <c r="FKZ1114" s="15"/>
      <c r="FLC1114" s="15"/>
      <c r="FLD1114" s="15"/>
      <c r="FLG1114" s="15"/>
      <c r="FLH1114" s="15"/>
      <c r="FLK1114" s="15"/>
      <c r="FLL1114" s="15"/>
      <c r="FLO1114" s="15"/>
      <c r="FLP1114" s="15"/>
      <c r="FLS1114" s="15"/>
      <c r="FLT1114" s="15"/>
      <c r="FLW1114" s="15"/>
      <c r="FLX1114" s="15"/>
      <c r="FMA1114" s="15"/>
      <c r="FMB1114" s="15"/>
      <c r="FME1114" s="15"/>
      <c r="FMF1114" s="15"/>
      <c r="FMI1114" s="15"/>
      <c r="FMJ1114" s="15"/>
      <c r="FMM1114" s="15"/>
      <c r="FMN1114" s="15"/>
      <c r="FMQ1114" s="15"/>
      <c r="FMR1114" s="15"/>
      <c r="FMU1114" s="15"/>
      <c r="FMV1114" s="15"/>
      <c r="FMY1114" s="15"/>
      <c r="FMZ1114" s="15"/>
      <c r="FNC1114" s="15"/>
      <c r="FND1114" s="15"/>
      <c r="FNG1114" s="15"/>
      <c r="FNH1114" s="15"/>
      <c r="FNK1114" s="15"/>
      <c r="FNL1114" s="15"/>
      <c r="FNO1114" s="15"/>
      <c r="FNP1114" s="15"/>
      <c r="FNS1114" s="15"/>
      <c r="FNT1114" s="15"/>
      <c r="FNW1114" s="15"/>
      <c r="FNX1114" s="15"/>
      <c r="FOA1114" s="15"/>
      <c r="FOB1114" s="15"/>
      <c r="FOE1114" s="15"/>
      <c r="FOF1114" s="15"/>
      <c r="FOI1114" s="15"/>
      <c r="FOJ1114" s="15"/>
      <c r="FOM1114" s="15"/>
      <c r="FON1114" s="15"/>
      <c r="FOQ1114" s="15"/>
      <c r="FOR1114" s="15"/>
      <c r="FOU1114" s="15"/>
      <c r="FOV1114" s="15"/>
      <c r="FOY1114" s="15"/>
      <c r="FOZ1114" s="15"/>
      <c r="FPC1114" s="15"/>
      <c r="FPD1114" s="15"/>
      <c r="FPG1114" s="15"/>
      <c r="FPH1114" s="15"/>
      <c r="FPK1114" s="15"/>
      <c r="FPL1114" s="15"/>
      <c r="FPO1114" s="15"/>
      <c r="FPP1114" s="15"/>
      <c r="FPS1114" s="15"/>
      <c r="FPT1114" s="15"/>
      <c r="FPW1114" s="15"/>
      <c r="FPX1114" s="15"/>
      <c r="FQA1114" s="15"/>
      <c r="FQB1114" s="15"/>
      <c r="FQE1114" s="15"/>
      <c r="FQF1114" s="15"/>
      <c r="FQI1114" s="15"/>
      <c r="FQJ1114" s="15"/>
      <c r="FQM1114" s="15"/>
      <c r="FQN1114" s="15"/>
      <c r="FQQ1114" s="15"/>
      <c r="FQR1114" s="15"/>
      <c r="FQU1114" s="15"/>
      <c r="FQV1114" s="15"/>
      <c r="FQY1114" s="15"/>
      <c r="FQZ1114" s="15"/>
      <c r="FRC1114" s="15"/>
      <c r="FRD1114" s="15"/>
      <c r="FRG1114" s="15"/>
      <c r="FRH1114" s="15"/>
      <c r="FRK1114" s="15"/>
      <c r="FRL1114" s="15"/>
      <c r="FRO1114" s="15"/>
      <c r="FRP1114" s="15"/>
      <c r="FRS1114" s="15"/>
      <c r="FRT1114" s="15"/>
      <c r="FRW1114" s="15"/>
      <c r="FRX1114" s="15"/>
      <c r="FSA1114" s="15"/>
      <c r="FSB1114" s="15"/>
      <c r="FSE1114" s="15"/>
      <c r="FSF1114" s="15"/>
      <c r="FSI1114" s="15"/>
      <c r="FSJ1114" s="15"/>
      <c r="FSM1114" s="15"/>
      <c r="FSN1114" s="15"/>
      <c r="FSQ1114" s="15"/>
      <c r="FSR1114" s="15"/>
      <c r="FSU1114" s="15"/>
      <c r="FSV1114" s="15"/>
      <c r="FSY1114" s="15"/>
      <c r="FSZ1114" s="15"/>
      <c r="FTC1114" s="15"/>
      <c r="FTD1114" s="15"/>
      <c r="FTG1114" s="15"/>
      <c r="FTH1114" s="15"/>
      <c r="FTK1114" s="15"/>
      <c r="FTL1114" s="15"/>
      <c r="FTO1114" s="15"/>
      <c r="FTP1114" s="15"/>
      <c r="FTS1114" s="15"/>
      <c r="FTT1114" s="15"/>
      <c r="FTW1114" s="15"/>
      <c r="FTX1114" s="15"/>
      <c r="FUA1114" s="15"/>
      <c r="FUB1114" s="15"/>
      <c r="FUE1114" s="15"/>
      <c r="FUF1114" s="15"/>
      <c r="FUI1114" s="15"/>
      <c r="FUJ1114" s="15"/>
      <c r="FUM1114" s="15"/>
      <c r="FUN1114" s="15"/>
      <c r="FUQ1114" s="15"/>
      <c r="FUR1114" s="15"/>
      <c r="FUU1114" s="15"/>
      <c r="FUV1114" s="15"/>
      <c r="FUY1114" s="15"/>
      <c r="FUZ1114" s="15"/>
      <c r="FVC1114" s="15"/>
      <c r="FVD1114" s="15"/>
      <c r="FVG1114" s="15"/>
      <c r="FVH1114" s="15"/>
      <c r="FVK1114" s="15"/>
      <c r="FVL1114" s="15"/>
      <c r="FVO1114" s="15"/>
      <c r="FVP1114" s="15"/>
      <c r="FVS1114" s="15"/>
      <c r="FVT1114" s="15"/>
      <c r="FVW1114" s="15"/>
      <c r="FVX1114" s="15"/>
      <c r="FWA1114" s="15"/>
      <c r="FWB1114" s="15"/>
      <c r="FWE1114" s="15"/>
      <c r="FWF1114" s="15"/>
      <c r="FWI1114" s="15"/>
      <c r="FWJ1114" s="15"/>
      <c r="FWM1114" s="15"/>
      <c r="FWN1114" s="15"/>
      <c r="FWQ1114" s="15"/>
      <c r="FWR1114" s="15"/>
      <c r="FWU1114" s="15"/>
      <c r="FWV1114" s="15"/>
      <c r="FWY1114" s="15"/>
      <c r="FWZ1114" s="15"/>
      <c r="FXC1114" s="15"/>
      <c r="FXD1114" s="15"/>
      <c r="FXG1114" s="15"/>
      <c r="FXH1114" s="15"/>
      <c r="FXK1114" s="15"/>
      <c r="FXL1114" s="15"/>
      <c r="FXO1114" s="15"/>
      <c r="FXP1114" s="15"/>
      <c r="FXS1114" s="15"/>
      <c r="FXT1114" s="15"/>
      <c r="FXW1114" s="15"/>
      <c r="FXX1114" s="15"/>
      <c r="FYA1114" s="15"/>
      <c r="FYB1114" s="15"/>
      <c r="FYE1114" s="15"/>
      <c r="FYF1114" s="15"/>
      <c r="FYI1114" s="15"/>
      <c r="FYJ1114" s="15"/>
      <c r="FYM1114" s="15"/>
      <c r="FYN1114" s="15"/>
      <c r="FYQ1114" s="15"/>
      <c r="FYR1114" s="15"/>
      <c r="FYU1114" s="15"/>
      <c r="FYV1114" s="15"/>
      <c r="FYY1114" s="15"/>
      <c r="FYZ1114" s="15"/>
      <c r="FZC1114" s="15"/>
      <c r="FZD1114" s="15"/>
      <c r="FZG1114" s="15"/>
      <c r="FZH1114" s="15"/>
      <c r="FZK1114" s="15"/>
      <c r="FZL1114" s="15"/>
      <c r="FZO1114" s="15"/>
      <c r="FZP1114" s="15"/>
      <c r="FZS1114" s="15"/>
      <c r="FZT1114" s="15"/>
      <c r="FZW1114" s="15"/>
      <c r="FZX1114" s="15"/>
      <c r="GAA1114" s="15"/>
      <c r="GAB1114" s="15"/>
      <c r="GAE1114" s="15"/>
      <c r="GAF1114" s="15"/>
      <c r="GAI1114" s="15"/>
      <c r="GAJ1114" s="15"/>
      <c r="GAM1114" s="15"/>
      <c r="GAN1114" s="15"/>
      <c r="GAQ1114" s="15"/>
      <c r="GAR1114" s="15"/>
      <c r="GAU1114" s="15"/>
      <c r="GAV1114" s="15"/>
      <c r="GAY1114" s="15"/>
      <c r="GAZ1114" s="15"/>
      <c r="GBC1114" s="15"/>
      <c r="GBD1114" s="15"/>
      <c r="GBG1114" s="15"/>
      <c r="GBH1114" s="15"/>
      <c r="GBK1114" s="15"/>
      <c r="GBL1114" s="15"/>
      <c r="GBO1114" s="15"/>
      <c r="GBP1114" s="15"/>
      <c r="GBS1114" s="15"/>
      <c r="GBT1114" s="15"/>
      <c r="GBW1114" s="15"/>
      <c r="GBX1114" s="15"/>
      <c r="GCA1114" s="15"/>
      <c r="GCB1114" s="15"/>
      <c r="GCE1114" s="15"/>
      <c r="GCF1114" s="15"/>
      <c r="GCI1114" s="15"/>
      <c r="GCJ1114" s="15"/>
      <c r="GCM1114" s="15"/>
      <c r="GCN1114" s="15"/>
      <c r="GCQ1114" s="15"/>
      <c r="GCR1114" s="15"/>
      <c r="GCU1114" s="15"/>
      <c r="GCV1114" s="15"/>
      <c r="GCY1114" s="15"/>
      <c r="GCZ1114" s="15"/>
      <c r="GDC1114" s="15"/>
      <c r="GDD1114" s="15"/>
      <c r="GDG1114" s="15"/>
      <c r="GDH1114" s="15"/>
      <c r="GDK1114" s="15"/>
      <c r="GDL1114" s="15"/>
      <c r="GDO1114" s="15"/>
      <c r="GDP1114" s="15"/>
      <c r="GDS1114" s="15"/>
      <c r="GDT1114" s="15"/>
      <c r="GDW1114" s="15"/>
      <c r="GDX1114" s="15"/>
      <c r="GEA1114" s="15"/>
      <c r="GEB1114" s="15"/>
      <c r="GEE1114" s="15"/>
      <c r="GEF1114" s="15"/>
      <c r="GEI1114" s="15"/>
      <c r="GEJ1114" s="15"/>
      <c r="GEM1114" s="15"/>
      <c r="GEN1114" s="15"/>
      <c r="GEQ1114" s="15"/>
      <c r="GER1114" s="15"/>
      <c r="GEU1114" s="15"/>
      <c r="GEV1114" s="15"/>
      <c r="GEY1114" s="15"/>
      <c r="GEZ1114" s="15"/>
      <c r="GFC1114" s="15"/>
      <c r="GFD1114" s="15"/>
      <c r="GFG1114" s="15"/>
      <c r="GFH1114" s="15"/>
      <c r="GFK1114" s="15"/>
      <c r="GFL1114" s="15"/>
      <c r="GFO1114" s="15"/>
      <c r="GFP1114" s="15"/>
      <c r="GFS1114" s="15"/>
      <c r="GFT1114" s="15"/>
      <c r="GFW1114" s="15"/>
      <c r="GFX1114" s="15"/>
      <c r="GGA1114" s="15"/>
      <c r="GGB1114" s="15"/>
      <c r="GGE1114" s="15"/>
      <c r="GGF1114" s="15"/>
      <c r="GGI1114" s="15"/>
      <c r="GGJ1114" s="15"/>
      <c r="GGM1114" s="15"/>
      <c r="GGN1114" s="15"/>
      <c r="GGQ1114" s="15"/>
      <c r="GGR1114" s="15"/>
      <c r="GGU1114" s="15"/>
      <c r="GGV1114" s="15"/>
      <c r="GGY1114" s="15"/>
      <c r="GGZ1114" s="15"/>
      <c r="GHC1114" s="15"/>
      <c r="GHD1114" s="15"/>
      <c r="GHG1114" s="15"/>
      <c r="GHH1114" s="15"/>
      <c r="GHK1114" s="15"/>
      <c r="GHL1114" s="15"/>
      <c r="GHO1114" s="15"/>
      <c r="GHP1114" s="15"/>
      <c r="GHS1114" s="15"/>
      <c r="GHT1114" s="15"/>
      <c r="GHW1114" s="15"/>
      <c r="GHX1114" s="15"/>
      <c r="GIA1114" s="15"/>
      <c r="GIB1114" s="15"/>
      <c r="GIE1114" s="15"/>
      <c r="GIF1114" s="15"/>
      <c r="GII1114" s="15"/>
      <c r="GIJ1114" s="15"/>
      <c r="GIM1114" s="15"/>
      <c r="GIN1114" s="15"/>
      <c r="GIQ1114" s="15"/>
      <c r="GIR1114" s="15"/>
      <c r="GIU1114" s="15"/>
      <c r="GIV1114" s="15"/>
      <c r="GIY1114" s="15"/>
      <c r="GIZ1114" s="15"/>
      <c r="GJC1114" s="15"/>
      <c r="GJD1114" s="15"/>
      <c r="GJG1114" s="15"/>
      <c r="GJH1114" s="15"/>
      <c r="GJK1114" s="15"/>
      <c r="GJL1114" s="15"/>
      <c r="GJO1114" s="15"/>
      <c r="GJP1114" s="15"/>
      <c r="GJS1114" s="15"/>
      <c r="GJT1114" s="15"/>
      <c r="GJW1114" s="15"/>
      <c r="GJX1114" s="15"/>
      <c r="GKA1114" s="15"/>
      <c r="GKB1114" s="15"/>
      <c r="GKE1114" s="15"/>
      <c r="GKF1114" s="15"/>
      <c r="GKI1114" s="15"/>
      <c r="GKJ1114" s="15"/>
      <c r="GKM1114" s="15"/>
      <c r="GKN1114" s="15"/>
      <c r="GKQ1114" s="15"/>
      <c r="GKR1114" s="15"/>
      <c r="GKU1114" s="15"/>
      <c r="GKV1114" s="15"/>
      <c r="GKY1114" s="15"/>
      <c r="GKZ1114" s="15"/>
      <c r="GLC1114" s="15"/>
      <c r="GLD1114" s="15"/>
      <c r="GLG1114" s="15"/>
      <c r="GLH1114" s="15"/>
      <c r="GLK1114" s="15"/>
      <c r="GLL1114" s="15"/>
      <c r="GLO1114" s="15"/>
      <c r="GLP1114" s="15"/>
      <c r="GLS1114" s="15"/>
      <c r="GLT1114" s="15"/>
      <c r="GLW1114" s="15"/>
      <c r="GLX1114" s="15"/>
      <c r="GMA1114" s="15"/>
      <c r="GMB1114" s="15"/>
      <c r="GME1114" s="15"/>
      <c r="GMF1114" s="15"/>
      <c r="GMI1114" s="15"/>
      <c r="GMJ1114" s="15"/>
      <c r="GMM1114" s="15"/>
      <c r="GMN1114" s="15"/>
      <c r="GMQ1114" s="15"/>
      <c r="GMR1114" s="15"/>
      <c r="GMU1114" s="15"/>
      <c r="GMV1114" s="15"/>
      <c r="GMY1114" s="15"/>
      <c r="GMZ1114" s="15"/>
      <c r="GNC1114" s="15"/>
      <c r="GND1114" s="15"/>
      <c r="GNG1114" s="15"/>
      <c r="GNH1114" s="15"/>
      <c r="GNK1114" s="15"/>
      <c r="GNL1114" s="15"/>
      <c r="GNO1114" s="15"/>
      <c r="GNP1114" s="15"/>
      <c r="GNS1114" s="15"/>
      <c r="GNT1114" s="15"/>
      <c r="GNW1114" s="15"/>
      <c r="GNX1114" s="15"/>
      <c r="GOA1114" s="15"/>
      <c r="GOB1114" s="15"/>
      <c r="GOE1114" s="15"/>
      <c r="GOF1114" s="15"/>
      <c r="GOI1114" s="15"/>
      <c r="GOJ1114" s="15"/>
      <c r="GOM1114" s="15"/>
      <c r="GON1114" s="15"/>
      <c r="GOQ1114" s="15"/>
      <c r="GOR1114" s="15"/>
      <c r="GOU1114" s="15"/>
      <c r="GOV1114" s="15"/>
      <c r="GOY1114" s="15"/>
      <c r="GOZ1114" s="15"/>
      <c r="GPC1114" s="15"/>
      <c r="GPD1114" s="15"/>
      <c r="GPG1114" s="15"/>
      <c r="GPH1114" s="15"/>
      <c r="GPK1114" s="15"/>
      <c r="GPL1114" s="15"/>
      <c r="GPO1114" s="15"/>
      <c r="GPP1114" s="15"/>
      <c r="GPS1114" s="15"/>
      <c r="GPT1114" s="15"/>
      <c r="GPW1114" s="15"/>
      <c r="GPX1114" s="15"/>
      <c r="GQA1114" s="15"/>
      <c r="GQB1114" s="15"/>
      <c r="GQE1114" s="15"/>
      <c r="GQF1114" s="15"/>
      <c r="GQI1114" s="15"/>
      <c r="GQJ1114" s="15"/>
      <c r="GQM1114" s="15"/>
      <c r="GQN1114" s="15"/>
      <c r="GQQ1114" s="15"/>
      <c r="GQR1114" s="15"/>
      <c r="GQU1114" s="15"/>
      <c r="GQV1114" s="15"/>
      <c r="GQY1114" s="15"/>
      <c r="GQZ1114" s="15"/>
      <c r="GRC1114" s="15"/>
      <c r="GRD1114" s="15"/>
      <c r="GRG1114" s="15"/>
      <c r="GRH1114" s="15"/>
      <c r="GRK1114" s="15"/>
      <c r="GRL1114" s="15"/>
      <c r="GRO1114" s="15"/>
      <c r="GRP1114" s="15"/>
      <c r="GRS1114" s="15"/>
      <c r="GRT1114" s="15"/>
      <c r="GRW1114" s="15"/>
      <c r="GRX1114" s="15"/>
      <c r="GSA1114" s="15"/>
      <c r="GSB1114" s="15"/>
      <c r="GSE1114" s="15"/>
      <c r="GSF1114" s="15"/>
      <c r="GSI1114" s="15"/>
      <c r="GSJ1114" s="15"/>
      <c r="GSM1114" s="15"/>
      <c r="GSN1114" s="15"/>
      <c r="GSQ1114" s="15"/>
      <c r="GSR1114" s="15"/>
      <c r="GSU1114" s="15"/>
      <c r="GSV1114" s="15"/>
      <c r="GSY1114" s="15"/>
      <c r="GSZ1114" s="15"/>
      <c r="GTC1114" s="15"/>
      <c r="GTD1114" s="15"/>
      <c r="GTG1114" s="15"/>
      <c r="GTH1114" s="15"/>
      <c r="GTK1114" s="15"/>
      <c r="GTL1114" s="15"/>
      <c r="GTO1114" s="15"/>
      <c r="GTP1114" s="15"/>
      <c r="GTS1114" s="15"/>
      <c r="GTT1114" s="15"/>
      <c r="GTW1114" s="15"/>
      <c r="GTX1114" s="15"/>
      <c r="GUA1114" s="15"/>
      <c r="GUB1114" s="15"/>
      <c r="GUE1114" s="15"/>
      <c r="GUF1114" s="15"/>
      <c r="GUI1114" s="15"/>
      <c r="GUJ1114" s="15"/>
      <c r="GUM1114" s="15"/>
      <c r="GUN1114" s="15"/>
      <c r="GUQ1114" s="15"/>
      <c r="GUR1114" s="15"/>
      <c r="GUU1114" s="15"/>
      <c r="GUV1114" s="15"/>
      <c r="GUY1114" s="15"/>
      <c r="GUZ1114" s="15"/>
      <c r="GVC1114" s="15"/>
      <c r="GVD1114" s="15"/>
      <c r="GVG1114" s="15"/>
      <c r="GVH1114" s="15"/>
      <c r="GVK1114" s="15"/>
      <c r="GVL1114" s="15"/>
      <c r="GVO1114" s="15"/>
      <c r="GVP1114" s="15"/>
      <c r="GVS1114" s="15"/>
      <c r="GVT1114" s="15"/>
      <c r="GVW1114" s="15"/>
      <c r="GVX1114" s="15"/>
      <c r="GWA1114" s="15"/>
      <c r="GWB1114" s="15"/>
      <c r="GWE1114" s="15"/>
      <c r="GWF1114" s="15"/>
      <c r="GWI1114" s="15"/>
      <c r="GWJ1114" s="15"/>
      <c r="GWM1114" s="15"/>
      <c r="GWN1114" s="15"/>
      <c r="GWQ1114" s="15"/>
      <c r="GWR1114" s="15"/>
      <c r="GWU1114" s="15"/>
      <c r="GWV1114" s="15"/>
      <c r="GWY1114" s="15"/>
      <c r="GWZ1114" s="15"/>
      <c r="GXC1114" s="15"/>
      <c r="GXD1114" s="15"/>
      <c r="GXG1114" s="15"/>
      <c r="GXH1114" s="15"/>
      <c r="GXK1114" s="15"/>
      <c r="GXL1114" s="15"/>
      <c r="GXO1114" s="15"/>
      <c r="GXP1114" s="15"/>
      <c r="GXS1114" s="15"/>
      <c r="GXT1114" s="15"/>
      <c r="GXW1114" s="15"/>
      <c r="GXX1114" s="15"/>
      <c r="GYA1114" s="15"/>
      <c r="GYB1114" s="15"/>
      <c r="GYE1114" s="15"/>
      <c r="GYF1114" s="15"/>
      <c r="GYI1114" s="15"/>
      <c r="GYJ1114" s="15"/>
      <c r="GYM1114" s="15"/>
      <c r="GYN1114" s="15"/>
      <c r="GYQ1114" s="15"/>
      <c r="GYR1114" s="15"/>
      <c r="GYU1114" s="15"/>
      <c r="GYV1114" s="15"/>
      <c r="GYY1114" s="15"/>
      <c r="GYZ1114" s="15"/>
      <c r="GZC1114" s="15"/>
      <c r="GZD1114" s="15"/>
      <c r="GZG1114" s="15"/>
      <c r="GZH1114" s="15"/>
      <c r="GZK1114" s="15"/>
      <c r="GZL1114" s="15"/>
      <c r="GZO1114" s="15"/>
      <c r="GZP1114" s="15"/>
      <c r="GZS1114" s="15"/>
      <c r="GZT1114" s="15"/>
      <c r="GZW1114" s="15"/>
      <c r="GZX1114" s="15"/>
      <c r="HAA1114" s="15"/>
      <c r="HAB1114" s="15"/>
      <c r="HAE1114" s="15"/>
      <c r="HAF1114" s="15"/>
      <c r="HAI1114" s="15"/>
      <c r="HAJ1114" s="15"/>
      <c r="HAM1114" s="15"/>
      <c r="HAN1114" s="15"/>
      <c r="HAQ1114" s="15"/>
      <c r="HAR1114" s="15"/>
      <c r="HAU1114" s="15"/>
      <c r="HAV1114" s="15"/>
      <c r="HAY1114" s="15"/>
      <c r="HAZ1114" s="15"/>
      <c r="HBC1114" s="15"/>
      <c r="HBD1114" s="15"/>
      <c r="HBG1114" s="15"/>
      <c r="HBH1114" s="15"/>
      <c r="HBK1114" s="15"/>
      <c r="HBL1114" s="15"/>
      <c r="HBO1114" s="15"/>
      <c r="HBP1114" s="15"/>
      <c r="HBS1114" s="15"/>
      <c r="HBT1114" s="15"/>
      <c r="HBW1114" s="15"/>
      <c r="HBX1114" s="15"/>
      <c r="HCA1114" s="15"/>
      <c r="HCB1114" s="15"/>
      <c r="HCE1114" s="15"/>
      <c r="HCF1114" s="15"/>
      <c r="HCI1114" s="15"/>
      <c r="HCJ1114" s="15"/>
      <c r="HCM1114" s="15"/>
      <c r="HCN1114" s="15"/>
      <c r="HCQ1114" s="15"/>
      <c r="HCR1114" s="15"/>
      <c r="HCU1114" s="15"/>
      <c r="HCV1114" s="15"/>
      <c r="HCY1114" s="15"/>
      <c r="HCZ1114" s="15"/>
      <c r="HDC1114" s="15"/>
      <c r="HDD1114" s="15"/>
      <c r="HDG1114" s="15"/>
      <c r="HDH1114" s="15"/>
      <c r="HDK1114" s="15"/>
      <c r="HDL1114" s="15"/>
      <c r="HDO1114" s="15"/>
      <c r="HDP1114" s="15"/>
      <c r="HDS1114" s="15"/>
      <c r="HDT1114" s="15"/>
      <c r="HDW1114" s="15"/>
      <c r="HDX1114" s="15"/>
      <c r="HEA1114" s="15"/>
      <c r="HEB1114" s="15"/>
      <c r="HEE1114" s="15"/>
      <c r="HEF1114" s="15"/>
      <c r="HEI1114" s="15"/>
      <c r="HEJ1114" s="15"/>
      <c r="HEM1114" s="15"/>
      <c r="HEN1114" s="15"/>
      <c r="HEQ1114" s="15"/>
      <c r="HER1114" s="15"/>
      <c r="HEU1114" s="15"/>
      <c r="HEV1114" s="15"/>
      <c r="HEY1114" s="15"/>
      <c r="HEZ1114" s="15"/>
      <c r="HFC1114" s="15"/>
      <c r="HFD1114" s="15"/>
      <c r="HFG1114" s="15"/>
      <c r="HFH1114" s="15"/>
      <c r="HFK1114" s="15"/>
      <c r="HFL1114" s="15"/>
      <c r="HFO1114" s="15"/>
      <c r="HFP1114" s="15"/>
      <c r="HFS1114" s="15"/>
      <c r="HFT1114" s="15"/>
      <c r="HFW1114" s="15"/>
      <c r="HFX1114" s="15"/>
      <c r="HGA1114" s="15"/>
      <c r="HGB1114" s="15"/>
      <c r="HGE1114" s="15"/>
      <c r="HGF1114" s="15"/>
      <c r="HGI1114" s="15"/>
      <c r="HGJ1114" s="15"/>
      <c r="HGM1114" s="15"/>
      <c r="HGN1114" s="15"/>
      <c r="HGQ1114" s="15"/>
      <c r="HGR1114" s="15"/>
      <c r="HGU1114" s="15"/>
      <c r="HGV1114" s="15"/>
      <c r="HGY1114" s="15"/>
      <c r="HGZ1114" s="15"/>
      <c r="HHC1114" s="15"/>
      <c r="HHD1114" s="15"/>
      <c r="HHG1114" s="15"/>
      <c r="HHH1114" s="15"/>
      <c r="HHK1114" s="15"/>
      <c r="HHL1114" s="15"/>
      <c r="HHO1114" s="15"/>
      <c r="HHP1114" s="15"/>
      <c r="HHS1114" s="15"/>
      <c r="HHT1114" s="15"/>
      <c r="HHW1114" s="15"/>
      <c r="HHX1114" s="15"/>
      <c r="HIA1114" s="15"/>
      <c r="HIB1114" s="15"/>
      <c r="HIE1114" s="15"/>
      <c r="HIF1114" s="15"/>
      <c r="HII1114" s="15"/>
      <c r="HIJ1114" s="15"/>
      <c r="HIM1114" s="15"/>
      <c r="HIN1114" s="15"/>
      <c r="HIQ1114" s="15"/>
      <c r="HIR1114" s="15"/>
      <c r="HIU1114" s="15"/>
      <c r="HIV1114" s="15"/>
      <c r="HIY1114" s="15"/>
      <c r="HIZ1114" s="15"/>
      <c r="HJC1114" s="15"/>
      <c r="HJD1114" s="15"/>
      <c r="HJG1114" s="15"/>
      <c r="HJH1114" s="15"/>
      <c r="HJK1114" s="15"/>
      <c r="HJL1114" s="15"/>
      <c r="HJO1114" s="15"/>
      <c r="HJP1114" s="15"/>
      <c r="HJS1114" s="15"/>
      <c r="HJT1114" s="15"/>
      <c r="HJW1114" s="15"/>
      <c r="HJX1114" s="15"/>
      <c r="HKA1114" s="15"/>
      <c r="HKB1114" s="15"/>
      <c r="HKE1114" s="15"/>
      <c r="HKF1114" s="15"/>
      <c r="HKI1114" s="15"/>
      <c r="HKJ1114" s="15"/>
      <c r="HKM1114" s="15"/>
      <c r="HKN1114" s="15"/>
      <c r="HKQ1114" s="15"/>
      <c r="HKR1114" s="15"/>
      <c r="HKU1114" s="15"/>
      <c r="HKV1114" s="15"/>
      <c r="HKY1114" s="15"/>
      <c r="HKZ1114" s="15"/>
      <c r="HLC1114" s="15"/>
      <c r="HLD1114" s="15"/>
      <c r="HLG1114" s="15"/>
      <c r="HLH1114" s="15"/>
      <c r="HLK1114" s="15"/>
      <c r="HLL1114" s="15"/>
      <c r="HLO1114" s="15"/>
      <c r="HLP1114" s="15"/>
      <c r="HLS1114" s="15"/>
      <c r="HLT1114" s="15"/>
      <c r="HLW1114" s="15"/>
      <c r="HLX1114" s="15"/>
      <c r="HMA1114" s="15"/>
      <c r="HMB1114" s="15"/>
      <c r="HME1114" s="15"/>
      <c r="HMF1114" s="15"/>
      <c r="HMI1114" s="15"/>
      <c r="HMJ1114" s="15"/>
      <c r="HMM1114" s="15"/>
      <c r="HMN1114" s="15"/>
      <c r="HMQ1114" s="15"/>
      <c r="HMR1114" s="15"/>
      <c r="HMU1114" s="15"/>
      <c r="HMV1114" s="15"/>
      <c r="HMY1114" s="15"/>
      <c r="HMZ1114" s="15"/>
      <c r="HNC1114" s="15"/>
      <c r="HND1114" s="15"/>
      <c r="HNG1114" s="15"/>
      <c r="HNH1114" s="15"/>
      <c r="HNK1114" s="15"/>
      <c r="HNL1114" s="15"/>
      <c r="HNO1114" s="15"/>
      <c r="HNP1114" s="15"/>
      <c r="HNS1114" s="15"/>
      <c r="HNT1114" s="15"/>
      <c r="HNW1114" s="15"/>
      <c r="HNX1114" s="15"/>
      <c r="HOA1114" s="15"/>
      <c r="HOB1114" s="15"/>
      <c r="HOE1114" s="15"/>
      <c r="HOF1114" s="15"/>
      <c r="HOI1114" s="15"/>
      <c r="HOJ1114" s="15"/>
      <c r="HOM1114" s="15"/>
      <c r="HON1114" s="15"/>
      <c r="HOQ1114" s="15"/>
      <c r="HOR1114" s="15"/>
      <c r="HOU1114" s="15"/>
      <c r="HOV1114" s="15"/>
      <c r="HOY1114" s="15"/>
      <c r="HOZ1114" s="15"/>
      <c r="HPC1114" s="15"/>
      <c r="HPD1114" s="15"/>
      <c r="HPG1114" s="15"/>
      <c r="HPH1114" s="15"/>
      <c r="HPK1114" s="15"/>
      <c r="HPL1114" s="15"/>
      <c r="HPO1114" s="15"/>
      <c r="HPP1114" s="15"/>
      <c r="HPS1114" s="15"/>
      <c r="HPT1114" s="15"/>
      <c r="HPW1114" s="15"/>
      <c r="HPX1114" s="15"/>
      <c r="HQA1114" s="15"/>
      <c r="HQB1114" s="15"/>
      <c r="HQE1114" s="15"/>
      <c r="HQF1114" s="15"/>
      <c r="HQI1114" s="15"/>
      <c r="HQJ1114" s="15"/>
      <c r="HQM1114" s="15"/>
      <c r="HQN1114" s="15"/>
      <c r="HQQ1114" s="15"/>
      <c r="HQR1114" s="15"/>
      <c r="HQU1114" s="15"/>
      <c r="HQV1114" s="15"/>
      <c r="HQY1114" s="15"/>
      <c r="HQZ1114" s="15"/>
      <c r="HRC1114" s="15"/>
      <c r="HRD1114" s="15"/>
      <c r="HRG1114" s="15"/>
      <c r="HRH1114" s="15"/>
      <c r="HRK1114" s="15"/>
      <c r="HRL1114" s="15"/>
      <c r="HRO1114" s="15"/>
      <c r="HRP1114" s="15"/>
      <c r="HRS1114" s="15"/>
      <c r="HRT1114" s="15"/>
      <c r="HRW1114" s="15"/>
      <c r="HRX1114" s="15"/>
      <c r="HSA1114" s="15"/>
      <c r="HSB1114" s="15"/>
      <c r="HSE1114" s="15"/>
      <c r="HSF1114" s="15"/>
      <c r="HSI1114" s="15"/>
      <c r="HSJ1114" s="15"/>
      <c r="HSM1114" s="15"/>
      <c r="HSN1114" s="15"/>
      <c r="HSQ1114" s="15"/>
      <c r="HSR1114" s="15"/>
      <c r="HSU1114" s="15"/>
      <c r="HSV1114" s="15"/>
      <c r="HSY1114" s="15"/>
      <c r="HSZ1114" s="15"/>
      <c r="HTC1114" s="15"/>
      <c r="HTD1114" s="15"/>
      <c r="HTG1114" s="15"/>
      <c r="HTH1114" s="15"/>
      <c r="HTK1114" s="15"/>
      <c r="HTL1114" s="15"/>
      <c r="HTO1114" s="15"/>
      <c r="HTP1114" s="15"/>
      <c r="HTS1114" s="15"/>
      <c r="HTT1114" s="15"/>
      <c r="HTW1114" s="15"/>
      <c r="HTX1114" s="15"/>
      <c r="HUA1114" s="15"/>
      <c r="HUB1114" s="15"/>
      <c r="HUE1114" s="15"/>
      <c r="HUF1114" s="15"/>
      <c r="HUI1114" s="15"/>
      <c r="HUJ1114" s="15"/>
      <c r="HUM1114" s="15"/>
      <c r="HUN1114" s="15"/>
      <c r="HUQ1114" s="15"/>
      <c r="HUR1114" s="15"/>
      <c r="HUU1114" s="15"/>
      <c r="HUV1114" s="15"/>
      <c r="HUY1114" s="15"/>
      <c r="HUZ1114" s="15"/>
      <c r="HVC1114" s="15"/>
      <c r="HVD1114" s="15"/>
      <c r="HVG1114" s="15"/>
      <c r="HVH1114" s="15"/>
      <c r="HVK1114" s="15"/>
      <c r="HVL1114" s="15"/>
      <c r="HVO1114" s="15"/>
      <c r="HVP1114" s="15"/>
      <c r="HVS1114" s="15"/>
      <c r="HVT1114" s="15"/>
      <c r="HVW1114" s="15"/>
      <c r="HVX1114" s="15"/>
      <c r="HWA1114" s="15"/>
      <c r="HWB1114" s="15"/>
      <c r="HWE1114" s="15"/>
      <c r="HWF1114" s="15"/>
      <c r="HWI1114" s="15"/>
      <c r="HWJ1114" s="15"/>
      <c r="HWM1114" s="15"/>
      <c r="HWN1114" s="15"/>
      <c r="HWQ1114" s="15"/>
      <c r="HWR1114" s="15"/>
      <c r="HWU1114" s="15"/>
      <c r="HWV1114" s="15"/>
      <c r="HWY1114" s="15"/>
      <c r="HWZ1114" s="15"/>
      <c r="HXC1114" s="15"/>
      <c r="HXD1114" s="15"/>
      <c r="HXG1114" s="15"/>
      <c r="HXH1114" s="15"/>
      <c r="HXK1114" s="15"/>
      <c r="HXL1114" s="15"/>
      <c r="HXO1114" s="15"/>
      <c r="HXP1114" s="15"/>
      <c r="HXS1114" s="15"/>
      <c r="HXT1114" s="15"/>
      <c r="HXW1114" s="15"/>
      <c r="HXX1114" s="15"/>
      <c r="HYA1114" s="15"/>
      <c r="HYB1114" s="15"/>
      <c r="HYE1114" s="15"/>
      <c r="HYF1114" s="15"/>
      <c r="HYI1114" s="15"/>
      <c r="HYJ1114" s="15"/>
      <c r="HYM1114" s="15"/>
      <c r="HYN1114" s="15"/>
      <c r="HYQ1114" s="15"/>
      <c r="HYR1114" s="15"/>
      <c r="HYU1114" s="15"/>
      <c r="HYV1114" s="15"/>
      <c r="HYY1114" s="15"/>
      <c r="HYZ1114" s="15"/>
      <c r="HZC1114" s="15"/>
      <c r="HZD1114" s="15"/>
      <c r="HZG1114" s="15"/>
      <c r="HZH1114" s="15"/>
      <c r="HZK1114" s="15"/>
      <c r="HZL1114" s="15"/>
      <c r="HZO1114" s="15"/>
      <c r="HZP1114" s="15"/>
      <c r="HZS1114" s="15"/>
      <c r="HZT1114" s="15"/>
      <c r="HZW1114" s="15"/>
      <c r="HZX1114" s="15"/>
      <c r="IAA1114" s="15"/>
      <c r="IAB1114" s="15"/>
      <c r="IAE1114" s="15"/>
      <c r="IAF1114" s="15"/>
      <c r="IAI1114" s="15"/>
      <c r="IAJ1114" s="15"/>
      <c r="IAM1114" s="15"/>
      <c r="IAN1114" s="15"/>
      <c r="IAQ1114" s="15"/>
      <c r="IAR1114" s="15"/>
      <c r="IAU1114" s="15"/>
      <c r="IAV1114" s="15"/>
      <c r="IAY1114" s="15"/>
      <c r="IAZ1114" s="15"/>
      <c r="IBC1114" s="15"/>
      <c r="IBD1114" s="15"/>
      <c r="IBG1114" s="15"/>
      <c r="IBH1114" s="15"/>
      <c r="IBK1114" s="15"/>
      <c r="IBL1114" s="15"/>
      <c r="IBO1114" s="15"/>
      <c r="IBP1114" s="15"/>
      <c r="IBS1114" s="15"/>
      <c r="IBT1114" s="15"/>
      <c r="IBW1114" s="15"/>
      <c r="IBX1114" s="15"/>
      <c r="ICA1114" s="15"/>
      <c r="ICB1114" s="15"/>
      <c r="ICE1114" s="15"/>
      <c r="ICF1114" s="15"/>
      <c r="ICI1114" s="15"/>
      <c r="ICJ1114" s="15"/>
      <c r="ICM1114" s="15"/>
      <c r="ICN1114" s="15"/>
      <c r="ICQ1114" s="15"/>
      <c r="ICR1114" s="15"/>
      <c r="ICU1114" s="15"/>
      <c r="ICV1114" s="15"/>
      <c r="ICY1114" s="15"/>
      <c r="ICZ1114" s="15"/>
      <c r="IDC1114" s="15"/>
      <c r="IDD1114" s="15"/>
      <c r="IDG1114" s="15"/>
      <c r="IDH1114" s="15"/>
      <c r="IDK1114" s="15"/>
      <c r="IDL1114" s="15"/>
      <c r="IDO1114" s="15"/>
      <c r="IDP1114" s="15"/>
      <c r="IDS1114" s="15"/>
      <c r="IDT1114" s="15"/>
      <c r="IDW1114" s="15"/>
      <c r="IDX1114" s="15"/>
      <c r="IEA1114" s="15"/>
      <c r="IEB1114" s="15"/>
      <c r="IEE1114" s="15"/>
      <c r="IEF1114" s="15"/>
      <c r="IEI1114" s="15"/>
      <c r="IEJ1114" s="15"/>
      <c r="IEM1114" s="15"/>
      <c r="IEN1114" s="15"/>
      <c r="IEQ1114" s="15"/>
      <c r="IER1114" s="15"/>
      <c r="IEU1114" s="15"/>
      <c r="IEV1114" s="15"/>
      <c r="IEY1114" s="15"/>
      <c r="IEZ1114" s="15"/>
      <c r="IFC1114" s="15"/>
      <c r="IFD1114" s="15"/>
      <c r="IFG1114" s="15"/>
      <c r="IFH1114" s="15"/>
      <c r="IFK1114" s="15"/>
      <c r="IFL1114" s="15"/>
      <c r="IFO1114" s="15"/>
      <c r="IFP1114" s="15"/>
      <c r="IFS1114" s="15"/>
      <c r="IFT1114" s="15"/>
      <c r="IFW1114" s="15"/>
      <c r="IFX1114" s="15"/>
      <c r="IGA1114" s="15"/>
      <c r="IGB1114" s="15"/>
      <c r="IGE1114" s="15"/>
      <c r="IGF1114" s="15"/>
      <c r="IGI1114" s="15"/>
      <c r="IGJ1114" s="15"/>
      <c r="IGM1114" s="15"/>
      <c r="IGN1114" s="15"/>
      <c r="IGQ1114" s="15"/>
      <c r="IGR1114" s="15"/>
      <c r="IGU1114" s="15"/>
      <c r="IGV1114" s="15"/>
      <c r="IGY1114" s="15"/>
      <c r="IGZ1114" s="15"/>
      <c r="IHC1114" s="15"/>
      <c r="IHD1114" s="15"/>
      <c r="IHG1114" s="15"/>
      <c r="IHH1114" s="15"/>
      <c r="IHK1114" s="15"/>
      <c r="IHL1114" s="15"/>
      <c r="IHO1114" s="15"/>
      <c r="IHP1114" s="15"/>
      <c r="IHS1114" s="15"/>
      <c r="IHT1114" s="15"/>
      <c r="IHW1114" s="15"/>
      <c r="IHX1114" s="15"/>
      <c r="IIA1114" s="15"/>
      <c r="IIB1114" s="15"/>
      <c r="IIE1114" s="15"/>
      <c r="IIF1114" s="15"/>
      <c r="III1114" s="15"/>
      <c r="IIJ1114" s="15"/>
      <c r="IIM1114" s="15"/>
      <c r="IIN1114" s="15"/>
      <c r="IIQ1114" s="15"/>
      <c r="IIR1114" s="15"/>
      <c r="IIU1114" s="15"/>
      <c r="IIV1114" s="15"/>
      <c r="IIY1114" s="15"/>
      <c r="IIZ1114" s="15"/>
      <c r="IJC1114" s="15"/>
      <c r="IJD1114" s="15"/>
      <c r="IJG1114" s="15"/>
      <c r="IJH1114" s="15"/>
      <c r="IJK1114" s="15"/>
      <c r="IJL1114" s="15"/>
      <c r="IJO1114" s="15"/>
      <c r="IJP1114" s="15"/>
      <c r="IJS1114" s="15"/>
      <c r="IJT1114" s="15"/>
      <c r="IJW1114" s="15"/>
      <c r="IJX1114" s="15"/>
      <c r="IKA1114" s="15"/>
      <c r="IKB1114" s="15"/>
      <c r="IKE1114" s="15"/>
      <c r="IKF1114" s="15"/>
      <c r="IKI1114" s="15"/>
      <c r="IKJ1114" s="15"/>
      <c r="IKM1114" s="15"/>
      <c r="IKN1114" s="15"/>
      <c r="IKQ1114" s="15"/>
      <c r="IKR1114" s="15"/>
      <c r="IKU1114" s="15"/>
      <c r="IKV1114" s="15"/>
      <c r="IKY1114" s="15"/>
      <c r="IKZ1114" s="15"/>
      <c r="ILC1114" s="15"/>
      <c r="ILD1114" s="15"/>
      <c r="ILG1114" s="15"/>
      <c r="ILH1114" s="15"/>
      <c r="ILK1114" s="15"/>
      <c r="ILL1114" s="15"/>
      <c r="ILO1114" s="15"/>
      <c r="ILP1114" s="15"/>
      <c r="ILS1114" s="15"/>
      <c r="ILT1114" s="15"/>
      <c r="ILW1114" s="15"/>
      <c r="ILX1114" s="15"/>
      <c r="IMA1114" s="15"/>
      <c r="IMB1114" s="15"/>
      <c r="IME1114" s="15"/>
      <c r="IMF1114" s="15"/>
      <c r="IMI1114" s="15"/>
      <c r="IMJ1114" s="15"/>
      <c r="IMM1114" s="15"/>
      <c r="IMN1114" s="15"/>
      <c r="IMQ1114" s="15"/>
      <c r="IMR1114" s="15"/>
      <c r="IMU1114" s="15"/>
      <c r="IMV1114" s="15"/>
      <c r="IMY1114" s="15"/>
      <c r="IMZ1114" s="15"/>
      <c r="INC1114" s="15"/>
      <c r="IND1114" s="15"/>
      <c r="ING1114" s="15"/>
      <c r="INH1114" s="15"/>
      <c r="INK1114" s="15"/>
      <c r="INL1114" s="15"/>
      <c r="INO1114" s="15"/>
      <c r="INP1114" s="15"/>
      <c r="INS1114" s="15"/>
      <c r="INT1114" s="15"/>
      <c r="INW1114" s="15"/>
      <c r="INX1114" s="15"/>
      <c r="IOA1114" s="15"/>
      <c r="IOB1114" s="15"/>
      <c r="IOE1114" s="15"/>
      <c r="IOF1114" s="15"/>
      <c r="IOI1114" s="15"/>
      <c r="IOJ1114" s="15"/>
      <c r="IOM1114" s="15"/>
      <c r="ION1114" s="15"/>
      <c r="IOQ1114" s="15"/>
      <c r="IOR1114" s="15"/>
      <c r="IOU1114" s="15"/>
      <c r="IOV1114" s="15"/>
      <c r="IOY1114" s="15"/>
      <c r="IOZ1114" s="15"/>
      <c r="IPC1114" s="15"/>
      <c r="IPD1114" s="15"/>
      <c r="IPG1114" s="15"/>
      <c r="IPH1114" s="15"/>
      <c r="IPK1114" s="15"/>
      <c r="IPL1114" s="15"/>
      <c r="IPO1114" s="15"/>
      <c r="IPP1114" s="15"/>
      <c r="IPS1114" s="15"/>
      <c r="IPT1114" s="15"/>
      <c r="IPW1114" s="15"/>
      <c r="IPX1114" s="15"/>
      <c r="IQA1114" s="15"/>
      <c r="IQB1114" s="15"/>
      <c r="IQE1114" s="15"/>
      <c r="IQF1114" s="15"/>
      <c r="IQI1114" s="15"/>
      <c r="IQJ1114" s="15"/>
      <c r="IQM1114" s="15"/>
      <c r="IQN1114" s="15"/>
      <c r="IQQ1114" s="15"/>
      <c r="IQR1114" s="15"/>
      <c r="IQU1114" s="15"/>
      <c r="IQV1114" s="15"/>
      <c r="IQY1114" s="15"/>
      <c r="IQZ1114" s="15"/>
      <c r="IRC1114" s="15"/>
      <c r="IRD1114" s="15"/>
      <c r="IRG1114" s="15"/>
      <c r="IRH1114" s="15"/>
      <c r="IRK1114" s="15"/>
      <c r="IRL1114" s="15"/>
      <c r="IRO1114" s="15"/>
      <c r="IRP1114" s="15"/>
      <c r="IRS1114" s="15"/>
      <c r="IRT1114" s="15"/>
      <c r="IRW1114" s="15"/>
      <c r="IRX1114" s="15"/>
      <c r="ISA1114" s="15"/>
      <c r="ISB1114" s="15"/>
      <c r="ISE1114" s="15"/>
      <c r="ISF1114" s="15"/>
      <c r="ISI1114" s="15"/>
      <c r="ISJ1114" s="15"/>
      <c r="ISM1114" s="15"/>
      <c r="ISN1114" s="15"/>
      <c r="ISQ1114" s="15"/>
      <c r="ISR1114" s="15"/>
      <c r="ISU1114" s="15"/>
      <c r="ISV1114" s="15"/>
      <c r="ISY1114" s="15"/>
      <c r="ISZ1114" s="15"/>
      <c r="ITC1114" s="15"/>
      <c r="ITD1114" s="15"/>
      <c r="ITG1114" s="15"/>
      <c r="ITH1114" s="15"/>
      <c r="ITK1114" s="15"/>
      <c r="ITL1114" s="15"/>
      <c r="ITO1114" s="15"/>
      <c r="ITP1114" s="15"/>
      <c r="ITS1114" s="15"/>
      <c r="ITT1114" s="15"/>
      <c r="ITW1114" s="15"/>
      <c r="ITX1114" s="15"/>
      <c r="IUA1114" s="15"/>
      <c r="IUB1114" s="15"/>
      <c r="IUE1114" s="15"/>
      <c r="IUF1114" s="15"/>
      <c r="IUI1114" s="15"/>
      <c r="IUJ1114" s="15"/>
      <c r="IUM1114" s="15"/>
      <c r="IUN1114" s="15"/>
      <c r="IUQ1114" s="15"/>
      <c r="IUR1114" s="15"/>
      <c r="IUU1114" s="15"/>
      <c r="IUV1114" s="15"/>
      <c r="IUY1114" s="15"/>
      <c r="IUZ1114" s="15"/>
      <c r="IVC1114" s="15"/>
      <c r="IVD1114" s="15"/>
      <c r="IVG1114" s="15"/>
      <c r="IVH1114" s="15"/>
      <c r="IVK1114" s="15"/>
      <c r="IVL1114" s="15"/>
      <c r="IVO1114" s="15"/>
      <c r="IVP1114" s="15"/>
      <c r="IVS1114" s="15"/>
      <c r="IVT1114" s="15"/>
      <c r="IVW1114" s="15"/>
      <c r="IVX1114" s="15"/>
      <c r="IWA1114" s="15"/>
      <c r="IWB1114" s="15"/>
      <c r="IWE1114" s="15"/>
      <c r="IWF1114" s="15"/>
      <c r="IWI1114" s="15"/>
      <c r="IWJ1114" s="15"/>
      <c r="IWM1114" s="15"/>
      <c r="IWN1114" s="15"/>
      <c r="IWQ1114" s="15"/>
      <c r="IWR1114" s="15"/>
      <c r="IWU1114" s="15"/>
      <c r="IWV1114" s="15"/>
      <c r="IWY1114" s="15"/>
      <c r="IWZ1114" s="15"/>
      <c r="IXC1114" s="15"/>
      <c r="IXD1114" s="15"/>
      <c r="IXG1114" s="15"/>
      <c r="IXH1114" s="15"/>
      <c r="IXK1114" s="15"/>
      <c r="IXL1114" s="15"/>
      <c r="IXO1114" s="15"/>
      <c r="IXP1114" s="15"/>
      <c r="IXS1114" s="15"/>
      <c r="IXT1114" s="15"/>
      <c r="IXW1114" s="15"/>
      <c r="IXX1114" s="15"/>
      <c r="IYA1114" s="15"/>
      <c r="IYB1114" s="15"/>
      <c r="IYE1114" s="15"/>
      <c r="IYF1114" s="15"/>
      <c r="IYI1114" s="15"/>
      <c r="IYJ1114" s="15"/>
      <c r="IYM1114" s="15"/>
      <c r="IYN1114" s="15"/>
      <c r="IYQ1114" s="15"/>
      <c r="IYR1114" s="15"/>
      <c r="IYU1114" s="15"/>
      <c r="IYV1114" s="15"/>
      <c r="IYY1114" s="15"/>
      <c r="IYZ1114" s="15"/>
      <c r="IZC1114" s="15"/>
      <c r="IZD1114" s="15"/>
      <c r="IZG1114" s="15"/>
      <c r="IZH1114" s="15"/>
      <c r="IZK1114" s="15"/>
      <c r="IZL1114" s="15"/>
      <c r="IZO1114" s="15"/>
      <c r="IZP1114" s="15"/>
      <c r="IZS1114" s="15"/>
      <c r="IZT1114" s="15"/>
      <c r="IZW1114" s="15"/>
      <c r="IZX1114" s="15"/>
      <c r="JAA1114" s="15"/>
      <c r="JAB1114" s="15"/>
      <c r="JAE1114" s="15"/>
      <c r="JAF1114" s="15"/>
      <c r="JAI1114" s="15"/>
      <c r="JAJ1114" s="15"/>
      <c r="JAM1114" s="15"/>
      <c r="JAN1114" s="15"/>
      <c r="JAQ1114" s="15"/>
      <c r="JAR1114" s="15"/>
      <c r="JAU1114" s="15"/>
      <c r="JAV1114" s="15"/>
      <c r="JAY1114" s="15"/>
      <c r="JAZ1114" s="15"/>
      <c r="JBC1114" s="15"/>
      <c r="JBD1114" s="15"/>
      <c r="JBG1114" s="15"/>
      <c r="JBH1114" s="15"/>
      <c r="JBK1114" s="15"/>
      <c r="JBL1114" s="15"/>
      <c r="JBO1114" s="15"/>
      <c r="JBP1114" s="15"/>
      <c r="JBS1114" s="15"/>
      <c r="JBT1114" s="15"/>
      <c r="JBW1114" s="15"/>
      <c r="JBX1114" s="15"/>
      <c r="JCA1114" s="15"/>
      <c r="JCB1114" s="15"/>
      <c r="JCE1114" s="15"/>
      <c r="JCF1114" s="15"/>
      <c r="JCI1114" s="15"/>
      <c r="JCJ1114" s="15"/>
      <c r="JCM1114" s="15"/>
      <c r="JCN1114" s="15"/>
      <c r="JCQ1114" s="15"/>
      <c r="JCR1114" s="15"/>
      <c r="JCU1114" s="15"/>
      <c r="JCV1114" s="15"/>
      <c r="JCY1114" s="15"/>
      <c r="JCZ1114" s="15"/>
      <c r="JDC1114" s="15"/>
      <c r="JDD1114" s="15"/>
      <c r="JDG1114" s="15"/>
      <c r="JDH1114" s="15"/>
      <c r="JDK1114" s="15"/>
      <c r="JDL1114" s="15"/>
      <c r="JDO1114" s="15"/>
      <c r="JDP1114" s="15"/>
      <c r="JDS1114" s="15"/>
      <c r="JDT1114" s="15"/>
      <c r="JDW1114" s="15"/>
      <c r="JDX1114" s="15"/>
      <c r="JEA1114" s="15"/>
      <c r="JEB1114" s="15"/>
      <c r="JEE1114" s="15"/>
      <c r="JEF1114" s="15"/>
      <c r="JEI1114" s="15"/>
      <c r="JEJ1114" s="15"/>
      <c r="JEM1114" s="15"/>
      <c r="JEN1114" s="15"/>
      <c r="JEQ1114" s="15"/>
      <c r="JER1114" s="15"/>
      <c r="JEU1114" s="15"/>
      <c r="JEV1114" s="15"/>
      <c r="JEY1114" s="15"/>
      <c r="JEZ1114" s="15"/>
      <c r="JFC1114" s="15"/>
      <c r="JFD1114" s="15"/>
      <c r="JFG1114" s="15"/>
      <c r="JFH1114" s="15"/>
      <c r="JFK1114" s="15"/>
      <c r="JFL1114" s="15"/>
      <c r="JFO1114" s="15"/>
      <c r="JFP1114" s="15"/>
      <c r="JFS1114" s="15"/>
      <c r="JFT1114" s="15"/>
      <c r="JFW1114" s="15"/>
      <c r="JFX1114" s="15"/>
      <c r="JGA1114" s="15"/>
      <c r="JGB1114" s="15"/>
      <c r="JGE1114" s="15"/>
      <c r="JGF1114" s="15"/>
      <c r="JGI1114" s="15"/>
      <c r="JGJ1114" s="15"/>
      <c r="JGM1114" s="15"/>
      <c r="JGN1114" s="15"/>
      <c r="JGQ1114" s="15"/>
      <c r="JGR1114" s="15"/>
      <c r="JGU1114" s="15"/>
      <c r="JGV1114" s="15"/>
      <c r="JGY1114" s="15"/>
      <c r="JGZ1114" s="15"/>
      <c r="JHC1114" s="15"/>
      <c r="JHD1114" s="15"/>
      <c r="JHG1114" s="15"/>
      <c r="JHH1114" s="15"/>
      <c r="JHK1114" s="15"/>
      <c r="JHL1114" s="15"/>
      <c r="JHO1114" s="15"/>
      <c r="JHP1114" s="15"/>
      <c r="JHS1114" s="15"/>
      <c r="JHT1114" s="15"/>
      <c r="JHW1114" s="15"/>
      <c r="JHX1114" s="15"/>
      <c r="JIA1114" s="15"/>
      <c r="JIB1114" s="15"/>
      <c r="JIE1114" s="15"/>
      <c r="JIF1114" s="15"/>
      <c r="JII1114" s="15"/>
      <c r="JIJ1114" s="15"/>
      <c r="JIM1114" s="15"/>
      <c r="JIN1114" s="15"/>
      <c r="JIQ1114" s="15"/>
      <c r="JIR1114" s="15"/>
      <c r="JIU1114" s="15"/>
      <c r="JIV1114" s="15"/>
      <c r="JIY1114" s="15"/>
      <c r="JIZ1114" s="15"/>
      <c r="JJC1114" s="15"/>
      <c r="JJD1114" s="15"/>
      <c r="JJG1114" s="15"/>
      <c r="JJH1114" s="15"/>
      <c r="JJK1114" s="15"/>
      <c r="JJL1114" s="15"/>
      <c r="JJO1114" s="15"/>
      <c r="JJP1114" s="15"/>
      <c r="JJS1114" s="15"/>
      <c r="JJT1114" s="15"/>
      <c r="JJW1114" s="15"/>
      <c r="JJX1114" s="15"/>
      <c r="JKA1114" s="15"/>
      <c r="JKB1114" s="15"/>
      <c r="JKE1114" s="15"/>
      <c r="JKF1114" s="15"/>
      <c r="JKI1114" s="15"/>
      <c r="JKJ1114" s="15"/>
      <c r="JKM1114" s="15"/>
      <c r="JKN1114" s="15"/>
      <c r="JKQ1114" s="15"/>
      <c r="JKR1114" s="15"/>
      <c r="JKU1114" s="15"/>
      <c r="JKV1114" s="15"/>
      <c r="JKY1114" s="15"/>
      <c r="JKZ1114" s="15"/>
      <c r="JLC1114" s="15"/>
      <c r="JLD1114" s="15"/>
      <c r="JLG1114" s="15"/>
      <c r="JLH1114" s="15"/>
      <c r="JLK1114" s="15"/>
      <c r="JLL1114" s="15"/>
      <c r="JLO1114" s="15"/>
      <c r="JLP1114" s="15"/>
      <c r="JLS1114" s="15"/>
      <c r="JLT1114" s="15"/>
      <c r="JLW1114" s="15"/>
      <c r="JLX1114" s="15"/>
      <c r="JMA1114" s="15"/>
      <c r="JMB1114" s="15"/>
      <c r="JME1114" s="15"/>
      <c r="JMF1114" s="15"/>
      <c r="JMI1114" s="15"/>
      <c r="JMJ1114" s="15"/>
      <c r="JMM1114" s="15"/>
      <c r="JMN1114" s="15"/>
      <c r="JMQ1114" s="15"/>
      <c r="JMR1114" s="15"/>
      <c r="JMU1114" s="15"/>
      <c r="JMV1114" s="15"/>
      <c r="JMY1114" s="15"/>
      <c r="JMZ1114" s="15"/>
      <c r="JNC1114" s="15"/>
      <c r="JND1114" s="15"/>
      <c r="JNG1114" s="15"/>
      <c r="JNH1114" s="15"/>
      <c r="JNK1114" s="15"/>
      <c r="JNL1114" s="15"/>
      <c r="JNO1114" s="15"/>
      <c r="JNP1114" s="15"/>
      <c r="JNS1114" s="15"/>
      <c r="JNT1114" s="15"/>
      <c r="JNW1114" s="15"/>
      <c r="JNX1114" s="15"/>
      <c r="JOA1114" s="15"/>
      <c r="JOB1114" s="15"/>
      <c r="JOE1114" s="15"/>
      <c r="JOF1114" s="15"/>
      <c r="JOI1114" s="15"/>
      <c r="JOJ1114" s="15"/>
      <c r="JOM1114" s="15"/>
      <c r="JON1114" s="15"/>
      <c r="JOQ1114" s="15"/>
      <c r="JOR1114" s="15"/>
      <c r="JOU1114" s="15"/>
      <c r="JOV1114" s="15"/>
      <c r="JOY1114" s="15"/>
      <c r="JOZ1114" s="15"/>
      <c r="JPC1114" s="15"/>
      <c r="JPD1114" s="15"/>
      <c r="JPG1114" s="15"/>
      <c r="JPH1114" s="15"/>
      <c r="JPK1114" s="15"/>
      <c r="JPL1114" s="15"/>
      <c r="JPO1114" s="15"/>
      <c r="JPP1114" s="15"/>
      <c r="JPS1114" s="15"/>
      <c r="JPT1114" s="15"/>
      <c r="JPW1114" s="15"/>
      <c r="JPX1114" s="15"/>
      <c r="JQA1114" s="15"/>
      <c r="JQB1114" s="15"/>
      <c r="JQE1114" s="15"/>
      <c r="JQF1114" s="15"/>
      <c r="JQI1114" s="15"/>
      <c r="JQJ1114" s="15"/>
      <c r="JQM1114" s="15"/>
      <c r="JQN1114" s="15"/>
      <c r="JQQ1114" s="15"/>
      <c r="JQR1114" s="15"/>
      <c r="JQU1114" s="15"/>
      <c r="JQV1114" s="15"/>
      <c r="JQY1114" s="15"/>
      <c r="JQZ1114" s="15"/>
      <c r="JRC1114" s="15"/>
      <c r="JRD1114" s="15"/>
      <c r="JRG1114" s="15"/>
      <c r="JRH1114" s="15"/>
      <c r="JRK1114" s="15"/>
      <c r="JRL1114" s="15"/>
      <c r="JRO1114" s="15"/>
      <c r="JRP1114" s="15"/>
      <c r="JRS1114" s="15"/>
      <c r="JRT1114" s="15"/>
      <c r="JRW1114" s="15"/>
      <c r="JRX1114" s="15"/>
      <c r="JSA1114" s="15"/>
      <c r="JSB1114" s="15"/>
      <c r="JSE1114" s="15"/>
      <c r="JSF1114" s="15"/>
      <c r="JSI1114" s="15"/>
      <c r="JSJ1114" s="15"/>
      <c r="JSM1114" s="15"/>
      <c r="JSN1114" s="15"/>
      <c r="JSQ1114" s="15"/>
      <c r="JSR1114" s="15"/>
      <c r="JSU1114" s="15"/>
      <c r="JSV1114" s="15"/>
      <c r="JSY1114" s="15"/>
      <c r="JSZ1114" s="15"/>
      <c r="JTC1114" s="15"/>
      <c r="JTD1114" s="15"/>
      <c r="JTG1114" s="15"/>
      <c r="JTH1114" s="15"/>
      <c r="JTK1114" s="15"/>
      <c r="JTL1114" s="15"/>
      <c r="JTO1114" s="15"/>
      <c r="JTP1114" s="15"/>
      <c r="JTS1114" s="15"/>
      <c r="JTT1114" s="15"/>
      <c r="JTW1114" s="15"/>
      <c r="JTX1114" s="15"/>
      <c r="JUA1114" s="15"/>
      <c r="JUB1114" s="15"/>
      <c r="JUE1114" s="15"/>
      <c r="JUF1114" s="15"/>
      <c r="JUI1114" s="15"/>
      <c r="JUJ1114" s="15"/>
      <c r="JUM1114" s="15"/>
      <c r="JUN1114" s="15"/>
      <c r="JUQ1114" s="15"/>
      <c r="JUR1114" s="15"/>
      <c r="JUU1114" s="15"/>
      <c r="JUV1114" s="15"/>
      <c r="JUY1114" s="15"/>
      <c r="JUZ1114" s="15"/>
      <c r="JVC1114" s="15"/>
      <c r="JVD1114" s="15"/>
      <c r="JVG1114" s="15"/>
      <c r="JVH1114" s="15"/>
      <c r="JVK1114" s="15"/>
      <c r="JVL1114" s="15"/>
      <c r="JVO1114" s="15"/>
      <c r="JVP1114" s="15"/>
      <c r="JVS1114" s="15"/>
      <c r="JVT1114" s="15"/>
      <c r="JVW1114" s="15"/>
      <c r="JVX1114" s="15"/>
      <c r="JWA1114" s="15"/>
      <c r="JWB1114" s="15"/>
      <c r="JWE1114" s="15"/>
      <c r="JWF1114" s="15"/>
      <c r="JWI1114" s="15"/>
      <c r="JWJ1114" s="15"/>
      <c r="JWM1114" s="15"/>
      <c r="JWN1114" s="15"/>
      <c r="JWQ1114" s="15"/>
      <c r="JWR1114" s="15"/>
      <c r="JWU1114" s="15"/>
      <c r="JWV1114" s="15"/>
      <c r="JWY1114" s="15"/>
      <c r="JWZ1114" s="15"/>
      <c r="JXC1114" s="15"/>
      <c r="JXD1114" s="15"/>
      <c r="JXG1114" s="15"/>
      <c r="JXH1114" s="15"/>
      <c r="JXK1114" s="15"/>
      <c r="JXL1114" s="15"/>
      <c r="JXO1114" s="15"/>
      <c r="JXP1114" s="15"/>
      <c r="JXS1114" s="15"/>
      <c r="JXT1114" s="15"/>
      <c r="JXW1114" s="15"/>
      <c r="JXX1114" s="15"/>
      <c r="JYA1114" s="15"/>
      <c r="JYB1114" s="15"/>
      <c r="JYE1114" s="15"/>
      <c r="JYF1114" s="15"/>
      <c r="JYI1114" s="15"/>
      <c r="JYJ1114" s="15"/>
      <c r="JYM1114" s="15"/>
      <c r="JYN1114" s="15"/>
      <c r="JYQ1114" s="15"/>
      <c r="JYR1114" s="15"/>
      <c r="JYU1114" s="15"/>
      <c r="JYV1114" s="15"/>
      <c r="JYY1114" s="15"/>
      <c r="JYZ1114" s="15"/>
      <c r="JZC1114" s="15"/>
      <c r="JZD1114" s="15"/>
      <c r="JZG1114" s="15"/>
      <c r="JZH1114" s="15"/>
      <c r="JZK1114" s="15"/>
      <c r="JZL1114" s="15"/>
      <c r="JZO1114" s="15"/>
      <c r="JZP1114" s="15"/>
      <c r="JZS1114" s="15"/>
      <c r="JZT1114" s="15"/>
      <c r="JZW1114" s="15"/>
      <c r="JZX1114" s="15"/>
      <c r="KAA1114" s="15"/>
      <c r="KAB1114" s="15"/>
      <c r="KAE1114" s="15"/>
      <c r="KAF1114" s="15"/>
      <c r="KAI1114" s="15"/>
      <c r="KAJ1114" s="15"/>
      <c r="KAM1114" s="15"/>
      <c r="KAN1114" s="15"/>
      <c r="KAQ1114" s="15"/>
      <c r="KAR1114" s="15"/>
      <c r="KAU1114" s="15"/>
      <c r="KAV1114" s="15"/>
      <c r="KAY1114" s="15"/>
      <c r="KAZ1114" s="15"/>
      <c r="KBC1114" s="15"/>
      <c r="KBD1114" s="15"/>
      <c r="KBG1114" s="15"/>
      <c r="KBH1114" s="15"/>
      <c r="KBK1114" s="15"/>
      <c r="KBL1114" s="15"/>
      <c r="KBO1114" s="15"/>
      <c r="KBP1114" s="15"/>
      <c r="KBS1114" s="15"/>
      <c r="KBT1114" s="15"/>
      <c r="KBW1114" s="15"/>
      <c r="KBX1114" s="15"/>
      <c r="KCA1114" s="15"/>
      <c r="KCB1114" s="15"/>
      <c r="KCE1114" s="15"/>
      <c r="KCF1114" s="15"/>
      <c r="KCI1114" s="15"/>
      <c r="KCJ1114" s="15"/>
      <c r="KCM1114" s="15"/>
      <c r="KCN1114" s="15"/>
      <c r="KCQ1114" s="15"/>
      <c r="KCR1114" s="15"/>
      <c r="KCU1114" s="15"/>
      <c r="KCV1114" s="15"/>
      <c r="KCY1114" s="15"/>
      <c r="KCZ1114" s="15"/>
      <c r="KDC1114" s="15"/>
      <c r="KDD1114" s="15"/>
      <c r="KDG1114" s="15"/>
      <c r="KDH1114" s="15"/>
      <c r="KDK1114" s="15"/>
      <c r="KDL1114" s="15"/>
      <c r="KDO1114" s="15"/>
      <c r="KDP1114" s="15"/>
      <c r="KDS1114" s="15"/>
      <c r="KDT1114" s="15"/>
      <c r="KDW1114" s="15"/>
      <c r="KDX1114" s="15"/>
      <c r="KEA1114" s="15"/>
      <c r="KEB1114" s="15"/>
      <c r="KEE1114" s="15"/>
      <c r="KEF1114" s="15"/>
      <c r="KEI1114" s="15"/>
      <c r="KEJ1114" s="15"/>
      <c r="KEM1114" s="15"/>
      <c r="KEN1114" s="15"/>
      <c r="KEQ1114" s="15"/>
      <c r="KER1114" s="15"/>
      <c r="KEU1114" s="15"/>
      <c r="KEV1114" s="15"/>
      <c r="KEY1114" s="15"/>
      <c r="KEZ1114" s="15"/>
      <c r="KFC1114" s="15"/>
      <c r="KFD1114" s="15"/>
      <c r="KFG1114" s="15"/>
      <c r="KFH1114" s="15"/>
      <c r="KFK1114" s="15"/>
      <c r="KFL1114" s="15"/>
      <c r="KFO1114" s="15"/>
      <c r="KFP1114" s="15"/>
      <c r="KFS1114" s="15"/>
      <c r="KFT1114" s="15"/>
      <c r="KFW1114" s="15"/>
      <c r="KFX1114" s="15"/>
      <c r="KGA1114" s="15"/>
      <c r="KGB1114" s="15"/>
      <c r="KGE1114" s="15"/>
      <c r="KGF1114" s="15"/>
      <c r="KGI1114" s="15"/>
      <c r="KGJ1114" s="15"/>
      <c r="KGM1114" s="15"/>
      <c r="KGN1114" s="15"/>
      <c r="KGQ1114" s="15"/>
      <c r="KGR1114" s="15"/>
      <c r="KGU1114" s="15"/>
      <c r="KGV1114" s="15"/>
      <c r="KGY1114" s="15"/>
      <c r="KGZ1114" s="15"/>
      <c r="KHC1114" s="15"/>
      <c r="KHD1114" s="15"/>
      <c r="KHG1114" s="15"/>
      <c r="KHH1114" s="15"/>
      <c r="KHK1114" s="15"/>
      <c r="KHL1114" s="15"/>
      <c r="KHO1114" s="15"/>
      <c r="KHP1114" s="15"/>
      <c r="KHS1114" s="15"/>
      <c r="KHT1114" s="15"/>
      <c r="KHW1114" s="15"/>
      <c r="KHX1114" s="15"/>
      <c r="KIA1114" s="15"/>
      <c r="KIB1114" s="15"/>
      <c r="KIE1114" s="15"/>
      <c r="KIF1114" s="15"/>
      <c r="KII1114" s="15"/>
      <c r="KIJ1114" s="15"/>
      <c r="KIM1114" s="15"/>
      <c r="KIN1114" s="15"/>
      <c r="KIQ1114" s="15"/>
      <c r="KIR1114" s="15"/>
      <c r="KIU1114" s="15"/>
      <c r="KIV1114" s="15"/>
      <c r="KIY1114" s="15"/>
      <c r="KIZ1114" s="15"/>
      <c r="KJC1114" s="15"/>
      <c r="KJD1114" s="15"/>
      <c r="KJG1114" s="15"/>
      <c r="KJH1114" s="15"/>
      <c r="KJK1114" s="15"/>
      <c r="KJL1114" s="15"/>
      <c r="KJO1114" s="15"/>
      <c r="KJP1114" s="15"/>
      <c r="KJS1114" s="15"/>
      <c r="KJT1114" s="15"/>
      <c r="KJW1114" s="15"/>
      <c r="KJX1114" s="15"/>
      <c r="KKA1114" s="15"/>
      <c r="KKB1114" s="15"/>
      <c r="KKE1114" s="15"/>
      <c r="KKF1114" s="15"/>
      <c r="KKI1114" s="15"/>
      <c r="KKJ1114" s="15"/>
      <c r="KKM1114" s="15"/>
      <c r="KKN1114" s="15"/>
      <c r="KKQ1114" s="15"/>
      <c r="KKR1114" s="15"/>
      <c r="KKU1114" s="15"/>
      <c r="KKV1114" s="15"/>
      <c r="KKY1114" s="15"/>
      <c r="KKZ1114" s="15"/>
      <c r="KLC1114" s="15"/>
      <c r="KLD1114" s="15"/>
      <c r="KLG1114" s="15"/>
      <c r="KLH1114" s="15"/>
      <c r="KLK1114" s="15"/>
      <c r="KLL1114" s="15"/>
      <c r="KLO1114" s="15"/>
      <c r="KLP1114" s="15"/>
      <c r="KLS1114" s="15"/>
      <c r="KLT1114" s="15"/>
      <c r="KLW1114" s="15"/>
      <c r="KLX1114" s="15"/>
      <c r="KMA1114" s="15"/>
      <c r="KMB1114" s="15"/>
      <c r="KME1114" s="15"/>
      <c r="KMF1114" s="15"/>
      <c r="KMI1114" s="15"/>
      <c r="KMJ1114" s="15"/>
      <c r="KMM1114" s="15"/>
      <c r="KMN1114" s="15"/>
      <c r="KMQ1114" s="15"/>
      <c r="KMR1114" s="15"/>
      <c r="KMU1114" s="15"/>
      <c r="KMV1114" s="15"/>
      <c r="KMY1114" s="15"/>
      <c r="KMZ1114" s="15"/>
      <c r="KNC1114" s="15"/>
      <c r="KND1114" s="15"/>
      <c r="KNG1114" s="15"/>
      <c r="KNH1114" s="15"/>
      <c r="KNK1114" s="15"/>
      <c r="KNL1114" s="15"/>
      <c r="KNO1114" s="15"/>
      <c r="KNP1114" s="15"/>
      <c r="KNS1114" s="15"/>
      <c r="KNT1114" s="15"/>
      <c r="KNW1114" s="15"/>
      <c r="KNX1114" s="15"/>
      <c r="KOA1114" s="15"/>
      <c r="KOB1114" s="15"/>
      <c r="KOE1114" s="15"/>
      <c r="KOF1114" s="15"/>
      <c r="KOI1114" s="15"/>
      <c r="KOJ1114" s="15"/>
      <c r="KOM1114" s="15"/>
      <c r="KON1114" s="15"/>
      <c r="KOQ1114" s="15"/>
      <c r="KOR1114" s="15"/>
      <c r="KOU1114" s="15"/>
      <c r="KOV1114" s="15"/>
      <c r="KOY1114" s="15"/>
      <c r="KOZ1114" s="15"/>
      <c r="KPC1114" s="15"/>
      <c r="KPD1114" s="15"/>
      <c r="KPG1114" s="15"/>
      <c r="KPH1114" s="15"/>
      <c r="KPK1114" s="15"/>
      <c r="KPL1114" s="15"/>
      <c r="KPO1114" s="15"/>
      <c r="KPP1114" s="15"/>
      <c r="KPS1114" s="15"/>
      <c r="KPT1114" s="15"/>
      <c r="KPW1114" s="15"/>
      <c r="KPX1114" s="15"/>
      <c r="KQA1114" s="15"/>
      <c r="KQB1114" s="15"/>
      <c r="KQE1114" s="15"/>
      <c r="KQF1114" s="15"/>
      <c r="KQI1114" s="15"/>
      <c r="KQJ1114" s="15"/>
      <c r="KQM1114" s="15"/>
      <c r="KQN1114" s="15"/>
      <c r="KQQ1114" s="15"/>
      <c r="KQR1114" s="15"/>
      <c r="KQU1114" s="15"/>
      <c r="KQV1114" s="15"/>
      <c r="KQY1114" s="15"/>
      <c r="KQZ1114" s="15"/>
      <c r="KRC1114" s="15"/>
      <c r="KRD1114" s="15"/>
      <c r="KRG1114" s="15"/>
      <c r="KRH1114" s="15"/>
      <c r="KRK1114" s="15"/>
      <c r="KRL1114" s="15"/>
      <c r="KRO1114" s="15"/>
      <c r="KRP1114" s="15"/>
      <c r="KRS1114" s="15"/>
      <c r="KRT1114" s="15"/>
      <c r="KRW1114" s="15"/>
      <c r="KRX1114" s="15"/>
      <c r="KSA1114" s="15"/>
      <c r="KSB1114" s="15"/>
      <c r="KSE1114" s="15"/>
      <c r="KSF1114" s="15"/>
      <c r="KSI1114" s="15"/>
      <c r="KSJ1114" s="15"/>
      <c r="KSM1114" s="15"/>
      <c r="KSN1114" s="15"/>
      <c r="KSQ1114" s="15"/>
      <c r="KSR1114" s="15"/>
      <c r="KSU1114" s="15"/>
      <c r="KSV1114" s="15"/>
      <c r="KSY1114" s="15"/>
      <c r="KSZ1114" s="15"/>
      <c r="KTC1114" s="15"/>
      <c r="KTD1114" s="15"/>
      <c r="KTG1114" s="15"/>
      <c r="KTH1114" s="15"/>
      <c r="KTK1114" s="15"/>
      <c r="KTL1114" s="15"/>
      <c r="KTO1114" s="15"/>
      <c r="KTP1114" s="15"/>
      <c r="KTS1114" s="15"/>
      <c r="KTT1114" s="15"/>
      <c r="KTW1114" s="15"/>
      <c r="KTX1114" s="15"/>
      <c r="KUA1114" s="15"/>
      <c r="KUB1114" s="15"/>
      <c r="KUE1114" s="15"/>
      <c r="KUF1114" s="15"/>
      <c r="KUI1114" s="15"/>
      <c r="KUJ1114" s="15"/>
      <c r="KUM1114" s="15"/>
      <c r="KUN1114" s="15"/>
      <c r="KUQ1114" s="15"/>
      <c r="KUR1114" s="15"/>
      <c r="KUU1114" s="15"/>
      <c r="KUV1114" s="15"/>
      <c r="KUY1114" s="15"/>
      <c r="KUZ1114" s="15"/>
      <c r="KVC1114" s="15"/>
      <c r="KVD1114" s="15"/>
      <c r="KVG1114" s="15"/>
      <c r="KVH1114" s="15"/>
      <c r="KVK1114" s="15"/>
      <c r="KVL1114" s="15"/>
      <c r="KVO1114" s="15"/>
      <c r="KVP1114" s="15"/>
      <c r="KVS1114" s="15"/>
      <c r="KVT1114" s="15"/>
      <c r="KVW1114" s="15"/>
      <c r="KVX1114" s="15"/>
      <c r="KWA1114" s="15"/>
      <c r="KWB1114" s="15"/>
      <c r="KWE1114" s="15"/>
      <c r="KWF1114" s="15"/>
      <c r="KWI1114" s="15"/>
      <c r="KWJ1114" s="15"/>
      <c r="KWM1114" s="15"/>
      <c r="KWN1114" s="15"/>
      <c r="KWQ1114" s="15"/>
      <c r="KWR1114" s="15"/>
      <c r="KWU1114" s="15"/>
      <c r="KWV1114" s="15"/>
      <c r="KWY1114" s="15"/>
      <c r="KWZ1114" s="15"/>
      <c r="KXC1114" s="15"/>
      <c r="KXD1114" s="15"/>
      <c r="KXG1114" s="15"/>
      <c r="KXH1114" s="15"/>
      <c r="KXK1114" s="15"/>
      <c r="KXL1114" s="15"/>
      <c r="KXO1114" s="15"/>
      <c r="KXP1114" s="15"/>
      <c r="KXS1114" s="15"/>
      <c r="KXT1114" s="15"/>
      <c r="KXW1114" s="15"/>
      <c r="KXX1114" s="15"/>
      <c r="KYA1114" s="15"/>
      <c r="KYB1114" s="15"/>
      <c r="KYE1114" s="15"/>
      <c r="KYF1114" s="15"/>
      <c r="KYI1114" s="15"/>
      <c r="KYJ1114" s="15"/>
      <c r="KYM1114" s="15"/>
      <c r="KYN1114" s="15"/>
      <c r="KYQ1114" s="15"/>
      <c r="KYR1114" s="15"/>
      <c r="KYU1114" s="15"/>
      <c r="KYV1114" s="15"/>
      <c r="KYY1114" s="15"/>
      <c r="KYZ1114" s="15"/>
      <c r="KZC1114" s="15"/>
      <c r="KZD1114" s="15"/>
      <c r="KZG1114" s="15"/>
      <c r="KZH1114" s="15"/>
      <c r="KZK1114" s="15"/>
      <c r="KZL1114" s="15"/>
      <c r="KZO1114" s="15"/>
      <c r="KZP1114" s="15"/>
      <c r="KZS1114" s="15"/>
      <c r="KZT1114" s="15"/>
      <c r="KZW1114" s="15"/>
      <c r="KZX1114" s="15"/>
      <c r="LAA1114" s="15"/>
      <c r="LAB1114" s="15"/>
      <c r="LAE1114" s="15"/>
      <c r="LAF1114" s="15"/>
      <c r="LAI1114" s="15"/>
      <c r="LAJ1114" s="15"/>
      <c r="LAM1114" s="15"/>
      <c r="LAN1114" s="15"/>
      <c r="LAQ1114" s="15"/>
      <c r="LAR1114" s="15"/>
      <c r="LAU1114" s="15"/>
      <c r="LAV1114" s="15"/>
      <c r="LAY1114" s="15"/>
      <c r="LAZ1114" s="15"/>
      <c r="LBC1114" s="15"/>
      <c r="LBD1114" s="15"/>
      <c r="LBG1114" s="15"/>
      <c r="LBH1114" s="15"/>
      <c r="LBK1114" s="15"/>
      <c r="LBL1114" s="15"/>
      <c r="LBO1114" s="15"/>
      <c r="LBP1114" s="15"/>
      <c r="LBS1114" s="15"/>
      <c r="LBT1114" s="15"/>
      <c r="LBW1114" s="15"/>
      <c r="LBX1114" s="15"/>
      <c r="LCA1114" s="15"/>
      <c r="LCB1114" s="15"/>
      <c r="LCE1114" s="15"/>
      <c r="LCF1114" s="15"/>
      <c r="LCI1114" s="15"/>
      <c r="LCJ1114" s="15"/>
      <c r="LCM1114" s="15"/>
      <c r="LCN1114" s="15"/>
      <c r="LCQ1114" s="15"/>
      <c r="LCR1114" s="15"/>
      <c r="LCU1114" s="15"/>
      <c r="LCV1114" s="15"/>
      <c r="LCY1114" s="15"/>
      <c r="LCZ1114" s="15"/>
      <c r="LDC1114" s="15"/>
      <c r="LDD1114" s="15"/>
      <c r="LDG1114" s="15"/>
      <c r="LDH1114" s="15"/>
      <c r="LDK1114" s="15"/>
      <c r="LDL1114" s="15"/>
      <c r="LDO1114" s="15"/>
      <c r="LDP1114" s="15"/>
      <c r="LDS1114" s="15"/>
      <c r="LDT1114" s="15"/>
      <c r="LDW1114" s="15"/>
      <c r="LDX1114" s="15"/>
      <c r="LEA1114" s="15"/>
      <c r="LEB1114" s="15"/>
      <c r="LEE1114" s="15"/>
      <c r="LEF1114" s="15"/>
      <c r="LEI1114" s="15"/>
      <c r="LEJ1114" s="15"/>
      <c r="LEM1114" s="15"/>
      <c r="LEN1114" s="15"/>
      <c r="LEQ1114" s="15"/>
      <c r="LER1114" s="15"/>
      <c r="LEU1114" s="15"/>
      <c r="LEV1114" s="15"/>
      <c r="LEY1114" s="15"/>
      <c r="LEZ1114" s="15"/>
      <c r="LFC1114" s="15"/>
      <c r="LFD1114" s="15"/>
      <c r="LFG1114" s="15"/>
      <c r="LFH1114" s="15"/>
      <c r="LFK1114" s="15"/>
      <c r="LFL1114" s="15"/>
      <c r="LFO1114" s="15"/>
      <c r="LFP1114" s="15"/>
      <c r="LFS1114" s="15"/>
      <c r="LFT1114" s="15"/>
      <c r="LFW1114" s="15"/>
      <c r="LFX1114" s="15"/>
      <c r="LGA1114" s="15"/>
      <c r="LGB1114" s="15"/>
      <c r="LGE1114" s="15"/>
      <c r="LGF1114" s="15"/>
      <c r="LGI1114" s="15"/>
      <c r="LGJ1114" s="15"/>
      <c r="LGM1114" s="15"/>
      <c r="LGN1114" s="15"/>
      <c r="LGQ1114" s="15"/>
      <c r="LGR1114" s="15"/>
      <c r="LGU1114" s="15"/>
      <c r="LGV1114" s="15"/>
      <c r="LGY1114" s="15"/>
      <c r="LGZ1114" s="15"/>
      <c r="LHC1114" s="15"/>
      <c r="LHD1114" s="15"/>
      <c r="LHG1114" s="15"/>
      <c r="LHH1114" s="15"/>
      <c r="LHK1114" s="15"/>
      <c r="LHL1114" s="15"/>
      <c r="LHO1114" s="15"/>
      <c r="LHP1114" s="15"/>
      <c r="LHS1114" s="15"/>
      <c r="LHT1114" s="15"/>
      <c r="LHW1114" s="15"/>
      <c r="LHX1114" s="15"/>
      <c r="LIA1114" s="15"/>
      <c r="LIB1114" s="15"/>
      <c r="LIE1114" s="15"/>
      <c r="LIF1114" s="15"/>
      <c r="LII1114" s="15"/>
      <c r="LIJ1114" s="15"/>
      <c r="LIM1114" s="15"/>
      <c r="LIN1114" s="15"/>
      <c r="LIQ1114" s="15"/>
      <c r="LIR1114" s="15"/>
      <c r="LIU1114" s="15"/>
      <c r="LIV1114" s="15"/>
      <c r="LIY1114" s="15"/>
      <c r="LIZ1114" s="15"/>
      <c r="LJC1114" s="15"/>
      <c r="LJD1114" s="15"/>
      <c r="LJG1114" s="15"/>
      <c r="LJH1114" s="15"/>
      <c r="LJK1114" s="15"/>
      <c r="LJL1114" s="15"/>
      <c r="LJO1114" s="15"/>
      <c r="LJP1114" s="15"/>
      <c r="LJS1114" s="15"/>
      <c r="LJT1114" s="15"/>
      <c r="LJW1114" s="15"/>
      <c r="LJX1114" s="15"/>
      <c r="LKA1114" s="15"/>
      <c r="LKB1114" s="15"/>
      <c r="LKE1114" s="15"/>
      <c r="LKF1114" s="15"/>
      <c r="LKI1114" s="15"/>
      <c r="LKJ1114" s="15"/>
      <c r="LKM1114" s="15"/>
      <c r="LKN1114" s="15"/>
      <c r="LKQ1114" s="15"/>
      <c r="LKR1114" s="15"/>
      <c r="LKU1114" s="15"/>
      <c r="LKV1114" s="15"/>
      <c r="LKY1114" s="15"/>
      <c r="LKZ1114" s="15"/>
      <c r="LLC1114" s="15"/>
      <c r="LLD1114" s="15"/>
      <c r="LLG1114" s="15"/>
      <c r="LLH1114" s="15"/>
      <c r="LLK1114" s="15"/>
      <c r="LLL1114" s="15"/>
      <c r="LLO1114" s="15"/>
      <c r="LLP1114" s="15"/>
      <c r="LLS1114" s="15"/>
      <c r="LLT1114" s="15"/>
      <c r="LLW1114" s="15"/>
      <c r="LLX1114" s="15"/>
      <c r="LMA1114" s="15"/>
      <c r="LMB1114" s="15"/>
      <c r="LME1114" s="15"/>
      <c r="LMF1114" s="15"/>
      <c r="LMI1114" s="15"/>
      <c r="LMJ1114" s="15"/>
      <c r="LMM1114" s="15"/>
      <c r="LMN1114" s="15"/>
      <c r="LMQ1114" s="15"/>
      <c r="LMR1114" s="15"/>
      <c r="LMU1114" s="15"/>
      <c r="LMV1114" s="15"/>
      <c r="LMY1114" s="15"/>
      <c r="LMZ1114" s="15"/>
      <c r="LNC1114" s="15"/>
      <c r="LND1114" s="15"/>
      <c r="LNG1114" s="15"/>
      <c r="LNH1114" s="15"/>
      <c r="LNK1114" s="15"/>
      <c r="LNL1114" s="15"/>
      <c r="LNO1114" s="15"/>
      <c r="LNP1114" s="15"/>
      <c r="LNS1114" s="15"/>
      <c r="LNT1114" s="15"/>
      <c r="LNW1114" s="15"/>
      <c r="LNX1114" s="15"/>
      <c r="LOA1114" s="15"/>
      <c r="LOB1114" s="15"/>
      <c r="LOE1114" s="15"/>
      <c r="LOF1114" s="15"/>
      <c r="LOI1114" s="15"/>
      <c r="LOJ1114" s="15"/>
      <c r="LOM1114" s="15"/>
      <c r="LON1114" s="15"/>
      <c r="LOQ1114" s="15"/>
      <c r="LOR1114" s="15"/>
      <c r="LOU1114" s="15"/>
      <c r="LOV1114" s="15"/>
      <c r="LOY1114" s="15"/>
      <c r="LOZ1114" s="15"/>
      <c r="LPC1114" s="15"/>
      <c r="LPD1114" s="15"/>
      <c r="LPG1114" s="15"/>
      <c r="LPH1114" s="15"/>
      <c r="LPK1114" s="15"/>
      <c r="LPL1114" s="15"/>
      <c r="LPO1114" s="15"/>
      <c r="LPP1114" s="15"/>
      <c r="LPS1114" s="15"/>
      <c r="LPT1114" s="15"/>
      <c r="LPW1114" s="15"/>
      <c r="LPX1114" s="15"/>
      <c r="LQA1114" s="15"/>
      <c r="LQB1114" s="15"/>
      <c r="LQE1114" s="15"/>
      <c r="LQF1114" s="15"/>
      <c r="LQI1114" s="15"/>
      <c r="LQJ1114" s="15"/>
      <c r="LQM1114" s="15"/>
      <c r="LQN1114" s="15"/>
      <c r="LQQ1114" s="15"/>
      <c r="LQR1114" s="15"/>
      <c r="LQU1114" s="15"/>
      <c r="LQV1114" s="15"/>
      <c r="LQY1114" s="15"/>
      <c r="LQZ1114" s="15"/>
      <c r="LRC1114" s="15"/>
      <c r="LRD1114" s="15"/>
      <c r="LRG1114" s="15"/>
      <c r="LRH1114" s="15"/>
      <c r="LRK1114" s="15"/>
      <c r="LRL1114" s="15"/>
      <c r="LRO1114" s="15"/>
      <c r="LRP1114" s="15"/>
      <c r="LRS1114" s="15"/>
      <c r="LRT1114" s="15"/>
      <c r="LRW1114" s="15"/>
      <c r="LRX1114" s="15"/>
      <c r="LSA1114" s="15"/>
      <c r="LSB1114" s="15"/>
      <c r="LSE1114" s="15"/>
      <c r="LSF1114" s="15"/>
      <c r="LSI1114" s="15"/>
      <c r="LSJ1114" s="15"/>
      <c r="LSM1114" s="15"/>
      <c r="LSN1114" s="15"/>
      <c r="LSQ1114" s="15"/>
      <c r="LSR1114" s="15"/>
      <c r="LSU1114" s="15"/>
      <c r="LSV1114" s="15"/>
      <c r="LSY1114" s="15"/>
      <c r="LSZ1114" s="15"/>
      <c r="LTC1114" s="15"/>
      <c r="LTD1114" s="15"/>
      <c r="LTG1114" s="15"/>
      <c r="LTH1114" s="15"/>
      <c r="LTK1114" s="15"/>
      <c r="LTL1114" s="15"/>
      <c r="LTO1114" s="15"/>
      <c r="LTP1114" s="15"/>
      <c r="LTS1114" s="15"/>
      <c r="LTT1114" s="15"/>
      <c r="LTW1114" s="15"/>
      <c r="LTX1114" s="15"/>
      <c r="LUA1114" s="15"/>
      <c r="LUB1114" s="15"/>
      <c r="LUE1114" s="15"/>
      <c r="LUF1114" s="15"/>
      <c r="LUI1114" s="15"/>
      <c r="LUJ1114" s="15"/>
      <c r="LUM1114" s="15"/>
      <c r="LUN1114" s="15"/>
      <c r="LUQ1114" s="15"/>
      <c r="LUR1114" s="15"/>
      <c r="LUU1114" s="15"/>
      <c r="LUV1114" s="15"/>
      <c r="LUY1114" s="15"/>
      <c r="LUZ1114" s="15"/>
      <c r="LVC1114" s="15"/>
      <c r="LVD1114" s="15"/>
      <c r="LVG1114" s="15"/>
      <c r="LVH1114" s="15"/>
      <c r="LVK1114" s="15"/>
      <c r="LVL1114" s="15"/>
      <c r="LVO1114" s="15"/>
      <c r="LVP1114" s="15"/>
      <c r="LVS1114" s="15"/>
      <c r="LVT1114" s="15"/>
      <c r="LVW1114" s="15"/>
      <c r="LVX1114" s="15"/>
      <c r="LWA1114" s="15"/>
      <c r="LWB1114" s="15"/>
      <c r="LWE1114" s="15"/>
      <c r="LWF1114" s="15"/>
      <c r="LWI1114" s="15"/>
      <c r="LWJ1114" s="15"/>
      <c r="LWM1114" s="15"/>
      <c r="LWN1114" s="15"/>
      <c r="LWQ1114" s="15"/>
      <c r="LWR1114" s="15"/>
      <c r="LWU1114" s="15"/>
      <c r="LWV1114" s="15"/>
      <c r="LWY1114" s="15"/>
      <c r="LWZ1114" s="15"/>
      <c r="LXC1114" s="15"/>
      <c r="LXD1114" s="15"/>
      <c r="LXG1114" s="15"/>
      <c r="LXH1114" s="15"/>
      <c r="LXK1114" s="15"/>
      <c r="LXL1114" s="15"/>
      <c r="LXO1114" s="15"/>
      <c r="LXP1114" s="15"/>
      <c r="LXS1114" s="15"/>
      <c r="LXT1114" s="15"/>
      <c r="LXW1114" s="15"/>
      <c r="LXX1114" s="15"/>
      <c r="LYA1114" s="15"/>
      <c r="LYB1114" s="15"/>
      <c r="LYE1114" s="15"/>
      <c r="LYF1114" s="15"/>
      <c r="LYI1114" s="15"/>
      <c r="LYJ1114" s="15"/>
      <c r="LYM1114" s="15"/>
      <c r="LYN1114" s="15"/>
      <c r="LYQ1114" s="15"/>
      <c r="LYR1114" s="15"/>
      <c r="LYU1114" s="15"/>
      <c r="LYV1114" s="15"/>
      <c r="LYY1114" s="15"/>
      <c r="LYZ1114" s="15"/>
      <c r="LZC1114" s="15"/>
      <c r="LZD1114" s="15"/>
      <c r="LZG1114" s="15"/>
      <c r="LZH1114" s="15"/>
      <c r="LZK1114" s="15"/>
      <c r="LZL1114" s="15"/>
      <c r="LZO1114" s="15"/>
      <c r="LZP1114" s="15"/>
      <c r="LZS1114" s="15"/>
      <c r="LZT1114" s="15"/>
      <c r="LZW1114" s="15"/>
      <c r="LZX1114" s="15"/>
      <c r="MAA1114" s="15"/>
      <c r="MAB1114" s="15"/>
      <c r="MAE1114" s="15"/>
      <c r="MAF1114" s="15"/>
      <c r="MAI1114" s="15"/>
      <c r="MAJ1114" s="15"/>
      <c r="MAM1114" s="15"/>
      <c r="MAN1114" s="15"/>
      <c r="MAQ1114" s="15"/>
      <c r="MAR1114" s="15"/>
      <c r="MAU1114" s="15"/>
      <c r="MAV1114" s="15"/>
      <c r="MAY1114" s="15"/>
      <c r="MAZ1114" s="15"/>
      <c r="MBC1114" s="15"/>
      <c r="MBD1114" s="15"/>
      <c r="MBG1114" s="15"/>
      <c r="MBH1114" s="15"/>
      <c r="MBK1114" s="15"/>
      <c r="MBL1114" s="15"/>
      <c r="MBO1114" s="15"/>
      <c r="MBP1114" s="15"/>
      <c r="MBS1114" s="15"/>
      <c r="MBT1114" s="15"/>
      <c r="MBW1114" s="15"/>
      <c r="MBX1114" s="15"/>
      <c r="MCA1114" s="15"/>
      <c r="MCB1114" s="15"/>
      <c r="MCE1114" s="15"/>
      <c r="MCF1114" s="15"/>
      <c r="MCI1114" s="15"/>
      <c r="MCJ1114" s="15"/>
      <c r="MCM1114" s="15"/>
      <c r="MCN1114" s="15"/>
      <c r="MCQ1114" s="15"/>
      <c r="MCR1114" s="15"/>
      <c r="MCU1114" s="15"/>
      <c r="MCV1114" s="15"/>
      <c r="MCY1114" s="15"/>
      <c r="MCZ1114" s="15"/>
      <c r="MDC1114" s="15"/>
      <c r="MDD1114" s="15"/>
      <c r="MDG1114" s="15"/>
      <c r="MDH1114" s="15"/>
      <c r="MDK1114" s="15"/>
      <c r="MDL1114" s="15"/>
      <c r="MDO1114" s="15"/>
      <c r="MDP1114" s="15"/>
      <c r="MDS1114" s="15"/>
      <c r="MDT1114" s="15"/>
      <c r="MDW1114" s="15"/>
      <c r="MDX1114" s="15"/>
      <c r="MEA1114" s="15"/>
      <c r="MEB1114" s="15"/>
      <c r="MEE1114" s="15"/>
      <c r="MEF1114" s="15"/>
      <c r="MEI1114" s="15"/>
      <c r="MEJ1114" s="15"/>
      <c r="MEM1114" s="15"/>
      <c r="MEN1114" s="15"/>
      <c r="MEQ1114" s="15"/>
      <c r="MER1114" s="15"/>
      <c r="MEU1114" s="15"/>
      <c r="MEV1114" s="15"/>
      <c r="MEY1114" s="15"/>
      <c r="MEZ1114" s="15"/>
      <c r="MFC1114" s="15"/>
      <c r="MFD1114" s="15"/>
      <c r="MFG1114" s="15"/>
      <c r="MFH1114" s="15"/>
      <c r="MFK1114" s="15"/>
      <c r="MFL1114" s="15"/>
      <c r="MFO1114" s="15"/>
      <c r="MFP1114" s="15"/>
      <c r="MFS1114" s="15"/>
      <c r="MFT1114" s="15"/>
      <c r="MFW1114" s="15"/>
      <c r="MFX1114" s="15"/>
      <c r="MGA1114" s="15"/>
      <c r="MGB1114" s="15"/>
      <c r="MGE1114" s="15"/>
      <c r="MGF1114" s="15"/>
      <c r="MGI1114" s="15"/>
      <c r="MGJ1114" s="15"/>
      <c r="MGM1114" s="15"/>
      <c r="MGN1114" s="15"/>
      <c r="MGQ1114" s="15"/>
      <c r="MGR1114" s="15"/>
      <c r="MGU1114" s="15"/>
      <c r="MGV1114" s="15"/>
      <c r="MGY1114" s="15"/>
      <c r="MGZ1114" s="15"/>
      <c r="MHC1114" s="15"/>
      <c r="MHD1114" s="15"/>
      <c r="MHG1114" s="15"/>
      <c r="MHH1114" s="15"/>
      <c r="MHK1114" s="15"/>
      <c r="MHL1114" s="15"/>
      <c r="MHO1114" s="15"/>
      <c r="MHP1114" s="15"/>
      <c r="MHS1114" s="15"/>
      <c r="MHT1114" s="15"/>
      <c r="MHW1114" s="15"/>
      <c r="MHX1114" s="15"/>
      <c r="MIA1114" s="15"/>
      <c r="MIB1114" s="15"/>
      <c r="MIE1114" s="15"/>
      <c r="MIF1114" s="15"/>
      <c r="MII1114" s="15"/>
      <c r="MIJ1114" s="15"/>
      <c r="MIM1114" s="15"/>
      <c r="MIN1114" s="15"/>
      <c r="MIQ1114" s="15"/>
      <c r="MIR1114" s="15"/>
      <c r="MIU1114" s="15"/>
      <c r="MIV1114" s="15"/>
      <c r="MIY1114" s="15"/>
      <c r="MIZ1114" s="15"/>
      <c r="MJC1114" s="15"/>
      <c r="MJD1114" s="15"/>
      <c r="MJG1114" s="15"/>
      <c r="MJH1114" s="15"/>
      <c r="MJK1114" s="15"/>
      <c r="MJL1114" s="15"/>
      <c r="MJO1114" s="15"/>
      <c r="MJP1114" s="15"/>
      <c r="MJS1114" s="15"/>
      <c r="MJT1114" s="15"/>
      <c r="MJW1114" s="15"/>
      <c r="MJX1114" s="15"/>
      <c r="MKA1114" s="15"/>
      <c r="MKB1114" s="15"/>
      <c r="MKE1114" s="15"/>
      <c r="MKF1114" s="15"/>
      <c r="MKI1114" s="15"/>
      <c r="MKJ1114" s="15"/>
      <c r="MKM1114" s="15"/>
      <c r="MKN1114" s="15"/>
      <c r="MKQ1114" s="15"/>
      <c r="MKR1114" s="15"/>
      <c r="MKU1114" s="15"/>
      <c r="MKV1114" s="15"/>
      <c r="MKY1114" s="15"/>
      <c r="MKZ1114" s="15"/>
      <c r="MLC1114" s="15"/>
      <c r="MLD1114" s="15"/>
      <c r="MLG1114" s="15"/>
      <c r="MLH1114" s="15"/>
      <c r="MLK1114" s="15"/>
      <c r="MLL1114" s="15"/>
      <c r="MLO1114" s="15"/>
      <c r="MLP1114" s="15"/>
      <c r="MLS1114" s="15"/>
      <c r="MLT1114" s="15"/>
      <c r="MLW1114" s="15"/>
      <c r="MLX1114" s="15"/>
      <c r="MMA1114" s="15"/>
      <c r="MMB1114" s="15"/>
      <c r="MME1114" s="15"/>
      <c r="MMF1114" s="15"/>
      <c r="MMI1114" s="15"/>
      <c r="MMJ1114" s="15"/>
      <c r="MMM1114" s="15"/>
      <c r="MMN1114" s="15"/>
      <c r="MMQ1114" s="15"/>
      <c r="MMR1114" s="15"/>
      <c r="MMU1114" s="15"/>
      <c r="MMV1114" s="15"/>
      <c r="MMY1114" s="15"/>
      <c r="MMZ1114" s="15"/>
      <c r="MNC1114" s="15"/>
      <c r="MND1114" s="15"/>
      <c r="MNG1114" s="15"/>
      <c r="MNH1114" s="15"/>
      <c r="MNK1114" s="15"/>
      <c r="MNL1114" s="15"/>
      <c r="MNO1114" s="15"/>
      <c r="MNP1114" s="15"/>
      <c r="MNS1114" s="15"/>
      <c r="MNT1114" s="15"/>
      <c r="MNW1114" s="15"/>
      <c r="MNX1114" s="15"/>
      <c r="MOA1114" s="15"/>
      <c r="MOB1114" s="15"/>
      <c r="MOE1114" s="15"/>
      <c r="MOF1114" s="15"/>
      <c r="MOI1114" s="15"/>
      <c r="MOJ1114" s="15"/>
      <c r="MOM1114" s="15"/>
      <c r="MON1114" s="15"/>
      <c r="MOQ1114" s="15"/>
      <c r="MOR1114" s="15"/>
      <c r="MOU1114" s="15"/>
      <c r="MOV1114" s="15"/>
      <c r="MOY1114" s="15"/>
      <c r="MOZ1114" s="15"/>
      <c r="MPC1114" s="15"/>
      <c r="MPD1114" s="15"/>
      <c r="MPG1114" s="15"/>
      <c r="MPH1114" s="15"/>
      <c r="MPK1114" s="15"/>
      <c r="MPL1114" s="15"/>
      <c r="MPO1114" s="15"/>
      <c r="MPP1114" s="15"/>
      <c r="MPS1114" s="15"/>
      <c r="MPT1114" s="15"/>
      <c r="MPW1114" s="15"/>
      <c r="MPX1114" s="15"/>
      <c r="MQA1114" s="15"/>
      <c r="MQB1114" s="15"/>
      <c r="MQE1114" s="15"/>
      <c r="MQF1114" s="15"/>
      <c r="MQI1114" s="15"/>
      <c r="MQJ1114" s="15"/>
      <c r="MQM1114" s="15"/>
      <c r="MQN1114" s="15"/>
      <c r="MQQ1114" s="15"/>
      <c r="MQR1114" s="15"/>
      <c r="MQU1114" s="15"/>
      <c r="MQV1114" s="15"/>
      <c r="MQY1114" s="15"/>
      <c r="MQZ1114" s="15"/>
      <c r="MRC1114" s="15"/>
      <c r="MRD1114" s="15"/>
      <c r="MRG1114" s="15"/>
      <c r="MRH1114" s="15"/>
      <c r="MRK1114" s="15"/>
      <c r="MRL1114" s="15"/>
      <c r="MRO1114" s="15"/>
      <c r="MRP1114" s="15"/>
      <c r="MRS1114" s="15"/>
      <c r="MRT1114" s="15"/>
      <c r="MRW1114" s="15"/>
      <c r="MRX1114" s="15"/>
      <c r="MSA1114" s="15"/>
      <c r="MSB1114" s="15"/>
      <c r="MSE1114" s="15"/>
      <c r="MSF1114" s="15"/>
      <c r="MSI1114" s="15"/>
      <c r="MSJ1114" s="15"/>
      <c r="MSM1114" s="15"/>
      <c r="MSN1114" s="15"/>
      <c r="MSQ1114" s="15"/>
      <c r="MSR1114" s="15"/>
      <c r="MSU1114" s="15"/>
      <c r="MSV1114" s="15"/>
      <c r="MSY1114" s="15"/>
      <c r="MSZ1114" s="15"/>
      <c r="MTC1114" s="15"/>
      <c r="MTD1114" s="15"/>
      <c r="MTG1114" s="15"/>
      <c r="MTH1114" s="15"/>
      <c r="MTK1114" s="15"/>
      <c r="MTL1114" s="15"/>
      <c r="MTO1114" s="15"/>
      <c r="MTP1114" s="15"/>
      <c r="MTS1114" s="15"/>
      <c r="MTT1114" s="15"/>
      <c r="MTW1114" s="15"/>
      <c r="MTX1114" s="15"/>
      <c r="MUA1114" s="15"/>
      <c r="MUB1114" s="15"/>
      <c r="MUE1114" s="15"/>
      <c r="MUF1114" s="15"/>
      <c r="MUI1114" s="15"/>
      <c r="MUJ1114" s="15"/>
      <c r="MUM1114" s="15"/>
      <c r="MUN1114" s="15"/>
      <c r="MUQ1114" s="15"/>
      <c r="MUR1114" s="15"/>
      <c r="MUU1114" s="15"/>
      <c r="MUV1114" s="15"/>
      <c r="MUY1114" s="15"/>
      <c r="MUZ1114" s="15"/>
      <c r="MVC1114" s="15"/>
      <c r="MVD1114" s="15"/>
      <c r="MVG1114" s="15"/>
      <c r="MVH1114" s="15"/>
      <c r="MVK1114" s="15"/>
      <c r="MVL1114" s="15"/>
      <c r="MVO1114" s="15"/>
      <c r="MVP1114" s="15"/>
      <c r="MVS1114" s="15"/>
      <c r="MVT1114" s="15"/>
      <c r="MVW1114" s="15"/>
      <c r="MVX1114" s="15"/>
      <c r="MWA1114" s="15"/>
      <c r="MWB1114" s="15"/>
      <c r="MWE1114" s="15"/>
      <c r="MWF1114" s="15"/>
      <c r="MWI1114" s="15"/>
      <c r="MWJ1114" s="15"/>
      <c r="MWM1114" s="15"/>
      <c r="MWN1114" s="15"/>
      <c r="MWQ1114" s="15"/>
      <c r="MWR1114" s="15"/>
      <c r="MWU1114" s="15"/>
      <c r="MWV1114" s="15"/>
      <c r="MWY1114" s="15"/>
      <c r="MWZ1114" s="15"/>
      <c r="MXC1114" s="15"/>
      <c r="MXD1114" s="15"/>
      <c r="MXG1114" s="15"/>
      <c r="MXH1114" s="15"/>
      <c r="MXK1114" s="15"/>
      <c r="MXL1114" s="15"/>
      <c r="MXO1114" s="15"/>
      <c r="MXP1114" s="15"/>
      <c r="MXS1114" s="15"/>
      <c r="MXT1114" s="15"/>
      <c r="MXW1114" s="15"/>
      <c r="MXX1114" s="15"/>
      <c r="MYA1114" s="15"/>
      <c r="MYB1114" s="15"/>
      <c r="MYE1114" s="15"/>
      <c r="MYF1114" s="15"/>
      <c r="MYI1114" s="15"/>
      <c r="MYJ1114" s="15"/>
      <c r="MYM1114" s="15"/>
      <c r="MYN1114" s="15"/>
      <c r="MYQ1114" s="15"/>
      <c r="MYR1114" s="15"/>
      <c r="MYU1114" s="15"/>
      <c r="MYV1114" s="15"/>
      <c r="MYY1114" s="15"/>
      <c r="MYZ1114" s="15"/>
      <c r="MZC1114" s="15"/>
      <c r="MZD1114" s="15"/>
      <c r="MZG1114" s="15"/>
      <c r="MZH1114" s="15"/>
      <c r="MZK1114" s="15"/>
      <c r="MZL1114" s="15"/>
      <c r="MZO1114" s="15"/>
      <c r="MZP1114" s="15"/>
      <c r="MZS1114" s="15"/>
      <c r="MZT1114" s="15"/>
      <c r="MZW1114" s="15"/>
      <c r="MZX1114" s="15"/>
      <c r="NAA1114" s="15"/>
      <c r="NAB1114" s="15"/>
      <c r="NAE1114" s="15"/>
      <c r="NAF1114" s="15"/>
      <c r="NAI1114" s="15"/>
      <c r="NAJ1114" s="15"/>
      <c r="NAM1114" s="15"/>
      <c r="NAN1114" s="15"/>
      <c r="NAQ1114" s="15"/>
      <c r="NAR1114" s="15"/>
      <c r="NAU1114" s="15"/>
      <c r="NAV1114" s="15"/>
      <c r="NAY1114" s="15"/>
      <c r="NAZ1114" s="15"/>
      <c r="NBC1114" s="15"/>
      <c r="NBD1114" s="15"/>
      <c r="NBG1114" s="15"/>
      <c r="NBH1114" s="15"/>
      <c r="NBK1114" s="15"/>
      <c r="NBL1114" s="15"/>
      <c r="NBO1114" s="15"/>
      <c r="NBP1114" s="15"/>
      <c r="NBS1114" s="15"/>
      <c r="NBT1114" s="15"/>
      <c r="NBW1114" s="15"/>
      <c r="NBX1114" s="15"/>
      <c r="NCA1114" s="15"/>
      <c r="NCB1114" s="15"/>
      <c r="NCE1114" s="15"/>
      <c r="NCF1114" s="15"/>
      <c r="NCI1114" s="15"/>
      <c r="NCJ1114" s="15"/>
      <c r="NCM1114" s="15"/>
      <c r="NCN1114" s="15"/>
      <c r="NCQ1114" s="15"/>
      <c r="NCR1114" s="15"/>
      <c r="NCU1114" s="15"/>
      <c r="NCV1114" s="15"/>
      <c r="NCY1114" s="15"/>
      <c r="NCZ1114" s="15"/>
      <c r="NDC1114" s="15"/>
      <c r="NDD1114" s="15"/>
      <c r="NDG1114" s="15"/>
      <c r="NDH1114" s="15"/>
      <c r="NDK1114" s="15"/>
      <c r="NDL1114" s="15"/>
      <c r="NDO1114" s="15"/>
      <c r="NDP1114" s="15"/>
      <c r="NDS1114" s="15"/>
      <c r="NDT1114" s="15"/>
      <c r="NDW1114" s="15"/>
      <c r="NDX1114" s="15"/>
      <c r="NEA1114" s="15"/>
      <c r="NEB1114" s="15"/>
      <c r="NEE1114" s="15"/>
      <c r="NEF1114" s="15"/>
      <c r="NEI1114" s="15"/>
      <c r="NEJ1114" s="15"/>
      <c r="NEM1114" s="15"/>
      <c r="NEN1114" s="15"/>
      <c r="NEQ1114" s="15"/>
      <c r="NER1114" s="15"/>
      <c r="NEU1114" s="15"/>
      <c r="NEV1114" s="15"/>
      <c r="NEY1114" s="15"/>
      <c r="NEZ1114" s="15"/>
      <c r="NFC1114" s="15"/>
      <c r="NFD1114" s="15"/>
      <c r="NFG1114" s="15"/>
      <c r="NFH1114" s="15"/>
      <c r="NFK1114" s="15"/>
      <c r="NFL1114" s="15"/>
      <c r="NFO1114" s="15"/>
      <c r="NFP1114" s="15"/>
      <c r="NFS1114" s="15"/>
      <c r="NFT1114" s="15"/>
      <c r="NFW1114" s="15"/>
      <c r="NFX1114" s="15"/>
      <c r="NGA1114" s="15"/>
      <c r="NGB1114" s="15"/>
      <c r="NGE1114" s="15"/>
      <c r="NGF1114" s="15"/>
      <c r="NGI1114" s="15"/>
      <c r="NGJ1114" s="15"/>
      <c r="NGM1114" s="15"/>
      <c r="NGN1114" s="15"/>
      <c r="NGQ1114" s="15"/>
      <c r="NGR1114" s="15"/>
      <c r="NGU1114" s="15"/>
      <c r="NGV1114" s="15"/>
      <c r="NGY1114" s="15"/>
      <c r="NGZ1114" s="15"/>
      <c r="NHC1114" s="15"/>
      <c r="NHD1114" s="15"/>
      <c r="NHG1114" s="15"/>
      <c r="NHH1114" s="15"/>
      <c r="NHK1114" s="15"/>
      <c r="NHL1114" s="15"/>
      <c r="NHO1114" s="15"/>
      <c r="NHP1114" s="15"/>
      <c r="NHS1114" s="15"/>
      <c r="NHT1114" s="15"/>
      <c r="NHW1114" s="15"/>
      <c r="NHX1114" s="15"/>
      <c r="NIA1114" s="15"/>
      <c r="NIB1114" s="15"/>
      <c r="NIE1114" s="15"/>
      <c r="NIF1114" s="15"/>
      <c r="NII1114" s="15"/>
      <c r="NIJ1114" s="15"/>
      <c r="NIM1114" s="15"/>
      <c r="NIN1114" s="15"/>
      <c r="NIQ1114" s="15"/>
      <c r="NIR1114" s="15"/>
      <c r="NIU1114" s="15"/>
      <c r="NIV1114" s="15"/>
      <c r="NIY1114" s="15"/>
      <c r="NIZ1114" s="15"/>
      <c r="NJC1114" s="15"/>
      <c r="NJD1114" s="15"/>
      <c r="NJG1114" s="15"/>
      <c r="NJH1114" s="15"/>
      <c r="NJK1114" s="15"/>
      <c r="NJL1114" s="15"/>
      <c r="NJO1114" s="15"/>
      <c r="NJP1114" s="15"/>
      <c r="NJS1114" s="15"/>
      <c r="NJT1114" s="15"/>
      <c r="NJW1114" s="15"/>
      <c r="NJX1114" s="15"/>
      <c r="NKA1114" s="15"/>
      <c r="NKB1114" s="15"/>
      <c r="NKE1114" s="15"/>
      <c r="NKF1114" s="15"/>
      <c r="NKI1114" s="15"/>
      <c r="NKJ1114" s="15"/>
      <c r="NKM1114" s="15"/>
      <c r="NKN1114" s="15"/>
      <c r="NKQ1114" s="15"/>
      <c r="NKR1114" s="15"/>
      <c r="NKU1114" s="15"/>
      <c r="NKV1114" s="15"/>
      <c r="NKY1114" s="15"/>
      <c r="NKZ1114" s="15"/>
      <c r="NLC1114" s="15"/>
      <c r="NLD1114" s="15"/>
      <c r="NLG1114" s="15"/>
      <c r="NLH1114" s="15"/>
      <c r="NLK1114" s="15"/>
      <c r="NLL1114" s="15"/>
      <c r="NLO1114" s="15"/>
      <c r="NLP1114" s="15"/>
      <c r="NLS1114" s="15"/>
      <c r="NLT1114" s="15"/>
      <c r="NLW1114" s="15"/>
      <c r="NLX1114" s="15"/>
      <c r="NMA1114" s="15"/>
      <c r="NMB1114" s="15"/>
      <c r="NME1114" s="15"/>
      <c r="NMF1114" s="15"/>
      <c r="NMI1114" s="15"/>
      <c r="NMJ1114" s="15"/>
      <c r="NMM1114" s="15"/>
      <c r="NMN1114" s="15"/>
      <c r="NMQ1114" s="15"/>
      <c r="NMR1114" s="15"/>
      <c r="NMU1114" s="15"/>
      <c r="NMV1114" s="15"/>
      <c r="NMY1114" s="15"/>
      <c r="NMZ1114" s="15"/>
      <c r="NNC1114" s="15"/>
      <c r="NND1114" s="15"/>
      <c r="NNG1114" s="15"/>
      <c r="NNH1114" s="15"/>
      <c r="NNK1114" s="15"/>
      <c r="NNL1114" s="15"/>
      <c r="NNO1114" s="15"/>
      <c r="NNP1114" s="15"/>
      <c r="NNS1114" s="15"/>
      <c r="NNT1114" s="15"/>
      <c r="NNW1114" s="15"/>
      <c r="NNX1114" s="15"/>
      <c r="NOA1114" s="15"/>
      <c r="NOB1114" s="15"/>
      <c r="NOE1114" s="15"/>
      <c r="NOF1114" s="15"/>
      <c r="NOI1114" s="15"/>
      <c r="NOJ1114" s="15"/>
      <c r="NOM1114" s="15"/>
      <c r="NON1114" s="15"/>
      <c r="NOQ1114" s="15"/>
      <c r="NOR1114" s="15"/>
      <c r="NOU1114" s="15"/>
      <c r="NOV1114" s="15"/>
      <c r="NOY1114" s="15"/>
      <c r="NOZ1114" s="15"/>
      <c r="NPC1114" s="15"/>
      <c r="NPD1114" s="15"/>
      <c r="NPG1114" s="15"/>
      <c r="NPH1114" s="15"/>
      <c r="NPK1114" s="15"/>
      <c r="NPL1114" s="15"/>
      <c r="NPO1114" s="15"/>
      <c r="NPP1114" s="15"/>
      <c r="NPS1114" s="15"/>
      <c r="NPT1114" s="15"/>
      <c r="NPW1114" s="15"/>
      <c r="NPX1114" s="15"/>
      <c r="NQA1114" s="15"/>
      <c r="NQB1114" s="15"/>
      <c r="NQE1114" s="15"/>
      <c r="NQF1114" s="15"/>
      <c r="NQI1114" s="15"/>
      <c r="NQJ1114" s="15"/>
      <c r="NQM1114" s="15"/>
      <c r="NQN1114" s="15"/>
      <c r="NQQ1114" s="15"/>
      <c r="NQR1114" s="15"/>
      <c r="NQU1114" s="15"/>
      <c r="NQV1114" s="15"/>
      <c r="NQY1114" s="15"/>
      <c r="NQZ1114" s="15"/>
      <c r="NRC1114" s="15"/>
      <c r="NRD1114" s="15"/>
      <c r="NRG1114" s="15"/>
      <c r="NRH1114" s="15"/>
      <c r="NRK1114" s="15"/>
      <c r="NRL1114" s="15"/>
      <c r="NRO1114" s="15"/>
      <c r="NRP1114" s="15"/>
      <c r="NRS1114" s="15"/>
      <c r="NRT1114" s="15"/>
      <c r="NRW1114" s="15"/>
      <c r="NRX1114" s="15"/>
      <c r="NSA1114" s="15"/>
      <c r="NSB1114" s="15"/>
      <c r="NSE1114" s="15"/>
      <c r="NSF1114" s="15"/>
      <c r="NSI1114" s="15"/>
      <c r="NSJ1114" s="15"/>
      <c r="NSM1114" s="15"/>
      <c r="NSN1114" s="15"/>
      <c r="NSQ1114" s="15"/>
      <c r="NSR1114" s="15"/>
      <c r="NSU1114" s="15"/>
      <c r="NSV1114" s="15"/>
      <c r="NSY1114" s="15"/>
      <c r="NSZ1114" s="15"/>
      <c r="NTC1114" s="15"/>
      <c r="NTD1114" s="15"/>
      <c r="NTG1114" s="15"/>
      <c r="NTH1114" s="15"/>
      <c r="NTK1114" s="15"/>
      <c r="NTL1114" s="15"/>
      <c r="NTO1114" s="15"/>
      <c r="NTP1114" s="15"/>
      <c r="NTS1114" s="15"/>
      <c r="NTT1114" s="15"/>
      <c r="NTW1114" s="15"/>
      <c r="NTX1114" s="15"/>
      <c r="NUA1114" s="15"/>
      <c r="NUB1114" s="15"/>
      <c r="NUE1114" s="15"/>
      <c r="NUF1114" s="15"/>
      <c r="NUI1114" s="15"/>
      <c r="NUJ1114" s="15"/>
      <c r="NUM1114" s="15"/>
      <c r="NUN1114" s="15"/>
      <c r="NUQ1114" s="15"/>
      <c r="NUR1114" s="15"/>
      <c r="NUU1114" s="15"/>
      <c r="NUV1114" s="15"/>
      <c r="NUY1114" s="15"/>
      <c r="NUZ1114" s="15"/>
      <c r="NVC1114" s="15"/>
      <c r="NVD1114" s="15"/>
      <c r="NVG1114" s="15"/>
      <c r="NVH1114" s="15"/>
      <c r="NVK1114" s="15"/>
      <c r="NVL1114" s="15"/>
      <c r="NVO1114" s="15"/>
      <c r="NVP1114" s="15"/>
      <c r="NVS1114" s="15"/>
      <c r="NVT1114" s="15"/>
      <c r="NVW1114" s="15"/>
      <c r="NVX1114" s="15"/>
      <c r="NWA1114" s="15"/>
      <c r="NWB1114" s="15"/>
      <c r="NWE1114" s="15"/>
      <c r="NWF1114" s="15"/>
      <c r="NWI1114" s="15"/>
      <c r="NWJ1114" s="15"/>
      <c r="NWM1114" s="15"/>
      <c r="NWN1114" s="15"/>
      <c r="NWQ1114" s="15"/>
      <c r="NWR1114" s="15"/>
      <c r="NWU1114" s="15"/>
      <c r="NWV1114" s="15"/>
      <c r="NWY1114" s="15"/>
      <c r="NWZ1114" s="15"/>
      <c r="NXC1114" s="15"/>
      <c r="NXD1114" s="15"/>
      <c r="NXG1114" s="15"/>
      <c r="NXH1114" s="15"/>
      <c r="NXK1114" s="15"/>
      <c r="NXL1114" s="15"/>
      <c r="NXO1114" s="15"/>
      <c r="NXP1114" s="15"/>
      <c r="NXS1114" s="15"/>
      <c r="NXT1114" s="15"/>
      <c r="NXW1114" s="15"/>
      <c r="NXX1114" s="15"/>
      <c r="NYA1114" s="15"/>
      <c r="NYB1114" s="15"/>
      <c r="NYE1114" s="15"/>
      <c r="NYF1114" s="15"/>
      <c r="NYI1114" s="15"/>
      <c r="NYJ1114" s="15"/>
      <c r="NYM1114" s="15"/>
      <c r="NYN1114" s="15"/>
      <c r="NYQ1114" s="15"/>
      <c r="NYR1114" s="15"/>
      <c r="NYU1114" s="15"/>
      <c r="NYV1114" s="15"/>
      <c r="NYY1114" s="15"/>
      <c r="NYZ1114" s="15"/>
      <c r="NZC1114" s="15"/>
      <c r="NZD1114" s="15"/>
      <c r="NZG1114" s="15"/>
      <c r="NZH1114" s="15"/>
      <c r="NZK1114" s="15"/>
      <c r="NZL1114" s="15"/>
      <c r="NZO1114" s="15"/>
      <c r="NZP1114" s="15"/>
      <c r="NZS1114" s="15"/>
      <c r="NZT1114" s="15"/>
      <c r="NZW1114" s="15"/>
      <c r="NZX1114" s="15"/>
      <c r="OAA1114" s="15"/>
      <c r="OAB1114" s="15"/>
      <c r="OAE1114" s="15"/>
      <c r="OAF1114" s="15"/>
      <c r="OAI1114" s="15"/>
      <c r="OAJ1114" s="15"/>
      <c r="OAM1114" s="15"/>
      <c r="OAN1114" s="15"/>
      <c r="OAQ1114" s="15"/>
      <c r="OAR1114" s="15"/>
      <c r="OAU1114" s="15"/>
      <c r="OAV1114" s="15"/>
      <c r="OAY1114" s="15"/>
      <c r="OAZ1114" s="15"/>
      <c r="OBC1114" s="15"/>
      <c r="OBD1114" s="15"/>
      <c r="OBG1114" s="15"/>
      <c r="OBH1114" s="15"/>
      <c r="OBK1114" s="15"/>
      <c r="OBL1114" s="15"/>
      <c r="OBO1114" s="15"/>
      <c r="OBP1114" s="15"/>
      <c r="OBS1114" s="15"/>
      <c r="OBT1114" s="15"/>
      <c r="OBW1114" s="15"/>
      <c r="OBX1114" s="15"/>
      <c r="OCA1114" s="15"/>
      <c r="OCB1114" s="15"/>
      <c r="OCE1114" s="15"/>
      <c r="OCF1114" s="15"/>
      <c r="OCI1114" s="15"/>
      <c r="OCJ1114" s="15"/>
      <c r="OCM1114" s="15"/>
      <c r="OCN1114" s="15"/>
      <c r="OCQ1114" s="15"/>
      <c r="OCR1114" s="15"/>
      <c r="OCU1114" s="15"/>
      <c r="OCV1114" s="15"/>
      <c r="OCY1114" s="15"/>
      <c r="OCZ1114" s="15"/>
      <c r="ODC1114" s="15"/>
      <c r="ODD1114" s="15"/>
      <c r="ODG1114" s="15"/>
      <c r="ODH1114" s="15"/>
      <c r="ODK1114" s="15"/>
      <c r="ODL1114" s="15"/>
      <c r="ODO1114" s="15"/>
      <c r="ODP1114" s="15"/>
      <c r="ODS1114" s="15"/>
      <c r="ODT1114" s="15"/>
      <c r="ODW1114" s="15"/>
      <c r="ODX1114" s="15"/>
      <c r="OEA1114" s="15"/>
      <c r="OEB1114" s="15"/>
      <c r="OEE1114" s="15"/>
      <c r="OEF1114" s="15"/>
      <c r="OEI1114" s="15"/>
      <c r="OEJ1114" s="15"/>
      <c r="OEM1114" s="15"/>
      <c r="OEN1114" s="15"/>
      <c r="OEQ1114" s="15"/>
      <c r="OER1114" s="15"/>
      <c r="OEU1114" s="15"/>
      <c r="OEV1114" s="15"/>
      <c r="OEY1114" s="15"/>
      <c r="OEZ1114" s="15"/>
      <c r="OFC1114" s="15"/>
      <c r="OFD1114" s="15"/>
      <c r="OFG1114" s="15"/>
      <c r="OFH1114" s="15"/>
      <c r="OFK1114" s="15"/>
      <c r="OFL1114" s="15"/>
      <c r="OFO1114" s="15"/>
      <c r="OFP1114" s="15"/>
      <c r="OFS1114" s="15"/>
      <c r="OFT1114" s="15"/>
      <c r="OFW1114" s="15"/>
      <c r="OFX1114" s="15"/>
      <c r="OGA1114" s="15"/>
      <c r="OGB1114" s="15"/>
      <c r="OGE1114" s="15"/>
      <c r="OGF1114" s="15"/>
      <c r="OGI1114" s="15"/>
      <c r="OGJ1114" s="15"/>
      <c r="OGM1114" s="15"/>
      <c r="OGN1114" s="15"/>
      <c r="OGQ1114" s="15"/>
      <c r="OGR1114" s="15"/>
      <c r="OGU1114" s="15"/>
      <c r="OGV1114" s="15"/>
      <c r="OGY1114" s="15"/>
      <c r="OGZ1114" s="15"/>
      <c r="OHC1114" s="15"/>
      <c r="OHD1114" s="15"/>
      <c r="OHG1114" s="15"/>
      <c r="OHH1114" s="15"/>
      <c r="OHK1114" s="15"/>
      <c r="OHL1114" s="15"/>
      <c r="OHO1114" s="15"/>
      <c r="OHP1114" s="15"/>
      <c r="OHS1114" s="15"/>
      <c r="OHT1114" s="15"/>
      <c r="OHW1114" s="15"/>
      <c r="OHX1114" s="15"/>
      <c r="OIA1114" s="15"/>
      <c r="OIB1114" s="15"/>
      <c r="OIE1114" s="15"/>
      <c r="OIF1114" s="15"/>
      <c r="OII1114" s="15"/>
      <c r="OIJ1114" s="15"/>
      <c r="OIM1114" s="15"/>
      <c r="OIN1114" s="15"/>
      <c r="OIQ1114" s="15"/>
      <c r="OIR1114" s="15"/>
      <c r="OIU1114" s="15"/>
      <c r="OIV1114" s="15"/>
      <c r="OIY1114" s="15"/>
      <c r="OIZ1114" s="15"/>
      <c r="OJC1114" s="15"/>
      <c r="OJD1114" s="15"/>
      <c r="OJG1114" s="15"/>
      <c r="OJH1114" s="15"/>
      <c r="OJK1114" s="15"/>
      <c r="OJL1114" s="15"/>
      <c r="OJO1114" s="15"/>
      <c r="OJP1114" s="15"/>
      <c r="OJS1114" s="15"/>
      <c r="OJT1114" s="15"/>
      <c r="OJW1114" s="15"/>
      <c r="OJX1114" s="15"/>
      <c r="OKA1114" s="15"/>
      <c r="OKB1114" s="15"/>
      <c r="OKE1114" s="15"/>
      <c r="OKF1114" s="15"/>
      <c r="OKI1114" s="15"/>
      <c r="OKJ1114" s="15"/>
      <c r="OKM1114" s="15"/>
      <c r="OKN1114" s="15"/>
      <c r="OKQ1114" s="15"/>
      <c r="OKR1114" s="15"/>
      <c r="OKU1114" s="15"/>
      <c r="OKV1114" s="15"/>
      <c r="OKY1114" s="15"/>
      <c r="OKZ1114" s="15"/>
      <c r="OLC1114" s="15"/>
      <c r="OLD1114" s="15"/>
      <c r="OLG1114" s="15"/>
      <c r="OLH1114" s="15"/>
      <c r="OLK1114" s="15"/>
      <c r="OLL1114" s="15"/>
      <c r="OLO1114" s="15"/>
      <c r="OLP1114" s="15"/>
      <c r="OLS1114" s="15"/>
      <c r="OLT1114" s="15"/>
      <c r="OLW1114" s="15"/>
      <c r="OLX1114" s="15"/>
      <c r="OMA1114" s="15"/>
      <c r="OMB1114" s="15"/>
      <c r="OME1114" s="15"/>
      <c r="OMF1114" s="15"/>
      <c r="OMI1114" s="15"/>
      <c r="OMJ1114" s="15"/>
      <c r="OMM1114" s="15"/>
      <c r="OMN1114" s="15"/>
      <c r="OMQ1114" s="15"/>
      <c r="OMR1114" s="15"/>
      <c r="OMU1114" s="15"/>
      <c r="OMV1114" s="15"/>
      <c r="OMY1114" s="15"/>
      <c r="OMZ1114" s="15"/>
      <c r="ONC1114" s="15"/>
      <c r="OND1114" s="15"/>
      <c r="ONG1114" s="15"/>
      <c r="ONH1114" s="15"/>
      <c r="ONK1114" s="15"/>
      <c r="ONL1114" s="15"/>
      <c r="ONO1114" s="15"/>
      <c r="ONP1114" s="15"/>
      <c r="ONS1114" s="15"/>
      <c r="ONT1114" s="15"/>
      <c r="ONW1114" s="15"/>
      <c r="ONX1114" s="15"/>
      <c r="OOA1114" s="15"/>
      <c r="OOB1114" s="15"/>
      <c r="OOE1114" s="15"/>
      <c r="OOF1114" s="15"/>
      <c r="OOI1114" s="15"/>
      <c r="OOJ1114" s="15"/>
      <c r="OOM1114" s="15"/>
      <c r="OON1114" s="15"/>
      <c r="OOQ1114" s="15"/>
      <c r="OOR1114" s="15"/>
      <c r="OOU1114" s="15"/>
      <c r="OOV1114" s="15"/>
      <c r="OOY1114" s="15"/>
      <c r="OOZ1114" s="15"/>
      <c r="OPC1114" s="15"/>
      <c r="OPD1114" s="15"/>
      <c r="OPG1114" s="15"/>
      <c r="OPH1114" s="15"/>
      <c r="OPK1114" s="15"/>
      <c r="OPL1114" s="15"/>
      <c r="OPO1114" s="15"/>
      <c r="OPP1114" s="15"/>
      <c r="OPS1114" s="15"/>
      <c r="OPT1114" s="15"/>
      <c r="OPW1114" s="15"/>
      <c r="OPX1114" s="15"/>
      <c r="OQA1114" s="15"/>
      <c r="OQB1114" s="15"/>
      <c r="OQE1114" s="15"/>
      <c r="OQF1114" s="15"/>
      <c r="OQI1114" s="15"/>
      <c r="OQJ1114" s="15"/>
      <c r="OQM1114" s="15"/>
      <c r="OQN1114" s="15"/>
      <c r="OQQ1114" s="15"/>
      <c r="OQR1114" s="15"/>
      <c r="OQU1114" s="15"/>
      <c r="OQV1114" s="15"/>
      <c r="OQY1114" s="15"/>
      <c r="OQZ1114" s="15"/>
      <c r="ORC1114" s="15"/>
      <c r="ORD1114" s="15"/>
      <c r="ORG1114" s="15"/>
      <c r="ORH1114" s="15"/>
      <c r="ORK1114" s="15"/>
      <c r="ORL1114" s="15"/>
      <c r="ORO1114" s="15"/>
      <c r="ORP1114" s="15"/>
      <c r="ORS1114" s="15"/>
      <c r="ORT1114" s="15"/>
      <c r="ORW1114" s="15"/>
      <c r="ORX1114" s="15"/>
      <c r="OSA1114" s="15"/>
      <c r="OSB1114" s="15"/>
      <c r="OSE1114" s="15"/>
      <c r="OSF1114" s="15"/>
      <c r="OSI1114" s="15"/>
      <c r="OSJ1114" s="15"/>
      <c r="OSM1114" s="15"/>
      <c r="OSN1114" s="15"/>
      <c r="OSQ1114" s="15"/>
      <c r="OSR1114" s="15"/>
      <c r="OSU1114" s="15"/>
      <c r="OSV1114" s="15"/>
      <c r="OSY1114" s="15"/>
      <c r="OSZ1114" s="15"/>
      <c r="OTC1114" s="15"/>
      <c r="OTD1114" s="15"/>
      <c r="OTG1114" s="15"/>
      <c r="OTH1114" s="15"/>
      <c r="OTK1114" s="15"/>
      <c r="OTL1114" s="15"/>
      <c r="OTO1114" s="15"/>
      <c r="OTP1114" s="15"/>
      <c r="OTS1114" s="15"/>
      <c r="OTT1114" s="15"/>
      <c r="OTW1114" s="15"/>
      <c r="OTX1114" s="15"/>
      <c r="OUA1114" s="15"/>
      <c r="OUB1114" s="15"/>
      <c r="OUE1114" s="15"/>
      <c r="OUF1114" s="15"/>
      <c r="OUI1114" s="15"/>
      <c r="OUJ1114" s="15"/>
      <c r="OUM1114" s="15"/>
      <c r="OUN1114" s="15"/>
      <c r="OUQ1114" s="15"/>
      <c r="OUR1114" s="15"/>
      <c r="OUU1114" s="15"/>
      <c r="OUV1114" s="15"/>
      <c r="OUY1114" s="15"/>
      <c r="OUZ1114" s="15"/>
      <c r="OVC1114" s="15"/>
      <c r="OVD1114" s="15"/>
      <c r="OVG1114" s="15"/>
      <c r="OVH1114" s="15"/>
      <c r="OVK1114" s="15"/>
      <c r="OVL1114" s="15"/>
      <c r="OVO1114" s="15"/>
      <c r="OVP1114" s="15"/>
      <c r="OVS1114" s="15"/>
      <c r="OVT1114" s="15"/>
      <c r="OVW1114" s="15"/>
      <c r="OVX1114" s="15"/>
      <c r="OWA1114" s="15"/>
      <c r="OWB1114" s="15"/>
      <c r="OWE1114" s="15"/>
      <c r="OWF1114" s="15"/>
      <c r="OWI1114" s="15"/>
      <c r="OWJ1114" s="15"/>
      <c r="OWM1114" s="15"/>
      <c r="OWN1114" s="15"/>
      <c r="OWQ1114" s="15"/>
      <c r="OWR1114" s="15"/>
      <c r="OWU1114" s="15"/>
      <c r="OWV1114" s="15"/>
      <c r="OWY1114" s="15"/>
      <c r="OWZ1114" s="15"/>
      <c r="OXC1114" s="15"/>
      <c r="OXD1114" s="15"/>
      <c r="OXG1114" s="15"/>
      <c r="OXH1114" s="15"/>
      <c r="OXK1114" s="15"/>
      <c r="OXL1114" s="15"/>
      <c r="OXO1114" s="15"/>
      <c r="OXP1114" s="15"/>
      <c r="OXS1114" s="15"/>
      <c r="OXT1114" s="15"/>
      <c r="OXW1114" s="15"/>
      <c r="OXX1114" s="15"/>
      <c r="OYA1114" s="15"/>
      <c r="OYB1114" s="15"/>
      <c r="OYE1114" s="15"/>
      <c r="OYF1114" s="15"/>
      <c r="OYI1114" s="15"/>
      <c r="OYJ1114" s="15"/>
      <c r="OYM1114" s="15"/>
      <c r="OYN1114" s="15"/>
      <c r="OYQ1114" s="15"/>
      <c r="OYR1114" s="15"/>
      <c r="OYU1114" s="15"/>
      <c r="OYV1114" s="15"/>
      <c r="OYY1114" s="15"/>
      <c r="OYZ1114" s="15"/>
      <c r="OZC1114" s="15"/>
      <c r="OZD1114" s="15"/>
      <c r="OZG1114" s="15"/>
      <c r="OZH1114" s="15"/>
      <c r="OZK1114" s="15"/>
      <c r="OZL1114" s="15"/>
      <c r="OZO1114" s="15"/>
      <c r="OZP1114" s="15"/>
      <c r="OZS1114" s="15"/>
      <c r="OZT1114" s="15"/>
      <c r="OZW1114" s="15"/>
      <c r="OZX1114" s="15"/>
      <c r="PAA1114" s="15"/>
      <c r="PAB1114" s="15"/>
      <c r="PAE1114" s="15"/>
      <c r="PAF1114" s="15"/>
      <c r="PAI1114" s="15"/>
      <c r="PAJ1114" s="15"/>
      <c r="PAM1114" s="15"/>
      <c r="PAN1114" s="15"/>
      <c r="PAQ1114" s="15"/>
      <c r="PAR1114" s="15"/>
      <c r="PAU1114" s="15"/>
      <c r="PAV1114" s="15"/>
      <c r="PAY1114" s="15"/>
      <c r="PAZ1114" s="15"/>
      <c r="PBC1114" s="15"/>
      <c r="PBD1114" s="15"/>
      <c r="PBG1114" s="15"/>
      <c r="PBH1114" s="15"/>
      <c r="PBK1114" s="15"/>
      <c r="PBL1114" s="15"/>
      <c r="PBO1114" s="15"/>
      <c r="PBP1114" s="15"/>
      <c r="PBS1114" s="15"/>
      <c r="PBT1114" s="15"/>
      <c r="PBW1114" s="15"/>
      <c r="PBX1114" s="15"/>
      <c r="PCA1114" s="15"/>
      <c r="PCB1114" s="15"/>
      <c r="PCE1114" s="15"/>
      <c r="PCF1114" s="15"/>
      <c r="PCI1114" s="15"/>
      <c r="PCJ1114" s="15"/>
      <c r="PCM1114" s="15"/>
      <c r="PCN1114" s="15"/>
      <c r="PCQ1114" s="15"/>
      <c r="PCR1114" s="15"/>
      <c r="PCU1114" s="15"/>
      <c r="PCV1114" s="15"/>
      <c r="PCY1114" s="15"/>
      <c r="PCZ1114" s="15"/>
      <c r="PDC1114" s="15"/>
      <c r="PDD1114" s="15"/>
      <c r="PDG1114" s="15"/>
      <c r="PDH1114" s="15"/>
      <c r="PDK1114" s="15"/>
      <c r="PDL1114" s="15"/>
      <c r="PDO1114" s="15"/>
      <c r="PDP1114" s="15"/>
      <c r="PDS1114" s="15"/>
      <c r="PDT1114" s="15"/>
      <c r="PDW1114" s="15"/>
      <c r="PDX1114" s="15"/>
      <c r="PEA1114" s="15"/>
      <c r="PEB1114" s="15"/>
      <c r="PEE1114" s="15"/>
      <c r="PEF1114" s="15"/>
      <c r="PEI1114" s="15"/>
      <c r="PEJ1114" s="15"/>
      <c r="PEM1114" s="15"/>
      <c r="PEN1114" s="15"/>
      <c r="PEQ1114" s="15"/>
      <c r="PER1114" s="15"/>
      <c r="PEU1114" s="15"/>
      <c r="PEV1114" s="15"/>
      <c r="PEY1114" s="15"/>
      <c r="PEZ1114" s="15"/>
      <c r="PFC1114" s="15"/>
      <c r="PFD1114" s="15"/>
      <c r="PFG1114" s="15"/>
      <c r="PFH1114" s="15"/>
      <c r="PFK1114" s="15"/>
      <c r="PFL1114" s="15"/>
      <c r="PFO1114" s="15"/>
      <c r="PFP1114" s="15"/>
      <c r="PFS1114" s="15"/>
      <c r="PFT1114" s="15"/>
      <c r="PFW1114" s="15"/>
      <c r="PFX1114" s="15"/>
      <c r="PGA1114" s="15"/>
      <c r="PGB1114" s="15"/>
      <c r="PGE1114" s="15"/>
      <c r="PGF1114" s="15"/>
      <c r="PGI1114" s="15"/>
      <c r="PGJ1114" s="15"/>
      <c r="PGM1114" s="15"/>
      <c r="PGN1114" s="15"/>
      <c r="PGQ1114" s="15"/>
      <c r="PGR1114" s="15"/>
      <c r="PGU1114" s="15"/>
      <c r="PGV1114" s="15"/>
      <c r="PGY1114" s="15"/>
      <c r="PGZ1114" s="15"/>
      <c r="PHC1114" s="15"/>
      <c r="PHD1114" s="15"/>
      <c r="PHG1114" s="15"/>
      <c r="PHH1114" s="15"/>
      <c r="PHK1114" s="15"/>
      <c r="PHL1114" s="15"/>
      <c r="PHO1114" s="15"/>
      <c r="PHP1114" s="15"/>
      <c r="PHS1114" s="15"/>
      <c r="PHT1114" s="15"/>
      <c r="PHW1114" s="15"/>
      <c r="PHX1114" s="15"/>
      <c r="PIA1114" s="15"/>
      <c r="PIB1114" s="15"/>
      <c r="PIE1114" s="15"/>
      <c r="PIF1114" s="15"/>
      <c r="PII1114" s="15"/>
      <c r="PIJ1114" s="15"/>
      <c r="PIM1114" s="15"/>
      <c r="PIN1114" s="15"/>
      <c r="PIQ1114" s="15"/>
      <c r="PIR1114" s="15"/>
      <c r="PIU1114" s="15"/>
      <c r="PIV1114" s="15"/>
      <c r="PIY1114" s="15"/>
      <c r="PIZ1114" s="15"/>
      <c r="PJC1114" s="15"/>
      <c r="PJD1114" s="15"/>
      <c r="PJG1114" s="15"/>
      <c r="PJH1114" s="15"/>
      <c r="PJK1114" s="15"/>
      <c r="PJL1114" s="15"/>
      <c r="PJO1114" s="15"/>
      <c r="PJP1114" s="15"/>
      <c r="PJS1114" s="15"/>
      <c r="PJT1114" s="15"/>
      <c r="PJW1114" s="15"/>
      <c r="PJX1114" s="15"/>
      <c r="PKA1114" s="15"/>
      <c r="PKB1114" s="15"/>
      <c r="PKE1114" s="15"/>
      <c r="PKF1114" s="15"/>
      <c r="PKI1114" s="15"/>
      <c r="PKJ1114" s="15"/>
      <c r="PKM1114" s="15"/>
      <c r="PKN1114" s="15"/>
      <c r="PKQ1114" s="15"/>
      <c r="PKR1114" s="15"/>
      <c r="PKU1114" s="15"/>
      <c r="PKV1114" s="15"/>
      <c r="PKY1114" s="15"/>
      <c r="PKZ1114" s="15"/>
      <c r="PLC1114" s="15"/>
      <c r="PLD1114" s="15"/>
      <c r="PLG1114" s="15"/>
      <c r="PLH1114" s="15"/>
      <c r="PLK1114" s="15"/>
      <c r="PLL1114" s="15"/>
      <c r="PLO1114" s="15"/>
      <c r="PLP1114" s="15"/>
      <c r="PLS1114" s="15"/>
      <c r="PLT1114" s="15"/>
      <c r="PLW1114" s="15"/>
      <c r="PLX1114" s="15"/>
      <c r="PMA1114" s="15"/>
      <c r="PMB1114" s="15"/>
      <c r="PME1114" s="15"/>
      <c r="PMF1114" s="15"/>
      <c r="PMI1114" s="15"/>
      <c r="PMJ1114" s="15"/>
      <c r="PMM1114" s="15"/>
      <c r="PMN1114" s="15"/>
      <c r="PMQ1114" s="15"/>
      <c r="PMR1114" s="15"/>
      <c r="PMU1114" s="15"/>
      <c r="PMV1114" s="15"/>
      <c r="PMY1114" s="15"/>
      <c r="PMZ1114" s="15"/>
      <c r="PNC1114" s="15"/>
      <c r="PND1114" s="15"/>
      <c r="PNG1114" s="15"/>
      <c r="PNH1114" s="15"/>
      <c r="PNK1114" s="15"/>
      <c r="PNL1114" s="15"/>
      <c r="PNO1114" s="15"/>
      <c r="PNP1114" s="15"/>
      <c r="PNS1114" s="15"/>
      <c r="PNT1114" s="15"/>
      <c r="PNW1114" s="15"/>
      <c r="PNX1114" s="15"/>
      <c r="POA1114" s="15"/>
      <c r="POB1114" s="15"/>
      <c r="POE1114" s="15"/>
      <c r="POF1114" s="15"/>
      <c r="POI1114" s="15"/>
      <c r="POJ1114" s="15"/>
      <c r="POM1114" s="15"/>
      <c r="PON1114" s="15"/>
      <c r="POQ1114" s="15"/>
      <c r="POR1114" s="15"/>
      <c r="POU1114" s="15"/>
      <c r="POV1114" s="15"/>
      <c r="POY1114" s="15"/>
      <c r="POZ1114" s="15"/>
      <c r="PPC1114" s="15"/>
      <c r="PPD1114" s="15"/>
      <c r="PPG1114" s="15"/>
      <c r="PPH1114" s="15"/>
      <c r="PPK1114" s="15"/>
      <c r="PPL1114" s="15"/>
      <c r="PPO1114" s="15"/>
      <c r="PPP1114" s="15"/>
      <c r="PPS1114" s="15"/>
      <c r="PPT1114" s="15"/>
      <c r="PPW1114" s="15"/>
      <c r="PPX1114" s="15"/>
      <c r="PQA1114" s="15"/>
      <c r="PQB1114" s="15"/>
      <c r="PQE1114" s="15"/>
      <c r="PQF1114" s="15"/>
      <c r="PQI1114" s="15"/>
      <c r="PQJ1114" s="15"/>
      <c r="PQM1114" s="15"/>
      <c r="PQN1114" s="15"/>
      <c r="PQQ1114" s="15"/>
      <c r="PQR1114" s="15"/>
      <c r="PQU1114" s="15"/>
      <c r="PQV1114" s="15"/>
      <c r="PQY1114" s="15"/>
      <c r="PQZ1114" s="15"/>
      <c r="PRC1114" s="15"/>
      <c r="PRD1114" s="15"/>
      <c r="PRG1114" s="15"/>
      <c r="PRH1114" s="15"/>
      <c r="PRK1114" s="15"/>
      <c r="PRL1114" s="15"/>
      <c r="PRO1114" s="15"/>
      <c r="PRP1114" s="15"/>
      <c r="PRS1114" s="15"/>
      <c r="PRT1114" s="15"/>
      <c r="PRW1114" s="15"/>
      <c r="PRX1114" s="15"/>
      <c r="PSA1114" s="15"/>
      <c r="PSB1114" s="15"/>
      <c r="PSE1114" s="15"/>
      <c r="PSF1114" s="15"/>
      <c r="PSI1114" s="15"/>
      <c r="PSJ1114" s="15"/>
      <c r="PSM1114" s="15"/>
      <c r="PSN1114" s="15"/>
      <c r="PSQ1114" s="15"/>
      <c r="PSR1114" s="15"/>
      <c r="PSU1114" s="15"/>
      <c r="PSV1114" s="15"/>
      <c r="PSY1114" s="15"/>
      <c r="PSZ1114" s="15"/>
      <c r="PTC1114" s="15"/>
      <c r="PTD1114" s="15"/>
      <c r="PTG1114" s="15"/>
      <c r="PTH1114" s="15"/>
      <c r="PTK1114" s="15"/>
      <c r="PTL1114" s="15"/>
      <c r="PTO1114" s="15"/>
      <c r="PTP1114" s="15"/>
      <c r="PTS1114" s="15"/>
      <c r="PTT1114" s="15"/>
      <c r="PTW1114" s="15"/>
      <c r="PTX1114" s="15"/>
      <c r="PUA1114" s="15"/>
      <c r="PUB1114" s="15"/>
      <c r="PUE1114" s="15"/>
      <c r="PUF1114" s="15"/>
      <c r="PUI1114" s="15"/>
      <c r="PUJ1114" s="15"/>
      <c r="PUM1114" s="15"/>
      <c r="PUN1114" s="15"/>
      <c r="PUQ1114" s="15"/>
      <c r="PUR1114" s="15"/>
      <c r="PUU1114" s="15"/>
      <c r="PUV1114" s="15"/>
      <c r="PUY1114" s="15"/>
      <c r="PUZ1114" s="15"/>
      <c r="PVC1114" s="15"/>
      <c r="PVD1114" s="15"/>
      <c r="PVG1114" s="15"/>
      <c r="PVH1114" s="15"/>
      <c r="PVK1114" s="15"/>
      <c r="PVL1114" s="15"/>
      <c r="PVO1114" s="15"/>
      <c r="PVP1114" s="15"/>
      <c r="PVS1114" s="15"/>
      <c r="PVT1114" s="15"/>
      <c r="PVW1114" s="15"/>
      <c r="PVX1114" s="15"/>
      <c r="PWA1114" s="15"/>
      <c r="PWB1114" s="15"/>
      <c r="PWE1114" s="15"/>
      <c r="PWF1114" s="15"/>
      <c r="PWI1114" s="15"/>
      <c r="PWJ1114" s="15"/>
      <c r="PWM1114" s="15"/>
      <c r="PWN1114" s="15"/>
      <c r="PWQ1114" s="15"/>
      <c r="PWR1114" s="15"/>
      <c r="PWU1114" s="15"/>
      <c r="PWV1114" s="15"/>
      <c r="PWY1114" s="15"/>
      <c r="PWZ1114" s="15"/>
      <c r="PXC1114" s="15"/>
      <c r="PXD1114" s="15"/>
      <c r="PXG1114" s="15"/>
      <c r="PXH1114" s="15"/>
      <c r="PXK1114" s="15"/>
      <c r="PXL1114" s="15"/>
      <c r="PXO1114" s="15"/>
      <c r="PXP1114" s="15"/>
      <c r="PXS1114" s="15"/>
      <c r="PXT1114" s="15"/>
      <c r="PXW1114" s="15"/>
      <c r="PXX1114" s="15"/>
      <c r="PYA1114" s="15"/>
      <c r="PYB1114" s="15"/>
      <c r="PYE1114" s="15"/>
      <c r="PYF1114" s="15"/>
      <c r="PYI1114" s="15"/>
      <c r="PYJ1114" s="15"/>
      <c r="PYM1114" s="15"/>
      <c r="PYN1114" s="15"/>
      <c r="PYQ1114" s="15"/>
      <c r="PYR1114" s="15"/>
      <c r="PYU1114" s="15"/>
      <c r="PYV1114" s="15"/>
      <c r="PYY1114" s="15"/>
      <c r="PYZ1114" s="15"/>
      <c r="PZC1114" s="15"/>
      <c r="PZD1114" s="15"/>
      <c r="PZG1114" s="15"/>
      <c r="PZH1114" s="15"/>
      <c r="PZK1114" s="15"/>
      <c r="PZL1114" s="15"/>
      <c r="PZO1114" s="15"/>
      <c r="PZP1114" s="15"/>
      <c r="PZS1114" s="15"/>
      <c r="PZT1114" s="15"/>
      <c r="PZW1114" s="15"/>
      <c r="PZX1114" s="15"/>
      <c r="QAA1114" s="15"/>
      <c r="QAB1114" s="15"/>
      <c r="QAE1114" s="15"/>
      <c r="QAF1114" s="15"/>
      <c r="QAI1114" s="15"/>
      <c r="QAJ1114" s="15"/>
      <c r="QAM1114" s="15"/>
      <c r="QAN1114" s="15"/>
      <c r="QAQ1114" s="15"/>
      <c r="QAR1114" s="15"/>
      <c r="QAU1114" s="15"/>
      <c r="QAV1114" s="15"/>
      <c r="QAY1114" s="15"/>
      <c r="QAZ1114" s="15"/>
      <c r="QBC1114" s="15"/>
      <c r="QBD1114" s="15"/>
      <c r="QBG1114" s="15"/>
      <c r="QBH1114" s="15"/>
      <c r="QBK1114" s="15"/>
      <c r="QBL1114" s="15"/>
      <c r="QBO1114" s="15"/>
      <c r="QBP1114" s="15"/>
      <c r="QBS1114" s="15"/>
      <c r="QBT1114" s="15"/>
      <c r="QBW1114" s="15"/>
      <c r="QBX1114" s="15"/>
      <c r="QCA1114" s="15"/>
      <c r="QCB1114" s="15"/>
      <c r="QCE1114" s="15"/>
      <c r="QCF1114" s="15"/>
      <c r="QCI1114" s="15"/>
      <c r="QCJ1114" s="15"/>
      <c r="QCM1114" s="15"/>
      <c r="QCN1114" s="15"/>
      <c r="QCQ1114" s="15"/>
      <c r="QCR1114" s="15"/>
      <c r="QCU1114" s="15"/>
      <c r="QCV1114" s="15"/>
      <c r="QCY1114" s="15"/>
      <c r="QCZ1114" s="15"/>
      <c r="QDC1114" s="15"/>
      <c r="QDD1114" s="15"/>
      <c r="QDG1114" s="15"/>
      <c r="QDH1114" s="15"/>
      <c r="QDK1114" s="15"/>
      <c r="QDL1114" s="15"/>
      <c r="QDO1114" s="15"/>
      <c r="QDP1114" s="15"/>
      <c r="QDS1114" s="15"/>
      <c r="QDT1114" s="15"/>
      <c r="QDW1114" s="15"/>
      <c r="QDX1114" s="15"/>
      <c r="QEA1114" s="15"/>
      <c r="QEB1114" s="15"/>
      <c r="QEE1114" s="15"/>
      <c r="QEF1114" s="15"/>
      <c r="QEI1114" s="15"/>
      <c r="QEJ1114" s="15"/>
      <c r="QEM1114" s="15"/>
      <c r="QEN1114" s="15"/>
      <c r="QEQ1114" s="15"/>
      <c r="QER1114" s="15"/>
      <c r="QEU1114" s="15"/>
      <c r="QEV1114" s="15"/>
      <c r="QEY1114" s="15"/>
      <c r="QEZ1114" s="15"/>
      <c r="QFC1114" s="15"/>
      <c r="QFD1114" s="15"/>
      <c r="QFG1114" s="15"/>
      <c r="QFH1114" s="15"/>
      <c r="QFK1114" s="15"/>
      <c r="QFL1114" s="15"/>
      <c r="QFO1114" s="15"/>
      <c r="QFP1114" s="15"/>
      <c r="QFS1114" s="15"/>
      <c r="QFT1114" s="15"/>
      <c r="QFW1114" s="15"/>
      <c r="QFX1114" s="15"/>
      <c r="QGA1114" s="15"/>
      <c r="QGB1114" s="15"/>
      <c r="QGE1114" s="15"/>
      <c r="QGF1114" s="15"/>
      <c r="QGI1114" s="15"/>
      <c r="QGJ1114" s="15"/>
      <c r="QGM1114" s="15"/>
      <c r="QGN1114" s="15"/>
      <c r="QGQ1114" s="15"/>
      <c r="QGR1114" s="15"/>
      <c r="QGU1114" s="15"/>
      <c r="QGV1114" s="15"/>
      <c r="QGY1114" s="15"/>
      <c r="QGZ1114" s="15"/>
      <c r="QHC1114" s="15"/>
      <c r="QHD1114" s="15"/>
      <c r="QHG1114" s="15"/>
      <c r="QHH1114" s="15"/>
      <c r="QHK1114" s="15"/>
      <c r="QHL1114" s="15"/>
      <c r="QHO1114" s="15"/>
      <c r="QHP1114" s="15"/>
      <c r="QHS1114" s="15"/>
      <c r="QHT1114" s="15"/>
      <c r="QHW1114" s="15"/>
      <c r="QHX1114" s="15"/>
      <c r="QIA1114" s="15"/>
      <c r="QIB1114" s="15"/>
      <c r="QIE1114" s="15"/>
      <c r="QIF1114" s="15"/>
      <c r="QII1114" s="15"/>
      <c r="QIJ1114" s="15"/>
      <c r="QIM1114" s="15"/>
      <c r="QIN1114" s="15"/>
      <c r="QIQ1114" s="15"/>
      <c r="QIR1114" s="15"/>
      <c r="QIU1114" s="15"/>
      <c r="QIV1114" s="15"/>
      <c r="QIY1114" s="15"/>
      <c r="QIZ1114" s="15"/>
      <c r="QJC1114" s="15"/>
      <c r="QJD1114" s="15"/>
      <c r="QJG1114" s="15"/>
      <c r="QJH1114" s="15"/>
      <c r="QJK1114" s="15"/>
      <c r="QJL1114" s="15"/>
      <c r="QJO1114" s="15"/>
      <c r="QJP1114" s="15"/>
      <c r="QJS1114" s="15"/>
      <c r="QJT1114" s="15"/>
      <c r="QJW1114" s="15"/>
      <c r="QJX1114" s="15"/>
      <c r="QKA1114" s="15"/>
      <c r="QKB1114" s="15"/>
      <c r="QKE1114" s="15"/>
      <c r="QKF1114" s="15"/>
      <c r="QKI1114" s="15"/>
      <c r="QKJ1114" s="15"/>
      <c r="QKM1114" s="15"/>
      <c r="QKN1114" s="15"/>
      <c r="QKQ1114" s="15"/>
      <c r="QKR1114" s="15"/>
      <c r="QKU1114" s="15"/>
      <c r="QKV1114" s="15"/>
      <c r="QKY1114" s="15"/>
      <c r="QKZ1114" s="15"/>
      <c r="QLC1114" s="15"/>
      <c r="QLD1114" s="15"/>
      <c r="QLG1114" s="15"/>
      <c r="QLH1114" s="15"/>
      <c r="QLK1114" s="15"/>
      <c r="QLL1114" s="15"/>
      <c r="QLO1114" s="15"/>
      <c r="QLP1114" s="15"/>
      <c r="QLS1114" s="15"/>
      <c r="QLT1114" s="15"/>
      <c r="QLW1114" s="15"/>
      <c r="QLX1114" s="15"/>
      <c r="QMA1114" s="15"/>
      <c r="QMB1114" s="15"/>
      <c r="QME1114" s="15"/>
      <c r="QMF1114" s="15"/>
      <c r="QMI1114" s="15"/>
      <c r="QMJ1114" s="15"/>
      <c r="QMM1114" s="15"/>
      <c r="QMN1114" s="15"/>
      <c r="QMQ1114" s="15"/>
      <c r="QMR1114" s="15"/>
      <c r="QMU1114" s="15"/>
      <c r="QMV1114" s="15"/>
      <c r="QMY1114" s="15"/>
      <c r="QMZ1114" s="15"/>
      <c r="QNC1114" s="15"/>
      <c r="QND1114" s="15"/>
      <c r="QNG1114" s="15"/>
      <c r="QNH1114" s="15"/>
      <c r="QNK1114" s="15"/>
      <c r="QNL1114" s="15"/>
      <c r="QNO1114" s="15"/>
      <c r="QNP1114" s="15"/>
      <c r="QNS1114" s="15"/>
      <c r="QNT1114" s="15"/>
      <c r="QNW1114" s="15"/>
      <c r="QNX1114" s="15"/>
      <c r="QOA1114" s="15"/>
      <c r="QOB1114" s="15"/>
      <c r="QOE1114" s="15"/>
      <c r="QOF1114" s="15"/>
      <c r="QOI1114" s="15"/>
      <c r="QOJ1114" s="15"/>
      <c r="QOM1114" s="15"/>
      <c r="QON1114" s="15"/>
      <c r="QOQ1114" s="15"/>
      <c r="QOR1114" s="15"/>
      <c r="QOU1114" s="15"/>
      <c r="QOV1114" s="15"/>
      <c r="QOY1114" s="15"/>
      <c r="QOZ1114" s="15"/>
      <c r="QPC1114" s="15"/>
      <c r="QPD1114" s="15"/>
      <c r="QPG1114" s="15"/>
      <c r="QPH1114" s="15"/>
      <c r="QPK1114" s="15"/>
      <c r="QPL1114" s="15"/>
      <c r="QPO1114" s="15"/>
      <c r="QPP1114" s="15"/>
      <c r="QPS1114" s="15"/>
      <c r="QPT1114" s="15"/>
      <c r="QPW1114" s="15"/>
      <c r="QPX1114" s="15"/>
      <c r="QQA1114" s="15"/>
      <c r="QQB1114" s="15"/>
      <c r="QQE1114" s="15"/>
      <c r="QQF1114" s="15"/>
      <c r="QQI1114" s="15"/>
      <c r="QQJ1114" s="15"/>
      <c r="QQM1114" s="15"/>
      <c r="QQN1114" s="15"/>
      <c r="QQQ1114" s="15"/>
      <c r="QQR1114" s="15"/>
      <c r="QQU1114" s="15"/>
      <c r="QQV1114" s="15"/>
      <c r="QQY1114" s="15"/>
      <c r="QQZ1114" s="15"/>
      <c r="QRC1114" s="15"/>
      <c r="QRD1114" s="15"/>
      <c r="QRG1114" s="15"/>
      <c r="QRH1114" s="15"/>
      <c r="QRK1114" s="15"/>
      <c r="QRL1114" s="15"/>
      <c r="QRO1114" s="15"/>
      <c r="QRP1114" s="15"/>
      <c r="QRS1114" s="15"/>
      <c r="QRT1114" s="15"/>
      <c r="QRW1114" s="15"/>
      <c r="QRX1114" s="15"/>
      <c r="QSA1114" s="15"/>
      <c r="QSB1114" s="15"/>
      <c r="QSE1114" s="15"/>
      <c r="QSF1114" s="15"/>
      <c r="QSI1114" s="15"/>
      <c r="QSJ1114" s="15"/>
      <c r="QSM1114" s="15"/>
      <c r="QSN1114" s="15"/>
      <c r="QSQ1114" s="15"/>
      <c r="QSR1114" s="15"/>
      <c r="QSU1114" s="15"/>
      <c r="QSV1114" s="15"/>
      <c r="QSY1114" s="15"/>
      <c r="QSZ1114" s="15"/>
      <c r="QTC1114" s="15"/>
      <c r="QTD1114" s="15"/>
      <c r="QTG1114" s="15"/>
      <c r="QTH1114" s="15"/>
      <c r="QTK1114" s="15"/>
      <c r="QTL1114" s="15"/>
      <c r="QTO1114" s="15"/>
      <c r="QTP1114" s="15"/>
      <c r="QTS1114" s="15"/>
      <c r="QTT1114" s="15"/>
      <c r="QTW1114" s="15"/>
      <c r="QTX1114" s="15"/>
      <c r="QUA1114" s="15"/>
      <c r="QUB1114" s="15"/>
      <c r="QUE1114" s="15"/>
      <c r="QUF1114" s="15"/>
      <c r="QUI1114" s="15"/>
      <c r="QUJ1114" s="15"/>
      <c r="QUM1114" s="15"/>
      <c r="QUN1114" s="15"/>
      <c r="QUQ1114" s="15"/>
      <c r="QUR1114" s="15"/>
      <c r="QUU1114" s="15"/>
      <c r="QUV1114" s="15"/>
      <c r="QUY1114" s="15"/>
      <c r="QUZ1114" s="15"/>
      <c r="QVC1114" s="15"/>
      <c r="QVD1114" s="15"/>
      <c r="QVG1114" s="15"/>
      <c r="QVH1114" s="15"/>
      <c r="QVK1114" s="15"/>
      <c r="QVL1114" s="15"/>
      <c r="QVO1114" s="15"/>
      <c r="QVP1114" s="15"/>
      <c r="QVS1114" s="15"/>
      <c r="QVT1114" s="15"/>
      <c r="QVW1114" s="15"/>
      <c r="QVX1114" s="15"/>
      <c r="QWA1114" s="15"/>
      <c r="QWB1114" s="15"/>
      <c r="QWE1114" s="15"/>
      <c r="QWF1114" s="15"/>
      <c r="QWI1114" s="15"/>
      <c r="QWJ1114" s="15"/>
      <c r="QWM1114" s="15"/>
      <c r="QWN1114" s="15"/>
      <c r="QWQ1114" s="15"/>
      <c r="QWR1114" s="15"/>
      <c r="QWU1114" s="15"/>
      <c r="QWV1114" s="15"/>
      <c r="QWY1114" s="15"/>
      <c r="QWZ1114" s="15"/>
      <c r="QXC1114" s="15"/>
      <c r="QXD1114" s="15"/>
      <c r="QXG1114" s="15"/>
      <c r="QXH1114" s="15"/>
      <c r="QXK1114" s="15"/>
      <c r="QXL1114" s="15"/>
      <c r="QXO1114" s="15"/>
      <c r="QXP1114" s="15"/>
      <c r="QXS1114" s="15"/>
      <c r="QXT1114" s="15"/>
      <c r="QXW1114" s="15"/>
      <c r="QXX1114" s="15"/>
      <c r="QYA1114" s="15"/>
      <c r="QYB1114" s="15"/>
      <c r="QYE1114" s="15"/>
      <c r="QYF1114" s="15"/>
      <c r="QYI1114" s="15"/>
      <c r="QYJ1114" s="15"/>
      <c r="QYM1114" s="15"/>
      <c r="QYN1114" s="15"/>
      <c r="QYQ1114" s="15"/>
      <c r="QYR1114" s="15"/>
      <c r="QYU1114" s="15"/>
      <c r="QYV1114" s="15"/>
      <c r="QYY1114" s="15"/>
      <c r="QYZ1114" s="15"/>
      <c r="QZC1114" s="15"/>
      <c r="QZD1114" s="15"/>
      <c r="QZG1114" s="15"/>
      <c r="QZH1114" s="15"/>
      <c r="QZK1114" s="15"/>
      <c r="QZL1114" s="15"/>
      <c r="QZO1114" s="15"/>
      <c r="QZP1114" s="15"/>
      <c r="QZS1114" s="15"/>
      <c r="QZT1114" s="15"/>
      <c r="QZW1114" s="15"/>
      <c r="QZX1114" s="15"/>
      <c r="RAA1114" s="15"/>
      <c r="RAB1114" s="15"/>
      <c r="RAE1114" s="15"/>
      <c r="RAF1114" s="15"/>
      <c r="RAI1114" s="15"/>
      <c r="RAJ1114" s="15"/>
      <c r="RAM1114" s="15"/>
      <c r="RAN1114" s="15"/>
      <c r="RAQ1114" s="15"/>
      <c r="RAR1114" s="15"/>
      <c r="RAU1114" s="15"/>
      <c r="RAV1114" s="15"/>
      <c r="RAY1114" s="15"/>
      <c r="RAZ1114" s="15"/>
      <c r="RBC1114" s="15"/>
      <c r="RBD1114" s="15"/>
      <c r="RBG1114" s="15"/>
      <c r="RBH1114" s="15"/>
      <c r="RBK1114" s="15"/>
      <c r="RBL1114" s="15"/>
      <c r="RBO1114" s="15"/>
      <c r="RBP1114" s="15"/>
      <c r="RBS1114" s="15"/>
      <c r="RBT1114" s="15"/>
      <c r="RBW1114" s="15"/>
      <c r="RBX1114" s="15"/>
      <c r="RCA1114" s="15"/>
      <c r="RCB1114" s="15"/>
      <c r="RCE1114" s="15"/>
      <c r="RCF1114" s="15"/>
      <c r="RCI1114" s="15"/>
      <c r="RCJ1114" s="15"/>
      <c r="RCM1114" s="15"/>
      <c r="RCN1114" s="15"/>
      <c r="RCQ1114" s="15"/>
      <c r="RCR1114" s="15"/>
      <c r="RCU1114" s="15"/>
      <c r="RCV1114" s="15"/>
      <c r="RCY1114" s="15"/>
      <c r="RCZ1114" s="15"/>
      <c r="RDC1114" s="15"/>
      <c r="RDD1114" s="15"/>
      <c r="RDG1114" s="15"/>
      <c r="RDH1114" s="15"/>
      <c r="RDK1114" s="15"/>
      <c r="RDL1114" s="15"/>
      <c r="RDO1114" s="15"/>
      <c r="RDP1114" s="15"/>
      <c r="RDS1114" s="15"/>
      <c r="RDT1114" s="15"/>
      <c r="RDW1114" s="15"/>
      <c r="RDX1114" s="15"/>
      <c r="REA1114" s="15"/>
      <c r="REB1114" s="15"/>
      <c r="REE1114" s="15"/>
      <c r="REF1114" s="15"/>
      <c r="REI1114" s="15"/>
      <c r="REJ1114" s="15"/>
      <c r="REM1114" s="15"/>
      <c r="REN1114" s="15"/>
      <c r="REQ1114" s="15"/>
      <c r="RER1114" s="15"/>
      <c r="REU1114" s="15"/>
      <c r="REV1114" s="15"/>
      <c r="REY1114" s="15"/>
      <c r="REZ1114" s="15"/>
      <c r="RFC1114" s="15"/>
      <c r="RFD1114" s="15"/>
      <c r="RFG1114" s="15"/>
      <c r="RFH1114" s="15"/>
      <c r="RFK1114" s="15"/>
      <c r="RFL1114" s="15"/>
      <c r="RFO1114" s="15"/>
      <c r="RFP1114" s="15"/>
      <c r="RFS1114" s="15"/>
      <c r="RFT1114" s="15"/>
      <c r="RFW1114" s="15"/>
      <c r="RFX1114" s="15"/>
      <c r="RGA1114" s="15"/>
      <c r="RGB1114" s="15"/>
      <c r="RGE1114" s="15"/>
      <c r="RGF1114" s="15"/>
      <c r="RGI1114" s="15"/>
      <c r="RGJ1114" s="15"/>
      <c r="RGM1114" s="15"/>
      <c r="RGN1114" s="15"/>
      <c r="RGQ1114" s="15"/>
      <c r="RGR1114" s="15"/>
      <c r="RGU1114" s="15"/>
      <c r="RGV1114" s="15"/>
      <c r="RGY1114" s="15"/>
      <c r="RGZ1114" s="15"/>
      <c r="RHC1114" s="15"/>
      <c r="RHD1114" s="15"/>
      <c r="RHG1114" s="15"/>
      <c r="RHH1114" s="15"/>
      <c r="RHK1114" s="15"/>
      <c r="RHL1114" s="15"/>
      <c r="RHO1114" s="15"/>
      <c r="RHP1114" s="15"/>
      <c r="RHS1114" s="15"/>
      <c r="RHT1114" s="15"/>
      <c r="RHW1114" s="15"/>
      <c r="RHX1114" s="15"/>
      <c r="RIA1114" s="15"/>
      <c r="RIB1114" s="15"/>
      <c r="RIE1114" s="15"/>
      <c r="RIF1114" s="15"/>
      <c r="RII1114" s="15"/>
      <c r="RIJ1114" s="15"/>
      <c r="RIM1114" s="15"/>
      <c r="RIN1114" s="15"/>
      <c r="RIQ1114" s="15"/>
      <c r="RIR1114" s="15"/>
      <c r="RIU1114" s="15"/>
      <c r="RIV1114" s="15"/>
      <c r="RIY1114" s="15"/>
      <c r="RIZ1114" s="15"/>
      <c r="RJC1114" s="15"/>
      <c r="RJD1114" s="15"/>
      <c r="RJG1114" s="15"/>
      <c r="RJH1114" s="15"/>
      <c r="RJK1114" s="15"/>
      <c r="RJL1114" s="15"/>
      <c r="RJO1114" s="15"/>
      <c r="RJP1114" s="15"/>
      <c r="RJS1114" s="15"/>
      <c r="RJT1114" s="15"/>
      <c r="RJW1114" s="15"/>
      <c r="RJX1114" s="15"/>
      <c r="RKA1114" s="15"/>
      <c r="RKB1114" s="15"/>
      <c r="RKE1114" s="15"/>
      <c r="RKF1114" s="15"/>
      <c r="RKI1114" s="15"/>
      <c r="RKJ1114" s="15"/>
      <c r="RKM1114" s="15"/>
      <c r="RKN1114" s="15"/>
      <c r="RKQ1114" s="15"/>
      <c r="RKR1114" s="15"/>
      <c r="RKU1114" s="15"/>
      <c r="RKV1114" s="15"/>
      <c r="RKY1114" s="15"/>
      <c r="RKZ1114" s="15"/>
      <c r="RLC1114" s="15"/>
      <c r="RLD1114" s="15"/>
      <c r="RLG1114" s="15"/>
      <c r="RLH1114" s="15"/>
      <c r="RLK1114" s="15"/>
      <c r="RLL1114" s="15"/>
      <c r="RLO1114" s="15"/>
      <c r="RLP1114" s="15"/>
      <c r="RLS1114" s="15"/>
      <c r="RLT1114" s="15"/>
      <c r="RLW1114" s="15"/>
      <c r="RLX1114" s="15"/>
      <c r="RMA1114" s="15"/>
      <c r="RMB1114" s="15"/>
      <c r="RME1114" s="15"/>
      <c r="RMF1114" s="15"/>
      <c r="RMI1114" s="15"/>
      <c r="RMJ1114" s="15"/>
      <c r="RMM1114" s="15"/>
      <c r="RMN1114" s="15"/>
      <c r="RMQ1114" s="15"/>
      <c r="RMR1114" s="15"/>
      <c r="RMU1114" s="15"/>
      <c r="RMV1114" s="15"/>
      <c r="RMY1114" s="15"/>
      <c r="RMZ1114" s="15"/>
      <c r="RNC1114" s="15"/>
      <c r="RND1114" s="15"/>
      <c r="RNG1114" s="15"/>
      <c r="RNH1114" s="15"/>
      <c r="RNK1114" s="15"/>
      <c r="RNL1114" s="15"/>
      <c r="RNO1114" s="15"/>
      <c r="RNP1114" s="15"/>
      <c r="RNS1114" s="15"/>
      <c r="RNT1114" s="15"/>
      <c r="RNW1114" s="15"/>
      <c r="RNX1114" s="15"/>
      <c r="ROA1114" s="15"/>
      <c r="ROB1114" s="15"/>
      <c r="ROE1114" s="15"/>
      <c r="ROF1114" s="15"/>
      <c r="ROI1114" s="15"/>
      <c r="ROJ1114" s="15"/>
      <c r="ROM1114" s="15"/>
      <c r="RON1114" s="15"/>
      <c r="ROQ1114" s="15"/>
      <c r="ROR1114" s="15"/>
      <c r="ROU1114" s="15"/>
      <c r="ROV1114" s="15"/>
      <c r="ROY1114" s="15"/>
      <c r="ROZ1114" s="15"/>
      <c r="RPC1114" s="15"/>
      <c r="RPD1114" s="15"/>
      <c r="RPG1114" s="15"/>
      <c r="RPH1114" s="15"/>
      <c r="RPK1114" s="15"/>
      <c r="RPL1114" s="15"/>
      <c r="RPO1114" s="15"/>
      <c r="RPP1114" s="15"/>
      <c r="RPS1114" s="15"/>
      <c r="RPT1114" s="15"/>
      <c r="RPW1114" s="15"/>
      <c r="RPX1114" s="15"/>
      <c r="RQA1114" s="15"/>
      <c r="RQB1114" s="15"/>
      <c r="RQE1114" s="15"/>
      <c r="RQF1114" s="15"/>
      <c r="RQI1114" s="15"/>
      <c r="RQJ1114" s="15"/>
      <c r="RQM1114" s="15"/>
      <c r="RQN1114" s="15"/>
      <c r="RQQ1114" s="15"/>
      <c r="RQR1114" s="15"/>
      <c r="RQU1114" s="15"/>
      <c r="RQV1114" s="15"/>
      <c r="RQY1114" s="15"/>
      <c r="RQZ1114" s="15"/>
      <c r="RRC1114" s="15"/>
      <c r="RRD1114" s="15"/>
      <c r="RRG1114" s="15"/>
      <c r="RRH1114" s="15"/>
      <c r="RRK1114" s="15"/>
      <c r="RRL1114" s="15"/>
      <c r="RRO1114" s="15"/>
      <c r="RRP1114" s="15"/>
      <c r="RRS1114" s="15"/>
      <c r="RRT1114" s="15"/>
      <c r="RRW1114" s="15"/>
      <c r="RRX1114" s="15"/>
      <c r="RSA1114" s="15"/>
      <c r="RSB1114" s="15"/>
      <c r="RSE1114" s="15"/>
      <c r="RSF1114" s="15"/>
      <c r="RSI1114" s="15"/>
      <c r="RSJ1114" s="15"/>
      <c r="RSM1114" s="15"/>
      <c r="RSN1114" s="15"/>
      <c r="RSQ1114" s="15"/>
      <c r="RSR1114" s="15"/>
      <c r="RSU1114" s="15"/>
      <c r="RSV1114" s="15"/>
      <c r="RSY1114" s="15"/>
      <c r="RSZ1114" s="15"/>
      <c r="RTC1114" s="15"/>
      <c r="RTD1114" s="15"/>
      <c r="RTG1114" s="15"/>
      <c r="RTH1114" s="15"/>
      <c r="RTK1114" s="15"/>
      <c r="RTL1114" s="15"/>
      <c r="RTO1114" s="15"/>
      <c r="RTP1114" s="15"/>
      <c r="RTS1114" s="15"/>
      <c r="RTT1114" s="15"/>
      <c r="RTW1114" s="15"/>
      <c r="RTX1114" s="15"/>
      <c r="RUA1114" s="15"/>
      <c r="RUB1114" s="15"/>
      <c r="RUE1114" s="15"/>
      <c r="RUF1114" s="15"/>
      <c r="RUI1114" s="15"/>
      <c r="RUJ1114" s="15"/>
      <c r="RUM1114" s="15"/>
      <c r="RUN1114" s="15"/>
      <c r="RUQ1114" s="15"/>
      <c r="RUR1114" s="15"/>
      <c r="RUU1114" s="15"/>
      <c r="RUV1114" s="15"/>
      <c r="RUY1114" s="15"/>
      <c r="RUZ1114" s="15"/>
      <c r="RVC1114" s="15"/>
      <c r="RVD1114" s="15"/>
      <c r="RVG1114" s="15"/>
      <c r="RVH1114" s="15"/>
      <c r="RVK1114" s="15"/>
      <c r="RVL1114" s="15"/>
      <c r="RVO1114" s="15"/>
      <c r="RVP1114" s="15"/>
      <c r="RVS1114" s="15"/>
      <c r="RVT1114" s="15"/>
      <c r="RVW1114" s="15"/>
      <c r="RVX1114" s="15"/>
      <c r="RWA1114" s="15"/>
      <c r="RWB1114" s="15"/>
      <c r="RWE1114" s="15"/>
      <c r="RWF1114" s="15"/>
      <c r="RWI1114" s="15"/>
      <c r="RWJ1114" s="15"/>
      <c r="RWM1114" s="15"/>
      <c r="RWN1114" s="15"/>
      <c r="RWQ1114" s="15"/>
      <c r="RWR1114" s="15"/>
      <c r="RWU1114" s="15"/>
      <c r="RWV1114" s="15"/>
      <c r="RWY1114" s="15"/>
      <c r="RWZ1114" s="15"/>
      <c r="RXC1114" s="15"/>
      <c r="RXD1114" s="15"/>
      <c r="RXG1114" s="15"/>
      <c r="RXH1114" s="15"/>
      <c r="RXK1114" s="15"/>
      <c r="RXL1114" s="15"/>
      <c r="RXO1114" s="15"/>
      <c r="RXP1114" s="15"/>
      <c r="RXS1114" s="15"/>
      <c r="RXT1114" s="15"/>
      <c r="RXW1114" s="15"/>
      <c r="RXX1114" s="15"/>
      <c r="RYA1114" s="15"/>
      <c r="RYB1114" s="15"/>
      <c r="RYE1114" s="15"/>
      <c r="RYF1114" s="15"/>
      <c r="RYI1114" s="15"/>
      <c r="RYJ1114" s="15"/>
      <c r="RYM1114" s="15"/>
      <c r="RYN1114" s="15"/>
      <c r="RYQ1114" s="15"/>
      <c r="RYR1114" s="15"/>
      <c r="RYU1114" s="15"/>
      <c r="RYV1114" s="15"/>
      <c r="RYY1114" s="15"/>
      <c r="RYZ1114" s="15"/>
      <c r="RZC1114" s="15"/>
      <c r="RZD1114" s="15"/>
      <c r="RZG1114" s="15"/>
      <c r="RZH1114" s="15"/>
      <c r="RZK1114" s="15"/>
      <c r="RZL1114" s="15"/>
      <c r="RZO1114" s="15"/>
      <c r="RZP1114" s="15"/>
      <c r="RZS1114" s="15"/>
      <c r="RZT1114" s="15"/>
      <c r="RZW1114" s="15"/>
      <c r="RZX1114" s="15"/>
      <c r="SAA1114" s="15"/>
      <c r="SAB1114" s="15"/>
      <c r="SAE1114" s="15"/>
      <c r="SAF1114" s="15"/>
      <c r="SAI1114" s="15"/>
      <c r="SAJ1114" s="15"/>
      <c r="SAM1114" s="15"/>
      <c r="SAN1114" s="15"/>
      <c r="SAQ1114" s="15"/>
      <c r="SAR1114" s="15"/>
      <c r="SAU1114" s="15"/>
      <c r="SAV1114" s="15"/>
      <c r="SAY1114" s="15"/>
      <c r="SAZ1114" s="15"/>
      <c r="SBC1114" s="15"/>
      <c r="SBD1114" s="15"/>
      <c r="SBG1114" s="15"/>
      <c r="SBH1114" s="15"/>
      <c r="SBK1114" s="15"/>
      <c r="SBL1114" s="15"/>
      <c r="SBO1114" s="15"/>
      <c r="SBP1114" s="15"/>
      <c r="SBS1114" s="15"/>
      <c r="SBT1114" s="15"/>
      <c r="SBW1114" s="15"/>
      <c r="SBX1114" s="15"/>
      <c r="SCA1114" s="15"/>
      <c r="SCB1114" s="15"/>
      <c r="SCE1114" s="15"/>
      <c r="SCF1114" s="15"/>
      <c r="SCI1114" s="15"/>
      <c r="SCJ1114" s="15"/>
      <c r="SCM1114" s="15"/>
      <c r="SCN1114" s="15"/>
      <c r="SCQ1114" s="15"/>
      <c r="SCR1114" s="15"/>
      <c r="SCU1114" s="15"/>
      <c r="SCV1114" s="15"/>
      <c r="SCY1114" s="15"/>
      <c r="SCZ1114" s="15"/>
      <c r="SDC1114" s="15"/>
      <c r="SDD1114" s="15"/>
      <c r="SDG1114" s="15"/>
      <c r="SDH1114" s="15"/>
      <c r="SDK1114" s="15"/>
      <c r="SDL1114" s="15"/>
      <c r="SDO1114" s="15"/>
      <c r="SDP1114" s="15"/>
      <c r="SDS1114" s="15"/>
      <c r="SDT1114" s="15"/>
      <c r="SDW1114" s="15"/>
      <c r="SDX1114" s="15"/>
      <c r="SEA1114" s="15"/>
      <c r="SEB1114" s="15"/>
      <c r="SEE1114" s="15"/>
      <c r="SEF1114" s="15"/>
      <c r="SEI1114" s="15"/>
      <c r="SEJ1114" s="15"/>
      <c r="SEM1114" s="15"/>
      <c r="SEN1114" s="15"/>
      <c r="SEQ1114" s="15"/>
      <c r="SER1114" s="15"/>
      <c r="SEU1114" s="15"/>
      <c r="SEV1114" s="15"/>
      <c r="SEY1114" s="15"/>
      <c r="SEZ1114" s="15"/>
      <c r="SFC1114" s="15"/>
      <c r="SFD1114" s="15"/>
      <c r="SFG1114" s="15"/>
      <c r="SFH1114" s="15"/>
      <c r="SFK1114" s="15"/>
      <c r="SFL1114" s="15"/>
      <c r="SFO1114" s="15"/>
      <c r="SFP1114" s="15"/>
      <c r="SFS1114" s="15"/>
      <c r="SFT1114" s="15"/>
      <c r="SFW1114" s="15"/>
      <c r="SFX1114" s="15"/>
      <c r="SGA1114" s="15"/>
      <c r="SGB1114" s="15"/>
      <c r="SGE1114" s="15"/>
      <c r="SGF1114" s="15"/>
      <c r="SGI1114" s="15"/>
      <c r="SGJ1114" s="15"/>
      <c r="SGM1114" s="15"/>
      <c r="SGN1114" s="15"/>
      <c r="SGQ1114" s="15"/>
      <c r="SGR1114" s="15"/>
      <c r="SGU1114" s="15"/>
      <c r="SGV1114" s="15"/>
      <c r="SGY1114" s="15"/>
      <c r="SGZ1114" s="15"/>
      <c r="SHC1114" s="15"/>
      <c r="SHD1114" s="15"/>
      <c r="SHG1114" s="15"/>
      <c r="SHH1114" s="15"/>
      <c r="SHK1114" s="15"/>
      <c r="SHL1114" s="15"/>
      <c r="SHO1114" s="15"/>
      <c r="SHP1114" s="15"/>
      <c r="SHS1114" s="15"/>
      <c r="SHT1114" s="15"/>
      <c r="SHW1114" s="15"/>
      <c r="SHX1114" s="15"/>
      <c r="SIA1114" s="15"/>
      <c r="SIB1114" s="15"/>
      <c r="SIE1114" s="15"/>
      <c r="SIF1114" s="15"/>
      <c r="SII1114" s="15"/>
      <c r="SIJ1114" s="15"/>
      <c r="SIM1114" s="15"/>
      <c r="SIN1114" s="15"/>
      <c r="SIQ1114" s="15"/>
      <c r="SIR1114" s="15"/>
      <c r="SIU1114" s="15"/>
      <c r="SIV1114" s="15"/>
      <c r="SIY1114" s="15"/>
      <c r="SIZ1114" s="15"/>
      <c r="SJC1114" s="15"/>
      <c r="SJD1114" s="15"/>
      <c r="SJG1114" s="15"/>
      <c r="SJH1114" s="15"/>
      <c r="SJK1114" s="15"/>
      <c r="SJL1114" s="15"/>
      <c r="SJO1114" s="15"/>
      <c r="SJP1114" s="15"/>
      <c r="SJS1114" s="15"/>
      <c r="SJT1114" s="15"/>
      <c r="SJW1114" s="15"/>
      <c r="SJX1114" s="15"/>
      <c r="SKA1114" s="15"/>
      <c r="SKB1114" s="15"/>
      <c r="SKE1114" s="15"/>
      <c r="SKF1114" s="15"/>
      <c r="SKI1114" s="15"/>
      <c r="SKJ1114" s="15"/>
      <c r="SKM1114" s="15"/>
      <c r="SKN1114" s="15"/>
      <c r="SKQ1114" s="15"/>
      <c r="SKR1114" s="15"/>
      <c r="SKU1114" s="15"/>
      <c r="SKV1114" s="15"/>
      <c r="SKY1114" s="15"/>
      <c r="SKZ1114" s="15"/>
      <c r="SLC1114" s="15"/>
      <c r="SLD1114" s="15"/>
      <c r="SLG1114" s="15"/>
      <c r="SLH1114" s="15"/>
      <c r="SLK1114" s="15"/>
      <c r="SLL1114" s="15"/>
      <c r="SLO1114" s="15"/>
      <c r="SLP1114" s="15"/>
      <c r="SLS1114" s="15"/>
      <c r="SLT1114" s="15"/>
      <c r="SLW1114" s="15"/>
      <c r="SLX1114" s="15"/>
      <c r="SMA1114" s="15"/>
      <c r="SMB1114" s="15"/>
      <c r="SME1114" s="15"/>
      <c r="SMF1114" s="15"/>
      <c r="SMI1114" s="15"/>
      <c r="SMJ1114" s="15"/>
      <c r="SMM1114" s="15"/>
      <c r="SMN1114" s="15"/>
      <c r="SMQ1114" s="15"/>
      <c r="SMR1114" s="15"/>
      <c r="SMU1114" s="15"/>
      <c r="SMV1114" s="15"/>
      <c r="SMY1114" s="15"/>
      <c r="SMZ1114" s="15"/>
      <c r="SNC1114" s="15"/>
      <c r="SND1114" s="15"/>
      <c r="SNG1114" s="15"/>
      <c r="SNH1114" s="15"/>
      <c r="SNK1114" s="15"/>
      <c r="SNL1114" s="15"/>
      <c r="SNO1114" s="15"/>
      <c r="SNP1114" s="15"/>
      <c r="SNS1114" s="15"/>
      <c r="SNT1114" s="15"/>
      <c r="SNW1114" s="15"/>
      <c r="SNX1114" s="15"/>
      <c r="SOA1114" s="15"/>
      <c r="SOB1114" s="15"/>
      <c r="SOE1114" s="15"/>
      <c r="SOF1114" s="15"/>
      <c r="SOI1114" s="15"/>
      <c r="SOJ1114" s="15"/>
      <c r="SOM1114" s="15"/>
      <c r="SON1114" s="15"/>
      <c r="SOQ1114" s="15"/>
      <c r="SOR1114" s="15"/>
      <c r="SOU1114" s="15"/>
      <c r="SOV1114" s="15"/>
      <c r="SOY1114" s="15"/>
      <c r="SOZ1114" s="15"/>
      <c r="SPC1114" s="15"/>
      <c r="SPD1114" s="15"/>
      <c r="SPG1114" s="15"/>
      <c r="SPH1114" s="15"/>
      <c r="SPK1114" s="15"/>
      <c r="SPL1114" s="15"/>
      <c r="SPO1114" s="15"/>
      <c r="SPP1114" s="15"/>
      <c r="SPS1114" s="15"/>
      <c r="SPT1114" s="15"/>
      <c r="SPW1114" s="15"/>
      <c r="SPX1114" s="15"/>
      <c r="SQA1114" s="15"/>
      <c r="SQB1114" s="15"/>
      <c r="SQE1114" s="15"/>
      <c r="SQF1114" s="15"/>
      <c r="SQI1114" s="15"/>
      <c r="SQJ1114" s="15"/>
      <c r="SQM1114" s="15"/>
      <c r="SQN1114" s="15"/>
      <c r="SQQ1114" s="15"/>
      <c r="SQR1114" s="15"/>
      <c r="SQU1114" s="15"/>
      <c r="SQV1114" s="15"/>
      <c r="SQY1114" s="15"/>
      <c r="SQZ1114" s="15"/>
      <c r="SRC1114" s="15"/>
      <c r="SRD1114" s="15"/>
      <c r="SRG1114" s="15"/>
      <c r="SRH1114" s="15"/>
      <c r="SRK1114" s="15"/>
      <c r="SRL1114" s="15"/>
      <c r="SRO1114" s="15"/>
      <c r="SRP1114" s="15"/>
      <c r="SRS1114" s="15"/>
      <c r="SRT1114" s="15"/>
      <c r="SRW1114" s="15"/>
      <c r="SRX1114" s="15"/>
      <c r="SSA1114" s="15"/>
      <c r="SSB1114" s="15"/>
      <c r="SSE1114" s="15"/>
      <c r="SSF1114" s="15"/>
      <c r="SSI1114" s="15"/>
      <c r="SSJ1114" s="15"/>
      <c r="SSM1114" s="15"/>
      <c r="SSN1114" s="15"/>
      <c r="SSQ1114" s="15"/>
      <c r="SSR1114" s="15"/>
      <c r="SSU1114" s="15"/>
      <c r="SSV1114" s="15"/>
      <c r="SSY1114" s="15"/>
      <c r="SSZ1114" s="15"/>
      <c r="STC1114" s="15"/>
      <c r="STD1114" s="15"/>
      <c r="STG1114" s="15"/>
      <c r="STH1114" s="15"/>
      <c r="STK1114" s="15"/>
      <c r="STL1114" s="15"/>
      <c r="STO1114" s="15"/>
      <c r="STP1114" s="15"/>
      <c r="STS1114" s="15"/>
      <c r="STT1114" s="15"/>
      <c r="STW1114" s="15"/>
      <c r="STX1114" s="15"/>
      <c r="SUA1114" s="15"/>
      <c r="SUB1114" s="15"/>
      <c r="SUE1114" s="15"/>
      <c r="SUF1114" s="15"/>
      <c r="SUI1114" s="15"/>
      <c r="SUJ1114" s="15"/>
      <c r="SUM1114" s="15"/>
      <c r="SUN1114" s="15"/>
      <c r="SUQ1114" s="15"/>
      <c r="SUR1114" s="15"/>
      <c r="SUU1114" s="15"/>
      <c r="SUV1114" s="15"/>
      <c r="SUY1114" s="15"/>
      <c r="SUZ1114" s="15"/>
      <c r="SVC1114" s="15"/>
      <c r="SVD1114" s="15"/>
      <c r="SVG1114" s="15"/>
      <c r="SVH1114" s="15"/>
      <c r="SVK1114" s="15"/>
      <c r="SVL1114" s="15"/>
      <c r="SVO1114" s="15"/>
      <c r="SVP1114" s="15"/>
      <c r="SVS1114" s="15"/>
      <c r="SVT1114" s="15"/>
      <c r="SVW1114" s="15"/>
      <c r="SVX1114" s="15"/>
      <c r="SWA1114" s="15"/>
      <c r="SWB1114" s="15"/>
      <c r="SWE1114" s="15"/>
      <c r="SWF1114" s="15"/>
      <c r="SWI1114" s="15"/>
      <c r="SWJ1114" s="15"/>
      <c r="SWM1114" s="15"/>
      <c r="SWN1114" s="15"/>
      <c r="SWQ1114" s="15"/>
      <c r="SWR1114" s="15"/>
      <c r="SWU1114" s="15"/>
      <c r="SWV1114" s="15"/>
      <c r="SWY1114" s="15"/>
      <c r="SWZ1114" s="15"/>
      <c r="SXC1114" s="15"/>
      <c r="SXD1114" s="15"/>
      <c r="SXG1114" s="15"/>
      <c r="SXH1114" s="15"/>
      <c r="SXK1114" s="15"/>
      <c r="SXL1114" s="15"/>
      <c r="SXO1114" s="15"/>
      <c r="SXP1114" s="15"/>
      <c r="SXS1114" s="15"/>
      <c r="SXT1114" s="15"/>
      <c r="SXW1114" s="15"/>
      <c r="SXX1114" s="15"/>
      <c r="SYA1114" s="15"/>
      <c r="SYB1114" s="15"/>
      <c r="SYE1114" s="15"/>
      <c r="SYF1114" s="15"/>
      <c r="SYI1114" s="15"/>
      <c r="SYJ1114" s="15"/>
      <c r="SYM1114" s="15"/>
      <c r="SYN1114" s="15"/>
      <c r="SYQ1114" s="15"/>
      <c r="SYR1114" s="15"/>
      <c r="SYU1114" s="15"/>
      <c r="SYV1114" s="15"/>
      <c r="SYY1114" s="15"/>
      <c r="SYZ1114" s="15"/>
      <c r="SZC1114" s="15"/>
      <c r="SZD1114" s="15"/>
      <c r="SZG1114" s="15"/>
      <c r="SZH1114" s="15"/>
      <c r="SZK1114" s="15"/>
      <c r="SZL1114" s="15"/>
      <c r="SZO1114" s="15"/>
      <c r="SZP1114" s="15"/>
      <c r="SZS1114" s="15"/>
      <c r="SZT1114" s="15"/>
      <c r="SZW1114" s="15"/>
      <c r="SZX1114" s="15"/>
      <c r="TAA1114" s="15"/>
      <c r="TAB1114" s="15"/>
      <c r="TAE1114" s="15"/>
      <c r="TAF1114" s="15"/>
      <c r="TAI1114" s="15"/>
      <c r="TAJ1114" s="15"/>
      <c r="TAM1114" s="15"/>
      <c r="TAN1114" s="15"/>
      <c r="TAQ1114" s="15"/>
      <c r="TAR1114" s="15"/>
      <c r="TAU1114" s="15"/>
      <c r="TAV1114" s="15"/>
      <c r="TAY1114" s="15"/>
      <c r="TAZ1114" s="15"/>
      <c r="TBC1114" s="15"/>
      <c r="TBD1114" s="15"/>
      <c r="TBG1114" s="15"/>
      <c r="TBH1114" s="15"/>
      <c r="TBK1114" s="15"/>
      <c r="TBL1114" s="15"/>
      <c r="TBO1114" s="15"/>
      <c r="TBP1114" s="15"/>
      <c r="TBS1114" s="15"/>
      <c r="TBT1114" s="15"/>
      <c r="TBW1114" s="15"/>
      <c r="TBX1114" s="15"/>
      <c r="TCA1114" s="15"/>
      <c r="TCB1114" s="15"/>
      <c r="TCE1114" s="15"/>
      <c r="TCF1114" s="15"/>
      <c r="TCI1114" s="15"/>
      <c r="TCJ1114" s="15"/>
      <c r="TCM1114" s="15"/>
      <c r="TCN1114" s="15"/>
      <c r="TCQ1114" s="15"/>
      <c r="TCR1114" s="15"/>
      <c r="TCU1114" s="15"/>
      <c r="TCV1114" s="15"/>
      <c r="TCY1114" s="15"/>
      <c r="TCZ1114" s="15"/>
      <c r="TDC1114" s="15"/>
      <c r="TDD1114" s="15"/>
      <c r="TDG1114" s="15"/>
      <c r="TDH1114" s="15"/>
      <c r="TDK1114" s="15"/>
      <c r="TDL1114" s="15"/>
      <c r="TDO1114" s="15"/>
      <c r="TDP1114" s="15"/>
      <c r="TDS1114" s="15"/>
      <c r="TDT1114" s="15"/>
      <c r="TDW1114" s="15"/>
      <c r="TDX1114" s="15"/>
      <c r="TEA1114" s="15"/>
      <c r="TEB1114" s="15"/>
      <c r="TEE1114" s="15"/>
      <c r="TEF1114" s="15"/>
      <c r="TEI1114" s="15"/>
      <c r="TEJ1114" s="15"/>
      <c r="TEM1114" s="15"/>
      <c r="TEN1114" s="15"/>
      <c r="TEQ1114" s="15"/>
      <c r="TER1114" s="15"/>
      <c r="TEU1114" s="15"/>
      <c r="TEV1114" s="15"/>
      <c r="TEY1114" s="15"/>
      <c r="TEZ1114" s="15"/>
      <c r="TFC1114" s="15"/>
      <c r="TFD1114" s="15"/>
      <c r="TFG1114" s="15"/>
      <c r="TFH1114" s="15"/>
      <c r="TFK1114" s="15"/>
      <c r="TFL1114" s="15"/>
      <c r="TFO1114" s="15"/>
      <c r="TFP1114" s="15"/>
      <c r="TFS1114" s="15"/>
      <c r="TFT1114" s="15"/>
      <c r="TFW1114" s="15"/>
      <c r="TFX1114" s="15"/>
      <c r="TGA1114" s="15"/>
      <c r="TGB1114" s="15"/>
      <c r="TGE1114" s="15"/>
      <c r="TGF1114" s="15"/>
      <c r="TGI1114" s="15"/>
      <c r="TGJ1114" s="15"/>
      <c r="TGM1114" s="15"/>
      <c r="TGN1114" s="15"/>
      <c r="TGQ1114" s="15"/>
      <c r="TGR1114" s="15"/>
      <c r="TGU1114" s="15"/>
      <c r="TGV1114" s="15"/>
      <c r="TGY1114" s="15"/>
      <c r="TGZ1114" s="15"/>
      <c r="THC1114" s="15"/>
      <c r="THD1114" s="15"/>
      <c r="THG1114" s="15"/>
      <c r="THH1114" s="15"/>
      <c r="THK1114" s="15"/>
      <c r="THL1114" s="15"/>
      <c r="THO1114" s="15"/>
      <c r="THP1114" s="15"/>
      <c r="THS1114" s="15"/>
      <c r="THT1114" s="15"/>
      <c r="THW1114" s="15"/>
      <c r="THX1114" s="15"/>
      <c r="TIA1114" s="15"/>
      <c r="TIB1114" s="15"/>
      <c r="TIE1114" s="15"/>
      <c r="TIF1114" s="15"/>
      <c r="TII1114" s="15"/>
      <c r="TIJ1114" s="15"/>
      <c r="TIM1114" s="15"/>
      <c r="TIN1114" s="15"/>
      <c r="TIQ1114" s="15"/>
      <c r="TIR1114" s="15"/>
      <c r="TIU1114" s="15"/>
      <c r="TIV1114" s="15"/>
      <c r="TIY1114" s="15"/>
      <c r="TIZ1114" s="15"/>
      <c r="TJC1114" s="15"/>
      <c r="TJD1114" s="15"/>
      <c r="TJG1114" s="15"/>
      <c r="TJH1114" s="15"/>
      <c r="TJK1114" s="15"/>
      <c r="TJL1114" s="15"/>
      <c r="TJO1114" s="15"/>
      <c r="TJP1114" s="15"/>
      <c r="TJS1114" s="15"/>
      <c r="TJT1114" s="15"/>
      <c r="TJW1114" s="15"/>
      <c r="TJX1114" s="15"/>
      <c r="TKA1114" s="15"/>
      <c r="TKB1114" s="15"/>
      <c r="TKE1114" s="15"/>
      <c r="TKF1114" s="15"/>
      <c r="TKI1114" s="15"/>
      <c r="TKJ1114" s="15"/>
      <c r="TKM1114" s="15"/>
      <c r="TKN1114" s="15"/>
      <c r="TKQ1114" s="15"/>
      <c r="TKR1114" s="15"/>
      <c r="TKU1114" s="15"/>
      <c r="TKV1114" s="15"/>
      <c r="TKY1114" s="15"/>
      <c r="TKZ1114" s="15"/>
      <c r="TLC1114" s="15"/>
      <c r="TLD1114" s="15"/>
      <c r="TLG1114" s="15"/>
      <c r="TLH1114" s="15"/>
      <c r="TLK1114" s="15"/>
      <c r="TLL1114" s="15"/>
      <c r="TLO1114" s="15"/>
      <c r="TLP1114" s="15"/>
      <c r="TLS1114" s="15"/>
      <c r="TLT1114" s="15"/>
      <c r="TLW1114" s="15"/>
      <c r="TLX1114" s="15"/>
      <c r="TMA1114" s="15"/>
      <c r="TMB1114" s="15"/>
      <c r="TME1114" s="15"/>
      <c r="TMF1114" s="15"/>
      <c r="TMI1114" s="15"/>
      <c r="TMJ1114" s="15"/>
      <c r="TMM1114" s="15"/>
      <c r="TMN1114" s="15"/>
      <c r="TMQ1114" s="15"/>
      <c r="TMR1114" s="15"/>
      <c r="TMU1114" s="15"/>
      <c r="TMV1114" s="15"/>
      <c r="TMY1114" s="15"/>
      <c r="TMZ1114" s="15"/>
      <c r="TNC1114" s="15"/>
      <c r="TND1114" s="15"/>
      <c r="TNG1114" s="15"/>
      <c r="TNH1114" s="15"/>
      <c r="TNK1114" s="15"/>
      <c r="TNL1114" s="15"/>
      <c r="TNO1114" s="15"/>
      <c r="TNP1114" s="15"/>
      <c r="TNS1114" s="15"/>
      <c r="TNT1114" s="15"/>
      <c r="TNW1114" s="15"/>
      <c r="TNX1114" s="15"/>
      <c r="TOA1114" s="15"/>
      <c r="TOB1114" s="15"/>
      <c r="TOE1114" s="15"/>
      <c r="TOF1114" s="15"/>
      <c r="TOI1114" s="15"/>
      <c r="TOJ1114" s="15"/>
      <c r="TOM1114" s="15"/>
      <c r="TON1114" s="15"/>
      <c r="TOQ1114" s="15"/>
      <c r="TOR1114" s="15"/>
      <c r="TOU1114" s="15"/>
      <c r="TOV1114" s="15"/>
      <c r="TOY1114" s="15"/>
      <c r="TOZ1114" s="15"/>
      <c r="TPC1114" s="15"/>
      <c r="TPD1114" s="15"/>
      <c r="TPG1114" s="15"/>
      <c r="TPH1114" s="15"/>
      <c r="TPK1114" s="15"/>
      <c r="TPL1114" s="15"/>
      <c r="TPO1114" s="15"/>
      <c r="TPP1114" s="15"/>
      <c r="TPS1114" s="15"/>
      <c r="TPT1114" s="15"/>
      <c r="TPW1114" s="15"/>
      <c r="TPX1114" s="15"/>
      <c r="TQA1114" s="15"/>
      <c r="TQB1114" s="15"/>
      <c r="TQE1114" s="15"/>
      <c r="TQF1114" s="15"/>
      <c r="TQI1114" s="15"/>
      <c r="TQJ1114" s="15"/>
      <c r="TQM1114" s="15"/>
      <c r="TQN1114" s="15"/>
      <c r="TQQ1114" s="15"/>
      <c r="TQR1114" s="15"/>
      <c r="TQU1114" s="15"/>
      <c r="TQV1114" s="15"/>
      <c r="TQY1114" s="15"/>
      <c r="TQZ1114" s="15"/>
      <c r="TRC1114" s="15"/>
      <c r="TRD1114" s="15"/>
      <c r="TRG1114" s="15"/>
      <c r="TRH1114" s="15"/>
      <c r="TRK1114" s="15"/>
      <c r="TRL1114" s="15"/>
      <c r="TRO1114" s="15"/>
      <c r="TRP1114" s="15"/>
      <c r="TRS1114" s="15"/>
      <c r="TRT1114" s="15"/>
      <c r="TRW1114" s="15"/>
      <c r="TRX1114" s="15"/>
      <c r="TSA1114" s="15"/>
      <c r="TSB1114" s="15"/>
      <c r="TSE1114" s="15"/>
      <c r="TSF1114" s="15"/>
      <c r="TSI1114" s="15"/>
      <c r="TSJ1114" s="15"/>
      <c r="TSM1114" s="15"/>
      <c r="TSN1114" s="15"/>
      <c r="TSQ1114" s="15"/>
      <c r="TSR1114" s="15"/>
      <c r="TSU1114" s="15"/>
      <c r="TSV1114" s="15"/>
      <c r="TSY1114" s="15"/>
      <c r="TSZ1114" s="15"/>
      <c r="TTC1114" s="15"/>
      <c r="TTD1114" s="15"/>
      <c r="TTG1114" s="15"/>
      <c r="TTH1114" s="15"/>
      <c r="TTK1114" s="15"/>
      <c r="TTL1114" s="15"/>
      <c r="TTO1114" s="15"/>
      <c r="TTP1114" s="15"/>
      <c r="TTS1114" s="15"/>
      <c r="TTT1114" s="15"/>
      <c r="TTW1114" s="15"/>
      <c r="TTX1114" s="15"/>
      <c r="TUA1114" s="15"/>
      <c r="TUB1114" s="15"/>
      <c r="TUE1114" s="15"/>
      <c r="TUF1114" s="15"/>
      <c r="TUI1114" s="15"/>
      <c r="TUJ1114" s="15"/>
      <c r="TUM1114" s="15"/>
      <c r="TUN1114" s="15"/>
      <c r="TUQ1114" s="15"/>
      <c r="TUR1114" s="15"/>
      <c r="TUU1114" s="15"/>
      <c r="TUV1114" s="15"/>
      <c r="TUY1114" s="15"/>
      <c r="TUZ1114" s="15"/>
      <c r="TVC1114" s="15"/>
      <c r="TVD1114" s="15"/>
      <c r="TVG1114" s="15"/>
      <c r="TVH1114" s="15"/>
      <c r="TVK1114" s="15"/>
      <c r="TVL1114" s="15"/>
      <c r="TVO1114" s="15"/>
      <c r="TVP1114" s="15"/>
      <c r="TVS1114" s="15"/>
      <c r="TVT1114" s="15"/>
      <c r="TVW1114" s="15"/>
      <c r="TVX1114" s="15"/>
      <c r="TWA1114" s="15"/>
      <c r="TWB1114" s="15"/>
      <c r="TWE1114" s="15"/>
      <c r="TWF1114" s="15"/>
      <c r="TWI1114" s="15"/>
      <c r="TWJ1114" s="15"/>
      <c r="TWM1114" s="15"/>
      <c r="TWN1114" s="15"/>
      <c r="TWQ1114" s="15"/>
      <c r="TWR1114" s="15"/>
      <c r="TWU1114" s="15"/>
      <c r="TWV1114" s="15"/>
      <c r="TWY1114" s="15"/>
      <c r="TWZ1114" s="15"/>
      <c r="TXC1114" s="15"/>
      <c r="TXD1114" s="15"/>
      <c r="TXG1114" s="15"/>
      <c r="TXH1114" s="15"/>
      <c r="TXK1114" s="15"/>
      <c r="TXL1114" s="15"/>
      <c r="TXO1114" s="15"/>
      <c r="TXP1114" s="15"/>
      <c r="TXS1114" s="15"/>
      <c r="TXT1114" s="15"/>
      <c r="TXW1114" s="15"/>
      <c r="TXX1114" s="15"/>
      <c r="TYA1114" s="15"/>
      <c r="TYB1114" s="15"/>
      <c r="TYE1114" s="15"/>
      <c r="TYF1114" s="15"/>
      <c r="TYI1114" s="15"/>
      <c r="TYJ1114" s="15"/>
      <c r="TYM1114" s="15"/>
      <c r="TYN1114" s="15"/>
      <c r="TYQ1114" s="15"/>
      <c r="TYR1114" s="15"/>
      <c r="TYU1114" s="15"/>
      <c r="TYV1114" s="15"/>
      <c r="TYY1114" s="15"/>
      <c r="TYZ1114" s="15"/>
      <c r="TZC1114" s="15"/>
      <c r="TZD1114" s="15"/>
      <c r="TZG1114" s="15"/>
      <c r="TZH1114" s="15"/>
      <c r="TZK1114" s="15"/>
      <c r="TZL1114" s="15"/>
      <c r="TZO1114" s="15"/>
      <c r="TZP1114" s="15"/>
      <c r="TZS1114" s="15"/>
      <c r="TZT1114" s="15"/>
      <c r="TZW1114" s="15"/>
      <c r="TZX1114" s="15"/>
      <c r="UAA1114" s="15"/>
      <c r="UAB1114" s="15"/>
      <c r="UAE1114" s="15"/>
      <c r="UAF1114" s="15"/>
      <c r="UAI1114" s="15"/>
      <c r="UAJ1114" s="15"/>
      <c r="UAM1114" s="15"/>
      <c r="UAN1114" s="15"/>
      <c r="UAQ1114" s="15"/>
      <c r="UAR1114" s="15"/>
      <c r="UAU1114" s="15"/>
      <c r="UAV1114" s="15"/>
      <c r="UAY1114" s="15"/>
      <c r="UAZ1114" s="15"/>
      <c r="UBC1114" s="15"/>
      <c r="UBD1114" s="15"/>
      <c r="UBG1114" s="15"/>
      <c r="UBH1114" s="15"/>
      <c r="UBK1114" s="15"/>
      <c r="UBL1114" s="15"/>
      <c r="UBO1114" s="15"/>
      <c r="UBP1114" s="15"/>
      <c r="UBS1114" s="15"/>
      <c r="UBT1114" s="15"/>
      <c r="UBW1114" s="15"/>
      <c r="UBX1114" s="15"/>
      <c r="UCA1114" s="15"/>
      <c r="UCB1114" s="15"/>
      <c r="UCE1114" s="15"/>
      <c r="UCF1114" s="15"/>
      <c r="UCI1114" s="15"/>
      <c r="UCJ1114" s="15"/>
      <c r="UCM1114" s="15"/>
      <c r="UCN1114" s="15"/>
      <c r="UCQ1114" s="15"/>
      <c r="UCR1114" s="15"/>
      <c r="UCU1114" s="15"/>
      <c r="UCV1114" s="15"/>
      <c r="UCY1114" s="15"/>
      <c r="UCZ1114" s="15"/>
      <c r="UDC1114" s="15"/>
      <c r="UDD1114" s="15"/>
      <c r="UDG1114" s="15"/>
      <c r="UDH1114" s="15"/>
      <c r="UDK1114" s="15"/>
      <c r="UDL1114" s="15"/>
      <c r="UDO1114" s="15"/>
      <c r="UDP1114" s="15"/>
      <c r="UDS1114" s="15"/>
      <c r="UDT1114" s="15"/>
      <c r="UDW1114" s="15"/>
      <c r="UDX1114" s="15"/>
      <c r="UEA1114" s="15"/>
      <c r="UEB1114" s="15"/>
      <c r="UEE1114" s="15"/>
      <c r="UEF1114" s="15"/>
      <c r="UEI1114" s="15"/>
      <c r="UEJ1114" s="15"/>
      <c r="UEM1114" s="15"/>
      <c r="UEN1114" s="15"/>
      <c r="UEQ1114" s="15"/>
      <c r="UER1114" s="15"/>
      <c r="UEU1114" s="15"/>
      <c r="UEV1114" s="15"/>
      <c r="UEY1114" s="15"/>
      <c r="UEZ1114" s="15"/>
      <c r="UFC1114" s="15"/>
      <c r="UFD1114" s="15"/>
      <c r="UFG1114" s="15"/>
      <c r="UFH1114" s="15"/>
      <c r="UFK1114" s="15"/>
      <c r="UFL1114" s="15"/>
      <c r="UFO1114" s="15"/>
      <c r="UFP1114" s="15"/>
      <c r="UFS1114" s="15"/>
      <c r="UFT1114" s="15"/>
      <c r="UFW1114" s="15"/>
      <c r="UFX1114" s="15"/>
      <c r="UGA1114" s="15"/>
      <c r="UGB1114" s="15"/>
      <c r="UGE1114" s="15"/>
      <c r="UGF1114" s="15"/>
      <c r="UGI1114" s="15"/>
      <c r="UGJ1114" s="15"/>
      <c r="UGM1114" s="15"/>
      <c r="UGN1114" s="15"/>
      <c r="UGQ1114" s="15"/>
      <c r="UGR1114" s="15"/>
      <c r="UGU1114" s="15"/>
      <c r="UGV1114" s="15"/>
      <c r="UGY1114" s="15"/>
      <c r="UGZ1114" s="15"/>
      <c r="UHC1114" s="15"/>
      <c r="UHD1114" s="15"/>
      <c r="UHG1114" s="15"/>
      <c r="UHH1114" s="15"/>
      <c r="UHK1114" s="15"/>
      <c r="UHL1114" s="15"/>
      <c r="UHO1114" s="15"/>
      <c r="UHP1114" s="15"/>
      <c r="UHS1114" s="15"/>
      <c r="UHT1114" s="15"/>
      <c r="UHW1114" s="15"/>
      <c r="UHX1114" s="15"/>
      <c r="UIA1114" s="15"/>
      <c r="UIB1114" s="15"/>
      <c r="UIE1114" s="15"/>
      <c r="UIF1114" s="15"/>
      <c r="UII1114" s="15"/>
      <c r="UIJ1114" s="15"/>
      <c r="UIM1114" s="15"/>
      <c r="UIN1114" s="15"/>
      <c r="UIQ1114" s="15"/>
      <c r="UIR1114" s="15"/>
      <c r="UIU1114" s="15"/>
      <c r="UIV1114" s="15"/>
      <c r="UIY1114" s="15"/>
      <c r="UIZ1114" s="15"/>
      <c r="UJC1114" s="15"/>
      <c r="UJD1114" s="15"/>
      <c r="UJG1114" s="15"/>
      <c r="UJH1114" s="15"/>
      <c r="UJK1114" s="15"/>
      <c r="UJL1114" s="15"/>
      <c r="UJO1114" s="15"/>
      <c r="UJP1114" s="15"/>
      <c r="UJS1114" s="15"/>
      <c r="UJT1114" s="15"/>
      <c r="UJW1114" s="15"/>
      <c r="UJX1114" s="15"/>
      <c r="UKA1114" s="15"/>
      <c r="UKB1114" s="15"/>
      <c r="UKE1114" s="15"/>
      <c r="UKF1114" s="15"/>
      <c r="UKI1114" s="15"/>
      <c r="UKJ1114" s="15"/>
      <c r="UKM1114" s="15"/>
      <c r="UKN1114" s="15"/>
      <c r="UKQ1114" s="15"/>
      <c r="UKR1114" s="15"/>
      <c r="UKU1114" s="15"/>
      <c r="UKV1114" s="15"/>
      <c r="UKY1114" s="15"/>
      <c r="UKZ1114" s="15"/>
      <c r="ULC1114" s="15"/>
      <c r="ULD1114" s="15"/>
      <c r="ULG1114" s="15"/>
      <c r="ULH1114" s="15"/>
      <c r="ULK1114" s="15"/>
      <c r="ULL1114" s="15"/>
      <c r="ULO1114" s="15"/>
      <c r="ULP1114" s="15"/>
      <c r="ULS1114" s="15"/>
      <c r="ULT1114" s="15"/>
      <c r="ULW1114" s="15"/>
      <c r="ULX1114" s="15"/>
      <c r="UMA1114" s="15"/>
      <c r="UMB1114" s="15"/>
      <c r="UME1114" s="15"/>
      <c r="UMF1114" s="15"/>
      <c r="UMI1114" s="15"/>
      <c r="UMJ1114" s="15"/>
      <c r="UMM1114" s="15"/>
      <c r="UMN1114" s="15"/>
      <c r="UMQ1114" s="15"/>
      <c r="UMR1114" s="15"/>
      <c r="UMU1114" s="15"/>
      <c r="UMV1114" s="15"/>
      <c r="UMY1114" s="15"/>
      <c r="UMZ1114" s="15"/>
      <c r="UNC1114" s="15"/>
      <c r="UND1114" s="15"/>
      <c r="UNG1114" s="15"/>
      <c r="UNH1114" s="15"/>
      <c r="UNK1114" s="15"/>
      <c r="UNL1114" s="15"/>
      <c r="UNO1114" s="15"/>
      <c r="UNP1114" s="15"/>
      <c r="UNS1114" s="15"/>
      <c r="UNT1114" s="15"/>
      <c r="UNW1114" s="15"/>
      <c r="UNX1114" s="15"/>
      <c r="UOA1114" s="15"/>
      <c r="UOB1114" s="15"/>
      <c r="UOE1114" s="15"/>
      <c r="UOF1114" s="15"/>
      <c r="UOI1114" s="15"/>
      <c r="UOJ1114" s="15"/>
      <c r="UOM1114" s="15"/>
      <c r="UON1114" s="15"/>
      <c r="UOQ1114" s="15"/>
      <c r="UOR1114" s="15"/>
      <c r="UOU1114" s="15"/>
      <c r="UOV1114" s="15"/>
      <c r="UOY1114" s="15"/>
      <c r="UOZ1114" s="15"/>
      <c r="UPC1114" s="15"/>
      <c r="UPD1114" s="15"/>
      <c r="UPG1114" s="15"/>
      <c r="UPH1114" s="15"/>
      <c r="UPK1114" s="15"/>
      <c r="UPL1114" s="15"/>
      <c r="UPO1114" s="15"/>
      <c r="UPP1114" s="15"/>
      <c r="UPS1114" s="15"/>
      <c r="UPT1114" s="15"/>
      <c r="UPW1114" s="15"/>
      <c r="UPX1114" s="15"/>
      <c r="UQA1114" s="15"/>
      <c r="UQB1114" s="15"/>
      <c r="UQE1114" s="15"/>
      <c r="UQF1114" s="15"/>
      <c r="UQI1114" s="15"/>
      <c r="UQJ1114" s="15"/>
      <c r="UQM1114" s="15"/>
      <c r="UQN1114" s="15"/>
      <c r="UQQ1114" s="15"/>
      <c r="UQR1114" s="15"/>
      <c r="UQU1114" s="15"/>
      <c r="UQV1114" s="15"/>
      <c r="UQY1114" s="15"/>
      <c r="UQZ1114" s="15"/>
      <c r="URC1114" s="15"/>
      <c r="URD1114" s="15"/>
      <c r="URG1114" s="15"/>
      <c r="URH1114" s="15"/>
      <c r="URK1114" s="15"/>
      <c r="URL1114" s="15"/>
      <c r="URO1114" s="15"/>
      <c r="URP1114" s="15"/>
      <c r="URS1114" s="15"/>
      <c r="URT1114" s="15"/>
      <c r="URW1114" s="15"/>
      <c r="URX1114" s="15"/>
      <c r="USA1114" s="15"/>
      <c r="USB1114" s="15"/>
      <c r="USE1114" s="15"/>
      <c r="USF1114" s="15"/>
      <c r="USI1114" s="15"/>
      <c r="USJ1114" s="15"/>
      <c r="USM1114" s="15"/>
      <c r="USN1114" s="15"/>
      <c r="USQ1114" s="15"/>
      <c r="USR1114" s="15"/>
      <c r="USU1114" s="15"/>
      <c r="USV1114" s="15"/>
      <c r="USY1114" s="15"/>
      <c r="USZ1114" s="15"/>
      <c r="UTC1114" s="15"/>
      <c r="UTD1114" s="15"/>
      <c r="UTG1114" s="15"/>
      <c r="UTH1114" s="15"/>
      <c r="UTK1114" s="15"/>
      <c r="UTL1114" s="15"/>
      <c r="UTO1114" s="15"/>
      <c r="UTP1114" s="15"/>
      <c r="UTS1114" s="15"/>
      <c r="UTT1114" s="15"/>
      <c r="UTW1114" s="15"/>
      <c r="UTX1114" s="15"/>
      <c r="UUA1114" s="15"/>
      <c r="UUB1114" s="15"/>
      <c r="UUE1114" s="15"/>
      <c r="UUF1114" s="15"/>
      <c r="UUI1114" s="15"/>
      <c r="UUJ1114" s="15"/>
      <c r="UUM1114" s="15"/>
      <c r="UUN1114" s="15"/>
      <c r="UUQ1114" s="15"/>
      <c r="UUR1114" s="15"/>
      <c r="UUU1114" s="15"/>
      <c r="UUV1114" s="15"/>
      <c r="UUY1114" s="15"/>
      <c r="UUZ1114" s="15"/>
      <c r="UVC1114" s="15"/>
      <c r="UVD1114" s="15"/>
      <c r="UVG1114" s="15"/>
      <c r="UVH1114" s="15"/>
      <c r="UVK1114" s="15"/>
      <c r="UVL1114" s="15"/>
      <c r="UVO1114" s="15"/>
      <c r="UVP1114" s="15"/>
      <c r="UVS1114" s="15"/>
      <c r="UVT1114" s="15"/>
      <c r="UVW1114" s="15"/>
      <c r="UVX1114" s="15"/>
      <c r="UWA1114" s="15"/>
      <c r="UWB1114" s="15"/>
      <c r="UWE1114" s="15"/>
      <c r="UWF1114" s="15"/>
      <c r="UWI1114" s="15"/>
      <c r="UWJ1114" s="15"/>
      <c r="UWM1114" s="15"/>
      <c r="UWN1114" s="15"/>
      <c r="UWQ1114" s="15"/>
      <c r="UWR1114" s="15"/>
      <c r="UWU1114" s="15"/>
      <c r="UWV1114" s="15"/>
      <c r="UWY1114" s="15"/>
      <c r="UWZ1114" s="15"/>
      <c r="UXC1114" s="15"/>
      <c r="UXD1114" s="15"/>
      <c r="UXG1114" s="15"/>
      <c r="UXH1114" s="15"/>
      <c r="UXK1114" s="15"/>
      <c r="UXL1114" s="15"/>
      <c r="UXO1114" s="15"/>
      <c r="UXP1114" s="15"/>
      <c r="UXS1114" s="15"/>
      <c r="UXT1114" s="15"/>
      <c r="UXW1114" s="15"/>
      <c r="UXX1114" s="15"/>
      <c r="UYA1114" s="15"/>
      <c r="UYB1114" s="15"/>
      <c r="UYE1114" s="15"/>
      <c r="UYF1114" s="15"/>
      <c r="UYI1114" s="15"/>
      <c r="UYJ1114" s="15"/>
      <c r="UYM1114" s="15"/>
      <c r="UYN1114" s="15"/>
      <c r="UYQ1114" s="15"/>
      <c r="UYR1114" s="15"/>
      <c r="UYU1114" s="15"/>
      <c r="UYV1114" s="15"/>
      <c r="UYY1114" s="15"/>
      <c r="UYZ1114" s="15"/>
      <c r="UZC1114" s="15"/>
      <c r="UZD1114" s="15"/>
      <c r="UZG1114" s="15"/>
      <c r="UZH1114" s="15"/>
      <c r="UZK1114" s="15"/>
      <c r="UZL1114" s="15"/>
      <c r="UZO1114" s="15"/>
      <c r="UZP1114" s="15"/>
      <c r="UZS1114" s="15"/>
      <c r="UZT1114" s="15"/>
      <c r="UZW1114" s="15"/>
      <c r="UZX1114" s="15"/>
      <c r="VAA1114" s="15"/>
      <c r="VAB1114" s="15"/>
      <c r="VAE1114" s="15"/>
      <c r="VAF1114" s="15"/>
      <c r="VAI1114" s="15"/>
      <c r="VAJ1114" s="15"/>
      <c r="VAM1114" s="15"/>
      <c r="VAN1114" s="15"/>
      <c r="VAQ1114" s="15"/>
      <c r="VAR1114" s="15"/>
      <c r="VAU1114" s="15"/>
      <c r="VAV1114" s="15"/>
      <c r="VAY1114" s="15"/>
      <c r="VAZ1114" s="15"/>
      <c r="VBC1114" s="15"/>
      <c r="VBD1114" s="15"/>
      <c r="VBG1114" s="15"/>
      <c r="VBH1114" s="15"/>
      <c r="VBK1114" s="15"/>
      <c r="VBL1114" s="15"/>
      <c r="VBO1114" s="15"/>
      <c r="VBP1114" s="15"/>
      <c r="VBS1114" s="15"/>
      <c r="VBT1114" s="15"/>
      <c r="VBW1114" s="15"/>
      <c r="VBX1114" s="15"/>
      <c r="VCA1114" s="15"/>
      <c r="VCB1114" s="15"/>
      <c r="VCE1114" s="15"/>
      <c r="VCF1114" s="15"/>
      <c r="VCI1114" s="15"/>
      <c r="VCJ1114" s="15"/>
      <c r="VCM1114" s="15"/>
      <c r="VCN1114" s="15"/>
      <c r="VCQ1114" s="15"/>
      <c r="VCR1114" s="15"/>
      <c r="VCU1114" s="15"/>
      <c r="VCV1114" s="15"/>
      <c r="VCY1114" s="15"/>
      <c r="VCZ1114" s="15"/>
      <c r="VDC1114" s="15"/>
      <c r="VDD1114" s="15"/>
      <c r="VDG1114" s="15"/>
      <c r="VDH1114" s="15"/>
      <c r="VDK1114" s="15"/>
      <c r="VDL1114" s="15"/>
      <c r="VDO1114" s="15"/>
      <c r="VDP1114" s="15"/>
      <c r="VDS1114" s="15"/>
      <c r="VDT1114" s="15"/>
      <c r="VDW1114" s="15"/>
      <c r="VDX1114" s="15"/>
      <c r="VEA1114" s="15"/>
      <c r="VEB1114" s="15"/>
      <c r="VEE1114" s="15"/>
      <c r="VEF1114" s="15"/>
      <c r="VEI1114" s="15"/>
      <c r="VEJ1114" s="15"/>
      <c r="VEM1114" s="15"/>
      <c r="VEN1114" s="15"/>
      <c r="VEQ1114" s="15"/>
      <c r="VER1114" s="15"/>
      <c r="VEU1114" s="15"/>
      <c r="VEV1114" s="15"/>
      <c r="VEY1114" s="15"/>
      <c r="VEZ1114" s="15"/>
      <c r="VFC1114" s="15"/>
      <c r="VFD1114" s="15"/>
      <c r="VFG1114" s="15"/>
      <c r="VFH1114" s="15"/>
      <c r="VFK1114" s="15"/>
      <c r="VFL1114" s="15"/>
      <c r="VFO1114" s="15"/>
      <c r="VFP1114" s="15"/>
      <c r="VFS1114" s="15"/>
      <c r="VFT1114" s="15"/>
      <c r="VFW1114" s="15"/>
      <c r="VFX1114" s="15"/>
      <c r="VGA1114" s="15"/>
      <c r="VGB1114" s="15"/>
      <c r="VGE1114" s="15"/>
      <c r="VGF1114" s="15"/>
      <c r="VGI1114" s="15"/>
      <c r="VGJ1114" s="15"/>
      <c r="VGM1114" s="15"/>
      <c r="VGN1114" s="15"/>
      <c r="VGQ1114" s="15"/>
      <c r="VGR1114" s="15"/>
      <c r="VGU1114" s="15"/>
      <c r="VGV1114" s="15"/>
      <c r="VGY1114" s="15"/>
      <c r="VGZ1114" s="15"/>
      <c r="VHC1114" s="15"/>
      <c r="VHD1114" s="15"/>
      <c r="VHG1114" s="15"/>
      <c r="VHH1114" s="15"/>
      <c r="VHK1114" s="15"/>
      <c r="VHL1114" s="15"/>
      <c r="VHO1114" s="15"/>
      <c r="VHP1114" s="15"/>
      <c r="VHS1114" s="15"/>
      <c r="VHT1114" s="15"/>
      <c r="VHW1114" s="15"/>
      <c r="VHX1114" s="15"/>
      <c r="VIA1114" s="15"/>
      <c r="VIB1114" s="15"/>
      <c r="VIE1114" s="15"/>
      <c r="VIF1114" s="15"/>
      <c r="VII1114" s="15"/>
      <c r="VIJ1114" s="15"/>
      <c r="VIM1114" s="15"/>
      <c r="VIN1114" s="15"/>
      <c r="VIQ1114" s="15"/>
      <c r="VIR1114" s="15"/>
      <c r="VIU1114" s="15"/>
      <c r="VIV1114" s="15"/>
      <c r="VIY1114" s="15"/>
      <c r="VIZ1114" s="15"/>
      <c r="VJC1114" s="15"/>
      <c r="VJD1114" s="15"/>
      <c r="VJG1114" s="15"/>
      <c r="VJH1114" s="15"/>
      <c r="VJK1114" s="15"/>
      <c r="VJL1114" s="15"/>
      <c r="VJO1114" s="15"/>
      <c r="VJP1114" s="15"/>
      <c r="VJS1114" s="15"/>
      <c r="VJT1114" s="15"/>
      <c r="VJW1114" s="15"/>
      <c r="VJX1114" s="15"/>
      <c r="VKA1114" s="15"/>
      <c r="VKB1114" s="15"/>
      <c r="VKE1114" s="15"/>
      <c r="VKF1114" s="15"/>
      <c r="VKI1114" s="15"/>
      <c r="VKJ1114" s="15"/>
      <c r="VKM1114" s="15"/>
      <c r="VKN1114" s="15"/>
      <c r="VKQ1114" s="15"/>
      <c r="VKR1114" s="15"/>
      <c r="VKU1114" s="15"/>
      <c r="VKV1114" s="15"/>
      <c r="VKY1114" s="15"/>
      <c r="VKZ1114" s="15"/>
      <c r="VLC1114" s="15"/>
      <c r="VLD1114" s="15"/>
      <c r="VLG1114" s="15"/>
      <c r="VLH1114" s="15"/>
      <c r="VLK1114" s="15"/>
      <c r="VLL1114" s="15"/>
      <c r="VLO1114" s="15"/>
      <c r="VLP1114" s="15"/>
      <c r="VLS1114" s="15"/>
      <c r="VLT1114" s="15"/>
      <c r="VLW1114" s="15"/>
      <c r="VLX1114" s="15"/>
      <c r="VMA1114" s="15"/>
      <c r="VMB1114" s="15"/>
      <c r="VME1114" s="15"/>
      <c r="VMF1114" s="15"/>
      <c r="VMI1114" s="15"/>
      <c r="VMJ1114" s="15"/>
      <c r="VMM1114" s="15"/>
      <c r="VMN1114" s="15"/>
      <c r="VMQ1114" s="15"/>
      <c r="VMR1114" s="15"/>
      <c r="VMU1114" s="15"/>
      <c r="VMV1114" s="15"/>
      <c r="VMY1114" s="15"/>
      <c r="VMZ1114" s="15"/>
      <c r="VNC1114" s="15"/>
      <c r="VND1114" s="15"/>
      <c r="VNG1114" s="15"/>
      <c r="VNH1114" s="15"/>
      <c r="VNK1114" s="15"/>
      <c r="VNL1114" s="15"/>
      <c r="VNO1114" s="15"/>
      <c r="VNP1114" s="15"/>
      <c r="VNS1114" s="15"/>
      <c r="VNT1114" s="15"/>
      <c r="VNW1114" s="15"/>
      <c r="VNX1114" s="15"/>
      <c r="VOA1114" s="15"/>
      <c r="VOB1114" s="15"/>
      <c r="VOE1114" s="15"/>
      <c r="VOF1114" s="15"/>
      <c r="VOI1114" s="15"/>
      <c r="VOJ1114" s="15"/>
      <c r="VOM1114" s="15"/>
      <c r="VON1114" s="15"/>
      <c r="VOQ1114" s="15"/>
      <c r="VOR1114" s="15"/>
      <c r="VOU1114" s="15"/>
      <c r="VOV1114" s="15"/>
      <c r="VOY1114" s="15"/>
      <c r="VOZ1114" s="15"/>
      <c r="VPC1114" s="15"/>
      <c r="VPD1114" s="15"/>
      <c r="VPG1114" s="15"/>
      <c r="VPH1114" s="15"/>
      <c r="VPK1114" s="15"/>
      <c r="VPL1114" s="15"/>
      <c r="VPO1114" s="15"/>
      <c r="VPP1114" s="15"/>
      <c r="VPS1114" s="15"/>
      <c r="VPT1114" s="15"/>
      <c r="VPW1114" s="15"/>
      <c r="VPX1114" s="15"/>
      <c r="VQA1114" s="15"/>
      <c r="VQB1114" s="15"/>
      <c r="VQE1114" s="15"/>
      <c r="VQF1114" s="15"/>
      <c r="VQI1114" s="15"/>
      <c r="VQJ1114" s="15"/>
      <c r="VQM1114" s="15"/>
      <c r="VQN1114" s="15"/>
      <c r="VQQ1114" s="15"/>
      <c r="VQR1114" s="15"/>
      <c r="VQU1114" s="15"/>
      <c r="VQV1114" s="15"/>
      <c r="VQY1114" s="15"/>
      <c r="VQZ1114" s="15"/>
      <c r="VRC1114" s="15"/>
      <c r="VRD1114" s="15"/>
      <c r="VRG1114" s="15"/>
      <c r="VRH1114" s="15"/>
      <c r="VRK1114" s="15"/>
      <c r="VRL1114" s="15"/>
      <c r="VRO1114" s="15"/>
      <c r="VRP1114" s="15"/>
      <c r="VRS1114" s="15"/>
      <c r="VRT1114" s="15"/>
      <c r="VRW1114" s="15"/>
      <c r="VRX1114" s="15"/>
      <c r="VSA1114" s="15"/>
      <c r="VSB1114" s="15"/>
      <c r="VSE1114" s="15"/>
      <c r="VSF1114" s="15"/>
      <c r="VSI1114" s="15"/>
      <c r="VSJ1114" s="15"/>
      <c r="VSM1114" s="15"/>
      <c r="VSN1114" s="15"/>
      <c r="VSQ1114" s="15"/>
      <c r="VSR1114" s="15"/>
      <c r="VSU1114" s="15"/>
      <c r="VSV1114" s="15"/>
      <c r="VSY1114" s="15"/>
      <c r="VSZ1114" s="15"/>
      <c r="VTC1114" s="15"/>
      <c r="VTD1114" s="15"/>
      <c r="VTG1114" s="15"/>
      <c r="VTH1114" s="15"/>
      <c r="VTK1114" s="15"/>
      <c r="VTL1114" s="15"/>
      <c r="VTO1114" s="15"/>
      <c r="VTP1114" s="15"/>
      <c r="VTS1114" s="15"/>
      <c r="VTT1114" s="15"/>
      <c r="VTW1114" s="15"/>
      <c r="VTX1114" s="15"/>
      <c r="VUA1114" s="15"/>
      <c r="VUB1114" s="15"/>
      <c r="VUE1114" s="15"/>
      <c r="VUF1114" s="15"/>
      <c r="VUI1114" s="15"/>
      <c r="VUJ1114" s="15"/>
      <c r="VUM1114" s="15"/>
      <c r="VUN1114" s="15"/>
      <c r="VUQ1114" s="15"/>
      <c r="VUR1114" s="15"/>
      <c r="VUU1114" s="15"/>
      <c r="VUV1114" s="15"/>
      <c r="VUY1114" s="15"/>
      <c r="VUZ1114" s="15"/>
      <c r="VVC1114" s="15"/>
      <c r="VVD1114" s="15"/>
      <c r="VVG1114" s="15"/>
      <c r="VVH1114" s="15"/>
      <c r="VVK1114" s="15"/>
      <c r="VVL1114" s="15"/>
      <c r="VVO1114" s="15"/>
      <c r="VVP1114" s="15"/>
      <c r="VVS1114" s="15"/>
      <c r="VVT1114" s="15"/>
      <c r="VVW1114" s="15"/>
      <c r="VVX1114" s="15"/>
      <c r="VWA1114" s="15"/>
      <c r="VWB1114" s="15"/>
      <c r="VWE1114" s="15"/>
      <c r="VWF1114" s="15"/>
      <c r="VWI1114" s="15"/>
      <c r="VWJ1114" s="15"/>
      <c r="VWM1114" s="15"/>
      <c r="VWN1114" s="15"/>
      <c r="VWQ1114" s="15"/>
      <c r="VWR1114" s="15"/>
      <c r="VWU1114" s="15"/>
      <c r="VWV1114" s="15"/>
      <c r="VWY1114" s="15"/>
      <c r="VWZ1114" s="15"/>
      <c r="VXC1114" s="15"/>
      <c r="VXD1114" s="15"/>
      <c r="VXG1114" s="15"/>
      <c r="VXH1114" s="15"/>
      <c r="VXK1114" s="15"/>
      <c r="VXL1114" s="15"/>
      <c r="VXO1114" s="15"/>
      <c r="VXP1114" s="15"/>
      <c r="VXS1114" s="15"/>
      <c r="VXT1114" s="15"/>
      <c r="VXW1114" s="15"/>
      <c r="VXX1114" s="15"/>
      <c r="VYA1114" s="15"/>
      <c r="VYB1114" s="15"/>
      <c r="VYE1114" s="15"/>
      <c r="VYF1114" s="15"/>
      <c r="VYI1114" s="15"/>
      <c r="VYJ1114" s="15"/>
      <c r="VYM1114" s="15"/>
      <c r="VYN1114" s="15"/>
      <c r="VYQ1114" s="15"/>
      <c r="VYR1114" s="15"/>
      <c r="VYU1114" s="15"/>
      <c r="VYV1114" s="15"/>
      <c r="VYY1114" s="15"/>
      <c r="VYZ1114" s="15"/>
      <c r="VZC1114" s="15"/>
      <c r="VZD1114" s="15"/>
      <c r="VZG1114" s="15"/>
      <c r="VZH1114" s="15"/>
      <c r="VZK1114" s="15"/>
      <c r="VZL1114" s="15"/>
      <c r="VZO1114" s="15"/>
      <c r="VZP1114" s="15"/>
      <c r="VZS1114" s="15"/>
      <c r="VZT1114" s="15"/>
      <c r="VZW1114" s="15"/>
      <c r="VZX1114" s="15"/>
      <c r="WAA1114" s="15"/>
      <c r="WAB1114" s="15"/>
      <c r="WAE1114" s="15"/>
      <c r="WAF1114" s="15"/>
      <c r="WAI1114" s="15"/>
      <c r="WAJ1114" s="15"/>
      <c r="WAM1114" s="15"/>
      <c r="WAN1114" s="15"/>
      <c r="WAQ1114" s="15"/>
      <c r="WAR1114" s="15"/>
      <c r="WAU1114" s="15"/>
      <c r="WAV1114" s="15"/>
      <c r="WAY1114" s="15"/>
      <c r="WAZ1114" s="15"/>
      <c r="WBC1114" s="15"/>
      <c r="WBD1114" s="15"/>
      <c r="WBG1114" s="15"/>
      <c r="WBH1114" s="15"/>
      <c r="WBK1114" s="15"/>
      <c r="WBL1114" s="15"/>
      <c r="WBO1114" s="15"/>
      <c r="WBP1114" s="15"/>
      <c r="WBS1114" s="15"/>
      <c r="WBT1114" s="15"/>
      <c r="WBW1114" s="15"/>
      <c r="WBX1114" s="15"/>
      <c r="WCA1114" s="15"/>
      <c r="WCB1114" s="15"/>
      <c r="WCE1114" s="15"/>
      <c r="WCF1114" s="15"/>
      <c r="WCI1114" s="15"/>
      <c r="WCJ1114" s="15"/>
      <c r="WCM1114" s="15"/>
      <c r="WCN1114" s="15"/>
      <c r="WCQ1114" s="15"/>
      <c r="WCR1114" s="15"/>
      <c r="WCU1114" s="15"/>
      <c r="WCV1114" s="15"/>
      <c r="WCY1114" s="15"/>
      <c r="WCZ1114" s="15"/>
      <c r="WDC1114" s="15"/>
      <c r="WDD1114" s="15"/>
      <c r="WDG1114" s="15"/>
      <c r="WDH1114" s="15"/>
      <c r="WDK1114" s="15"/>
      <c r="WDL1114" s="15"/>
      <c r="WDO1114" s="15"/>
      <c r="WDP1114" s="15"/>
      <c r="WDS1114" s="15"/>
      <c r="WDT1114" s="15"/>
      <c r="WDW1114" s="15"/>
      <c r="WDX1114" s="15"/>
      <c r="WEA1114" s="15"/>
      <c r="WEB1114" s="15"/>
      <c r="WEE1114" s="15"/>
      <c r="WEF1114" s="15"/>
      <c r="WEI1114" s="15"/>
      <c r="WEJ1114" s="15"/>
      <c r="WEM1114" s="15"/>
      <c r="WEN1114" s="15"/>
      <c r="WEQ1114" s="15"/>
      <c r="WER1114" s="15"/>
      <c r="WEU1114" s="15"/>
      <c r="WEV1114" s="15"/>
      <c r="WEY1114" s="15"/>
      <c r="WEZ1114" s="15"/>
      <c r="WFC1114" s="15"/>
      <c r="WFD1114" s="15"/>
      <c r="WFG1114" s="15"/>
      <c r="WFH1114" s="15"/>
      <c r="WFK1114" s="15"/>
      <c r="WFL1114" s="15"/>
      <c r="WFO1114" s="15"/>
      <c r="WFP1114" s="15"/>
      <c r="WFS1114" s="15"/>
      <c r="WFT1114" s="15"/>
      <c r="WFW1114" s="15"/>
      <c r="WFX1114" s="15"/>
      <c r="WGA1114" s="15"/>
      <c r="WGB1114" s="15"/>
      <c r="WGE1114" s="15"/>
      <c r="WGF1114" s="15"/>
      <c r="WGI1114" s="15"/>
      <c r="WGJ1114" s="15"/>
      <c r="WGM1114" s="15"/>
      <c r="WGN1114" s="15"/>
      <c r="WGQ1114" s="15"/>
      <c r="WGR1114" s="15"/>
      <c r="WGU1114" s="15"/>
      <c r="WGV1114" s="15"/>
      <c r="WGY1114" s="15"/>
      <c r="WGZ1114" s="15"/>
      <c r="WHC1114" s="15"/>
      <c r="WHD1114" s="15"/>
      <c r="WHG1114" s="15"/>
      <c r="WHH1114" s="15"/>
      <c r="WHK1114" s="15"/>
      <c r="WHL1114" s="15"/>
      <c r="WHO1114" s="15"/>
      <c r="WHP1114" s="15"/>
      <c r="WHS1114" s="15"/>
      <c r="WHT1114" s="15"/>
      <c r="WHW1114" s="15"/>
      <c r="WHX1114" s="15"/>
      <c r="WIA1114" s="15"/>
      <c r="WIB1114" s="15"/>
      <c r="WIE1114" s="15"/>
      <c r="WIF1114" s="15"/>
      <c r="WII1114" s="15"/>
      <c r="WIJ1114" s="15"/>
      <c r="WIM1114" s="15"/>
      <c r="WIN1114" s="15"/>
      <c r="WIQ1114" s="15"/>
      <c r="WIR1114" s="15"/>
      <c r="WIU1114" s="15"/>
      <c r="WIV1114" s="15"/>
      <c r="WIY1114" s="15"/>
      <c r="WIZ1114" s="15"/>
      <c r="WJC1114" s="15"/>
      <c r="WJD1114" s="15"/>
      <c r="WJG1114" s="15"/>
      <c r="WJH1114" s="15"/>
      <c r="WJK1114" s="15"/>
      <c r="WJL1114" s="15"/>
      <c r="WJO1114" s="15"/>
      <c r="WJP1114" s="15"/>
      <c r="WJS1114" s="15"/>
      <c r="WJT1114" s="15"/>
      <c r="WJW1114" s="15"/>
      <c r="WJX1114" s="15"/>
      <c r="WKA1114" s="15"/>
      <c r="WKB1114" s="15"/>
      <c r="WKE1114" s="15"/>
      <c r="WKF1114" s="15"/>
      <c r="WKI1114" s="15"/>
      <c r="WKJ1114" s="15"/>
      <c r="WKM1114" s="15"/>
      <c r="WKN1114" s="15"/>
      <c r="WKQ1114" s="15"/>
      <c r="WKR1114" s="15"/>
      <c r="WKU1114" s="15"/>
      <c r="WKV1114" s="15"/>
      <c r="WKY1114" s="15"/>
      <c r="WKZ1114" s="15"/>
      <c r="WLC1114" s="15"/>
      <c r="WLD1114" s="15"/>
      <c r="WLG1114" s="15"/>
      <c r="WLH1114" s="15"/>
      <c r="WLK1114" s="15"/>
      <c r="WLL1114" s="15"/>
      <c r="WLO1114" s="15"/>
      <c r="WLP1114" s="15"/>
      <c r="WLS1114" s="15"/>
      <c r="WLT1114" s="15"/>
      <c r="WLW1114" s="15"/>
      <c r="WLX1114" s="15"/>
      <c r="WMA1114" s="15"/>
      <c r="WMB1114" s="15"/>
      <c r="WME1114" s="15"/>
      <c r="WMF1114" s="15"/>
      <c r="WMI1114" s="15"/>
      <c r="WMJ1114" s="15"/>
      <c r="WMM1114" s="15"/>
      <c r="WMN1114" s="15"/>
      <c r="WMQ1114" s="15"/>
      <c r="WMR1114" s="15"/>
      <c r="WMU1114" s="15"/>
      <c r="WMV1114" s="15"/>
      <c r="WMY1114" s="15"/>
      <c r="WMZ1114" s="15"/>
      <c r="WNC1114" s="15"/>
      <c r="WND1114" s="15"/>
      <c r="WNG1114" s="15"/>
      <c r="WNH1114" s="15"/>
      <c r="WNK1114" s="15"/>
      <c r="WNL1114" s="15"/>
      <c r="WNO1114" s="15"/>
      <c r="WNP1114" s="15"/>
      <c r="WNS1114" s="15"/>
      <c r="WNT1114" s="15"/>
      <c r="WNW1114" s="15"/>
      <c r="WNX1114" s="15"/>
      <c r="WOA1114" s="15"/>
      <c r="WOB1114" s="15"/>
      <c r="WOE1114" s="15"/>
      <c r="WOF1114" s="15"/>
      <c r="WOI1114" s="15"/>
      <c r="WOJ1114" s="15"/>
      <c r="WOM1114" s="15"/>
      <c r="WON1114" s="15"/>
      <c r="WOQ1114" s="15"/>
      <c r="WOR1114" s="15"/>
      <c r="WOU1114" s="15"/>
      <c r="WOV1114" s="15"/>
      <c r="WOY1114" s="15"/>
      <c r="WOZ1114" s="15"/>
      <c r="WPC1114" s="15"/>
      <c r="WPD1114" s="15"/>
      <c r="WPG1114" s="15"/>
      <c r="WPH1114" s="15"/>
      <c r="WPK1114" s="15"/>
      <c r="WPL1114" s="15"/>
      <c r="WPO1114" s="15"/>
      <c r="WPP1114" s="15"/>
      <c r="WPS1114" s="15"/>
      <c r="WPT1114" s="15"/>
      <c r="WPW1114" s="15"/>
      <c r="WPX1114" s="15"/>
      <c r="WQA1114" s="15"/>
      <c r="WQB1114" s="15"/>
      <c r="WQE1114" s="15"/>
      <c r="WQF1114" s="15"/>
      <c r="WQI1114" s="15"/>
      <c r="WQJ1114" s="15"/>
      <c r="WQM1114" s="15"/>
      <c r="WQN1114" s="15"/>
      <c r="WQQ1114" s="15"/>
      <c r="WQR1114" s="15"/>
      <c r="WQU1114" s="15"/>
      <c r="WQV1114" s="15"/>
      <c r="WQY1114" s="15"/>
      <c r="WQZ1114" s="15"/>
      <c r="WRC1114" s="15"/>
      <c r="WRD1114" s="15"/>
      <c r="WRG1114" s="15"/>
      <c r="WRH1114" s="15"/>
      <c r="WRK1114" s="15"/>
      <c r="WRL1114" s="15"/>
      <c r="WRO1114" s="15"/>
      <c r="WRP1114" s="15"/>
      <c r="WRS1114" s="15"/>
      <c r="WRT1114" s="15"/>
      <c r="WRW1114" s="15"/>
      <c r="WRX1114" s="15"/>
      <c r="WSA1114" s="15"/>
      <c r="WSB1114" s="15"/>
      <c r="WSE1114" s="15"/>
      <c r="WSF1114" s="15"/>
      <c r="WSI1114" s="15"/>
      <c r="WSJ1114" s="15"/>
      <c r="WSM1114" s="15"/>
      <c r="WSN1114" s="15"/>
      <c r="WSQ1114" s="15"/>
      <c r="WSR1114" s="15"/>
      <c r="WSU1114" s="15"/>
      <c r="WSV1114" s="15"/>
      <c r="WSY1114" s="15"/>
      <c r="WSZ1114" s="15"/>
      <c r="WTC1114" s="15"/>
      <c r="WTD1114" s="15"/>
      <c r="WTG1114" s="15"/>
      <c r="WTH1114" s="15"/>
      <c r="WTK1114" s="15"/>
      <c r="WTL1114" s="15"/>
      <c r="WTO1114" s="15"/>
      <c r="WTP1114" s="15"/>
      <c r="WTS1114" s="15"/>
      <c r="WTT1114" s="15"/>
      <c r="WTW1114" s="15"/>
      <c r="WTX1114" s="15"/>
      <c r="WUA1114" s="15"/>
      <c r="WUB1114" s="15"/>
      <c r="WUE1114" s="15"/>
      <c r="WUF1114" s="15"/>
      <c r="WUI1114" s="15"/>
      <c r="WUJ1114" s="15"/>
      <c r="WUM1114" s="15"/>
      <c r="WUN1114" s="15"/>
      <c r="WUQ1114" s="15"/>
      <c r="WUR1114" s="15"/>
      <c r="WUU1114" s="15"/>
      <c r="WUV1114" s="15"/>
      <c r="WUY1114" s="15"/>
      <c r="WUZ1114" s="15"/>
      <c r="WVC1114" s="15"/>
      <c r="WVD1114" s="15"/>
      <c r="WVG1114" s="15"/>
      <c r="WVH1114" s="15"/>
      <c r="WVK1114" s="15"/>
      <c r="WVL1114" s="15"/>
      <c r="WVO1114" s="15"/>
      <c r="WVP1114" s="15"/>
      <c r="WVS1114" s="15"/>
      <c r="WVT1114" s="15"/>
      <c r="WVW1114" s="15"/>
      <c r="WVX1114" s="15"/>
      <c r="WWA1114" s="15"/>
      <c r="WWB1114" s="15"/>
      <c r="WWE1114" s="15"/>
      <c r="WWF1114" s="15"/>
      <c r="WWI1114" s="15"/>
      <c r="WWJ1114" s="15"/>
      <c r="WWM1114" s="15"/>
      <c r="WWN1114" s="15"/>
      <c r="WWQ1114" s="15"/>
      <c r="WWR1114" s="15"/>
      <c r="WWU1114" s="15"/>
      <c r="WWV1114" s="15"/>
      <c r="WWY1114" s="15"/>
      <c r="WWZ1114" s="15"/>
      <c r="WXC1114" s="15"/>
      <c r="WXD1114" s="15"/>
      <c r="WXG1114" s="15"/>
      <c r="WXH1114" s="15"/>
      <c r="WXK1114" s="15"/>
      <c r="WXL1114" s="15"/>
      <c r="WXO1114" s="15"/>
      <c r="WXP1114" s="15"/>
      <c r="WXS1114" s="15"/>
      <c r="WXT1114" s="15"/>
      <c r="WXW1114" s="15"/>
      <c r="WXX1114" s="15"/>
      <c r="WYA1114" s="15"/>
      <c r="WYB1114" s="15"/>
      <c r="WYE1114" s="15"/>
      <c r="WYF1114" s="15"/>
      <c r="WYI1114" s="15"/>
      <c r="WYJ1114" s="15"/>
      <c r="WYM1114" s="15"/>
      <c r="WYN1114" s="15"/>
      <c r="WYQ1114" s="15"/>
      <c r="WYR1114" s="15"/>
      <c r="WYU1114" s="15"/>
      <c r="WYV1114" s="15"/>
      <c r="WYY1114" s="15"/>
      <c r="WYZ1114" s="15"/>
      <c r="WZC1114" s="15"/>
      <c r="WZD1114" s="15"/>
      <c r="WZG1114" s="15"/>
      <c r="WZH1114" s="15"/>
      <c r="WZK1114" s="15"/>
      <c r="WZL1114" s="15"/>
      <c r="WZO1114" s="15"/>
      <c r="WZP1114" s="15"/>
      <c r="WZS1114" s="15"/>
      <c r="WZT1114" s="15"/>
      <c r="WZW1114" s="15"/>
      <c r="WZX1114" s="15"/>
      <c r="XAA1114" s="15"/>
      <c r="XAB1114" s="15"/>
      <c r="XAE1114" s="15"/>
      <c r="XAF1114" s="15"/>
      <c r="XAI1114" s="15"/>
      <c r="XAJ1114" s="15"/>
      <c r="XAM1114" s="15"/>
      <c r="XAN1114" s="15"/>
      <c r="XAQ1114" s="15"/>
      <c r="XAR1114" s="15"/>
      <c r="XAU1114" s="15"/>
      <c r="XAV1114" s="15"/>
      <c r="XAY1114" s="15"/>
      <c r="XAZ1114" s="15"/>
      <c r="XBC1114" s="15"/>
      <c r="XBD1114" s="15"/>
      <c r="XBG1114" s="15"/>
      <c r="XBH1114" s="15"/>
      <c r="XBK1114" s="15"/>
      <c r="XBL1114" s="15"/>
      <c r="XBO1114" s="15"/>
      <c r="XBP1114" s="15"/>
      <c r="XBS1114" s="15"/>
      <c r="XBT1114" s="15"/>
      <c r="XBW1114" s="15"/>
      <c r="XBX1114" s="15"/>
      <c r="XCA1114" s="15"/>
      <c r="XCB1114" s="15"/>
      <c r="XCE1114" s="15"/>
      <c r="XCF1114" s="15"/>
      <c r="XCI1114" s="15"/>
      <c r="XCJ1114" s="15"/>
      <c r="XCM1114" s="15"/>
      <c r="XCN1114" s="15"/>
      <c r="XCQ1114" s="15"/>
      <c r="XCR1114" s="15"/>
      <c r="XCU1114" s="15"/>
      <c r="XCV1114" s="15"/>
      <c r="XCY1114" s="15"/>
      <c r="XCZ1114" s="15"/>
      <c r="XDC1114" s="15"/>
      <c r="XDD1114" s="15"/>
      <c r="XDG1114" s="15"/>
      <c r="XDH1114" s="15"/>
      <c r="XDK1114" s="15"/>
      <c r="XDL1114" s="15"/>
      <c r="XDO1114" s="15"/>
      <c r="XDP1114" s="15"/>
      <c r="XDS1114" s="15"/>
      <c r="XDT1114" s="15"/>
      <c r="XDW1114" s="15"/>
      <c r="XDX1114" s="15"/>
      <c r="XEA1114" s="15"/>
      <c r="XEB1114" s="15"/>
      <c r="XEE1114" s="15"/>
      <c r="XEF1114" s="15"/>
      <c r="XEI1114" s="15"/>
      <c r="XEJ1114" s="15"/>
      <c r="XEM1114" s="15"/>
      <c r="XEN1114" s="15"/>
      <c r="XEQ1114" s="15"/>
      <c r="XER1114" s="15"/>
      <c r="XEU1114" s="15"/>
      <c r="XEV1114" s="15"/>
      <c r="XEY1114" s="15"/>
      <c r="XEZ1114" s="15"/>
      <c r="XFC1114" s="15"/>
      <c r="XFD1114" s="15"/>
    </row>
    <row r="1115" spans="1:1024 1027:2048 2051:3072 3075:4096 4099:5120 5123:6144 6147:7168 7171:8192 8195:9216 9219:10240 10243:11264 11267:12288 12291:13312 13315:14336 14339:15360 15363:16384" outlineLevel="1" x14ac:dyDescent="0.3">
      <c r="A1115" t="s">
        <v>1850</v>
      </c>
      <c r="B1115" t="s">
        <v>269</v>
      </c>
      <c r="C1115" s="15" t="s">
        <v>10</v>
      </c>
      <c r="D1115" s="15" t="s">
        <v>1851</v>
      </c>
      <c r="E1115" t="s">
        <v>8529</v>
      </c>
    </row>
    <row r="1116" spans="1:1024 1027:2048 2051:3072 3075:4096 4099:5120 5123:6144 6147:7168 7171:8192 8195:9216 9219:10240 10243:11264 11267:12288 12291:13312 13315:14336 14339:15360 15363:16384" outlineLevel="1" x14ac:dyDescent="0.3">
      <c r="A1116" t="s">
        <v>1852</v>
      </c>
      <c r="B1116" t="s">
        <v>269</v>
      </c>
      <c r="C1116" s="15" t="s">
        <v>10</v>
      </c>
      <c r="D1116" s="15" t="s">
        <v>1851</v>
      </c>
      <c r="E1116" t="s">
        <v>8529</v>
      </c>
    </row>
    <row r="1117" spans="1:1024 1027:2048 2051:3072 3075:4096 4099:5120 5123:6144 6147:7168 7171:8192 8195:9216 9219:10240 10243:11264 11267:12288 12291:13312 13315:14336 14339:15360 15363:16384" outlineLevel="1" x14ac:dyDescent="0.3">
      <c r="A1117" t="s">
        <v>1853</v>
      </c>
      <c r="B1117" t="s">
        <v>269</v>
      </c>
      <c r="C1117" s="15" t="s">
        <v>10</v>
      </c>
      <c r="D1117" s="15" t="s">
        <v>1854</v>
      </c>
      <c r="E1117" t="s">
        <v>8517</v>
      </c>
    </row>
    <row r="1118" spans="1:1024 1027:2048 2051:3072 3075:4096 4099:5120 5123:6144 6147:7168 7171:8192 8195:9216 9219:10240 10243:11264 11267:12288 12291:13312 13315:14336 14339:15360 15363:16384" outlineLevel="1" x14ac:dyDescent="0.3">
      <c r="A1118" t="s">
        <v>1855</v>
      </c>
      <c r="B1118" t="s">
        <v>269</v>
      </c>
      <c r="C1118" s="15" t="s">
        <v>10</v>
      </c>
      <c r="D1118" s="15" t="s">
        <v>1856</v>
      </c>
      <c r="E1118" t="s">
        <v>8520</v>
      </c>
    </row>
    <row r="1119" spans="1:1024 1027:2048 2051:3072 3075:4096 4099:5120 5123:6144 6147:7168 7171:8192 8195:9216 9219:10240 10243:11264 11267:12288 12291:13312 13315:14336 14339:15360 15363:16384" outlineLevel="1" x14ac:dyDescent="0.3">
      <c r="A1119" t="s">
        <v>1857</v>
      </c>
      <c r="B1119" t="s">
        <v>269</v>
      </c>
      <c r="C1119" s="15" t="s">
        <v>10</v>
      </c>
      <c r="D1119" s="15" t="s">
        <v>1858</v>
      </c>
      <c r="E1119" t="s">
        <v>8523</v>
      </c>
    </row>
    <row r="1120" spans="1:1024 1027:2048 2051:3072 3075:4096 4099:5120 5123:6144 6147:7168 7171:8192 8195:9216 9219:10240 10243:11264 11267:12288 12291:13312 13315:14336 14339:15360 15363:16384" outlineLevel="1" x14ac:dyDescent="0.3">
      <c r="A1120" t="s">
        <v>1859</v>
      </c>
      <c r="B1120" t="s">
        <v>269</v>
      </c>
      <c r="C1120" s="15" t="s">
        <v>10</v>
      </c>
      <c r="D1120" s="15" t="s">
        <v>1860</v>
      </c>
      <c r="E1120" t="s">
        <v>8526</v>
      </c>
    </row>
    <row r="1121" spans="1:5" outlineLevel="1" x14ac:dyDescent="0.3">
      <c r="A1121" t="s">
        <v>1861</v>
      </c>
      <c r="B1121" t="s">
        <v>269</v>
      </c>
      <c r="C1121" s="15" t="s">
        <v>10</v>
      </c>
      <c r="D1121" s="15" t="s">
        <v>1862</v>
      </c>
      <c r="E1121" t="s">
        <v>8538</v>
      </c>
    </row>
    <row r="1122" spans="1:5" outlineLevel="1" x14ac:dyDescent="0.3">
      <c r="A1122" t="s">
        <v>1863</v>
      </c>
      <c r="B1122" t="s">
        <v>269</v>
      </c>
      <c r="C1122" s="15" t="s">
        <v>10</v>
      </c>
      <c r="D1122" s="15" t="s">
        <v>1864</v>
      </c>
      <c r="E1122" t="s">
        <v>8535</v>
      </c>
    </row>
    <row r="1123" spans="1:5" outlineLevel="1" x14ac:dyDescent="0.3">
      <c r="A1123" t="s">
        <v>1865</v>
      </c>
      <c r="B1123" t="s">
        <v>269</v>
      </c>
      <c r="C1123" s="15" t="s">
        <v>10</v>
      </c>
      <c r="D1123" s="15" t="s">
        <v>1866</v>
      </c>
      <c r="E1123" t="s">
        <v>8532</v>
      </c>
    </row>
    <row r="1124" spans="1:5" outlineLevel="1" x14ac:dyDescent="0.3">
      <c r="A1124" t="s">
        <v>1867</v>
      </c>
      <c r="B1124" t="s">
        <v>269</v>
      </c>
      <c r="C1124" s="15" t="s">
        <v>10</v>
      </c>
      <c r="D1124" s="15" t="s">
        <v>1868</v>
      </c>
      <c r="E1124" t="s">
        <v>8543</v>
      </c>
    </row>
    <row r="1125" spans="1:5" outlineLevel="1" x14ac:dyDescent="0.3">
      <c r="A1125" t="s">
        <v>1869</v>
      </c>
      <c r="B1125" t="s">
        <v>269</v>
      </c>
      <c r="C1125" s="15" t="s">
        <v>10</v>
      </c>
      <c r="D1125" s="15" t="s">
        <v>1870</v>
      </c>
      <c r="E1125" t="s">
        <v>8546</v>
      </c>
    </row>
    <row r="1126" spans="1:5" outlineLevel="1" x14ac:dyDescent="0.3">
      <c r="A1126" t="s">
        <v>1871</v>
      </c>
      <c r="B1126" t="s">
        <v>269</v>
      </c>
      <c r="C1126" s="15" t="s">
        <v>10</v>
      </c>
      <c r="D1126" s="15" t="s">
        <v>1872</v>
      </c>
      <c r="E1126" t="s">
        <v>8509</v>
      </c>
    </row>
    <row r="1127" spans="1:5" outlineLevel="1" x14ac:dyDescent="0.3">
      <c r="A1127" t="s">
        <v>1873</v>
      </c>
      <c r="B1127" t="s">
        <v>269</v>
      </c>
      <c r="C1127" s="15" t="s">
        <v>10</v>
      </c>
      <c r="D1127" s="15" t="s">
        <v>1872</v>
      </c>
      <c r="E1127" t="s">
        <v>8509</v>
      </c>
    </row>
    <row r="1128" spans="1:5" outlineLevel="1" x14ac:dyDescent="0.3">
      <c r="A1128" t="s">
        <v>1874</v>
      </c>
      <c r="B1128" t="s">
        <v>269</v>
      </c>
      <c r="C1128" s="15" t="s">
        <v>10</v>
      </c>
      <c r="D1128" s="15" t="s">
        <v>1872</v>
      </c>
      <c r="E1128" t="s">
        <v>8509</v>
      </c>
    </row>
    <row r="1129" spans="1:5" outlineLevel="1" x14ac:dyDescent="0.3">
      <c r="A1129" t="s">
        <v>1875</v>
      </c>
      <c r="B1129" t="s">
        <v>269</v>
      </c>
      <c r="C1129" s="15" t="s">
        <v>10</v>
      </c>
      <c r="D1129" s="15" t="s">
        <v>1872</v>
      </c>
      <c r="E1129" t="s">
        <v>8509</v>
      </c>
    </row>
    <row r="1130" spans="1:5" outlineLevel="1" x14ac:dyDescent="0.3">
      <c r="A1130" t="s">
        <v>1876</v>
      </c>
      <c r="B1130" t="s">
        <v>269</v>
      </c>
      <c r="C1130" s="15" t="s">
        <v>10</v>
      </c>
      <c r="D1130" s="15" t="s">
        <v>1877</v>
      </c>
      <c r="E1130" t="s">
        <v>8553</v>
      </c>
    </row>
    <row r="1131" spans="1:5" outlineLevel="1" x14ac:dyDescent="0.3">
      <c r="A1131" t="s">
        <v>1878</v>
      </c>
      <c r="B1131" t="s">
        <v>269</v>
      </c>
      <c r="C1131" s="15" t="s">
        <v>10</v>
      </c>
      <c r="D1131" s="15" t="s">
        <v>1877</v>
      </c>
      <c r="E1131" t="s">
        <v>8553</v>
      </c>
    </row>
    <row r="1132" spans="1:5" outlineLevel="1" x14ac:dyDescent="0.3">
      <c r="A1132" t="s">
        <v>1879</v>
      </c>
      <c r="B1132" t="s">
        <v>269</v>
      </c>
      <c r="C1132" s="15" t="s">
        <v>10</v>
      </c>
      <c r="D1132" s="15" t="s">
        <v>1880</v>
      </c>
      <c r="E1132" t="s">
        <v>8667</v>
      </c>
    </row>
    <row r="1133" spans="1:5" outlineLevel="1" x14ac:dyDescent="0.3">
      <c r="A1133" t="s">
        <v>1881</v>
      </c>
      <c r="B1133" t="s">
        <v>269</v>
      </c>
      <c r="C1133" s="15" t="s">
        <v>10</v>
      </c>
      <c r="D1133" s="15" t="s">
        <v>1880</v>
      </c>
      <c r="E1133" t="s">
        <v>8667</v>
      </c>
    </row>
    <row r="1134" spans="1:5" outlineLevel="1" x14ac:dyDescent="0.3">
      <c r="A1134" t="s">
        <v>1882</v>
      </c>
      <c r="B1134" t="s">
        <v>269</v>
      </c>
      <c r="C1134" s="27"/>
      <c r="D1134" s="15"/>
    </row>
    <row r="1135" spans="1:5" outlineLevel="1" x14ac:dyDescent="0.3">
      <c r="A1135" t="s">
        <v>1883</v>
      </c>
      <c r="B1135" t="s">
        <v>269</v>
      </c>
      <c r="C1135" s="15" t="s">
        <v>10</v>
      </c>
      <c r="D1135" s="15" t="s">
        <v>1884</v>
      </c>
      <c r="E1135" t="s">
        <v>8633</v>
      </c>
    </row>
    <row r="1136" spans="1:5" outlineLevel="1" x14ac:dyDescent="0.3">
      <c r="A1136" t="s">
        <v>1885</v>
      </c>
      <c r="B1136" t="s">
        <v>269</v>
      </c>
      <c r="C1136" s="15" t="s">
        <v>10</v>
      </c>
      <c r="D1136" s="15" t="s">
        <v>1886</v>
      </c>
      <c r="E1136" t="s">
        <v>8661</v>
      </c>
    </row>
    <row r="1137" spans="1:5" outlineLevel="1" x14ac:dyDescent="0.3">
      <c r="A1137" t="s">
        <v>1887</v>
      </c>
      <c r="B1137" t="s">
        <v>269</v>
      </c>
      <c r="C1137" s="15" t="s">
        <v>8</v>
      </c>
      <c r="D1137" s="15" t="s">
        <v>1888</v>
      </c>
      <c r="E1137" t="s">
        <v>9141</v>
      </c>
    </row>
    <row r="1138" spans="1:5" outlineLevel="1" x14ac:dyDescent="0.3">
      <c r="A1138" t="s">
        <v>1889</v>
      </c>
      <c r="B1138" t="s">
        <v>269</v>
      </c>
      <c r="C1138" s="15" t="s">
        <v>10</v>
      </c>
      <c r="D1138" s="15" t="s">
        <v>1890</v>
      </c>
      <c r="E1138" t="s">
        <v>8559</v>
      </c>
    </row>
    <row r="1139" spans="1:5" outlineLevel="1" x14ac:dyDescent="0.3">
      <c r="A1139" t="s">
        <v>1891</v>
      </c>
      <c r="B1139" t="s">
        <v>269</v>
      </c>
      <c r="C1139" s="15" t="s">
        <v>10</v>
      </c>
      <c r="D1139" s="15" t="s">
        <v>1892</v>
      </c>
      <c r="E1139" t="s">
        <v>9153</v>
      </c>
    </row>
    <row r="1140" spans="1:5" outlineLevel="1" x14ac:dyDescent="0.3">
      <c r="A1140" t="s">
        <v>1893</v>
      </c>
      <c r="B1140" t="s">
        <v>269</v>
      </c>
      <c r="C1140" s="15" t="s">
        <v>10</v>
      </c>
      <c r="D1140" s="15" t="s">
        <v>1894</v>
      </c>
      <c r="E1140" t="s">
        <v>9155</v>
      </c>
    </row>
    <row r="1141" spans="1:5" outlineLevel="1" x14ac:dyDescent="0.3">
      <c r="A1141" t="s">
        <v>1895</v>
      </c>
      <c r="B1141" t="s">
        <v>269</v>
      </c>
      <c r="C1141" s="15" t="s">
        <v>10</v>
      </c>
      <c r="D1141" s="15" t="s">
        <v>1896</v>
      </c>
      <c r="E1141" t="s">
        <v>8562</v>
      </c>
    </row>
    <row r="1142" spans="1:5" outlineLevel="1" x14ac:dyDescent="0.3">
      <c r="A1142" t="s">
        <v>1897</v>
      </c>
      <c r="B1142" t="s">
        <v>269</v>
      </c>
      <c r="C1142" s="15" t="s">
        <v>10</v>
      </c>
      <c r="D1142" s="15" t="s">
        <v>1896</v>
      </c>
      <c r="E1142" t="s">
        <v>8562</v>
      </c>
    </row>
    <row r="1143" spans="1:5" outlineLevel="1" x14ac:dyDescent="0.3">
      <c r="A1143" t="s">
        <v>1898</v>
      </c>
      <c r="B1143" t="s">
        <v>269</v>
      </c>
      <c r="C1143" s="15" t="s">
        <v>10</v>
      </c>
      <c r="D1143" s="15" t="s">
        <v>1896</v>
      </c>
      <c r="E1143" t="s">
        <v>8562</v>
      </c>
    </row>
    <row r="1144" spans="1:5" outlineLevel="1" x14ac:dyDescent="0.3">
      <c r="A1144" t="s">
        <v>1899</v>
      </c>
      <c r="B1144" t="s">
        <v>269</v>
      </c>
      <c r="C1144" s="15" t="s">
        <v>10</v>
      </c>
      <c r="D1144" s="15" t="s">
        <v>1900</v>
      </c>
      <c r="E1144" t="s">
        <v>8598</v>
      </c>
    </row>
    <row r="1145" spans="1:5" outlineLevel="1" x14ac:dyDescent="0.3">
      <c r="A1145" t="s">
        <v>1901</v>
      </c>
      <c r="B1145" t="s">
        <v>269</v>
      </c>
      <c r="C1145" s="15" t="s">
        <v>10</v>
      </c>
      <c r="D1145" s="15" t="s">
        <v>1902</v>
      </c>
      <c r="E1145" t="s">
        <v>9157</v>
      </c>
    </row>
    <row r="1146" spans="1:5" outlineLevel="1" x14ac:dyDescent="0.3">
      <c r="A1146" t="s">
        <v>1903</v>
      </c>
      <c r="B1146" t="s">
        <v>269</v>
      </c>
      <c r="C1146" s="15" t="s">
        <v>10</v>
      </c>
      <c r="D1146" s="15" t="s">
        <v>1896</v>
      </c>
      <c r="E1146" t="s">
        <v>8562</v>
      </c>
    </row>
    <row r="1147" spans="1:5" outlineLevel="1" x14ac:dyDescent="0.3">
      <c r="A1147" t="s">
        <v>1904</v>
      </c>
      <c r="B1147" t="s">
        <v>269</v>
      </c>
      <c r="C1147" s="15" t="s">
        <v>10</v>
      </c>
      <c r="D1147" s="15" t="s">
        <v>1896</v>
      </c>
      <c r="E1147" t="s">
        <v>8562</v>
      </c>
    </row>
    <row r="1148" spans="1:5" outlineLevel="1" x14ac:dyDescent="0.3">
      <c r="A1148" t="s">
        <v>1905</v>
      </c>
      <c r="B1148" t="s">
        <v>269</v>
      </c>
      <c r="C1148" s="15" t="s">
        <v>10</v>
      </c>
      <c r="D1148" s="15" t="s">
        <v>1896</v>
      </c>
      <c r="E1148" t="s">
        <v>8562</v>
      </c>
    </row>
    <row r="1149" spans="1:5" outlineLevel="1" x14ac:dyDescent="0.3">
      <c r="A1149" t="s">
        <v>1906</v>
      </c>
      <c r="B1149" t="s">
        <v>269</v>
      </c>
      <c r="C1149" s="15" t="s">
        <v>10</v>
      </c>
      <c r="D1149" s="15" t="s">
        <v>1896</v>
      </c>
      <c r="E1149" t="s">
        <v>8562</v>
      </c>
    </row>
    <row r="1150" spans="1:5" outlineLevel="1" x14ac:dyDescent="0.3">
      <c r="A1150" t="s">
        <v>1907</v>
      </c>
      <c r="B1150" t="s">
        <v>269</v>
      </c>
      <c r="C1150" s="15" t="s">
        <v>10</v>
      </c>
      <c r="D1150" s="15" t="s">
        <v>1900</v>
      </c>
      <c r="E1150" t="s">
        <v>8598</v>
      </c>
    </row>
    <row r="1151" spans="1:5" outlineLevel="1" x14ac:dyDescent="0.3">
      <c r="A1151" t="s">
        <v>1908</v>
      </c>
      <c r="B1151" t="s">
        <v>269</v>
      </c>
      <c r="C1151" s="15" t="s">
        <v>10</v>
      </c>
      <c r="D1151" s="15" t="s">
        <v>1902</v>
      </c>
      <c r="E1151" t="s">
        <v>9157</v>
      </c>
    </row>
    <row r="1152" spans="1:5" outlineLevel="1" x14ac:dyDescent="0.3">
      <c r="A1152" t="s">
        <v>1909</v>
      </c>
      <c r="B1152" t="s">
        <v>269</v>
      </c>
      <c r="C1152" s="15" t="s">
        <v>10</v>
      </c>
      <c r="D1152" s="15" t="s">
        <v>1896</v>
      </c>
      <c r="E1152" t="s">
        <v>8562</v>
      </c>
    </row>
    <row r="1153" spans="1:5" outlineLevel="1" x14ac:dyDescent="0.3">
      <c r="A1153" t="s">
        <v>1910</v>
      </c>
      <c r="B1153" t="s">
        <v>269</v>
      </c>
      <c r="C1153" s="15" t="s">
        <v>10</v>
      </c>
      <c r="D1153" s="15" t="s">
        <v>1896</v>
      </c>
      <c r="E1153" t="s">
        <v>8562</v>
      </c>
    </row>
    <row r="1154" spans="1:5" outlineLevel="1" x14ac:dyDescent="0.3">
      <c r="A1154" t="s">
        <v>1911</v>
      </c>
      <c r="B1154" t="s">
        <v>269</v>
      </c>
      <c r="C1154" s="15" t="s">
        <v>10</v>
      </c>
      <c r="D1154" s="15" t="s">
        <v>1912</v>
      </c>
      <c r="E1154" t="s">
        <v>9159</v>
      </c>
    </row>
    <row r="1155" spans="1:5" outlineLevel="1" x14ac:dyDescent="0.3">
      <c r="A1155" t="s">
        <v>1913</v>
      </c>
      <c r="B1155" t="s">
        <v>269</v>
      </c>
      <c r="C1155" s="15" t="s">
        <v>10</v>
      </c>
      <c r="D1155" s="15" t="s">
        <v>1914</v>
      </c>
      <c r="E1155" t="s">
        <v>9159</v>
      </c>
    </row>
    <row r="1156" spans="1:5" outlineLevel="1" x14ac:dyDescent="0.3">
      <c r="A1156" t="s">
        <v>1915</v>
      </c>
      <c r="B1156" t="s">
        <v>269</v>
      </c>
      <c r="C1156" s="15" t="s">
        <v>10</v>
      </c>
      <c r="D1156" s="15" t="s">
        <v>1916</v>
      </c>
      <c r="E1156" t="s">
        <v>8566</v>
      </c>
    </row>
    <row r="1157" spans="1:5" outlineLevel="1" x14ac:dyDescent="0.3">
      <c r="A1157" t="s">
        <v>1917</v>
      </c>
      <c r="B1157" t="s">
        <v>269</v>
      </c>
      <c r="C1157" s="15" t="s">
        <v>10</v>
      </c>
      <c r="D1157" s="15" t="s">
        <v>1916</v>
      </c>
      <c r="E1157" t="s">
        <v>8566</v>
      </c>
    </row>
    <row r="1158" spans="1:5" outlineLevel="1" x14ac:dyDescent="0.3">
      <c r="A1158" t="s">
        <v>1918</v>
      </c>
      <c r="B1158" t="s">
        <v>269</v>
      </c>
      <c r="C1158" s="15" t="s">
        <v>10</v>
      </c>
      <c r="D1158" s="15" t="s">
        <v>1916</v>
      </c>
      <c r="E1158" t="s">
        <v>8566</v>
      </c>
    </row>
    <row r="1159" spans="1:5" outlineLevel="1" x14ac:dyDescent="0.3">
      <c r="A1159" t="s">
        <v>1919</v>
      </c>
      <c r="B1159" t="s">
        <v>269</v>
      </c>
      <c r="C1159" s="15" t="s">
        <v>10</v>
      </c>
      <c r="D1159" s="15" t="s">
        <v>1916</v>
      </c>
      <c r="E1159" t="s">
        <v>8566</v>
      </c>
    </row>
    <row r="1160" spans="1:5" outlineLevel="1" x14ac:dyDescent="0.3">
      <c r="A1160" t="s">
        <v>1920</v>
      </c>
      <c r="B1160" t="s">
        <v>269</v>
      </c>
      <c r="C1160" s="15" t="s">
        <v>10</v>
      </c>
      <c r="D1160" s="15" t="s">
        <v>1916</v>
      </c>
      <c r="E1160" t="s">
        <v>8566</v>
      </c>
    </row>
    <row r="1161" spans="1:5" outlineLevel="1" x14ac:dyDescent="0.3">
      <c r="A1161" t="s">
        <v>1921</v>
      </c>
      <c r="B1161" t="s">
        <v>269</v>
      </c>
      <c r="C1161" s="15" t="s">
        <v>10</v>
      </c>
      <c r="D1161" s="15" t="s">
        <v>1922</v>
      </c>
      <c r="E1161" t="s">
        <v>9159</v>
      </c>
    </row>
    <row r="1162" spans="1:5" outlineLevel="1" x14ac:dyDescent="0.3">
      <c r="A1162" t="s">
        <v>1923</v>
      </c>
      <c r="B1162" t="s">
        <v>269</v>
      </c>
      <c r="C1162" s="15" t="s">
        <v>10</v>
      </c>
      <c r="D1162" s="15" t="s">
        <v>1916</v>
      </c>
      <c r="E1162" t="s">
        <v>8566</v>
      </c>
    </row>
    <row r="1163" spans="1:5" outlineLevel="1" x14ac:dyDescent="0.3">
      <c r="A1163" t="s">
        <v>1924</v>
      </c>
      <c r="B1163" t="s">
        <v>269</v>
      </c>
      <c r="C1163" s="15" t="s">
        <v>10</v>
      </c>
      <c r="D1163" s="15" t="s">
        <v>1916</v>
      </c>
      <c r="E1163" t="s">
        <v>8566</v>
      </c>
    </row>
    <row r="1164" spans="1:5" outlineLevel="1" x14ac:dyDescent="0.3">
      <c r="A1164" t="s">
        <v>1925</v>
      </c>
      <c r="B1164" t="s">
        <v>269</v>
      </c>
      <c r="C1164" s="15" t="s">
        <v>10</v>
      </c>
      <c r="D1164" s="15" t="s">
        <v>1916</v>
      </c>
      <c r="E1164" t="s">
        <v>8566</v>
      </c>
    </row>
    <row r="1165" spans="1:5" outlineLevel="1" x14ac:dyDescent="0.3">
      <c r="A1165" t="s">
        <v>1926</v>
      </c>
      <c r="B1165" t="s">
        <v>269</v>
      </c>
      <c r="C1165" s="15" t="s">
        <v>10</v>
      </c>
      <c r="D1165" s="15" t="s">
        <v>1916</v>
      </c>
      <c r="E1165" t="s">
        <v>8566</v>
      </c>
    </row>
    <row r="1166" spans="1:5" outlineLevel="1" x14ac:dyDescent="0.3">
      <c r="A1166" t="s">
        <v>1927</v>
      </c>
      <c r="B1166" t="s">
        <v>269</v>
      </c>
      <c r="C1166" s="15" t="s">
        <v>10</v>
      </c>
      <c r="D1166" s="15" t="s">
        <v>1928</v>
      </c>
      <c r="E1166" t="s">
        <v>8733</v>
      </c>
    </row>
    <row r="1167" spans="1:5" outlineLevel="1" x14ac:dyDescent="0.3">
      <c r="A1167" t="s">
        <v>1929</v>
      </c>
      <c r="B1167" t="s">
        <v>269</v>
      </c>
      <c r="C1167" s="15" t="s">
        <v>8</v>
      </c>
      <c r="D1167" s="15" t="s">
        <v>1930</v>
      </c>
      <c r="E1167" t="s">
        <v>8714</v>
      </c>
    </row>
    <row r="1168" spans="1:5" outlineLevel="1" x14ac:dyDescent="0.3">
      <c r="A1168" t="s">
        <v>1931</v>
      </c>
      <c r="B1168" t="s">
        <v>269</v>
      </c>
      <c r="C1168" s="15" t="s">
        <v>8</v>
      </c>
      <c r="D1168" s="15" t="s">
        <v>1930</v>
      </c>
      <c r="E1168" t="s">
        <v>8714</v>
      </c>
    </row>
    <row r="1169" spans="1:5" outlineLevel="1" x14ac:dyDescent="0.3">
      <c r="A1169" t="s">
        <v>1932</v>
      </c>
      <c r="B1169" t="s">
        <v>269</v>
      </c>
      <c r="C1169" s="15" t="s">
        <v>8</v>
      </c>
      <c r="D1169" s="15" t="s">
        <v>1930</v>
      </c>
      <c r="E1169" t="s">
        <v>8714</v>
      </c>
    </row>
    <row r="1170" spans="1:5" outlineLevel="1" x14ac:dyDescent="0.3">
      <c r="A1170" t="s">
        <v>1933</v>
      </c>
      <c r="B1170" t="s">
        <v>269</v>
      </c>
      <c r="C1170" s="15" t="s">
        <v>10</v>
      </c>
      <c r="D1170" s="15" t="s">
        <v>1928</v>
      </c>
      <c r="E1170" t="s">
        <v>8733</v>
      </c>
    </row>
    <row r="1171" spans="1:5" outlineLevel="1" x14ac:dyDescent="0.3">
      <c r="A1171" t="s">
        <v>1934</v>
      </c>
      <c r="B1171" t="s">
        <v>269</v>
      </c>
      <c r="C1171" s="15" t="s">
        <v>10</v>
      </c>
      <c r="D1171" s="15" t="s">
        <v>1928</v>
      </c>
      <c r="E1171" t="s">
        <v>8733</v>
      </c>
    </row>
    <row r="1172" spans="1:5" outlineLevel="1" x14ac:dyDescent="0.3">
      <c r="A1172" t="s">
        <v>1935</v>
      </c>
      <c r="B1172" t="s">
        <v>269</v>
      </c>
      <c r="C1172" s="15" t="s">
        <v>8</v>
      </c>
      <c r="D1172" s="15" t="s">
        <v>1936</v>
      </c>
      <c r="E1172" t="s">
        <v>8730</v>
      </c>
    </row>
    <row r="1173" spans="1:5" outlineLevel="1" x14ac:dyDescent="0.3">
      <c r="A1173" t="s">
        <v>1937</v>
      </c>
      <c r="B1173" t="s">
        <v>269</v>
      </c>
      <c r="C1173" s="15" t="s">
        <v>10</v>
      </c>
      <c r="D1173" s="15" t="s">
        <v>1938</v>
      </c>
      <c r="E1173" t="s">
        <v>8727</v>
      </c>
    </row>
    <row r="1174" spans="1:5" outlineLevel="1" x14ac:dyDescent="0.3">
      <c r="A1174" t="s">
        <v>1939</v>
      </c>
      <c r="B1174" t="s">
        <v>269</v>
      </c>
      <c r="C1174" s="15" t="s">
        <v>8</v>
      </c>
      <c r="D1174" s="15" t="s">
        <v>1940</v>
      </c>
      <c r="E1174" t="s">
        <v>8722</v>
      </c>
    </row>
    <row r="1175" spans="1:5" outlineLevel="1" x14ac:dyDescent="0.3">
      <c r="A1175" t="s">
        <v>1941</v>
      </c>
      <c r="B1175" t="s">
        <v>269</v>
      </c>
      <c r="C1175" s="15" t="s">
        <v>8</v>
      </c>
      <c r="D1175" s="15" t="s">
        <v>1940</v>
      </c>
      <c r="E1175" t="s">
        <v>8722</v>
      </c>
    </row>
    <row r="1176" spans="1:5" outlineLevel="1" x14ac:dyDescent="0.3">
      <c r="A1176" t="s">
        <v>1942</v>
      </c>
      <c r="B1176" t="s">
        <v>269</v>
      </c>
      <c r="C1176" s="15" t="s">
        <v>8</v>
      </c>
      <c r="D1176" s="15" t="s">
        <v>1943</v>
      </c>
      <c r="E1176" t="s">
        <v>8722</v>
      </c>
    </row>
    <row r="1177" spans="1:5" outlineLevel="1" x14ac:dyDescent="0.3">
      <c r="A1177" t="s">
        <v>1944</v>
      </c>
      <c r="B1177" t="s">
        <v>269</v>
      </c>
      <c r="C1177" s="15" t="s">
        <v>8</v>
      </c>
      <c r="D1177" s="15" t="s">
        <v>1943</v>
      </c>
      <c r="E1177" t="s">
        <v>8722</v>
      </c>
    </row>
    <row r="1178" spans="1:5" outlineLevel="1" x14ac:dyDescent="0.3">
      <c r="A1178" t="s">
        <v>1945</v>
      </c>
      <c r="B1178" t="s">
        <v>269</v>
      </c>
      <c r="C1178" s="15" t="s">
        <v>10</v>
      </c>
      <c r="D1178" s="15" t="s">
        <v>1938</v>
      </c>
      <c r="E1178" t="s">
        <v>8727</v>
      </c>
    </row>
    <row r="1179" spans="1:5" outlineLevel="1" x14ac:dyDescent="0.3">
      <c r="A1179" s="15" t="s">
        <v>1946</v>
      </c>
      <c r="B1179" s="15" t="s">
        <v>1947</v>
      </c>
      <c r="C1179" s="15" t="s">
        <v>10</v>
      </c>
      <c r="D1179" s="15" t="s">
        <v>1948</v>
      </c>
      <c r="E1179" t="s">
        <v>9162</v>
      </c>
    </row>
    <row r="1180" spans="1:5" outlineLevel="1" x14ac:dyDescent="0.3">
      <c r="A1180" s="15" t="s">
        <v>1949</v>
      </c>
      <c r="B1180" s="15" t="s">
        <v>1947</v>
      </c>
      <c r="C1180" s="15" t="s">
        <v>10</v>
      </c>
      <c r="D1180" s="15" t="s">
        <v>1948</v>
      </c>
      <c r="E1180" t="s">
        <v>9162</v>
      </c>
    </row>
    <row r="1181" spans="1:5" outlineLevel="1" x14ac:dyDescent="0.3">
      <c r="A1181" s="15" t="s">
        <v>1950</v>
      </c>
      <c r="B1181" s="15" t="s">
        <v>1947</v>
      </c>
      <c r="C1181" s="15" t="s">
        <v>10</v>
      </c>
      <c r="D1181" s="15" t="s">
        <v>1951</v>
      </c>
      <c r="E1181" t="s">
        <v>8908</v>
      </c>
    </row>
    <row r="1182" spans="1:5" outlineLevel="1" x14ac:dyDescent="0.3">
      <c r="A1182" s="15" t="s">
        <v>1952</v>
      </c>
      <c r="B1182" s="15" t="s">
        <v>1947</v>
      </c>
      <c r="C1182" s="15" t="s">
        <v>10</v>
      </c>
      <c r="D1182" s="15" t="s">
        <v>1948</v>
      </c>
      <c r="E1182" t="s">
        <v>9162</v>
      </c>
    </row>
    <row r="1183" spans="1:5" outlineLevel="1" x14ac:dyDescent="0.3">
      <c r="A1183" s="15" t="s">
        <v>1953</v>
      </c>
      <c r="B1183" s="15" t="s">
        <v>1947</v>
      </c>
      <c r="C1183" s="15" t="s">
        <v>10</v>
      </c>
      <c r="D1183" s="15" t="s">
        <v>1951</v>
      </c>
      <c r="E1183" t="s">
        <v>8908</v>
      </c>
    </row>
    <row r="1184" spans="1:5" outlineLevel="1" x14ac:dyDescent="0.3">
      <c r="A1184" s="15" t="s">
        <v>1954</v>
      </c>
      <c r="B1184" s="15" t="s">
        <v>1947</v>
      </c>
      <c r="C1184" s="15" t="s">
        <v>10</v>
      </c>
      <c r="D1184" s="15" t="s">
        <v>1951</v>
      </c>
      <c r="E1184" t="s">
        <v>8908</v>
      </c>
    </row>
    <row r="1185" spans="1:5" outlineLevel="1" x14ac:dyDescent="0.3">
      <c r="A1185" s="15" t="s">
        <v>1955</v>
      </c>
      <c r="B1185" s="15" t="s">
        <v>1947</v>
      </c>
      <c r="C1185" s="15" t="s">
        <v>10</v>
      </c>
      <c r="D1185" s="15" t="s">
        <v>1470</v>
      </c>
      <c r="E1185" t="s">
        <v>9126</v>
      </c>
    </row>
    <row r="1186" spans="1:5" outlineLevel="1" x14ac:dyDescent="0.3">
      <c r="A1186" s="15" t="s">
        <v>1956</v>
      </c>
      <c r="B1186" s="15" t="s">
        <v>1947</v>
      </c>
      <c r="C1186" s="15" t="s">
        <v>10</v>
      </c>
      <c r="D1186" s="15" t="s">
        <v>1957</v>
      </c>
      <c r="E1186" t="s">
        <v>8987</v>
      </c>
    </row>
    <row r="1187" spans="1:5" outlineLevel="1" x14ac:dyDescent="0.3">
      <c r="A1187" s="15" t="s">
        <v>1958</v>
      </c>
      <c r="B1187" s="15" t="s">
        <v>1947</v>
      </c>
      <c r="C1187" s="15" t="s">
        <v>10</v>
      </c>
      <c r="D1187" s="15" t="s">
        <v>1470</v>
      </c>
      <c r="E1187" t="s">
        <v>9126</v>
      </c>
    </row>
    <row r="1188" spans="1:5" outlineLevel="1" x14ac:dyDescent="0.3">
      <c r="A1188" s="15" t="s">
        <v>1959</v>
      </c>
      <c r="B1188" s="15" t="s">
        <v>1947</v>
      </c>
      <c r="C1188" s="15" t="s">
        <v>10</v>
      </c>
      <c r="D1188" s="15" t="s">
        <v>1470</v>
      </c>
      <c r="E1188" t="s">
        <v>9126</v>
      </c>
    </row>
    <row r="1189" spans="1:5" outlineLevel="1" x14ac:dyDescent="0.3">
      <c r="A1189" s="15" t="s">
        <v>1960</v>
      </c>
      <c r="B1189" s="15" t="s">
        <v>1947</v>
      </c>
      <c r="C1189" s="15" t="s">
        <v>10</v>
      </c>
      <c r="D1189" s="15" t="s">
        <v>1470</v>
      </c>
      <c r="E1189" t="s">
        <v>9126</v>
      </c>
    </row>
    <row r="1190" spans="1:5" outlineLevel="1" x14ac:dyDescent="0.3">
      <c r="A1190" s="15" t="s">
        <v>1961</v>
      </c>
      <c r="B1190" s="15" t="s">
        <v>1947</v>
      </c>
      <c r="C1190" s="15" t="s">
        <v>10</v>
      </c>
      <c r="D1190" s="15" t="s">
        <v>1470</v>
      </c>
      <c r="E1190" t="s">
        <v>9126</v>
      </c>
    </row>
    <row r="1191" spans="1:5" outlineLevel="1" x14ac:dyDescent="0.3">
      <c r="A1191" s="15" t="s">
        <v>1962</v>
      </c>
      <c r="B1191" s="15" t="s">
        <v>1947</v>
      </c>
      <c r="C1191" s="15" t="s">
        <v>10</v>
      </c>
      <c r="D1191" s="15" t="s">
        <v>1470</v>
      </c>
      <c r="E1191" t="s">
        <v>9126</v>
      </c>
    </row>
    <row r="1192" spans="1:5" outlineLevel="1" x14ac:dyDescent="0.3">
      <c r="A1192" s="15" t="s">
        <v>1963</v>
      </c>
      <c r="B1192" s="15" t="s">
        <v>1947</v>
      </c>
      <c r="C1192" s="15" t="s">
        <v>10</v>
      </c>
      <c r="D1192" s="15" t="s">
        <v>1470</v>
      </c>
      <c r="E1192" t="s">
        <v>9126</v>
      </c>
    </row>
    <row r="1193" spans="1:5" outlineLevel="1" x14ac:dyDescent="0.3">
      <c r="A1193" s="15" t="s">
        <v>1964</v>
      </c>
      <c r="B1193" s="15" t="s">
        <v>1947</v>
      </c>
      <c r="C1193" s="15" t="s">
        <v>10</v>
      </c>
      <c r="D1193" s="15" t="s">
        <v>1470</v>
      </c>
      <c r="E1193" t="s">
        <v>9126</v>
      </c>
    </row>
    <row r="1194" spans="1:5" outlineLevel="1" x14ac:dyDescent="0.3">
      <c r="A1194" s="15" t="s">
        <v>1965</v>
      </c>
      <c r="B1194" s="15" t="s">
        <v>1947</v>
      </c>
      <c r="C1194" s="15" t="s">
        <v>10</v>
      </c>
      <c r="D1194" s="15" t="s">
        <v>1470</v>
      </c>
      <c r="E1194" t="s">
        <v>9126</v>
      </c>
    </row>
    <row r="1195" spans="1:5" outlineLevel="1" x14ac:dyDescent="0.3">
      <c r="A1195" s="15" t="s">
        <v>1966</v>
      </c>
      <c r="B1195" s="15" t="s">
        <v>1947</v>
      </c>
      <c r="C1195" s="15" t="s">
        <v>10</v>
      </c>
      <c r="D1195" s="15" t="s">
        <v>1470</v>
      </c>
      <c r="E1195" t="s">
        <v>9126</v>
      </c>
    </row>
    <row r="1196" spans="1:5" outlineLevel="1" x14ac:dyDescent="0.3">
      <c r="A1196" s="15" t="s">
        <v>1967</v>
      </c>
      <c r="B1196" s="15" t="s">
        <v>1947</v>
      </c>
      <c r="C1196" s="15" t="s">
        <v>10</v>
      </c>
      <c r="D1196" s="15" t="s">
        <v>1470</v>
      </c>
      <c r="E1196" t="s">
        <v>9126</v>
      </c>
    </row>
    <row r="1197" spans="1:5" outlineLevel="1" x14ac:dyDescent="0.3">
      <c r="A1197" s="15" t="s">
        <v>1968</v>
      </c>
      <c r="B1197" s="15" t="s">
        <v>1947</v>
      </c>
      <c r="C1197" s="15" t="s">
        <v>10</v>
      </c>
      <c r="D1197" s="15" t="s">
        <v>1969</v>
      </c>
      <c r="E1197" t="s">
        <v>8987</v>
      </c>
    </row>
    <row r="1198" spans="1:5" outlineLevel="1" x14ac:dyDescent="0.3">
      <c r="A1198" s="15" t="s">
        <v>1970</v>
      </c>
      <c r="B1198" s="15" t="s">
        <v>1947</v>
      </c>
      <c r="C1198" s="15" t="s">
        <v>10</v>
      </c>
      <c r="D1198" s="15" t="s">
        <v>1971</v>
      </c>
      <c r="E1198" t="s">
        <v>9007</v>
      </c>
    </row>
    <row r="1199" spans="1:5" outlineLevel="1" x14ac:dyDescent="0.3">
      <c r="A1199" s="15" t="s">
        <v>1972</v>
      </c>
      <c r="B1199" s="15" t="s">
        <v>1947</v>
      </c>
      <c r="C1199" s="15" t="s">
        <v>10</v>
      </c>
      <c r="D1199" s="15" t="s">
        <v>1973</v>
      </c>
      <c r="E1199" t="s">
        <v>9164</v>
      </c>
    </row>
    <row r="1200" spans="1:5" outlineLevel="1" x14ac:dyDescent="0.3">
      <c r="A1200" s="15" t="s">
        <v>1974</v>
      </c>
      <c r="B1200" s="15" t="s">
        <v>1947</v>
      </c>
      <c r="C1200" s="15" t="s">
        <v>8</v>
      </c>
      <c r="D1200" s="15" t="s">
        <v>1544</v>
      </c>
      <c r="E1200" t="s">
        <v>8605</v>
      </c>
    </row>
    <row r="1201" spans="1:5" outlineLevel="1" x14ac:dyDescent="0.3">
      <c r="A1201" s="15" t="s">
        <v>1975</v>
      </c>
      <c r="B1201" s="15" t="s">
        <v>1947</v>
      </c>
      <c r="C1201" s="15" t="s">
        <v>8</v>
      </c>
      <c r="D1201" s="15" t="s">
        <v>1544</v>
      </c>
      <c r="E1201" t="s">
        <v>8605</v>
      </c>
    </row>
    <row r="1202" spans="1:5" outlineLevel="1" x14ac:dyDescent="0.3">
      <c r="A1202" s="15" t="s">
        <v>1976</v>
      </c>
      <c r="B1202" s="15" t="s">
        <v>1947</v>
      </c>
      <c r="C1202" s="15" t="s">
        <v>10</v>
      </c>
      <c r="D1202" s="15" t="s">
        <v>1977</v>
      </c>
      <c r="E1202" t="s">
        <v>9166</v>
      </c>
    </row>
    <row r="1203" spans="1:5" outlineLevel="1" x14ac:dyDescent="0.3">
      <c r="A1203" s="15" t="s">
        <v>1978</v>
      </c>
      <c r="B1203" s="15" t="s">
        <v>1947</v>
      </c>
      <c r="C1203" s="15" t="s">
        <v>10</v>
      </c>
      <c r="D1203" s="15" t="s">
        <v>1977</v>
      </c>
      <c r="E1203" t="s">
        <v>9166</v>
      </c>
    </row>
    <row r="1204" spans="1:5" outlineLevel="1" x14ac:dyDescent="0.3">
      <c r="A1204" s="15" t="s">
        <v>1979</v>
      </c>
      <c r="B1204" s="15" t="s">
        <v>1947</v>
      </c>
      <c r="C1204" s="15" t="s">
        <v>10</v>
      </c>
      <c r="D1204" s="15" t="s">
        <v>1977</v>
      </c>
      <c r="E1204" t="s">
        <v>9166</v>
      </c>
    </row>
    <row r="1205" spans="1:5" outlineLevel="1" x14ac:dyDescent="0.3">
      <c r="A1205" s="15" t="s">
        <v>1980</v>
      </c>
      <c r="B1205" s="15" t="s">
        <v>1947</v>
      </c>
      <c r="C1205" s="15" t="s">
        <v>10</v>
      </c>
      <c r="D1205" s="15" t="s">
        <v>1977</v>
      </c>
      <c r="E1205" t="s">
        <v>9166</v>
      </c>
    </row>
    <row r="1206" spans="1:5" outlineLevel="1" x14ac:dyDescent="0.3">
      <c r="A1206" s="15" t="s">
        <v>1981</v>
      </c>
      <c r="B1206" s="15" t="s">
        <v>1947</v>
      </c>
      <c r="C1206" s="15" t="s">
        <v>10</v>
      </c>
      <c r="D1206" s="15" t="s">
        <v>1977</v>
      </c>
      <c r="E1206" t="s">
        <v>9166</v>
      </c>
    </row>
    <row r="1207" spans="1:5" outlineLevel="1" x14ac:dyDescent="0.3">
      <c r="A1207" s="15" t="s">
        <v>1982</v>
      </c>
      <c r="B1207" s="15" t="s">
        <v>1947</v>
      </c>
      <c r="C1207" s="15" t="s">
        <v>10</v>
      </c>
      <c r="D1207" s="15" t="s">
        <v>1983</v>
      </c>
      <c r="E1207" t="s">
        <v>9169</v>
      </c>
    </row>
    <row r="1208" spans="1:5" outlineLevel="1" x14ac:dyDescent="0.3">
      <c r="A1208" s="15" t="s">
        <v>1984</v>
      </c>
      <c r="B1208" s="15" t="s">
        <v>1947</v>
      </c>
      <c r="C1208" s="15" t="s">
        <v>10</v>
      </c>
      <c r="D1208" s="15" t="s">
        <v>1983</v>
      </c>
      <c r="E1208" t="s">
        <v>9169</v>
      </c>
    </row>
    <row r="1209" spans="1:5" outlineLevel="1" x14ac:dyDescent="0.3">
      <c r="A1209" s="15" t="s">
        <v>1985</v>
      </c>
      <c r="B1209" s="15" t="s">
        <v>1947</v>
      </c>
      <c r="C1209" s="15" t="s">
        <v>10</v>
      </c>
      <c r="D1209" s="15" t="s">
        <v>1983</v>
      </c>
      <c r="E1209" t="s">
        <v>9169</v>
      </c>
    </row>
    <row r="1210" spans="1:5" outlineLevel="1" x14ac:dyDescent="0.3">
      <c r="A1210" s="15" t="s">
        <v>1986</v>
      </c>
      <c r="B1210" s="15" t="s">
        <v>1947</v>
      </c>
      <c r="C1210" s="15" t="s">
        <v>10</v>
      </c>
      <c r="D1210" s="15" t="s">
        <v>1987</v>
      </c>
      <c r="E1210" t="s">
        <v>8670</v>
      </c>
    </row>
    <row r="1211" spans="1:5" outlineLevel="1" x14ac:dyDescent="0.3">
      <c r="A1211" s="15" t="s">
        <v>1988</v>
      </c>
      <c r="B1211" s="15" t="s">
        <v>1947</v>
      </c>
      <c r="C1211" s="15" t="s">
        <v>8</v>
      </c>
      <c r="D1211" s="15" t="s">
        <v>1547</v>
      </c>
      <c r="E1211" t="s">
        <v>8613</v>
      </c>
    </row>
    <row r="1212" spans="1:5" outlineLevel="1" x14ac:dyDescent="0.3">
      <c r="A1212" s="15" t="s">
        <v>1989</v>
      </c>
      <c r="B1212" s="15" t="s">
        <v>1947</v>
      </c>
      <c r="C1212" s="15" t="s">
        <v>8</v>
      </c>
      <c r="D1212" s="15" t="s">
        <v>1547</v>
      </c>
      <c r="E1212" t="s">
        <v>8613</v>
      </c>
    </row>
    <row r="1213" spans="1:5" outlineLevel="1" x14ac:dyDescent="0.3">
      <c r="A1213" s="15" t="s">
        <v>1990</v>
      </c>
      <c r="B1213" s="15" t="s">
        <v>1947</v>
      </c>
      <c r="C1213" s="15" t="s">
        <v>8</v>
      </c>
      <c r="D1213" s="15" t="s">
        <v>1991</v>
      </c>
      <c r="E1213" t="s">
        <v>8616</v>
      </c>
    </row>
    <row r="1214" spans="1:5" outlineLevel="1" x14ac:dyDescent="0.3">
      <c r="A1214" s="15" t="s">
        <v>1992</v>
      </c>
      <c r="B1214" s="15" t="s">
        <v>1947</v>
      </c>
      <c r="C1214" s="15" t="s">
        <v>8</v>
      </c>
      <c r="D1214" s="15" t="s">
        <v>1993</v>
      </c>
      <c r="E1214" t="s">
        <v>8638</v>
      </c>
    </row>
    <row r="1215" spans="1:5" outlineLevel="1" x14ac:dyDescent="0.3">
      <c r="A1215" s="15" t="s">
        <v>1994</v>
      </c>
      <c r="B1215" s="15" t="s">
        <v>1947</v>
      </c>
      <c r="C1215" s="15" t="s">
        <v>10</v>
      </c>
      <c r="D1215" s="15" t="s">
        <v>1995</v>
      </c>
      <c r="E1215" t="s">
        <v>8641</v>
      </c>
    </row>
    <row r="1216" spans="1:5" outlineLevel="1" x14ac:dyDescent="0.3">
      <c r="A1216" s="15" t="s">
        <v>1996</v>
      </c>
      <c r="B1216" s="15" t="s">
        <v>1947</v>
      </c>
      <c r="C1216" s="15" t="s">
        <v>8</v>
      </c>
      <c r="D1216" s="15" t="s">
        <v>1997</v>
      </c>
      <c r="E1216" t="s">
        <v>8644</v>
      </c>
    </row>
    <row r="1217" spans="1:5" outlineLevel="1" x14ac:dyDescent="0.3">
      <c r="A1217" s="15" t="s">
        <v>1998</v>
      </c>
      <c r="B1217" s="15" t="s">
        <v>1947</v>
      </c>
      <c r="C1217" s="15" t="s">
        <v>8</v>
      </c>
      <c r="D1217" s="15" t="s">
        <v>1999</v>
      </c>
      <c r="E1217" t="s">
        <v>8630</v>
      </c>
    </row>
    <row r="1218" spans="1:5" outlineLevel="1" x14ac:dyDescent="0.3">
      <c r="A1218" s="15" t="s">
        <v>2000</v>
      </c>
      <c r="B1218" s="15" t="s">
        <v>1947</v>
      </c>
      <c r="C1218" s="15" t="s">
        <v>8</v>
      </c>
      <c r="D1218" s="15" t="s">
        <v>2001</v>
      </c>
      <c r="E1218" t="s">
        <v>8619</v>
      </c>
    </row>
    <row r="1219" spans="1:5" outlineLevel="1" x14ac:dyDescent="0.3">
      <c r="A1219" s="15" t="s">
        <v>2002</v>
      </c>
      <c r="B1219" s="15" t="s">
        <v>1947</v>
      </c>
      <c r="C1219" s="15" t="s">
        <v>8</v>
      </c>
      <c r="D1219" s="15" t="s">
        <v>2003</v>
      </c>
      <c r="E1219" t="s">
        <v>9172</v>
      </c>
    </row>
    <row r="1220" spans="1:5" outlineLevel="1" x14ac:dyDescent="0.3">
      <c r="A1220" s="15" t="s">
        <v>2004</v>
      </c>
      <c r="B1220" s="15" t="s">
        <v>1947</v>
      </c>
      <c r="C1220" s="15" t="s">
        <v>10</v>
      </c>
      <c r="D1220" s="15" t="s">
        <v>2005</v>
      </c>
      <c r="E1220" t="s">
        <v>8589</v>
      </c>
    </row>
    <row r="1221" spans="1:5" outlineLevel="1" x14ac:dyDescent="0.3">
      <c r="A1221" s="15" t="s">
        <v>2006</v>
      </c>
      <c r="B1221" s="15" t="s">
        <v>1947</v>
      </c>
      <c r="C1221" s="15" t="s">
        <v>10</v>
      </c>
      <c r="D1221" s="15" t="s">
        <v>2007</v>
      </c>
      <c r="E1221" t="s">
        <v>9174</v>
      </c>
    </row>
    <row r="1222" spans="1:5" outlineLevel="1" x14ac:dyDescent="0.3">
      <c r="A1222" s="15" t="s">
        <v>2008</v>
      </c>
      <c r="B1222" s="15" t="s">
        <v>1947</v>
      </c>
      <c r="C1222" s="15" t="s">
        <v>8</v>
      </c>
      <c r="D1222" s="15" t="s">
        <v>2009</v>
      </c>
      <c r="E1222" t="s">
        <v>8684</v>
      </c>
    </row>
    <row r="1223" spans="1:5" outlineLevel="1" x14ac:dyDescent="0.3">
      <c r="A1223" s="15" t="s">
        <v>2010</v>
      </c>
      <c r="B1223" s="15" t="s">
        <v>1947</v>
      </c>
      <c r="C1223" s="15" t="s">
        <v>8</v>
      </c>
      <c r="D1223" s="15" t="s">
        <v>2009</v>
      </c>
      <c r="E1223" t="s">
        <v>8684</v>
      </c>
    </row>
    <row r="1224" spans="1:5" outlineLevel="1" x14ac:dyDescent="0.3">
      <c r="A1224" s="15" t="s">
        <v>2011</v>
      </c>
      <c r="B1224" s="15" t="s">
        <v>1947</v>
      </c>
      <c r="C1224" s="15" t="s">
        <v>8</v>
      </c>
      <c r="D1224" s="15" t="s">
        <v>2009</v>
      </c>
      <c r="E1224" t="s">
        <v>8684</v>
      </c>
    </row>
    <row r="1225" spans="1:5" outlineLevel="1" x14ac:dyDescent="0.3">
      <c r="A1225" s="15" t="s">
        <v>2012</v>
      </c>
      <c r="B1225" s="15" t="s">
        <v>1947</v>
      </c>
      <c r="C1225" s="15" t="s">
        <v>10</v>
      </c>
      <c r="D1225" s="15" t="s">
        <v>2013</v>
      </c>
      <c r="E1225" t="s">
        <v>9159</v>
      </c>
    </row>
    <row r="1226" spans="1:5" outlineLevel="1" x14ac:dyDescent="0.3">
      <c r="A1226" s="15" t="s">
        <v>2014</v>
      </c>
      <c r="B1226" s="15" t="s">
        <v>1947</v>
      </c>
      <c r="C1226" s="15" t="s">
        <v>10</v>
      </c>
      <c r="D1226" s="15" t="s">
        <v>2015</v>
      </c>
      <c r="E1226" t="s">
        <v>9159</v>
      </c>
    </row>
    <row r="1227" spans="1:5" outlineLevel="1" x14ac:dyDescent="0.3">
      <c r="A1227" s="15" t="s">
        <v>2016</v>
      </c>
      <c r="B1227" s="15" t="s">
        <v>1947</v>
      </c>
      <c r="C1227" s="15" t="s">
        <v>10</v>
      </c>
      <c r="D1227" s="15" t="s">
        <v>2017</v>
      </c>
      <c r="E1227" t="s">
        <v>8605</v>
      </c>
    </row>
    <row r="1228" spans="1:5" outlineLevel="1" x14ac:dyDescent="0.3">
      <c r="A1228" s="15" t="s">
        <v>2018</v>
      </c>
      <c r="B1228" s="15" t="s">
        <v>1947</v>
      </c>
      <c r="C1228" s="15" t="s">
        <v>10</v>
      </c>
      <c r="D1228" s="15" t="s">
        <v>2017</v>
      </c>
      <c r="E1228" t="s">
        <v>8605</v>
      </c>
    </row>
    <row r="1229" spans="1:5" outlineLevel="1" x14ac:dyDescent="0.3">
      <c r="A1229" s="15" t="s">
        <v>2019</v>
      </c>
      <c r="B1229" s="15" t="s">
        <v>1947</v>
      </c>
      <c r="C1229" s="15" t="s">
        <v>10</v>
      </c>
      <c r="D1229" s="15" t="s">
        <v>2017</v>
      </c>
      <c r="E1229" t="s">
        <v>8605</v>
      </c>
    </row>
    <row r="1230" spans="1:5" outlineLevel="1" x14ac:dyDescent="0.3">
      <c r="A1230" s="15" t="s">
        <v>5250</v>
      </c>
      <c r="B1230" s="15" t="s">
        <v>5065</v>
      </c>
      <c r="D1230" s="15" t="s">
        <v>9252</v>
      </c>
      <c r="E1230" t="s">
        <v>8624</v>
      </c>
    </row>
    <row r="1231" spans="1:5" outlineLevel="1" x14ac:dyDescent="0.3">
      <c r="A1231" s="15" t="s">
        <v>5252</v>
      </c>
      <c r="B1231" s="15" t="s">
        <v>5065</v>
      </c>
      <c r="D1231" s="15" t="s">
        <v>9252</v>
      </c>
      <c r="E1231" t="s">
        <v>8624</v>
      </c>
    </row>
    <row r="1232" spans="1:5" outlineLevel="1" x14ac:dyDescent="0.3">
      <c r="A1232" s="15" t="s">
        <v>5253</v>
      </c>
      <c r="B1232" s="15" t="s">
        <v>5065</v>
      </c>
      <c r="D1232" s="15" t="s">
        <v>9253</v>
      </c>
      <c r="E1232" t="s">
        <v>8627</v>
      </c>
    </row>
    <row r="1233" spans="1:5" outlineLevel="1" x14ac:dyDescent="0.3">
      <c r="A1233" s="15" t="s">
        <v>5254</v>
      </c>
      <c r="B1233" s="15" t="s">
        <v>5065</v>
      </c>
      <c r="D1233" s="15" t="s">
        <v>9253</v>
      </c>
      <c r="E1233" t="s">
        <v>8627</v>
      </c>
    </row>
    <row r="1234" spans="1:5" outlineLevel="1" x14ac:dyDescent="0.3">
      <c r="A1234" s="15" t="s">
        <v>5255</v>
      </c>
      <c r="B1234" s="15" t="s">
        <v>5065</v>
      </c>
      <c r="D1234" s="15" t="s">
        <v>9267</v>
      </c>
      <c r="E1234" t="s">
        <v>9293</v>
      </c>
    </row>
    <row r="1235" spans="1:5" outlineLevel="1" x14ac:dyDescent="0.3">
      <c r="A1235" s="15" t="s">
        <v>5256</v>
      </c>
      <c r="B1235" s="15" t="s">
        <v>5065</v>
      </c>
      <c r="D1235" s="15" t="s">
        <v>9267</v>
      </c>
      <c r="E1235" t="s">
        <v>9293</v>
      </c>
    </row>
    <row r="1236" spans="1:5" outlineLevel="1" x14ac:dyDescent="0.3">
      <c r="A1236" s="15" t="s">
        <v>5257</v>
      </c>
      <c r="B1236" s="15" t="s">
        <v>5065</v>
      </c>
      <c r="D1236" s="15" t="s">
        <v>9254</v>
      </c>
      <c r="E1236" t="s">
        <v>8656</v>
      </c>
    </row>
    <row r="1237" spans="1:5" outlineLevel="1" x14ac:dyDescent="0.3">
      <c r="A1237" s="15" t="s">
        <v>5258</v>
      </c>
      <c r="B1237" s="15" t="s">
        <v>5065</v>
      </c>
      <c r="D1237" s="15" t="s">
        <v>1999</v>
      </c>
      <c r="E1237" t="s">
        <v>8630</v>
      </c>
    </row>
    <row r="1238" spans="1:5" outlineLevel="1" x14ac:dyDescent="0.3">
      <c r="A1238" s="15" t="s">
        <v>5261</v>
      </c>
      <c r="B1238" s="15" t="s">
        <v>5065</v>
      </c>
      <c r="D1238" s="15" t="s">
        <v>1999</v>
      </c>
      <c r="E1238" t="s">
        <v>8630</v>
      </c>
    </row>
    <row r="1239" spans="1:5" outlineLevel="1" x14ac:dyDescent="0.3">
      <c r="A1239" s="15" t="s">
        <v>5264</v>
      </c>
      <c r="B1239" s="15" t="s">
        <v>5065</v>
      </c>
      <c r="D1239" s="15" t="s">
        <v>9255</v>
      </c>
      <c r="E1239" t="s">
        <v>8664</v>
      </c>
    </row>
    <row r="1240" spans="1:5" outlineLevel="1" x14ac:dyDescent="0.3">
      <c r="A1240" s="15" t="s">
        <v>5267</v>
      </c>
      <c r="B1240" s="15" t="s">
        <v>5065</v>
      </c>
      <c r="D1240" s="15" t="s">
        <v>9270</v>
      </c>
      <c r="E1240" t="s">
        <v>8574</v>
      </c>
    </row>
    <row r="1241" spans="1:5" outlineLevel="1" x14ac:dyDescent="0.3">
      <c r="A1241" s="15" t="s">
        <v>5270</v>
      </c>
      <c r="B1241" s="15" t="s">
        <v>5065</v>
      </c>
      <c r="D1241" s="15" t="s">
        <v>9256</v>
      </c>
      <c r="E1241" t="s">
        <v>8677</v>
      </c>
    </row>
    <row r="1242" spans="1:5" outlineLevel="1" x14ac:dyDescent="0.3">
      <c r="A1242" s="15" t="s">
        <v>5273</v>
      </c>
      <c r="B1242" s="15" t="s">
        <v>5065</v>
      </c>
      <c r="D1242" s="15" t="s">
        <v>9257</v>
      </c>
      <c r="E1242" t="s">
        <v>8653</v>
      </c>
    </row>
    <row r="1243" spans="1:5" outlineLevel="1" x14ac:dyDescent="0.3">
      <c r="A1243" s="15" t="s">
        <v>5275</v>
      </c>
      <c r="B1243" s="15" t="s">
        <v>5065</v>
      </c>
      <c r="D1243" s="15" t="s">
        <v>9253</v>
      </c>
      <c r="E1243" t="s">
        <v>8627</v>
      </c>
    </row>
    <row r="1244" spans="1:5" outlineLevel="1" x14ac:dyDescent="0.3">
      <c r="A1244" s="15" t="s">
        <v>5277</v>
      </c>
      <c r="B1244" s="15" t="s">
        <v>5065</v>
      </c>
      <c r="D1244" s="15" t="s">
        <v>9257</v>
      </c>
      <c r="E1244" t="s">
        <v>8653</v>
      </c>
    </row>
    <row r="1245" spans="1:5" outlineLevel="1" x14ac:dyDescent="0.3">
      <c r="A1245" s="15" t="s">
        <v>5279</v>
      </c>
      <c r="B1245" s="15" t="s">
        <v>5065</v>
      </c>
      <c r="D1245" s="15" t="s">
        <v>9254</v>
      </c>
      <c r="E1245" t="s">
        <v>8656</v>
      </c>
    </row>
    <row r="1246" spans="1:5" outlineLevel="1" x14ac:dyDescent="0.3">
      <c r="A1246" s="15" t="s">
        <v>5282</v>
      </c>
      <c r="B1246" s="15" t="s">
        <v>5065</v>
      </c>
      <c r="D1246" s="15" t="s">
        <v>9271</v>
      </c>
      <c r="E1246" t="s">
        <v>9294</v>
      </c>
    </row>
    <row r="1247" spans="1:5" outlineLevel="1" x14ac:dyDescent="0.3">
      <c r="A1247" s="15" t="s">
        <v>5285</v>
      </c>
      <c r="B1247" s="15" t="s">
        <v>5065</v>
      </c>
      <c r="D1247" s="15" t="s">
        <v>9271</v>
      </c>
      <c r="E1247" t="s">
        <v>9294</v>
      </c>
    </row>
    <row r="1248" spans="1:5" outlineLevel="1" x14ac:dyDescent="0.3">
      <c r="A1248" s="15" t="s">
        <v>5288</v>
      </c>
      <c r="B1248" s="15" t="s">
        <v>5065</v>
      </c>
      <c r="D1248" s="15" t="s">
        <v>9271</v>
      </c>
      <c r="E1248" t="s">
        <v>9294</v>
      </c>
    </row>
    <row r="1249" spans="1:5" outlineLevel="1" x14ac:dyDescent="0.3">
      <c r="A1249" s="15" t="s">
        <v>5290</v>
      </c>
      <c r="B1249" s="15" t="s">
        <v>5065</v>
      </c>
      <c r="D1249" s="15" t="s">
        <v>9258</v>
      </c>
      <c r="E1249" t="s">
        <v>8649</v>
      </c>
    </row>
    <row r="1250" spans="1:5" outlineLevel="1" x14ac:dyDescent="0.3">
      <c r="A1250" s="15" t="s">
        <v>5292</v>
      </c>
      <c r="B1250" s="15" t="s">
        <v>5065</v>
      </c>
      <c r="D1250" s="15" t="s">
        <v>9292</v>
      </c>
      <c r="E1250" t="s">
        <v>9295</v>
      </c>
    </row>
    <row r="1251" spans="1:5" outlineLevel="1" x14ac:dyDescent="0.3">
      <c r="A1251" s="15" t="s">
        <v>5289</v>
      </c>
      <c r="B1251" s="15" t="s">
        <v>5065</v>
      </c>
      <c r="D1251" s="15" t="s">
        <v>9268</v>
      </c>
      <c r="E1251" t="s">
        <v>8672</v>
      </c>
    </row>
    <row r="1252" spans="1:5" outlineLevel="1" x14ac:dyDescent="0.3">
      <c r="A1252" s="15" t="s">
        <v>5291</v>
      </c>
      <c r="B1252" s="15" t="s">
        <v>5065</v>
      </c>
      <c r="D1252" s="15" t="s">
        <v>9256</v>
      </c>
      <c r="E1252" t="s">
        <v>8677</v>
      </c>
    </row>
    <row r="1253" spans="1:5" outlineLevel="1" x14ac:dyDescent="0.3">
      <c r="A1253" s="15" t="s">
        <v>5293</v>
      </c>
      <c r="B1253" s="15" t="s">
        <v>5065</v>
      </c>
      <c r="D1253" s="15" t="s">
        <v>9292</v>
      </c>
      <c r="E1253" t="s">
        <v>9295</v>
      </c>
    </row>
    <row r="1254" spans="1:5" outlineLevel="1" x14ac:dyDescent="0.3">
      <c r="A1254" s="15" t="s">
        <v>5117</v>
      </c>
      <c r="B1254" s="15" t="s">
        <v>5118</v>
      </c>
      <c r="D1254" t="s">
        <v>1554</v>
      </c>
      <c r="E1254" t="s">
        <v>8792</v>
      </c>
    </row>
    <row r="1255" spans="1:5" outlineLevel="1" x14ac:dyDescent="0.3">
      <c r="A1255" s="15" t="s">
        <v>5119</v>
      </c>
      <c r="B1255" s="15" t="s">
        <v>5118</v>
      </c>
      <c r="D1255" t="s">
        <v>1554</v>
      </c>
      <c r="E1255" t="s">
        <v>8792</v>
      </c>
    </row>
    <row r="1256" spans="1:5" outlineLevel="1" x14ac:dyDescent="0.3">
      <c r="A1256" s="15" t="s">
        <v>5120</v>
      </c>
      <c r="B1256" s="15" t="s">
        <v>5118</v>
      </c>
      <c r="D1256" t="s">
        <v>1554</v>
      </c>
      <c r="E1256" t="s">
        <v>8792</v>
      </c>
    </row>
    <row r="1257" spans="1:5" outlineLevel="1" x14ac:dyDescent="0.3">
      <c r="A1257" s="15" t="s">
        <v>5121</v>
      </c>
      <c r="B1257" s="15" t="s">
        <v>5118</v>
      </c>
      <c r="D1257" t="s">
        <v>1554</v>
      </c>
      <c r="E1257" t="s">
        <v>8792</v>
      </c>
    </row>
    <row r="1258" spans="1:5" outlineLevel="1" x14ac:dyDescent="0.3">
      <c r="A1258" s="15" t="s">
        <v>5122</v>
      </c>
      <c r="B1258" s="15" t="s">
        <v>5118</v>
      </c>
      <c r="D1258" t="s">
        <v>9291</v>
      </c>
      <c r="E1258" t="s">
        <v>8778</v>
      </c>
    </row>
    <row r="1259" spans="1:5" outlineLevel="1" x14ac:dyDescent="0.3">
      <c r="A1259" s="15" t="s">
        <v>5299</v>
      </c>
      <c r="B1259" s="15" t="s">
        <v>5068</v>
      </c>
      <c r="D1259" t="s">
        <v>9288</v>
      </c>
      <c r="E1259" t="s">
        <v>9012</v>
      </c>
    </row>
    <row r="1260" spans="1:5" outlineLevel="1" x14ac:dyDescent="0.3">
      <c r="A1260" s="15" t="s">
        <v>5300</v>
      </c>
      <c r="B1260" s="15" t="s">
        <v>5068</v>
      </c>
      <c r="D1260" t="s">
        <v>1526</v>
      </c>
      <c r="E1260" t="s">
        <v>8633</v>
      </c>
    </row>
    <row r="1261" spans="1:5" outlineLevel="1" x14ac:dyDescent="0.3">
      <c r="A1261" s="15" t="s">
        <v>5301</v>
      </c>
      <c r="B1261" s="15" t="s">
        <v>5068</v>
      </c>
      <c r="D1261" t="s">
        <v>9284</v>
      </c>
      <c r="E1261" t="s">
        <v>9296</v>
      </c>
    </row>
    <row r="1262" spans="1:5" outlineLevel="1" x14ac:dyDescent="0.3">
      <c r="A1262" s="15" t="s">
        <v>5302</v>
      </c>
      <c r="B1262" s="15" t="s">
        <v>5068</v>
      </c>
      <c r="D1262" t="s">
        <v>9273</v>
      </c>
      <c r="E1262" t="s">
        <v>8681</v>
      </c>
    </row>
    <row r="1263" spans="1:5" outlineLevel="1" x14ac:dyDescent="0.3">
      <c r="A1263" s="15" t="s">
        <v>5303</v>
      </c>
      <c r="B1263" s="15" t="s">
        <v>5068</v>
      </c>
      <c r="D1263" t="s">
        <v>9273</v>
      </c>
      <c r="E1263" t="s">
        <v>8681</v>
      </c>
    </row>
    <row r="1264" spans="1:5" outlineLevel="1" x14ac:dyDescent="0.3">
      <c r="A1264" s="15" t="s">
        <v>5304</v>
      </c>
      <c r="B1264" s="15" t="s">
        <v>5068</v>
      </c>
      <c r="D1264" t="s">
        <v>9272</v>
      </c>
      <c r="E1264" t="s">
        <v>8622</v>
      </c>
    </row>
    <row r="1265" spans="1:5" outlineLevel="1" x14ac:dyDescent="0.3">
      <c r="A1265" s="15" t="s">
        <v>5305</v>
      </c>
      <c r="B1265" s="15" t="s">
        <v>5068</v>
      </c>
      <c r="D1265" t="s">
        <v>9285</v>
      </c>
      <c r="E1265" t="s">
        <v>8653</v>
      </c>
    </row>
    <row r="1266" spans="1:5" outlineLevel="1" x14ac:dyDescent="0.3">
      <c r="A1266" s="15" t="s">
        <v>5306</v>
      </c>
      <c r="B1266" s="15" t="s">
        <v>5068</v>
      </c>
      <c r="D1266" t="s">
        <v>9286</v>
      </c>
      <c r="E1266" t="s">
        <v>8646</v>
      </c>
    </row>
    <row r="1267" spans="1:5" outlineLevel="1" x14ac:dyDescent="0.3">
      <c r="A1267" s="15" t="s">
        <v>5307</v>
      </c>
      <c r="B1267" s="15" t="s">
        <v>5068</v>
      </c>
      <c r="D1267" t="s">
        <v>9287</v>
      </c>
      <c r="E1267" t="s">
        <v>9297</v>
      </c>
    </row>
    <row r="1268" spans="1:5" outlineLevel="1" x14ac:dyDescent="0.3">
      <c r="A1268" s="15" t="s">
        <v>5308</v>
      </c>
      <c r="B1268" s="15" t="s">
        <v>5068</v>
      </c>
      <c r="D1268" t="s">
        <v>9274</v>
      </c>
      <c r="E1268" t="s">
        <v>8619</v>
      </c>
    </row>
    <row r="1269" spans="1:5" outlineLevel="1" x14ac:dyDescent="0.3">
      <c r="A1269" s="15" t="s">
        <v>5309</v>
      </c>
      <c r="B1269" s="15" t="s">
        <v>5068</v>
      </c>
      <c r="D1269" t="s">
        <v>1991</v>
      </c>
      <c r="E1269" t="s">
        <v>8616</v>
      </c>
    </row>
    <row r="1270" spans="1:5" outlineLevel="1" x14ac:dyDescent="0.3">
      <c r="A1270" s="15" t="s">
        <v>5310</v>
      </c>
      <c r="B1270" s="15" t="s">
        <v>5068</v>
      </c>
      <c r="D1270" t="s">
        <v>9273</v>
      </c>
      <c r="E1270" t="s">
        <v>8681</v>
      </c>
    </row>
    <row r="1271" spans="1:5" outlineLevel="1" x14ac:dyDescent="0.3">
      <c r="A1271" s="15" t="s">
        <v>5311</v>
      </c>
      <c r="B1271" s="15" t="s">
        <v>5068</v>
      </c>
      <c r="D1271" t="s">
        <v>9273</v>
      </c>
      <c r="E1271" t="s">
        <v>8681</v>
      </c>
    </row>
    <row r="1272" spans="1:5" outlineLevel="1" x14ac:dyDescent="0.3">
      <c r="A1272" s="15" t="s">
        <v>5312</v>
      </c>
      <c r="B1272" s="15" t="s">
        <v>5068</v>
      </c>
      <c r="D1272" t="s">
        <v>1547</v>
      </c>
      <c r="E1272" t="s">
        <v>8613</v>
      </c>
    </row>
    <row r="1273" spans="1:5" outlineLevel="1" x14ac:dyDescent="0.3">
      <c r="A1273" s="15" t="s">
        <v>5313</v>
      </c>
      <c r="B1273" s="15" t="s">
        <v>5068</v>
      </c>
      <c r="D1273" t="s">
        <v>1547</v>
      </c>
      <c r="E1273" t="s">
        <v>8613</v>
      </c>
    </row>
    <row r="1274" spans="1:5" outlineLevel="1" x14ac:dyDescent="0.3">
      <c r="A1274" s="15" t="s">
        <v>5314</v>
      </c>
      <c r="B1274" s="15" t="s">
        <v>5068</v>
      </c>
      <c r="D1274" t="s">
        <v>9275</v>
      </c>
      <c r="E1274" t="s">
        <v>9298</v>
      </c>
    </row>
    <row r="1275" spans="1:5" outlineLevel="1" x14ac:dyDescent="0.3">
      <c r="A1275" s="15" t="s">
        <v>5315</v>
      </c>
      <c r="B1275" s="15" t="s">
        <v>5068</v>
      </c>
      <c r="D1275" t="s">
        <v>9276</v>
      </c>
      <c r="E1275" t="s">
        <v>9295</v>
      </c>
    </row>
    <row r="1276" spans="1:5" outlineLevel="1" x14ac:dyDescent="0.3">
      <c r="A1276" s="15" t="s">
        <v>5316</v>
      </c>
      <c r="B1276" s="15" t="s">
        <v>5068</v>
      </c>
      <c r="D1276" t="s">
        <v>9278</v>
      </c>
      <c r="E1276" t="s">
        <v>9299</v>
      </c>
    </row>
    <row r="1277" spans="1:5" outlineLevel="1" x14ac:dyDescent="0.3">
      <c r="A1277" s="36" t="s">
        <v>5317</v>
      </c>
      <c r="B1277" s="36" t="s">
        <v>5251</v>
      </c>
      <c r="C1277" s="37"/>
      <c r="D1277" s="37" t="s">
        <v>9289</v>
      </c>
      <c r="E1277" s="37" t="s">
        <v>9300</v>
      </c>
    </row>
    <row r="1278" spans="1:5" outlineLevel="1" x14ac:dyDescent="0.3">
      <c r="A1278" s="36" t="s">
        <v>5318</v>
      </c>
      <c r="B1278" s="36" t="s">
        <v>5251</v>
      </c>
      <c r="C1278" s="37"/>
      <c r="D1278" s="37" t="s">
        <v>9290</v>
      </c>
      <c r="E1278" s="37" t="s">
        <v>8581</v>
      </c>
    </row>
    <row r="1279" spans="1:5" outlineLevel="1" x14ac:dyDescent="0.3">
      <c r="A1279" s="15" t="s">
        <v>5319</v>
      </c>
      <c r="B1279" s="15" t="s">
        <v>5251</v>
      </c>
      <c r="D1279" t="s">
        <v>2007</v>
      </c>
      <c r="E1279" t="s">
        <v>9174</v>
      </c>
    </row>
    <row r="1280" spans="1:5" outlineLevel="1" x14ac:dyDescent="0.3">
      <c r="A1280" s="15" t="s">
        <v>5320</v>
      </c>
      <c r="B1280" s="15" t="s">
        <v>5251</v>
      </c>
      <c r="D1280" t="s">
        <v>9283</v>
      </c>
      <c r="E1280" t="s">
        <v>9149</v>
      </c>
    </row>
    <row r="1281" spans="1:5" outlineLevel="1" x14ac:dyDescent="0.3">
      <c r="A1281" s="15" t="s">
        <v>5321</v>
      </c>
      <c r="B1281" s="15" t="s">
        <v>5249</v>
      </c>
      <c r="D1281" t="s">
        <v>9275</v>
      </c>
      <c r="E1281" t="s">
        <v>9298</v>
      </c>
    </row>
    <row r="1282" spans="1:5" outlineLevel="1" x14ac:dyDescent="0.3">
      <c r="A1282" s="15" t="s">
        <v>5322</v>
      </c>
      <c r="B1282" s="15" t="s">
        <v>5249</v>
      </c>
      <c r="D1282" t="s">
        <v>9275</v>
      </c>
      <c r="E1282" t="s">
        <v>9298</v>
      </c>
    </row>
    <row r="1283" spans="1:5" outlineLevel="1" x14ac:dyDescent="0.3">
      <c r="A1283" s="15" t="s">
        <v>5323</v>
      </c>
      <c r="B1283" s="15" t="s">
        <v>5249</v>
      </c>
      <c r="D1283" t="s">
        <v>9275</v>
      </c>
      <c r="E1283" t="s">
        <v>9298</v>
      </c>
    </row>
    <row r="1284" spans="1:5" outlineLevel="1" x14ac:dyDescent="0.3">
      <c r="A1284" s="15" t="s">
        <v>5324</v>
      </c>
      <c r="B1284" s="15" t="s">
        <v>5249</v>
      </c>
      <c r="D1284" t="s">
        <v>9276</v>
      </c>
      <c r="E1284" t="s">
        <v>9295</v>
      </c>
    </row>
    <row r="1285" spans="1:5" outlineLevel="1" x14ac:dyDescent="0.3">
      <c r="A1285" s="15" t="s">
        <v>5325</v>
      </c>
      <c r="B1285" s="15" t="s">
        <v>5249</v>
      </c>
      <c r="D1285" t="s">
        <v>9276</v>
      </c>
      <c r="E1285" t="s">
        <v>9295</v>
      </c>
    </row>
    <row r="1286" spans="1:5" outlineLevel="1" x14ac:dyDescent="0.3">
      <c r="A1286" s="15" t="s">
        <v>5326</v>
      </c>
      <c r="B1286" s="15" t="s">
        <v>5249</v>
      </c>
      <c r="D1286" t="s">
        <v>9276</v>
      </c>
      <c r="E1286" t="s">
        <v>9295</v>
      </c>
    </row>
    <row r="1287" spans="1:5" outlineLevel="1" x14ac:dyDescent="0.3">
      <c r="A1287" s="15" t="s">
        <v>5327</v>
      </c>
      <c r="B1287" s="15" t="s">
        <v>5249</v>
      </c>
      <c r="D1287" t="s">
        <v>9278</v>
      </c>
      <c r="E1287" t="s">
        <v>9299</v>
      </c>
    </row>
    <row r="1288" spans="1:5" outlineLevel="1" x14ac:dyDescent="0.3">
      <c r="A1288" s="15" t="s">
        <v>5328</v>
      </c>
      <c r="B1288" s="15" t="s">
        <v>5249</v>
      </c>
      <c r="D1288" t="s">
        <v>9277</v>
      </c>
      <c r="E1288" t="s">
        <v>9301</v>
      </c>
    </row>
    <row r="1289" spans="1:5" outlineLevel="1" x14ac:dyDescent="0.3">
      <c r="A1289" s="15" t="s">
        <v>5329</v>
      </c>
      <c r="B1289" s="15" t="s">
        <v>5249</v>
      </c>
      <c r="D1289" t="s">
        <v>9277</v>
      </c>
      <c r="E1289" t="s">
        <v>9301</v>
      </c>
    </row>
    <row r="1290" spans="1:5" outlineLevel="1" x14ac:dyDescent="0.3">
      <c r="A1290" s="36" t="s">
        <v>5330</v>
      </c>
      <c r="B1290" s="36" t="s">
        <v>5249</v>
      </c>
      <c r="C1290" s="37"/>
      <c r="D1290" t="s">
        <v>9275</v>
      </c>
      <c r="E1290" t="s">
        <v>9298</v>
      </c>
    </row>
    <row r="1291" spans="1:5" outlineLevel="1" x14ac:dyDescent="0.3">
      <c r="A1291" s="36" t="s">
        <v>5331</v>
      </c>
      <c r="B1291" s="36" t="s">
        <v>5249</v>
      </c>
      <c r="C1291" s="37"/>
      <c r="D1291" t="s">
        <v>9276</v>
      </c>
      <c r="E1291" t="s">
        <v>9295</v>
      </c>
    </row>
    <row r="1292" spans="1:5" outlineLevel="1" x14ac:dyDescent="0.3">
      <c r="A1292" s="36" t="s">
        <v>5332</v>
      </c>
      <c r="B1292" s="36" t="s">
        <v>5249</v>
      </c>
      <c r="C1292" s="37"/>
      <c r="D1292" t="s">
        <v>9278</v>
      </c>
      <c r="E1292" t="s">
        <v>9299</v>
      </c>
    </row>
    <row r="1293" spans="1:5" outlineLevel="1" x14ac:dyDescent="0.3">
      <c r="A1293" s="15" t="s">
        <v>5333</v>
      </c>
      <c r="B1293" s="15" t="s">
        <v>5070</v>
      </c>
      <c r="D1293" t="s">
        <v>9279</v>
      </c>
      <c r="E1293" t="s">
        <v>9302</v>
      </c>
    </row>
    <row r="1294" spans="1:5" outlineLevel="1" x14ac:dyDescent="0.3">
      <c r="A1294" s="15" t="s">
        <v>5334</v>
      </c>
      <c r="B1294" s="15" t="s">
        <v>5070</v>
      </c>
      <c r="D1294" t="s">
        <v>9280</v>
      </c>
      <c r="E1294" t="s">
        <v>9303</v>
      </c>
    </row>
    <row r="1295" spans="1:5" outlineLevel="1" x14ac:dyDescent="0.3">
      <c r="A1295" s="15" t="s">
        <v>5335</v>
      </c>
      <c r="B1295" s="15" t="s">
        <v>5070</v>
      </c>
      <c r="D1295" t="s">
        <v>2009</v>
      </c>
      <c r="E1295" t="s">
        <v>8684</v>
      </c>
    </row>
    <row r="1296" spans="1:5" outlineLevel="1" x14ac:dyDescent="0.3">
      <c r="A1296" s="15" t="s">
        <v>5336</v>
      </c>
      <c r="B1296" s="15" t="s">
        <v>5070</v>
      </c>
      <c r="D1296" t="s">
        <v>2009</v>
      </c>
      <c r="E1296" t="s">
        <v>8684</v>
      </c>
    </row>
    <row r="1297" spans="1:5" outlineLevel="1" x14ac:dyDescent="0.3">
      <c r="A1297" s="15" t="s">
        <v>5337</v>
      </c>
      <c r="B1297" s="15" t="s">
        <v>5070</v>
      </c>
      <c r="D1297" t="s">
        <v>9281</v>
      </c>
      <c r="E1297" t="s">
        <v>8613</v>
      </c>
    </row>
    <row r="1298" spans="1:5" outlineLevel="1" x14ac:dyDescent="0.3">
      <c r="A1298" s="15" t="s">
        <v>5338</v>
      </c>
      <c r="B1298" s="15" t="s">
        <v>5070</v>
      </c>
      <c r="D1298" t="s">
        <v>9281</v>
      </c>
      <c r="E1298" t="s">
        <v>8613</v>
      </c>
    </row>
    <row r="1299" spans="1:5" outlineLevel="1" x14ac:dyDescent="0.3">
      <c r="A1299" s="15" t="s">
        <v>5339</v>
      </c>
      <c r="B1299" s="15" t="s">
        <v>5070</v>
      </c>
      <c r="D1299" t="s">
        <v>9282</v>
      </c>
      <c r="E1299" t="s">
        <v>8693</v>
      </c>
    </row>
    <row r="1300" spans="1:5" outlineLevel="1" x14ac:dyDescent="0.3">
      <c r="A1300" s="15" t="s">
        <v>5340</v>
      </c>
      <c r="B1300" s="15" t="s">
        <v>5070</v>
      </c>
      <c r="D1300" t="s">
        <v>9282</v>
      </c>
      <c r="E1300" t="s">
        <v>8693</v>
      </c>
    </row>
    <row r="1301" spans="1:5" outlineLevel="1" x14ac:dyDescent="0.3">
      <c r="A1301" s="15" t="s">
        <v>5341</v>
      </c>
      <c r="B1301" s="15" t="s">
        <v>5067</v>
      </c>
      <c r="D1301" t="s">
        <v>9259</v>
      </c>
      <c r="E1301" t="s">
        <v>8578</v>
      </c>
    </row>
    <row r="1302" spans="1:5" outlineLevel="1" x14ac:dyDescent="0.3">
      <c r="A1302" s="15" t="s">
        <v>5342</v>
      </c>
      <c r="B1302" s="15" t="s">
        <v>5067</v>
      </c>
      <c r="D1302" t="s">
        <v>9259</v>
      </c>
      <c r="E1302" t="s">
        <v>8578</v>
      </c>
    </row>
    <row r="1303" spans="1:5" outlineLevel="1" x14ac:dyDescent="0.3">
      <c r="A1303" s="15" t="s">
        <v>5343</v>
      </c>
      <c r="B1303" s="15" t="s">
        <v>5067</v>
      </c>
      <c r="D1303" t="s">
        <v>9260</v>
      </c>
      <c r="E1303" t="s">
        <v>8586</v>
      </c>
    </row>
    <row r="1304" spans="1:5" outlineLevel="1" x14ac:dyDescent="0.3">
      <c r="A1304" s="15" t="s">
        <v>5344</v>
      </c>
      <c r="B1304" s="15" t="s">
        <v>5067</v>
      </c>
      <c r="D1304" t="s">
        <v>9260</v>
      </c>
      <c r="E1304" t="s">
        <v>8586</v>
      </c>
    </row>
    <row r="1305" spans="1:5" outlineLevel="1" x14ac:dyDescent="0.3">
      <c r="A1305" s="15" t="s">
        <v>5345</v>
      </c>
      <c r="B1305" s="15" t="s">
        <v>5067</v>
      </c>
      <c r="D1305" t="s">
        <v>9261</v>
      </c>
      <c r="E1305" t="s">
        <v>8644</v>
      </c>
    </row>
    <row r="1306" spans="1:5" outlineLevel="1" x14ac:dyDescent="0.3">
      <c r="A1306" s="15" t="s">
        <v>5346</v>
      </c>
      <c r="B1306" s="15" t="s">
        <v>5067</v>
      </c>
      <c r="D1306" t="s">
        <v>9261</v>
      </c>
      <c r="E1306" t="s">
        <v>8644</v>
      </c>
    </row>
    <row r="1307" spans="1:5" outlineLevel="1" x14ac:dyDescent="0.3">
      <c r="A1307" s="15" t="s">
        <v>5347</v>
      </c>
      <c r="B1307" s="15" t="s">
        <v>5067</v>
      </c>
      <c r="D1307" t="s">
        <v>9261</v>
      </c>
      <c r="E1307" t="s">
        <v>8644</v>
      </c>
    </row>
    <row r="1308" spans="1:5" outlineLevel="1" x14ac:dyDescent="0.3">
      <c r="A1308" s="15" t="s">
        <v>5348</v>
      </c>
      <c r="B1308" s="15" t="s">
        <v>5067</v>
      </c>
      <c r="D1308" t="s">
        <v>9269</v>
      </c>
      <c r="E1308" t="s">
        <v>8707</v>
      </c>
    </row>
    <row r="1309" spans="1:5" outlineLevel="1" x14ac:dyDescent="0.3">
      <c r="A1309" s="15" t="s">
        <v>5349</v>
      </c>
      <c r="B1309" s="15" t="s">
        <v>5067</v>
      </c>
      <c r="D1309" t="s">
        <v>9269</v>
      </c>
      <c r="E1309" t="s">
        <v>8707</v>
      </c>
    </row>
    <row r="1310" spans="1:5" outlineLevel="1" x14ac:dyDescent="0.3">
      <c r="A1310" s="15" t="s">
        <v>5350</v>
      </c>
      <c r="B1310" s="15" t="s">
        <v>5067</v>
      </c>
      <c r="D1310" t="s">
        <v>9262</v>
      </c>
      <c r="E1310" t="s">
        <v>8796</v>
      </c>
    </row>
    <row r="1311" spans="1:5" outlineLevel="1" x14ac:dyDescent="0.3">
      <c r="A1311" s="15" t="s">
        <v>5351</v>
      </c>
      <c r="B1311" s="15" t="s">
        <v>5067</v>
      </c>
      <c r="D1311" t="s">
        <v>9262</v>
      </c>
      <c r="E1311" t="s">
        <v>8796</v>
      </c>
    </row>
    <row r="1312" spans="1:5" outlineLevel="1" x14ac:dyDescent="0.3">
      <c r="A1312" s="15" t="s">
        <v>5352</v>
      </c>
      <c r="B1312" s="15" t="s">
        <v>5067</v>
      </c>
    </row>
    <row r="1313" spans="1:5" outlineLevel="1" x14ac:dyDescent="0.3">
      <c r="A1313" s="15" t="s">
        <v>5353</v>
      </c>
      <c r="B1313" s="15" t="s">
        <v>5067</v>
      </c>
    </row>
    <row r="1314" spans="1:5" outlineLevel="1" x14ac:dyDescent="0.3">
      <c r="A1314" s="15" t="s">
        <v>5354</v>
      </c>
      <c r="B1314" s="15" t="s">
        <v>5067</v>
      </c>
    </row>
    <row r="1315" spans="1:5" outlineLevel="1" x14ac:dyDescent="0.3">
      <c r="A1315" s="15" t="s">
        <v>5355</v>
      </c>
      <c r="B1315" s="15" t="s">
        <v>5067</v>
      </c>
    </row>
    <row r="1316" spans="1:5" outlineLevel="1" x14ac:dyDescent="0.3">
      <c r="A1316" s="15" t="s">
        <v>5356</v>
      </c>
      <c r="B1316" s="15" t="s">
        <v>5067</v>
      </c>
    </row>
    <row r="1317" spans="1:5" outlineLevel="1" x14ac:dyDescent="0.3">
      <c r="A1317" s="15" t="s">
        <v>5357</v>
      </c>
      <c r="B1317" s="15" t="s">
        <v>5067</v>
      </c>
    </row>
    <row r="1318" spans="1:5" outlineLevel="1" x14ac:dyDescent="0.3">
      <c r="A1318" s="15" t="s">
        <v>5358</v>
      </c>
      <c r="B1318" s="15" t="s">
        <v>5067</v>
      </c>
    </row>
    <row r="1319" spans="1:5" outlineLevel="1" x14ac:dyDescent="0.3">
      <c r="A1319" s="15" t="s">
        <v>5359</v>
      </c>
      <c r="B1319" s="15" t="s">
        <v>5067</v>
      </c>
    </row>
    <row r="1320" spans="1:5" outlineLevel="1" x14ac:dyDescent="0.3">
      <c r="A1320" s="15" t="s">
        <v>5360</v>
      </c>
      <c r="B1320" s="15" t="s">
        <v>5067</v>
      </c>
    </row>
    <row r="1321" spans="1:5" outlineLevel="1" x14ac:dyDescent="0.3">
      <c r="A1321" s="15" t="s">
        <v>5296</v>
      </c>
      <c r="B1321" s="15" t="s">
        <v>5067</v>
      </c>
    </row>
    <row r="1322" spans="1:5" outlineLevel="1" x14ac:dyDescent="0.3">
      <c r="A1322" s="15" t="s">
        <v>5362</v>
      </c>
      <c r="B1322" s="15" t="s">
        <v>5067</v>
      </c>
    </row>
    <row r="1323" spans="1:5" outlineLevel="1" x14ac:dyDescent="0.3">
      <c r="A1323" s="15" t="s">
        <v>5363</v>
      </c>
      <c r="B1323" s="15" t="s">
        <v>5063</v>
      </c>
      <c r="D1323" t="s">
        <v>1554</v>
      </c>
      <c r="E1323" t="s">
        <v>8792</v>
      </c>
    </row>
    <row r="1324" spans="1:5" outlineLevel="1" x14ac:dyDescent="0.3">
      <c r="A1324" s="15" t="s">
        <v>5365</v>
      </c>
      <c r="B1324" s="15" t="s">
        <v>5063</v>
      </c>
      <c r="D1324" t="s">
        <v>1554</v>
      </c>
      <c r="E1324" t="s">
        <v>8792</v>
      </c>
    </row>
    <row r="1325" spans="1:5" outlineLevel="1" x14ac:dyDescent="0.3">
      <c r="A1325" s="15" t="s">
        <v>5366</v>
      </c>
      <c r="B1325" s="15" t="s">
        <v>5063</v>
      </c>
      <c r="D1325" t="s">
        <v>1554</v>
      </c>
      <c r="E1325" t="s">
        <v>8792</v>
      </c>
    </row>
    <row r="1326" spans="1:5" outlineLevel="1" x14ac:dyDescent="0.3">
      <c r="A1326" s="15" t="s">
        <v>5367</v>
      </c>
      <c r="B1326" s="15" t="s">
        <v>5063</v>
      </c>
      <c r="D1326" t="s">
        <v>1554</v>
      </c>
      <c r="E1326" t="s">
        <v>8792</v>
      </c>
    </row>
    <row r="1327" spans="1:5" outlineLevel="1" x14ac:dyDescent="0.3">
      <c r="A1327" s="15" t="s">
        <v>5368</v>
      </c>
      <c r="B1327" s="15" t="s">
        <v>5063</v>
      </c>
      <c r="D1327" t="s">
        <v>1554</v>
      </c>
      <c r="E1327" t="s">
        <v>8792</v>
      </c>
    </row>
    <row r="1328" spans="1:5" outlineLevel="1" x14ac:dyDescent="0.3">
      <c r="A1328" s="15" t="s">
        <v>5370</v>
      </c>
      <c r="B1328" s="15" t="s">
        <v>5063</v>
      </c>
    </row>
    <row r="1329" spans="1:5" outlineLevel="1" x14ac:dyDescent="0.3">
      <c r="A1329" s="15" t="s">
        <v>5371</v>
      </c>
      <c r="B1329" s="15" t="s">
        <v>5073</v>
      </c>
      <c r="D1329" t="s">
        <v>9272</v>
      </c>
      <c r="E1329" t="s">
        <v>8622</v>
      </c>
    </row>
    <row r="1330" spans="1:5" x14ac:dyDescent="0.3">
      <c r="A1330" s="22" t="s">
        <v>2020</v>
      </c>
      <c r="B1330" s="22"/>
      <c r="C1330" s="22"/>
      <c r="D1330" s="22"/>
    </row>
    <row r="1331" spans="1:5" hidden="1" outlineLevel="1" x14ac:dyDescent="0.3">
      <c r="A1331" t="s">
        <v>31</v>
      </c>
      <c r="B1331" t="s">
        <v>7</v>
      </c>
      <c r="C1331" t="s">
        <v>8</v>
      </c>
      <c r="D1331" s="15" t="s">
        <v>2021</v>
      </c>
      <c r="E1331" t="s">
        <v>2022</v>
      </c>
    </row>
    <row r="1332" spans="1:5" hidden="1" outlineLevel="1" x14ac:dyDescent="0.3">
      <c r="A1332" t="s">
        <v>33</v>
      </c>
      <c r="B1332" t="s">
        <v>7</v>
      </c>
      <c r="C1332" t="s">
        <v>8</v>
      </c>
      <c r="D1332" s="15" t="s">
        <v>2023</v>
      </c>
      <c r="E1332" t="s">
        <v>2024</v>
      </c>
    </row>
    <row r="1333" spans="1:5" hidden="1" outlineLevel="1" x14ac:dyDescent="0.3">
      <c r="A1333" t="s">
        <v>34</v>
      </c>
      <c r="B1333" t="s">
        <v>7</v>
      </c>
      <c r="C1333" t="s">
        <v>8</v>
      </c>
      <c r="D1333" s="15" t="s">
        <v>2023</v>
      </c>
      <c r="E1333" t="s">
        <v>2024</v>
      </c>
    </row>
    <row r="1334" spans="1:5" hidden="1" outlineLevel="1" x14ac:dyDescent="0.3">
      <c r="A1334" t="s">
        <v>36</v>
      </c>
      <c r="B1334" t="s">
        <v>7</v>
      </c>
      <c r="C1334" t="s">
        <v>8</v>
      </c>
      <c r="D1334" s="15" t="s">
        <v>2025</v>
      </c>
      <c r="E1334" t="s">
        <v>2026</v>
      </c>
    </row>
    <row r="1335" spans="1:5" hidden="1" outlineLevel="1" x14ac:dyDescent="0.3">
      <c r="A1335" t="s">
        <v>37</v>
      </c>
      <c r="B1335" t="s">
        <v>7</v>
      </c>
      <c r="C1335" t="s">
        <v>8</v>
      </c>
      <c r="D1335" s="15" t="s">
        <v>2021</v>
      </c>
      <c r="E1335" t="s">
        <v>2022</v>
      </c>
    </row>
    <row r="1336" spans="1:8" hidden="1" outlineLevel="1" x14ac:dyDescent="0.3">
      <c r="A1336" t="s">
        <v>47</v>
      </c>
      <c r="B1336" t="s">
        <v>48</v>
      </c>
      <c r="C1336" t="s">
        <v>8</v>
      </c>
      <c r="D1336" t="s">
        <v>2027</v>
      </c>
      <c r="E1336" t="s">
        <v>2028</v>
      </c>
      <c r="H1336" t="inlineStr">
        <is>
          <t>SPRINKLER &amp; WATER RM B.016</t>
        </is>
      </c>
    </row>
    <row r="1337" spans="1:5" hidden="1" outlineLevel="1" x14ac:dyDescent="0.3">
      <c r="A1337" t="s">
        <v>50</v>
      </c>
      <c r="B1337" t="s">
        <v>48</v>
      </c>
      <c r="C1337" t="s">
        <v>8</v>
      </c>
      <c r="D1337" t="s">
        <v>2029</v>
      </c>
      <c r="E1337" t="s">
        <v>2030</v>
      </c>
    </row>
    <row r="1338" spans="1:8" hidden="1" outlineLevel="1" x14ac:dyDescent="0.3">
      <c r="A1338" t="s">
        <v>52</v>
      </c>
      <c r="B1338" t="s">
        <v>48</v>
      </c>
      <c r="C1338" t="s">
        <v>8</v>
      </c>
      <c r="D1338" t="s">
        <v>2031</v>
      </c>
      <c r="E1338" t="s">
        <v>2032</v>
      </c>
      <c r="H1338" t="inlineStr">
        <is>
          <t>BMS B.039</t>
        </is>
      </c>
    </row>
    <row r="1339" spans="1:8" hidden="1" outlineLevel="1" x14ac:dyDescent="0.3">
      <c r="A1339" t="s">
        <v>54</v>
      </c>
      <c r="B1339" t="s">
        <v>48</v>
      </c>
      <c r="C1339" t="s">
        <v>8</v>
      </c>
      <c r="D1339" t="s">
        <v>2033</v>
      </c>
      <c r="E1339" t="s">
        <v>2034</v>
      </c>
      <c r="H1339" t="inlineStr">
        <is>
          <t>A/V ROOM 1.008</t>
        </is>
      </c>
    </row>
    <row r="1340" spans="1:5" hidden="1" outlineLevel="1" x14ac:dyDescent="0.3">
      <c r="A1340" t="s">
        <v>56</v>
      </c>
      <c r="B1340" t="s">
        <v>48</v>
      </c>
      <c r="C1340" t="s">
        <v>8</v>
      </c>
      <c r="D1340" t="s">
        <v>2035</v>
      </c>
      <c r="E1340" t="s">
        <v>2036</v>
      </c>
    </row>
    <row r="1341" spans="1:5" hidden="1" outlineLevel="1" x14ac:dyDescent="0.3">
      <c r="A1341" t="s">
        <v>58</v>
      </c>
      <c r="B1341" t="s">
        <v>48</v>
      </c>
      <c r="C1341" t="s">
        <v>8</v>
      </c>
      <c r="D1341" t="s">
        <v>2035</v>
      </c>
      <c r="E1341" t="s">
        <v>2036</v>
      </c>
    </row>
    <row r="1342" spans="1:5" hidden="1" outlineLevel="1" x14ac:dyDescent="0.3">
      <c r="A1342" t="s">
        <v>60</v>
      </c>
      <c r="B1342" t="s">
        <v>48</v>
      </c>
      <c r="C1342" t="s">
        <v>8</v>
      </c>
      <c r="D1342" t="s">
        <v>2037</v>
      </c>
      <c r="E1342" t="s">
        <v>2038</v>
      </c>
    </row>
    <row r="1343" spans="1:5" hidden="1" outlineLevel="1" x14ac:dyDescent="0.3">
      <c r="A1343" t="s">
        <v>62</v>
      </c>
      <c r="B1343" t="s">
        <v>48</v>
      </c>
      <c r="C1343" t="s">
        <v>8</v>
      </c>
      <c r="D1343" t="s">
        <v>2037</v>
      </c>
      <c r="E1343" t="s">
        <v>2038</v>
      </c>
    </row>
    <row r="1344" spans="1:8" hidden="1" outlineLevel="1" x14ac:dyDescent="0.3">
      <c r="A1344" t="s">
        <v>64</v>
      </c>
      <c r="B1344" t="s">
        <v>48</v>
      </c>
      <c r="C1344" t="s">
        <v>10</v>
      </c>
      <c r="D1344" t="s">
        <v>2039</v>
      </c>
      <c r="E1344" t="s">
        <v>2040</v>
      </c>
      <c r="H1344" t="inlineStr">
        <is>
          <t>AIR LOCK 1.034</t>
        </is>
      </c>
    </row>
    <row r="1345" spans="1:8" hidden="1" outlineLevel="1" x14ac:dyDescent="0.3">
      <c r="A1345" t="s">
        <v>65</v>
      </c>
      <c r="B1345" t="s">
        <v>48</v>
      </c>
      <c r="C1345" t="s">
        <v>10</v>
      </c>
      <c r="D1345" t="s">
        <v>2041</v>
      </c>
      <c r="E1345" t="s">
        <v>2042</v>
      </c>
      <c r="H1345" t="inlineStr">
        <is>
          <t>AIR LOCK 1.011</t>
        </is>
      </c>
    </row>
    <row r="1346" spans="1:8" hidden="1" outlineLevel="1" x14ac:dyDescent="0.3">
      <c r="A1346" t="s">
        <v>67</v>
      </c>
      <c r="B1346" t="s">
        <v>48</v>
      </c>
      <c r="C1346" t="s">
        <v>10</v>
      </c>
      <c r="D1346" t="s">
        <v>2043</v>
      </c>
      <c r="E1346" t="s">
        <v>2044</v>
      </c>
      <c r="H1346" t="inlineStr">
        <is>
          <t>PRINTING ROOM 2 03.033</t>
        </is>
      </c>
    </row>
    <row r="1347" spans="1:5" hidden="1" outlineLevel="1" x14ac:dyDescent="0.3">
      <c r="A1347" t="s">
        <v>268</v>
      </c>
      <c r="B1347" t="s">
        <v>269</v>
      </c>
      <c r="C1347" t="s">
        <v>10</v>
      </c>
      <c r="D1347" t="s">
        <v>2045</v>
      </c>
      <c r="E1347" t="s">
        <v>2046</v>
      </c>
    </row>
    <row r="1348" spans="1:8" hidden="1" outlineLevel="1" x14ac:dyDescent="0.3">
      <c r="A1348" t="s">
        <v>271</v>
      </c>
      <c r="B1348" t="s">
        <v>269</v>
      </c>
      <c r="C1348" t="s">
        <v>10</v>
      </c>
      <c r="D1348" t="s">
        <v>2047</v>
      </c>
      <c r="E1348" t="s">
        <v>2048</v>
      </c>
      <c r="H1348" t="inlineStr">
        <is>
          <t>SHELL SPACE NW 01.014</t>
        </is>
      </c>
    </row>
    <row r="1349" spans="1:5" hidden="1" outlineLevel="1" x14ac:dyDescent="0.3">
      <c r="A1349" t="s">
        <v>273</v>
      </c>
      <c r="B1349" t="s">
        <v>269</v>
      </c>
      <c r="C1349" t="s">
        <v>10</v>
      </c>
      <c r="D1349" t="s">
        <v>2047</v>
      </c>
      <c r="E1349" t="s">
        <v>2048</v>
      </c>
    </row>
    <row r="1350" spans="1:5" hidden="1" outlineLevel="1" x14ac:dyDescent="0.3">
      <c r="A1350" t="s">
        <v>274</v>
      </c>
      <c r="B1350" t="s">
        <v>269</v>
      </c>
      <c r="C1350" t="s">
        <v>10</v>
      </c>
      <c r="D1350" t="s">
        <v>2047</v>
      </c>
      <c r="E1350" t="s">
        <v>2048</v>
      </c>
    </row>
    <row r="1351" spans="1:8" hidden="1" outlineLevel="1" x14ac:dyDescent="0.3">
      <c r="A1351" t="s">
        <v>276</v>
      </c>
      <c r="B1351" t="s">
        <v>269</v>
      </c>
      <c r="C1351" t="s">
        <v>10</v>
      </c>
      <c r="D1351" t="s">
        <v>2049</v>
      </c>
      <c r="E1351" t="s">
        <v>2050</v>
      </c>
      <c r="H1351" t="inlineStr">
        <is>
          <t>SHELL SPACE SW 01.015</t>
        </is>
      </c>
    </row>
    <row r="1352" spans="1:5" hidden="1" outlineLevel="1" x14ac:dyDescent="0.3">
      <c r="A1352" t="s">
        <v>278</v>
      </c>
      <c r="B1352" t="s">
        <v>269</v>
      </c>
      <c r="C1352" t="s">
        <v>10</v>
      </c>
      <c r="D1352" t="s">
        <v>2049</v>
      </c>
      <c r="E1352" t="s">
        <v>2050</v>
      </c>
    </row>
    <row r="1353" spans="1:5" hidden="1" outlineLevel="1" x14ac:dyDescent="0.3">
      <c r="A1353" t="s">
        <v>279</v>
      </c>
      <c r="B1353" t="s">
        <v>269</v>
      </c>
      <c r="C1353" t="s">
        <v>10</v>
      </c>
      <c r="D1353" t="s">
        <v>2049</v>
      </c>
      <c r="E1353" t="s">
        <v>2050</v>
      </c>
    </row>
    <row r="1354" spans="1:8" hidden="1" outlineLevel="1" x14ac:dyDescent="0.3">
      <c r="A1354" t="s">
        <v>281</v>
      </c>
      <c r="B1354" t="s">
        <v>269</v>
      </c>
      <c r="C1354" t="s">
        <v>10</v>
      </c>
      <c r="D1354" t="s">
        <v>2051</v>
      </c>
      <c r="E1354" t="s">
        <v>2052</v>
      </c>
      <c r="H1354" t="inlineStr">
        <is>
          <t>CORRIDORS SE 01.024</t>
        </is>
      </c>
    </row>
    <row r="1355" spans="1:5" hidden="1" outlineLevel="1" x14ac:dyDescent="0.3">
      <c r="A1355" t="s">
        <v>283</v>
      </c>
      <c r="B1355" t="s">
        <v>269</v>
      </c>
      <c r="C1355" t="s">
        <v>10</v>
      </c>
      <c r="D1355" t="s">
        <v>2053</v>
      </c>
      <c r="E1355" t="s">
        <v>2054</v>
      </c>
    </row>
    <row r="1356" spans="1:5" hidden="1" outlineLevel="1" x14ac:dyDescent="0.3">
      <c r="A1356" t="s">
        <v>2055</v>
      </c>
      <c r="B1356" t="s">
        <v>269</v>
      </c>
      <c r="C1356" t="s">
        <v>10</v>
      </c>
      <c r="D1356" t="s">
        <v>2053</v>
      </c>
      <c r="E1356" t="s">
        <v>2054</v>
      </c>
    </row>
    <row r="1357" spans="1:5" hidden="1" outlineLevel="1" x14ac:dyDescent="0.3">
      <c r="A1357" t="s">
        <v>285</v>
      </c>
      <c r="B1357" t="s">
        <v>269</v>
      </c>
      <c r="C1357" t="s">
        <v>10</v>
      </c>
      <c r="D1357" t="s">
        <v>2053</v>
      </c>
      <c r="E1357" t="s">
        <v>2054</v>
      </c>
    </row>
    <row r="1358" spans="1:5" hidden="1" outlineLevel="1" x14ac:dyDescent="0.3">
      <c r="A1358" t="s">
        <v>287</v>
      </c>
      <c r="B1358" t="s">
        <v>269</v>
      </c>
      <c r="C1358" t="s">
        <v>10</v>
      </c>
      <c r="D1358" t="s">
        <v>2053</v>
      </c>
      <c r="E1358" t="s">
        <v>2054</v>
      </c>
    </row>
    <row r="1359" spans="1:5" hidden="1" outlineLevel="1" x14ac:dyDescent="0.3">
      <c r="A1359" t="s">
        <v>289</v>
      </c>
      <c r="B1359" t="s">
        <v>269</v>
      </c>
      <c r="C1359" t="s">
        <v>10</v>
      </c>
      <c r="D1359" t="s">
        <v>2053</v>
      </c>
      <c r="E1359" t="s">
        <v>2054</v>
      </c>
    </row>
    <row r="1360" spans="1:5" hidden="1" outlineLevel="1" x14ac:dyDescent="0.3">
      <c r="A1360" t="s">
        <v>291</v>
      </c>
      <c r="B1360" t="s">
        <v>269</v>
      </c>
      <c r="C1360" t="s">
        <v>10</v>
      </c>
      <c r="D1360" t="s">
        <v>2053</v>
      </c>
      <c r="E1360" t="s">
        <v>2054</v>
      </c>
    </row>
    <row r="1361" spans="1:8" hidden="1" outlineLevel="1" x14ac:dyDescent="0.3">
      <c r="A1361" t="s">
        <v>293</v>
      </c>
      <c r="B1361" t="s">
        <v>269</v>
      </c>
      <c r="C1361" t="s">
        <v>10</v>
      </c>
      <c r="D1361" s="11" t="s">
        <v>2056</v>
      </c>
      <c r="E1361" t="s">
        <v>2057</v>
      </c>
      <c r="H1361" t="inlineStr">
        <is>
          <t>SHELL SPACE E 01.029</t>
        </is>
      </c>
    </row>
    <row r="1362" spans="1:6" hidden="1" outlineLevel="1" x14ac:dyDescent="0.3">
      <c r="A1362" t="s">
        <v>295</v>
      </c>
      <c r="B1362" t="s">
        <v>269</v>
      </c>
      <c r="C1362" t="s">
        <v>10</v>
      </c>
      <c r="D1362" s="11" t="s">
        <v>2058</v>
      </c>
      <c r="E1362" t="s">
        <v>2057</v>
      </c>
    </row>
    <row r="1363" spans="1:6" hidden="1" outlineLevel="1" x14ac:dyDescent="0.3">
      <c r="A1363" t="s">
        <v>297</v>
      </c>
      <c r="B1363" t="s">
        <v>269</v>
      </c>
      <c r="C1363" t="s">
        <v>10</v>
      </c>
      <c r="D1363" s="11" t="s">
        <v>2059</v>
      </c>
      <c r="E1363" t="s">
        <v>2057</v>
      </c>
    </row>
    <row r="1364" spans="1:6" hidden="1" outlineLevel="1" x14ac:dyDescent="0.3">
      <c r="A1364" t="s">
        <v>299</v>
      </c>
      <c r="B1364" t="s">
        <v>269</v>
      </c>
      <c r="C1364" t="s">
        <v>10</v>
      </c>
      <c r="D1364" t="s">
        <v>2060</v>
      </c>
      <c r="E1364" t="s">
        <v>2061</v>
      </c>
    </row>
    <row r="1365" spans="1:6" hidden="1" outlineLevel="1" x14ac:dyDescent="0.3">
      <c r="A1365" t="s">
        <v>301</v>
      </c>
      <c r="B1365" t="s">
        <v>269</v>
      </c>
      <c r="C1365" t="s">
        <v>10</v>
      </c>
      <c r="D1365" t="s">
        <v>2060</v>
      </c>
      <c r="E1365" t="s">
        <v>2061</v>
      </c>
    </row>
    <row r="1366" spans="1:6" hidden="1" outlineLevel="1" x14ac:dyDescent="0.3">
      <c r="A1366" t="s">
        <v>303</v>
      </c>
      <c r="B1366" t="s">
        <v>269</v>
      </c>
      <c r="C1366" t="s">
        <v>10</v>
      </c>
      <c r="D1366" t="s">
        <v>2060</v>
      </c>
      <c r="E1366" t="s">
        <v>2061</v>
      </c>
    </row>
    <row r="1367" spans="1:8" hidden="1" outlineLevel="1" x14ac:dyDescent="0.3">
      <c r="A1367" t="s">
        <v>305</v>
      </c>
      <c r="B1367" t="s">
        <v>269</v>
      </c>
      <c r="C1367" t="s">
        <v>10</v>
      </c>
      <c r="D1367" t="s">
        <v>2062</v>
      </c>
      <c r="E1367" t="s">
        <v>2063</v>
      </c>
      <c r="H1367" t="inlineStr">
        <is>
          <t>CORRIDORS W 01.013</t>
        </is>
      </c>
    </row>
    <row r="1368" spans="1:8" hidden="1" outlineLevel="1" x14ac:dyDescent="0.3">
      <c r="A1368" t="s">
        <v>307</v>
      </c>
      <c r="B1368" t="s">
        <v>269</v>
      </c>
      <c r="C1368" t="s">
        <v>10</v>
      </c>
      <c r="D1368" t="s">
        <v>2064</v>
      </c>
      <c r="E1368" t="s">
        <v>2065</v>
      </c>
      <c r="H1368" t="inlineStr">
        <is>
          <t>OPEN OFFICE BELOW SKYLIGHT 01.003</t>
        </is>
      </c>
    </row>
    <row r="1369" spans="1:6" hidden="1" outlineLevel="1" x14ac:dyDescent="0.3">
      <c r="A1369" t="s">
        <v>308</v>
      </c>
      <c r="B1369" t="s">
        <v>269</v>
      </c>
      <c r="C1369" t="s">
        <v>10</v>
      </c>
      <c r="D1369" t="s">
        <v>2064</v>
      </c>
      <c r="E1369" t="s">
        <v>2065</v>
      </c>
    </row>
    <row r="1370" spans="1:8" hidden="1" outlineLevel="1" x14ac:dyDescent="0.3">
      <c r="A1370" t="s">
        <v>310</v>
      </c>
      <c r="B1370" t="s">
        <v>269</v>
      </c>
      <c r="C1370" t="s">
        <v>10</v>
      </c>
      <c r="D1370" t="s">
        <v>2066</v>
      </c>
      <c r="E1370" t="s">
        <v>2067</v>
      </c>
      <c r="F1370" s="13"/>
      <c r="H1370" t="inlineStr">
        <is>
          <t>CORRIDORS S 01.001</t>
        </is>
      </c>
    </row>
    <row r="1371" spans="1:6" hidden="1" outlineLevel="1" x14ac:dyDescent="0.3">
      <c r="A1371" t="s">
        <v>312</v>
      </c>
      <c r="B1371" t="s">
        <v>269</v>
      </c>
      <c r="C1371" t="s">
        <v>10</v>
      </c>
      <c r="D1371" t="s">
        <v>2068</v>
      </c>
      <c r="E1371" t="s">
        <v>2069</v>
      </c>
    </row>
    <row r="1372" spans="1:8" hidden="1" outlineLevel="1" x14ac:dyDescent="0.3">
      <c r="A1372" t="s">
        <v>313</v>
      </c>
      <c r="B1372" t="s">
        <v>269</v>
      </c>
      <c r="C1372" t="s">
        <v>10</v>
      </c>
      <c r="D1372" t="s">
        <v>2068</v>
      </c>
      <c r="E1372" t="s">
        <v>2069</v>
      </c>
      <c r="H1372" t="inlineStr">
        <is>
          <t>SHELL SPACE S 01.002</t>
        </is>
      </c>
    </row>
    <row r="1373" spans="1:6" hidden="1" outlineLevel="1" x14ac:dyDescent="0.3">
      <c r="A1373" t="s">
        <v>315</v>
      </c>
      <c r="B1373" t="s">
        <v>269</v>
      </c>
      <c r="C1373" t="s">
        <v>10</v>
      </c>
      <c r="D1373" t="s">
        <v>2068</v>
      </c>
      <c r="E1373" t="s">
        <v>2069</v>
      </c>
    </row>
    <row r="1374" spans="1:8" hidden="1" outlineLevel="1" x14ac:dyDescent="0.3">
      <c r="A1374" t="s">
        <v>317</v>
      </c>
      <c r="B1374" t="s">
        <v>269</v>
      </c>
      <c r="C1374" t="s">
        <v>10</v>
      </c>
      <c r="D1374" t="s">
        <v>2068</v>
      </c>
      <c r="E1374" t="s">
        <v>2069</v>
      </c>
      <c r="H1374" t="inlineStr">
        <is>
          <t>OPEN OFFICE BELOW SKYLIGHT 01.003</t>
        </is>
      </c>
    </row>
    <row r="1375" spans="1:6" hidden="1" outlineLevel="1" x14ac:dyDescent="0.3">
      <c r="A1375" t="s">
        <v>319</v>
      </c>
      <c r="B1375" t="s">
        <v>269</v>
      </c>
      <c r="C1375" t="s">
        <v>10</v>
      </c>
      <c r="D1375" t="s">
        <v>2066</v>
      </c>
      <c r="E1375" t="s">
        <v>2067</v>
      </c>
      <c r="F1375" s="13"/>
    </row>
    <row r="1376" spans="1:8" hidden="1" outlineLevel="1" x14ac:dyDescent="0.3">
      <c r="A1376" t="s">
        <v>321</v>
      </c>
      <c r="B1376" t="s">
        <v>269</v>
      </c>
      <c r="C1376" t="s">
        <v>10</v>
      </c>
      <c r="D1376" t="s">
        <v>2070</v>
      </c>
      <c r="E1376" t="s">
        <v>2071</v>
      </c>
      <c r="H1376" t="inlineStr">
        <is>
          <t>PRINTING ROOM SHELL SPACE 01.016</t>
        </is>
      </c>
    </row>
    <row r="1377" spans="1:6" hidden="1" outlineLevel="1" x14ac:dyDescent="0.3">
      <c r="A1377" t="s">
        <v>323</v>
      </c>
      <c r="B1377" t="s">
        <v>269</v>
      </c>
      <c r="C1377" t="s">
        <v>10</v>
      </c>
      <c r="D1377" t="s">
        <v>2066</v>
      </c>
      <c r="E1377" t="s">
        <v>2067</v>
      </c>
      <c r="F1377" s="13"/>
    </row>
    <row r="1378" spans="1:8" hidden="1" outlineLevel="1" x14ac:dyDescent="0.3">
      <c r="A1378" t="s">
        <v>325</v>
      </c>
      <c r="B1378" t="s">
        <v>269</v>
      </c>
      <c r="C1378" t="s">
        <v>10</v>
      </c>
      <c r="D1378" t="s">
        <v>2072</v>
      </c>
      <c r="E1378" t="s">
        <v>2073</v>
      </c>
      <c r="H1378" t="inlineStr">
        <is>
          <t>CORRIDORS SW 01.018</t>
        </is>
      </c>
    </row>
    <row r="1379" spans="1:8" hidden="1" outlineLevel="1" x14ac:dyDescent="0.3">
      <c r="A1379" t="s">
        <v>327</v>
      </c>
      <c r="B1379" t="s">
        <v>269</v>
      </c>
      <c r="C1379" t="s">
        <v>10</v>
      </c>
      <c r="D1379" t="s">
        <v>2074</v>
      </c>
      <c r="E1379" t="s">
        <v>2040</v>
      </c>
      <c r="H1379" t="inlineStr">
        <is>
          <t>IDF 01.027 &amp; 39</t>
        </is>
      </c>
    </row>
    <row r="1380" spans="1:8" hidden="1" outlineLevel="1" x14ac:dyDescent="0.3">
      <c r="A1380" t="s">
        <v>329</v>
      </c>
      <c r="B1380" t="s">
        <v>269</v>
      </c>
      <c r="C1380" t="s">
        <v>10</v>
      </c>
      <c r="D1380" t="s">
        <v>2064</v>
      </c>
      <c r="E1380" t="s">
        <v>2065</v>
      </c>
      <c r="H1380" t="inlineStr">
        <is>
          <t>CORRIDOR CENTRAL 01.004</t>
        </is>
      </c>
    </row>
    <row r="1381" spans="1:8" hidden="1" outlineLevel="1" x14ac:dyDescent="0.3">
      <c r="A1381" t="s">
        <v>331</v>
      </c>
      <c r="B1381" t="s">
        <v>269</v>
      </c>
      <c r="C1381" t="s">
        <v>10</v>
      </c>
      <c r="D1381" t="s">
        <v>2075</v>
      </c>
      <c r="E1381" t="s">
        <v>2042</v>
      </c>
      <c r="H1381" t="inlineStr">
        <is>
          <t>CORRIDORS E 01.028</t>
        </is>
      </c>
    </row>
    <row r="1382" spans="1:8" hidden="1" outlineLevel="1" x14ac:dyDescent="0.3">
      <c r="A1382" t="s">
        <v>333</v>
      </c>
      <c r="B1382" t="s">
        <v>269</v>
      </c>
      <c r="C1382" t="s">
        <v>10</v>
      </c>
      <c r="D1382" t="s">
        <v>2076</v>
      </c>
      <c r="E1382" t="s">
        <v>2077</v>
      </c>
      <c r="H1382" t="inlineStr">
        <is>
          <t>ABLUTION ROOMS 01.020 &amp; 23</t>
        </is>
      </c>
    </row>
    <row r="1383" spans="1:8" hidden="1" outlineLevel="1" x14ac:dyDescent="0.3">
      <c r="A1383" t="s">
        <v>335</v>
      </c>
      <c r="B1383" t="s">
        <v>269</v>
      </c>
      <c r="C1383" t="s">
        <v>8</v>
      </c>
      <c r="D1383" t="s">
        <v>2033</v>
      </c>
      <c r="E1383" t="s">
        <v>2034</v>
      </c>
      <c r="H1383" t="inlineStr">
        <is>
          <t>A/V RM 1.008</t>
        </is>
      </c>
    </row>
    <row r="1384" spans="1:8" hidden="1" outlineLevel="1" x14ac:dyDescent="0.3">
      <c r="A1384" t="s">
        <v>337</v>
      </c>
      <c r="B1384" t="s">
        <v>269</v>
      </c>
      <c r="C1384" t="s">
        <v>10</v>
      </c>
      <c r="D1384" t="s">
        <v>2078</v>
      </c>
      <c r="E1384" t="s">
        <v>2079</v>
      </c>
      <c r="H1384" t="inlineStr">
        <is>
          <t>CORRIDOR AUDITORIUM W 01.010</t>
        </is>
      </c>
    </row>
    <row r="1385" spans="1:8" hidden="1" outlineLevel="1" x14ac:dyDescent="0.3">
      <c r="A1385" t="s">
        <v>339</v>
      </c>
      <c r="B1385" t="s">
        <v>269</v>
      </c>
      <c r="C1385" t="s">
        <v>10</v>
      </c>
      <c r="D1385" t="s">
        <v>2064</v>
      </c>
      <c r="E1385" t="s">
        <v>2065</v>
      </c>
      <c r="H1385" t="inlineStr">
        <is>
          <t>CORRIDOR AUDITORIUM E 01.035</t>
        </is>
      </c>
    </row>
    <row r="1386" spans="1:8" hidden="1" outlineLevel="1" x14ac:dyDescent="0.3">
      <c r="A1386" t="s">
        <v>341</v>
      </c>
      <c r="B1386" t="s">
        <v>269</v>
      </c>
      <c r="C1386" t="s">
        <v>10</v>
      </c>
      <c r="D1386" t="s">
        <v>2080</v>
      </c>
      <c r="E1386" t="s">
        <v>2081</v>
      </c>
      <c r="H1386" t="inlineStr">
        <is>
          <t>EXECUTIVE CONFROOM 02.006</t>
        </is>
      </c>
    </row>
    <row r="1387" spans="1:8" hidden="1" outlineLevel="1" x14ac:dyDescent="0.3">
      <c r="A1387" t="s">
        <v>343</v>
      </c>
      <c r="B1387" t="s">
        <v>269</v>
      </c>
      <c r="C1387" t="s">
        <v>8</v>
      </c>
      <c r="D1387" t="s">
        <v>2082</v>
      </c>
      <c r="E1387" t="s">
        <v>2083</v>
      </c>
      <c r="H1387" t="inlineStr">
        <is>
          <t>EXECUTIVE CONFROOM 02.005</t>
        </is>
      </c>
    </row>
    <row r="1388" spans="1:6" hidden="1" outlineLevel="1" x14ac:dyDescent="0.3">
      <c r="A1388" t="s">
        <v>344</v>
      </c>
      <c r="B1388" t="s">
        <v>269</v>
      </c>
      <c r="C1388" t="s">
        <v>8</v>
      </c>
      <c r="D1388" t="s">
        <v>2082</v>
      </c>
      <c r="E1388" t="s">
        <v>2083</v>
      </c>
    </row>
    <row r="1389" spans="1:6" hidden="1" outlineLevel="1" x14ac:dyDescent="0.3">
      <c r="A1389" t="s">
        <v>346</v>
      </c>
      <c r="B1389" t="s">
        <v>269</v>
      </c>
      <c r="C1389" t="s">
        <v>10</v>
      </c>
      <c r="D1389" t="s">
        <v>2084</v>
      </c>
      <c r="E1389" t="s">
        <v>2085</v>
      </c>
    </row>
    <row r="1390" spans="1:6" hidden="1" outlineLevel="1" x14ac:dyDescent="0.3">
      <c r="A1390" t="s">
        <v>348</v>
      </c>
      <c r="B1390" t="s">
        <v>269</v>
      </c>
      <c r="C1390" t="s">
        <v>10</v>
      </c>
      <c r="D1390" t="s">
        <v>2086</v>
      </c>
      <c r="E1390" t="s">
        <v>2087</v>
      </c>
    </row>
    <row r="1391" spans="1:6" hidden="1" outlineLevel="1" x14ac:dyDescent="0.3">
      <c r="A1391" t="s">
        <v>350</v>
      </c>
      <c r="B1391" t="s">
        <v>269</v>
      </c>
      <c r="C1391" t="s">
        <v>10</v>
      </c>
      <c r="D1391" t="s">
        <v>2086</v>
      </c>
      <c r="E1391" t="s">
        <v>2087</v>
      </c>
    </row>
    <row r="1392" spans="1:6" hidden="1" outlineLevel="1" x14ac:dyDescent="0.3">
      <c r="A1392" t="s">
        <v>352</v>
      </c>
      <c r="B1392" t="s">
        <v>269</v>
      </c>
      <c r="C1392" t="s">
        <v>10</v>
      </c>
      <c r="D1392" t="s">
        <v>2088</v>
      </c>
      <c r="E1392" t="s">
        <v>2089</v>
      </c>
    </row>
    <row r="1393" spans="1:6" hidden="1" outlineLevel="1" x14ac:dyDescent="0.3">
      <c r="A1393" t="s">
        <v>354</v>
      </c>
      <c r="B1393" t="s">
        <v>269</v>
      </c>
      <c r="C1393" t="s">
        <v>10</v>
      </c>
      <c r="D1393" t="s">
        <v>2088</v>
      </c>
      <c r="E1393" t="s">
        <v>2089</v>
      </c>
    </row>
    <row r="1394" spans="1:6" hidden="1" outlineLevel="1" x14ac:dyDescent="0.3">
      <c r="A1394" t="s">
        <v>356</v>
      </c>
      <c r="B1394" t="s">
        <v>269</v>
      </c>
      <c r="C1394" t="s">
        <v>10</v>
      </c>
      <c r="D1394" t="s">
        <v>2088</v>
      </c>
      <c r="E1394" t="s">
        <v>2089</v>
      </c>
    </row>
    <row r="1395" spans="1:6" hidden="1" outlineLevel="1" x14ac:dyDescent="0.3">
      <c r="A1395" t="s">
        <v>358</v>
      </c>
      <c r="B1395" t="s">
        <v>269</v>
      </c>
      <c r="C1395" t="s">
        <v>10</v>
      </c>
      <c r="D1395" t="s">
        <v>2088</v>
      </c>
      <c r="E1395" t="s">
        <v>2089</v>
      </c>
    </row>
    <row r="1396" spans="1:6" hidden="1" outlineLevel="1" x14ac:dyDescent="0.3">
      <c r="A1396" t="s">
        <v>359</v>
      </c>
      <c r="B1396" t="s">
        <v>269</v>
      </c>
      <c r="C1396" t="s">
        <v>10</v>
      </c>
      <c r="D1396" t="s">
        <v>2090</v>
      </c>
      <c r="E1396" t="s">
        <v>2091</v>
      </c>
    </row>
    <row r="1397" spans="1:6" hidden="1" outlineLevel="1" x14ac:dyDescent="0.3">
      <c r="A1397" t="s">
        <v>360</v>
      </c>
      <c r="B1397" t="s">
        <v>269</v>
      </c>
      <c r="C1397" t="s">
        <v>8</v>
      </c>
      <c r="D1397" t="s">
        <v>2082</v>
      </c>
      <c r="E1397" t="s">
        <v>2083</v>
      </c>
    </row>
    <row r="1398" spans="1:6" hidden="1" outlineLevel="1" x14ac:dyDescent="0.3">
      <c r="A1398" t="s">
        <v>361</v>
      </c>
      <c r="B1398" t="s">
        <v>269</v>
      </c>
      <c r="C1398" t="s">
        <v>10</v>
      </c>
      <c r="D1398" t="s">
        <v>2080</v>
      </c>
      <c r="E1398" t="s">
        <v>2081</v>
      </c>
    </row>
    <row r="1399" spans="1:6" hidden="1" outlineLevel="1" x14ac:dyDescent="0.3">
      <c r="A1399" t="s">
        <v>363</v>
      </c>
      <c r="B1399" t="s">
        <v>269</v>
      </c>
      <c r="C1399" t="s">
        <v>10</v>
      </c>
      <c r="D1399" t="s">
        <v>2092</v>
      </c>
      <c r="E1399" t="s">
        <v>2093</v>
      </c>
      <c r="F1399" s="13" t="s">
        <v>2094</v>
      </c>
    </row>
    <row r="1400" spans="1:6" hidden="1" outlineLevel="1" x14ac:dyDescent="0.3">
      <c r="A1400" t="s">
        <v>364</v>
      </c>
      <c r="B1400" t="s">
        <v>269</v>
      </c>
      <c r="C1400" t="s">
        <v>10</v>
      </c>
      <c r="D1400" t="s">
        <v>2095</v>
      </c>
      <c r="E1400" t="s">
        <v>2096</v>
      </c>
      <c r="F1400" s="13" t="s">
        <v>2094</v>
      </c>
    </row>
    <row r="1401" spans="1:8" hidden="1" outlineLevel="1" x14ac:dyDescent="0.3">
      <c r="A1401" t="s">
        <v>366</v>
      </c>
      <c r="B1401" t="s">
        <v>269</v>
      </c>
      <c r="C1401" t="s">
        <v>10</v>
      </c>
      <c r="D1401" t="s">
        <v>2097</v>
      </c>
      <c r="E1401" t="s">
        <v>2098</v>
      </c>
      <c r="F1401" s="13" t="s">
        <v>2094</v>
      </c>
      <c r="H1401" t="inlineStr">
        <is>
          <t>RESEARCHER`S OFFICE 03.013</t>
        </is>
      </c>
    </row>
    <row r="1402" spans="1:8" hidden="1" outlineLevel="1" x14ac:dyDescent="0.3">
      <c r="A1402" t="s">
        <v>368</v>
      </c>
      <c r="B1402" t="s">
        <v>269</v>
      </c>
      <c r="C1402" t="s">
        <v>10</v>
      </c>
      <c r="D1402" t="s">
        <v>2099</v>
      </c>
      <c r="E1402" t="s">
        <v>2100</v>
      </c>
      <c r="F1402" s="13" t="s">
        <v>2094</v>
      </c>
      <c r="H1402" t="inlineStr">
        <is>
          <t>RESEARCHER`S OFFICE 03.012</t>
        </is>
      </c>
    </row>
    <row r="1403" spans="1:6" hidden="1" outlineLevel="1" x14ac:dyDescent="0.3">
      <c r="A1403" t="s">
        <v>370</v>
      </c>
      <c r="B1403" t="s">
        <v>269</v>
      </c>
      <c r="C1403" t="s">
        <v>10</v>
      </c>
      <c r="D1403" t="s">
        <v>2101</v>
      </c>
      <c r="E1403" t="s">
        <v>2102</v>
      </c>
      <c r="F1403" s="13" t="s">
        <v>2094</v>
      </c>
    </row>
    <row r="1404" spans="1:8" hidden="1" outlineLevel="1" x14ac:dyDescent="0.3">
      <c r="A1404" t="s">
        <v>372</v>
      </c>
      <c r="B1404" t="s">
        <v>269</v>
      </c>
      <c r="C1404" t="s">
        <v>10</v>
      </c>
      <c r="D1404" t="s">
        <v>2103</v>
      </c>
      <c r="E1404" t="s">
        <v>2104</v>
      </c>
      <c r="F1404" s="13" t="s">
        <v>2094</v>
      </c>
      <c r="H1404" t="inlineStr">
        <is>
          <t>RESEARCHER`S OFFICE 03.010</t>
        </is>
      </c>
    </row>
    <row r="1405" spans="1:8" hidden="1" outlineLevel="1" x14ac:dyDescent="0.3">
      <c r="A1405" t="s">
        <v>374</v>
      </c>
      <c r="B1405" t="s">
        <v>269</v>
      </c>
      <c r="C1405" t="s">
        <v>10</v>
      </c>
      <c r="D1405" t="s">
        <v>2105</v>
      </c>
      <c r="E1405" t="s">
        <v>2106</v>
      </c>
      <c r="F1405" s="13" t="s">
        <v>2094</v>
      </c>
      <c r="H1405" t="inlineStr">
        <is>
          <t>RESEARCHER`S OFFICE 03.009</t>
        </is>
      </c>
    </row>
    <row r="1406" spans="1:6" hidden="1" outlineLevel="1" x14ac:dyDescent="0.3">
      <c r="A1406" t="s">
        <v>376</v>
      </c>
      <c r="B1406" t="s">
        <v>269</v>
      </c>
      <c r="C1406" t="s">
        <v>10</v>
      </c>
      <c r="D1406" t="s">
        <v>2107</v>
      </c>
      <c r="E1406" t="s">
        <v>2108</v>
      </c>
      <c r="F1406" s="13" t="s">
        <v>2094</v>
      </c>
    </row>
    <row r="1407" spans="1:6" hidden="1" outlineLevel="1" x14ac:dyDescent="0.3">
      <c r="A1407" t="s">
        <v>378</v>
      </c>
      <c r="B1407" t="s">
        <v>269</v>
      </c>
      <c r="C1407" t="s">
        <v>10</v>
      </c>
      <c r="D1407" t="s">
        <v>2109</v>
      </c>
      <c r="E1407" t="s">
        <v>2110</v>
      </c>
      <c r="F1407" s="13" t="s">
        <v>2094</v>
      </c>
    </row>
    <row r="1408" spans="1:8" hidden="1" outlineLevel="1" x14ac:dyDescent="0.3">
      <c r="A1408" t="s">
        <v>380</v>
      </c>
      <c r="B1408" t="s">
        <v>269</v>
      </c>
      <c r="C1408" t="s">
        <v>10</v>
      </c>
      <c r="D1408" t="s">
        <v>2111</v>
      </c>
      <c r="E1408" t="s">
        <v>2112</v>
      </c>
      <c r="F1408" s="13" t="s">
        <v>2094</v>
      </c>
      <c r="H1408" t="inlineStr">
        <is>
          <t>MEETING ROOM 03.006</t>
        </is>
      </c>
    </row>
    <row r="1409" spans="1:6" hidden="1" outlineLevel="1" x14ac:dyDescent="0.3">
      <c r="A1409" t="s">
        <v>382</v>
      </c>
      <c r="B1409" t="s">
        <v>269</v>
      </c>
      <c r="C1409" s="26"/>
      <c r="D1409" s="11" t="s">
        <v>2113</v>
      </c>
      <c r="E1409" s="11" t="e">
        <v>#N/A</v>
      </c>
      <c r="F1409" s="13" t="s">
        <v>2094</v>
      </c>
    </row>
    <row r="1410" spans="1:6" hidden="1" outlineLevel="1" x14ac:dyDescent="0.3">
      <c r="A1410" t="s">
        <v>384</v>
      </c>
      <c r="B1410" t="s">
        <v>269</v>
      </c>
      <c r="C1410" t="s">
        <v>10</v>
      </c>
      <c r="D1410" t="s">
        <v>2114</v>
      </c>
      <c r="E1410" t="s">
        <v>2112</v>
      </c>
      <c r="F1410" s="13" t="s">
        <v>2094</v>
      </c>
    </row>
    <row r="1411" spans="1:8" hidden="1" outlineLevel="1" x14ac:dyDescent="0.3">
      <c r="A1411" t="s">
        <v>386</v>
      </c>
      <c r="B1411" t="s">
        <v>269</v>
      </c>
      <c r="C1411" t="s">
        <v>10</v>
      </c>
      <c r="D1411" t="s">
        <v>2115</v>
      </c>
      <c r="E1411" t="s">
        <v>2116</v>
      </c>
      <c r="F1411" s="13" t="s">
        <v>2094</v>
      </c>
      <c r="H1411" t="inlineStr">
        <is>
          <t>RESEARCHER`S OFFICE 03.005</t>
        </is>
      </c>
    </row>
    <row r="1412" spans="1:6" hidden="1" outlineLevel="1" x14ac:dyDescent="0.3">
      <c r="A1412" t="s">
        <v>388</v>
      </c>
      <c r="B1412" t="s">
        <v>269</v>
      </c>
      <c r="C1412" t="s">
        <v>10</v>
      </c>
      <c r="D1412" t="s">
        <v>2117</v>
      </c>
      <c r="E1412" t="s">
        <v>2118</v>
      </c>
      <c r="F1412" s="13" t="s">
        <v>2094</v>
      </c>
    </row>
    <row r="1413" spans="1:8" hidden="1" outlineLevel="1" x14ac:dyDescent="0.3">
      <c r="A1413" t="s">
        <v>390</v>
      </c>
      <c r="B1413" t="s">
        <v>269</v>
      </c>
      <c r="C1413" t="s">
        <v>10</v>
      </c>
      <c r="D1413" t="s">
        <v>2119</v>
      </c>
      <c r="E1413" t="s">
        <v>2120</v>
      </c>
      <c r="F1413" s="13" t="s">
        <v>2094</v>
      </c>
      <c r="H1413" t="inlineStr">
        <is>
          <t>RESEARCHER`S OFFICE 03.003</t>
        </is>
      </c>
    </row>
    <row r="1414" spans="1:8" hidden="1" outlineLevel="1" x14ac:dyDescent="0.3">
      <c r="A1414" t="s">
        <v>392</v>
      </c>
      <c r="B1414" t="s">
        <v>269</v>
      </c>
      <c r="C1414" t="s">
        <v>8</v>
      </c>
      <c r="D1414" t="s">
        <v>2121</v>
      </c>
      <c r="E1414" t="s">
        <v>2122</v>
      </c>
      <c r="F1414" s="13" t="s">
        <v>2094</v>
      </c>
      <c r="H1414" t="inlineStr">
        <is>
          <t>DIRMEETING ROOM 03.002</t>
        </is>
      </c>
    </row>
    <row r="1415" spans="1:6" hidden="1" outlineLevel="1" x14ac:dyDescent="0.3">
      <c r="A1415" t="s">
        <v>394</v>
      </c>
      <c r="B1415" t="s">
        <v>269</v>
      </c>
      <c r="C1415" t="s">
        <v>8</v>
      </c>
      <c r="D1415" t="s">
        <v>2121</v>
      </c>
      <c r="E1415" t="s">
        <v>2122</v>
      </c>
      <c r="F1415" s="13" t="s">
        <v>2094</v>
      </c>
    </row>
    <row r="1416" spans="1:6" hidden="1" outlineLevel="1" x14ac:dyDescent="0.3">
      <c r="A1416" t="s">
        <v>396</v>
      </c>
      <c r="B1416" t="s">
        <v>269</v>
      </c>
      <c r="C1416" t="s">
        <v>8</v>
      </c>
      <c r="D1416" t="s">
        <v>2123</v>
      </c>
      <c r="E1416" t="s">
        <v>2124</v>
      </c>
      <c r="F1416" s="13" t="s">
        <v>2094</v>
      </c>
    </row>
    <row r="1417" spans="1:6" hidden="1" outlineLevel="1" x14ac:dyDescent="0.3">
      <c r="A1417" t="s">
        <v>398</v>
      </c>
      <c r="B1417" t="s">
        <v>269</v>
      </c>
      <c r="C1417" t="s">
        <v>10</v>
      </c>
      <c r="D1417" t="s">
        <v>2125</v>
      </c>
      <c r="E1417" t="s">
        <v>2122</v>
      </c>
      <c r="F1417" s="13" t="s">
        <v>2094</v>
      </c>
    </row>
    <row r="1418" spans="1:6" hidden="1" outlineLevel="1" x14ac:dyDescent="0.3">
      <c r="A1418" t="s">
        <v>400</v>
      </c>
      <c r="B1418" t="s">
        <v>269</v>
      </c>
      <c r="C1418" t="s">
        <v>10</v>
      </c>
      <c r="D1418" t="s">
        <v>2125</v>
      </c>
      <c r="E1418" t="s">
        <v>2122</v>
      </c>
      <c r="F1418" s="13" t="s">
        <v>2094</v>
      </c>
    </row>
    <row r="1419" spans="1:6" hidden="1" outlineLevel="1" x14ac:dyDescent="0.3">
      <c r="A1419" t="s">
        <v>402</v>
      </c>
      <c r="B1419" t="s">
        <v>269</v>
      </c>
      <c r="C1419" t="s">
        <v>10</v>
      </c>
      <c r="D1419" t="s">
        <v>2125</v>
      </c>
      <c r="E1419" t="s">
        <v>2122</v>
      </c>
      <c r="F1419" s="13" t="s">
        <v>2094</v>
      </c>
    </row>
    <row r="1420" spans="1:6" hidden="1" outlineLevel="1" x14ac:dyDescent="0.3">
      <c r="A1420" t="s">
        <v>404</v>
      </c>
      <c r="B1420" t="s">
        <v>269</v>
      </c>
      <c r="C1420" t="s">
        <v>10</v>
      </c>
      <c r="D1420" t="s">
        <v>2125</v>
      </c>
      <c r="E1420" t="s">
        <v>2122</v>
      </c>
      <c r="F1420" s="13" t="s">
        <v>2094</v>
      </c>
    </row>
    <row r="1421" spans="1:6" hidden="1" outlineLevel="1" x14ac:dyDescent="0.3">
      <c r="A1421" t="s">
        <v>406</v>
      </c>
      <c r="B1421" t="s">
        <v>269</v>
      </c>
      <c r="C1421" t="s">
        <v>10</v>
      </c>
      <c r="D1421" t="s">
        <v>2125</v>
      </c>
      <c r="E1421" t="s">
        <v>2122</v>
      </c>
      <c r="F1421" s="13" t="s">
        <v>2094</v>
      </c>
    </row>
    <row r="1422" spans="1:6" hidden="1" outlineLevel="1" x14ac:dyDescent="0.3">
      <c r="A1422" t="s">
        <v>408</v>
      </c>
      <c r="B1422" t="s">
        <v>269</v>
      </c>
      <c r="C1422" t="s">
        <v>10</v>
      </c>
      <c r="D1422" t="s">
        <v>2125</v>
      </c>
      <c r="E1422" t="s">
        <v>2122</v>
      </c>
      <c r="F1422" s="13" t="s">
        <v>2094</v>
      </c>
    </row>
    <row r="1423" spans="1:6" hidden="1" outlineLevel="1" x14ac:dyDescent="0.3">
      <c r="A1423" t="s">
        <v>410</v>
      </c>
      <c r="B1423" t="s">
        <v>269</v>
      </c>
      <c r="C1423" t="s">
        <v>10</v>
      </c>
      <c r="D1423" t="s">
        <v>2125</v>
      </c>
      <c r="E1423" t="s">
        <v>2122</v>
      </c>
      <c r="F1423" s="13" t="s">
        <v>2094</v>
      </c>
    </row>
    <row r="1424" spans="1:8" hidden="1" outlineLevel="1" x14ac:dyDescent="0.3">
      <c r="A1424" t="s">
        <v>412</v>
      </c>
      <c r="B1424" t="s">
        <v>269</v>
      </c>
      <c r="C1424" t="s">
        <v>10</v>
      </c>
      <c r="D1424" t="s">
        <v>2126</v>
      </c>
      <c r="E1424" t="s">
        <v>2127</v>
      </c>
      <c r="H1424" t="inlineStr">
        <is>
          <t>ASSOCDIROFFICE 03.031</t>
        </is>
      </c>
    </row>
    <row r="1425" spans="1:8" hidden="1" outlineLevel="1" x14ac:dyDescent="0.3">
      <c r="A1425" t="s">
        <v>414</v>
      </c>
      <c r="B1425" t="s">
        <v>269</v>
      </c>
      <c r="C1425" t="s">
        <v>8</v>
      </c>
      <c r="D1425" t="s">
        <v>2128</v>
      </c>
      <c r="E1425" t="s">
        <v>2129</v>
      </c>
      <c r="H1425" t="inlineStr">
        <is>
          <t>ASSOCDIRMEETING RM 03.030</t>
        </is>
      </c>
    </row>
    <row r="1426" spans="1:5" hidden="1" outlineLevel="1" x14ac:dyDescent="0.3">
      <c r="A1426" t="s">
        <v>416</v>
      </c>
      <c r="B1426" t="s">
        <v>269</v>
      </c>
      <c r="C1426" t="s">
        <v>8</v>
      </c>
      <c r="D1426" t="s">
        <v>2128</v>
      </c>
      <c r="E1426" t="s">
        <v>2129</v>
      </c>
    </row>
    <row r="1427" spans="1:8" hidden="1" outlineLevel="1" x14ac:dyDescent="0.3">
      <c r="A1427" t="s">
        <v>418</v>
      </c>
      <c r="B1427" t="s">
        <v>269</v>
      </c>
      <c r="C1427" t="s">
        <v>10</v>
      </c>
      <c r="D1427" t="s">
        <v>2130</v>
      </c>
      <c r="E1427" t="s">
        <v>2131</v>
      </c>
      <c r="H1427" t="inlineStr">
        <is>
          <t>RESEARCHER`S OFFICE 03.029</t>
        </is>
      </c>
    </row>
    <row r="1428" spans="1:5" hidden="1" outlineLevel="1" x14ac:dyDescent="0.3">
      <c r="A1428" t="s">
        <v>419</v>
      </c>
      <c r="B1428" t="s">
        <v>269</v>
      </c>
      <c r="C1428" t="s">
        <v>10</v>
      </c>
      <c r="D1428" t="s">
        <v>2132</v>
      </c>
      <c r="E1428" t="s">
        <v>2133</v>
      </c>
    </row>
    <row r="1429" spans="1:8" hidden="1" outlineLevel="1" x14ac:dyDescent="0.3">
      <c r="A1429" t="s">
        <v>420</v>
      </c>
      <c r="B1429" t="s">
        <v>269</v>
      </c>
      <c r="C1429" t="s">
        <v>10</v>
      </c>
      <c r="D1429" t="s">
        <v>2134</v>
      </c>
      <c r="E1429" t="s">
        <v>2135</v>
      </c>
      <c r="H1429" t="inlineStr">
        <is>
          <t>RESEARCHER`S OFFICE 03.027</t>
        </is>
      </c>
    </row>
    <row r="1430" spans="1:5" hidden="1" outlineLevel="1" x14ac:dyDescent="0.3">
      <c r="A1430" t="s">
        <v>422</v>
      </c>
      <c r="B1430" t="s">
        <v>269</v>
      </c>
      <c r="C1430" t="s">
        <v>10</v>
      </c>
      <c r="D1430" t="s">
        <v>2136</v>
      </c>
      <c r="E1430" t="s">
        <v>2137</v>
      </c>
    </row>
    <row r="1431" spans="1:5" hidden="1" outlineLevel="1" x14ac:dyDescent="0.3">
      <c r="A1431" t="s">
        <v>423</v>
      </c>
      <c r="B1431" t="s">
        <v>269</v>
      </c>
      <c r="C1431" t="s">
        <v>10</v>
      </c>
      <c r="D1431" t="s">
        <v>2136</v>
      </c>
      <c r="E1431" t="s">
        <v>2137</v>
      </c>
    </row>
    <row r="1432" spans="1:5" hidden="1" outlineLevel="1" x14ac:dyDescent="0.3">
      <c r="A1432" t="s">
        <v>424</v>
      </c>
      <c r="B1432" t="s">
        <v>269</v>
      </c>
      <c r="C1432" t="s">
        <v>10</v>
      </c>
      <c r="D1432" t="s">
        <v>2136</v>
      </c>
      <c r="E1432" t="s">
        <v>2137</v>
      </c>
    </row>
    <row r="1433" spans="1:5" hidden="1" outlineLevel="1" x14ac:dyDescent="0.3">
      <c r="A1433" t="s">
        <v>425</v>
      </c>
      <c r="B1433" t="s">
        <v>269</v>
      </c>
      <c r="C1433" t="s">
        <v>10</v>
      </c>
      <c r="D1433" t="s">
        <v>2138</v>
      </c>
      <c r="E1433" t="s">
        <v>2139</v>
      </c>
    </row>
    <row r="1434" spans="1:5" hidden="1" outlineLevel="1" x14ac:dyDescent="0.3">
      <c r="A1434" t="s">
        <v>427</v>
      </c>
      <c r="B1434" t="s">
        <v>269</v>
      </c>
      <c r="C1434" t="s">
        <v>10</v>
      </c>
      <c r="D1434" t="s">
        <v>2140</v>
      </c>
      <c r="E1434" t="s">
        <v>2141</v>
      </c>
    </row>
    <row r="1435" spans="1:8" hidden="1" outlineLevel="1" x14ac:dyDescent="0.3">
      <c r="A1435" t="s">
        <v>429</v>
      </c>
      <c r="B1435" t="s">
        <v>269</v>
      </c>
      <c r="C1435" t="s">
        <v>10</v>
      </c>
      <c r="D1435" t="s">
        <v>2142</v>
      </c>
      <c r="E1435" t="s">
        <v>2143</v>
      </c>
      <c r="H1435" t="inlineStr">
        <is>
          <t>RESEARCHER`S OFFICE 03.023</t>
        </is>
      </c>
    </row>
    <row r="1436" spans="1:8" hidden="1" outlineLevel="1" x14ac:dyDescent="0.3">
      <c r="A1436" t="s">
        <v>430</v>
      </c>
      <c r="B1436" t="s">
        <v>269</v>
      </c>
      <c r="C1436" t="s">
        <v>10</v>
      </c>
      <c r="D1436" t="s">
        <v>2144</v>
      </c>
      <c r="E1436" t="s">
        <v>2145</v>
      </c>
      <c r="H1436" t="inlineStr">
        <is>
          <t>RESEARCHER`S OFFICE 03.022</t>
        </is>
      </c>
    </row>
    <row r="1437" spans="1:5" hidden="1" outlineLevel="1" x14ac:dyDescent="0.3">
      <c r="A1437" t="s">
        <v>432</v>
      </c>
      <c r="B1437" t="s">
        <v>269</v>
      </c>
      <c r="C1437" t="s">
        <v>10</v>
      </c>
      <c r="D1437" t="s">
        <v>2146</v>
      </c>
      <c r="E1437" t="s">
        <v>2147</v>
      </c>
    </row>
    <row r="1438" spans="1:8" hidden="1" outlineLevel="1" x14ac:dyDescent="0.3">
      <c r="A1438" t="s">
        <v>434</v>
      </c>
      <c r="B1438" t="s">
        <v>269</v>
      </c>
      <c r="C1438" t="s">
        <v>10</v>
      </c>
      <c r="D1438" t="s">
        <v>2148</v>
      </c>
      <c r="E1438" t="s">
        <v>2149</v>
      </c>
      <c r="H1438" t="inlineStr">
        <is>
          <t>RESEARCHER`S OFFICE 03.020</t>
        </is>
      </c>
    </row>
    <row r="1439" spans="1:8" hidden="1" outlineLevel="1" x14ac:dyDescent="0.3">
      <c r="A1439" t="s">
        <v>436</v>
      </c>
      <c r="B1439" t="s">
        <v>269</v>
      </c>
      <c r="C1439" t="s">
        <v>10</v>
      </c>
      <c r="D1439" t="s">
        <v>2150</v>
      </c>
      <c r="E1439" t="s">
        <v>2151</v>
      </c>
      <c r="H1439" t="inlineStr">
        <is>
          <t>IT MANAGERS OFF 03.019</t>
        </is>
      </c>
    </row>
    <row r="1440" spans="1:5" hidden="1" outlineLevel="1" x14ac:dyDescent="0.3">
      <c r="A1440" t="s">
        <v>438</v>
      </c>
      <c r="B1440" t="s">
        <v>269</v>
      </c>
      <c r="C1440" t="s">
        <v>10</v>
      </c>
      <c r="D1440" t="s">
        <v>2152</v>
      </c>
      <c r="E1440" t="s">
        <v>2153</v>
      </c>
    </row>
    <row r="1441" spans="1:8" hidden="1" outlineLevel="1" x14ac:dyDescent="0.3">
      <c r="A1441" t="s">
        <v>440</v>
      </c>
      <c r="B1441" t="s">
        <v>269</v>
      </c>
      <c r="C1441" t="s">
        <v>10</v>
      </c>
      <c r="D1441" t="s">
        <v>2154</v>
      </c>
      <c r="E1441" t="s">
        <v>2155</v>
      </c>
      <c r="H1441" t="inlineStr">
        <is>
          <t>RESEARCHER`S OFFICE 03.017</t>
        </is>
      </c>
    </row>
    <row r="1442" spans="1:8" hidden="1" outlineLevel="1" x14ac:dyDescent="0.3">
      <c r="A1442" t="s">
        <v>442</v>
      </c>
      <c r="B1442" t="s">
        <v>269</v>
      </c>
      <c r="C1442" t="s">
        <v>10</v>
      </c>
      <c r="D1442" t="s">
        <v>2156</v>
      </c>
      <c r="E1442" t="s">
        <v>2157</v>
      </c>
      <c r="H1442" t="inlineStr">
        <is>
          <t>W OPEN LOUNGE AREA 03.016</t>
        </is>
      </c>
    </row>
    <row r="1443" spans="1:5" hidden="1" outlineLevel="1" x14ac:dyDescent="0.3">
      <c r="A1443" t="s">
        <v>443</v>
      </c>
      <c r="B1443" t="s">
        <v>269</v>
      </c>
      <c r="C1443" t="s">
        <v>10</v>
      </c>
      <c r="D1443" t="s">
        <v>2156</v>
      </c>
      <c r="E1443" t="s">
        <v>2157</v>
      </c>
    </row>
    <row r="1444" spans="1:5" hidden="1" outlineLevel="1" x14ac:dyDescent="0.3">
      <c r="A1444" t="s">
        <v>445</v>
      </c>
      <c r="B1444" t="s">
        <v>269</v>
      </c>
      <c r="C1444" t="s">
        <v>10</v>
      </c>
      <c r="D1444" t="s">
        <v>2158</v>
      </c>
      <c r="E1444" t="s">
        <v>2159</v>
      </c>
    </row>
    <row r="1445" spans="1:5" hidden="1" outlineLevel="1" x14ac:dyDescent="0.3">
      <c r="A1445" t="s">
        <v>446</v>
      </c>
      <c r="B1445" t="s">
        <v>269</v>
      </c>
      <c r="C1445" t="s">
        <v>10</v>
      </c>
      <c r="D1445" t="s">
        <v>2160</v>
      </c>
      <c r="E1445" t="s">
        <v>2161</v>
      </c>
    </row>
    <row r="1446" spans="1:5" hidden="1" outlineLevel="1" x14ac:dyDescent="0.3">
      <c r="A1446" t="s">
        <v>448</v>
      </c>
      <c r="B1446" t="s">
        <v>269</v>
      </c>
      <c r="C1446" t="s">
        <v>10</v>
      </c>
      <c r="D1446" t="s">
        <v>2162</v>
      </c>
      <c r="E1446" t="s">
        <v>2163</v>
      </c>
    </row>
    <row r="1447" spans="1:5" hidden="1" outlineLevel="1" x14ac:dyDescent="0.3">
      <c r="A1447" t="s">
        <v>450</v>
      </c>
      <c r="B1447" t="s">
        <v>269</v>
      </c>
      <c r="C1447" t="s">
        <v>10</v>
      </c>
      <c r="D1447" t="s">
        <v>2164</v>
      </c>
      <c r="E1447" t="s">
        <v>2165</v>
      </c>
    </row>
    <row r="1448" spans="1:8" hidden="1" outlineLevel="1" x14ac:dyDescent="0.3">
      <c r="A1448" t="s">
        <v>452</v>
      </c>
      <c r="B1448" t="s">
        <v>269</v>
      </c>
      <c r="C1448" t="s">
        <v>10</v>
      </c>
      <c r="D1448" t="s">
        <v>2166</v>
      </c>
      <c r="E1448" t="s">
        <v>2167</v>
      </c>
      <c r="H1448" t="inlineStr">
        <is>
          <t>STUDY LIBRARY AREA UNDER SKYLIGHT AND CORRIDORS N 03.034</t>
        </is>
      </c>
    </row>
    <row r="1449" spans="1:5" hidden="1" outlineLevel="1" x14ac:dyDescent="0.3">
      <c r="A1449" t="s">
        <v>454</v>
      </c>
      <c r="B1449" t="s">
        <v>269</v>
      </c>
      <c r="C1449" t="s">
        <v>10</v>
      </c>
      <c r="D1449" t="s">
        <v>2166</v>
      </c>
      <c r="E1449" t="s">
        <v>2167</v>
      </c>
    </row>
    <row r="1450" spans="1:5" hidden="1" outlineLevel="1" x14ac:dyDescent="0.3">
      <c r="A1450" t="s">
        <v>456</v>
      </c>
      <c r="B1450" t="s">
        <v>269</v>
      </c>
      <c r="C1450" t="s">
        <v>10</v>
      </c>
      <c r="D1450" t="s">
        <v>2166</v>
      </c>
      <c r="E1450" t="s">
        <v>2167</v>
      </c>
    </row>
    <row r="1451" spans="1:5" hidden="1" outlineLevel="1" x14ac:dyDescent="0.3">
      <c r="A1451" t="s">
        <v>457</v>
      </c>
      <c r="B1451" t="s">
        <v>269</v>
      </c>
      <c r="C1451" t="s">
        <v>10</v>
      </c>
      <c r="D1451" t="s">
        <v>2166</v>
      </c>
      <c r="E1451" t="s">
        <v>2167</v>
      </c>
    </row>
    <row r="1452" spans="1:5" hidden="1" outlineLevel="1" x14ac:dyDescent="0.3">
      <c r="A1452" t="s">
        <v>458</v>
      </c>
      <c r="B1452" t="s">
        <v>269</v>
      </c>
      <c r="C1452" t="s">
        <v>10</v>
      </c>
      <c r="D1452" t="s">
        <v>2160</v>
      </c>
      <c r="E1452" t="s">
        <v>2161</v>
      </c>
    </row>
    <row r="1453" spans="1:8" hidden="1" outlineLevel="1" x14ac:dyDescent="0.3">
      <c r="A1453" t="s">
        <v>459</v>
      </c>
      <c r="B1453" t="s">
        <v>269</v>
      </c>
      <c r="C1453" t="s">
        <v>10</v>
      </c>
      <c r="D1453" t="s">
        <v>2125</v>
      </c>
      <c r="E1453" t="s">
        <v>2122</v>
      </c>
      <c r="H1453" t="inlineStr">
        <is>
          <t>GENERAL OFFICE AREA 03.032</t>
        </is>
      </c>
    </row>
    <row r="1454" spans="1:8" hidden="1" outlineLevel="1" x14ac:dyDescent="0.3">
      <c r="A1454" t="s">
        <v>461</v>
      </c>
      <c r="B1454" t="s">
        <v>269</v>
      </c>
      <c r="C1454" t="s">
        <v>10</v>
      </c>
      <c r="D1454" t="s">
        <v>2125</v>
      </c>
      <c r="E1454" t="s">
        <v>2122</v>
      </c>
      <c r="H1454" t="inlineStr">
        <is>
          <t>GENERAL OFFICE AREA 03.032</t>
        </is>
      </c>
    </row>
    <row r="1455" spans="1:5" collapsed="1" x14ac:dyDescent="0.3">
      <c r="A1455" s="23" t="s">
        <v>2168</v>
      </c>
      <c r="B1455" s="23"/>
      <c r="C1455" s="23"/>
      <c r="D1455" s="23"/>
    </row>
    <row r="1456" spans="1:5" hidden="1" outlineLevel="2" x14ac:dyDescent="0.3">
      <c r="A1456" t="s">
        <v>2169</v>
      </c>
      <c r="B1456" t="s">
        <v>7</v>
      </c>
      <c r="C1456" t="s">
        <v>8</v>
      </c>
      <c r="D1456" t="s">
        <v>2170</v>
      </c>
    </row>
    <row r="1457" spans="1:4" hidden="1" outlineLevel="2" x14ac:dyDescent="0.3">
      <c r="A1457" t="s">
        <v>2171</v>
      </c>
      <c r="B1457" t="s">
        <v>7</v>
      </c>
      <c r="C1457" t="s">
        <v>8</v>
      </c>
      <c r="D1457" t="s">
        <v>2170</v>
      </c>
    </row>
    <row r="1458" spans="1:4" hidden="1" outlineLevel="2" x14ac:dyDescent="0.3">
      <c r="A1458" t="s">
        <v>2172</v>
      </c>
      <c r="B1458" t="s">
        <v>7</v>
      </c>
      <c r="C1458" t="s">
        <v>8</v>
      </c>
      <c r="D1458" t="s">
        <v>2170</v>
      </c>
    </row>
    <row r="1459" spans="1:4" hidden="1" outlineLevel="2" x14ac:dyDescent="0.3">
      <c r="A1459" t="s">
        <v>2173</v>
      </c>
      <c r="B1459" t="s">
        <v>7</v>
      </c>
      <c r="C1459" t="s">
        <v>8</v>
      </c>
      <c r="D1459" t="s">
        <v>2170</v>
      </c>
    </row>
    <row r="1460" spans="1:4" hidden="1" outlineLevel="2" x14ac:dyDescent="0.3">
      <c r="A1460" t="s">
        <v>2174</v>
      </c>
      <c r="B1460" t="s">
        <v>7</v>
      </c>
      <c r="C1460" t="s">
        <v>8</v>
      </c>
      <c r="D1460" t="s">
        <v>2170</v>
      </c>
    </row>
    <row r="1461" spans="1:4" hidden="1" outlineLevel="2" x14ac:dyDescent="0.3">
      <c r="A1461" t="s">
        <v>2175</v>
      </c>
      <c r="B1461" t="s">
        <v>7</v>
      </c>
      <c r="C1461" t="s">
        <v>8</v>
      </c>
      <c r="D1461" t="s">
        <v>2170</v>
      </c>
    </row>
    <row r="1462" spans="1:4" hidden="1" outlineLevel="2" x14ac:dyDescent="0.3">
      <c r="A1462" t="s">
        <v>2176</v>
      </c>
      <c r="B1462" t="s">
        <v>7</v>
      </c>
      <c r="C1462" t="s">
        <v>8</v>
      </c>
      <c r="D1462" t="s">
        <v>2170</v>
      </c>
    </row>
    <row r="1463" spans="1:4" hidden="1" outlineLevel="2" x14ac:dyDescent="0.3">
      <c r="A1463" t="s">
        <v>2177</v>
      </c>
      <c r="B1463" t="s">
        <v>7</v>
      </c>
      <c r="C1463" t="s">
        <v>8</v>
      </c>
      <c r="D1463" t="s">
        <v>2170</v>
      </c>
    </row>
    <row r="1464" spans="1:4" hidden="1" outlineLevel="2" x14ac:dyDescent="0.3">
      <c r="A1464" t="s">
        <v>2178</v>
      </c>
      <c r="B1464" t="s">
        <v>7</v>
      </c>
      <c r="C1464" t="s">
        <v>8</v>
      </c>
      <c r="D1464" t="s">
        <v>2170</v>
      </c>
    </row>
    <row r="1465" spans="1:4" hidden="1" outlineLevel="2" x14ac:dyDescent="0.3">
      <c r="A1465" t="s">
        <v>2179</v>
      </c>
      <c r="B1465" t="s">
        <v>7</v>
      </c>
      <c r="C1465" t="s">
        <v>8</v>
      </c>
      <c r="D1465" t="s">
        <v>2170</v>
      </c>
    </row>
    <row r="1466" spans="1:4" hidden="1" outlineLevel="2" x14ac:dyDescent="0.3">
      <c r="A1466" t="s">
        <v>2180</v>
      </c>
      <c r="B1466" t="s">
        <v>7</v>
      </c>
      <c r="C1466" t="s">
        <v>8</v>
      </c>
      <c r="D1466" t="s">
        <v>2170</v>
      </c>
    </row>
    <row r="1467" spans="1:4" hidden="1" outlineLevel="2" x14ac:dyDescent="0.3">
      <c r="A1467" t="s">
        <v>2181</v>
      </c>
      <c r="B1467" t="s">
        <v>7</v>
      </c>
      <c r="C1467" t="s">
        <v>8</v>
      </c>
      <c r="D1467" t="s">
        <v>2182</v>
      </c>
    </row>
    <row r="1468" spans="1:4" hidden="1" outlineLevel="2" x14ac:dyDescent="0.3">
      <c r="A1468" t="s">
        <v>2183</v>
      </c>
      <c r="B1468" t="s">
        <v>7</v>
      </c>
      <c r="C1468" t="s">
        <v>8</v>
      </c>
      <c r="D1468" t="s">
        <v>2182</v>
      </c>
    </row>
    <row r="1469" spans="1:4" hidden="1" outlineLevel="2" x14ac:dyDescent="0.3">
      <c r="A1469" t="s">
        <v>2184</v>
      </c>
      <c r="B1469" t="s">
        <v>7</v>
      </c>
      <c r="C1469" t="s">
        <v>8</v>
      </c>
      <c r="D1469" t="s">
        <v>2182</v>
      </c>
    </row>
    <row r="1470" spans="1:4" hidden="1" outlineLevel="2" x14ac:dyDescent="0.3">
      <c r="A1470" t="s">
        <v>2185</v>
      </c>
      <c r="B1470" t="s">
        <v>7</v>
      </c>
      <c r="C1470" t="s">
        <v>8</v>
      </c>
      <c r="D1470" t="s">
        <v>2182</v>
      </c>
    </row>
    <row r="1471" spans="1:4" hidden="1" outlineLevel="2" x14ac:dyDescent="0.3">
      <c r="A1471" t="s">
        <v>2186</v>
      </c>
      <c r="B1471" t="s">
        <v>7</v>
      </c>
      <c r="C1471" t="s">
        <v>8</v>
      </c>
      <c r="D1471" t="s">
        <v>2182</v>
      </c>
    </row>
    <row r="1472" spans="1:4" hidden="1" outlineLevel="2" x14ac:dyDescent="0.3">
      <c r="A1472" t="s">
        <v>2187</v>
      </c>
      <c r="B1472" t="s">
        <v>7</v>
      </c>
      <c r="C1472" t="s">
        <v>8</v>
      </c>
      <c r="D1472" t="s">
        <v>2182</v>
      </c>
    </row>
    <row r="1473" spans="1:4" hidden="1" outlineLevel="2" x14ac:dyDescent="0.3">
      <c r="A1473" t="s">
        <v>2188</v>
      </c>
      <c r="B1473" t="s">
        <v>7</v>
      </c>
      <c r="C1473" t="s">
        <v>8</v>
      </c>
      <c r="D1473" t="s">
        <v>2182</v>
      </c>
    </row>
    <row r="1474" spans="1:4" hidden="1" outlineLevel="2" x14ac:dyDescent="0.3">
      <c r="A1474" t="s">
        <v>2189</v>
      </c>
      <c r="B1474" t="s">
        <v>7</v>
      </c>
      <c r="C1474" t="s">
        <v>8</v>
      </c>
      <c r="D1474" t="s">
        <v>2182</v>
      </c>
    </row>
    <row r="1475" spans="1:4" hidden="1" outlineLevel="2" x14ac:dyDescent="0.3">
      <c r="A1475" t="s">
        <v>2190</v>
      </c>
      <c r="B1475" t="s">
        <v>7</v>
      </c>
      <c r="C1475" t="s">
        <v>8</v>
      </c>
      <c r="D1475" t="s">
        <v>2191</v>
      </c>
    </row>
    <row r="1476" spans="1:4" hidden="1" outlineLevel="2" x14ac:dyDescent="0.3">
      <c r="A1476" t="s">
        <v>2192</v>
      </c>
      <c r="B1476" t="s">
        <v>7</v>
      </c>
      <c r="C1476" t="s">
        <v>8</v>
      </c>
      <c r="D1476" t="s">
        <v>2191</v>
      </c>
    </row>
    <row r="1477" spans="1:4" hidden="1" outlineLevel="2" x14ac:dyDescent="0.3">
      <c r="A1477" t="s">
        <v>2193</v>
      </c>
      <c r="B1477" t="s">
        <v>7</v>
      </c>
      <c r="C1477" t="s">
        <v>8</v>
      </c>
      <c r="D1477" t="s">
        <v>2191</v>
      </c>
    </row>
    <row r="1478" spans="1:4" hidden="1" outlineLevel="2" x14ac:dyDescent="0.3">
      <c r="A1478" t="s">
        <v>2194</v>
      </c>
      <c r="B1478" t="s">
        <v>7</v>
      </c>
      <c r="C1478" t="s">
        <v>8</v>
      </c>
      <c r="D1478" t="s">
        <v>2191</v>
      </c>
    </row>
    <row r="1479" spans="1:4" hidden="1" outlineLevel="2" x14ac:dyDescent="0.3">
      <c r="A1479" t="s">
        <v>2195</v>
      </c>
      <c r="B1479" t="s">
        <v>7</v>
      </c>
      <c r="C1479" t="s">
        <v>8</v>
      </c>
      <c r="D1479" t="s">
        <v>2191</v>
      </c>
    </row>
    <row r="1480" spans="1:4" hidden="1" outlineLevel="2" x14ac:dyDescent="0.3">
      <c r="A1480" t="s">
        <v>2196</v>
      </c>
      <c r="B1480" t="s">
        <v>7</v>
      </c>
      <c r="C1480" t="s">
        <v>8</v>
      </c>
      <c r="D1480" t="s">
        <v>2191</v>
      </c>
    </row>
    <row r="1481" spans="1:4" hidden="1" outlineLevel="2" x14ac:dyDescent="0.3">
      <c r="A1481" t="s">
        <v>2197</v>
      </c>
      <c r="B1481" t="s">
        <v>7</v>
      </c>
      <c r="C1481" t="s">
        <v>8</v>
      </c>
      <c r="D1481" t="s">
        <v>2191</v>
      </c>
    </row>
    <row r="1482" spans="1:4" hidden="1" outlineLevel="2" x14ac:dyDescent="0.3">
      <c r="A1482" t="s">
        <v>2198</v>
      </c>
      <c r="B1482" t="s">
        <v>7</v>
      </c>
      <c r="C1482" t="s">
        <v>8</v>
      </c>
      <c r="D1482" t="s">
        <v>2199</v>
      </c>
    </row>
    <row r="1483" spans="1:4" hidden="1" outlineLevel="2" x14ac:dyDescent="0.3">
      <c r="A1483" t="s">
        <v>2200</v>
      </c>
      <c r="B1483" t="s">
        <v>7</v>
      </c>
      <c r="C1483" t="s">
        <v>8</v>
      </c>
      <c r="D1483" t="s">
        <v>2199</v>
      </c>
    </row>
    <row r="1484" spans="1:4" hidden="1" outlineLevel="2" x14ac:dyDescent="0.3">
      <c r="A1484" t="s">
        <v>2201</v>
      </c>
      <c r="B1484" t="s">
        <v>7</v>
      </c>
      <c r="C1484" t="s">
        <v>8</v>
      </c>
      <c r="D1484" t="s">
        <v>2202</v>
      </c>
    </row>
    <row r="1485" spans="1:4" hidden="1" outlineLevel="2" x14ac:dyDescent="0.3">
      <c r="A1485" t="s">
        <v>2203</v>
      </c>
      <c r="B1485" t="s">
        <v>7</v>
      </c>
      <c r="C1485" t="s">
        <v>8</v>
      </c>
      <c r="D1485" t="s">
        <v>2202</v>
      </c>
    </row>
    <row r="1486" spans="1:4" hidden="1" outlineLevel="2" x14ac:dyDescent="0.3">
      <c r="A1486" t="s">
        <v>2204</v>
      </c>
      <c r="B1486" t="s">
        <v>7</v>
      </c>
      <c r="C1486" t="s">
        <v>8</v>
      </c>
      <c r="D1486" t="s">
        <v>2202</v>
      </c>
    </row>
    <row r="1487" spans="1:4" hidden="1" outlineLevel="2" x14ac:dyDescent="0.3">
      <c r="A1487" t="s">
        <v>2205</v>
      </c>
      <c r="B1487" t="s">
        <v>7</v>
      </c>
      <c r="C1487" t="s">
        <v>8</v>
      </c>
      <c r="D1487" t="s">
        <v>2202</v>
      </c>
    </row>
    <row r="1488" spans="1:4" hidden="1" outlineLevel="2" x14ac:dyDescent="0.3">
      <c r="A1488" t="s">
        <v>2206</v>
      </c>
      <c r="B1488" t="s">
        <v>7</v>
      </c>
      <c r="C1488" t="s">
        <v>8</v>
      </c>
      <c r="D1488" t="s">
        <v>2202</v>
      </c>
    </row>
    <row r="1489" spans="1:4" hidden="1" outlineLevel="2" x14ac:dyDescent="0.3">
      <c r="A1489" t="s">
        <v>2207</v>
      </c>
      <c r="B1489" t="s">
        <v>7</v>
      </c>
      <c r="C1489" t="s">
        <v>8</v>
      </c>
      <c r="D1489" t="s">
        <v>2202</v>
      </c>
    </row>
    <row r="1490" spans="1:4" hidden="1" outlineLevel="2" x14ac:dyDescent="0.3">
      <c r="A1490" t="s">
        <v>2208</v>
      </c>
      <c r="B1490" t="s">
        <v>7</v>
      </c>
      <c r="C1490" t="s">
        <v>8</v>
      </c>
      <c r="D1490" t="s">
        <v>2202</v>
      </c>
    </row>
    <row r="1491" spans="1:4" hidden="1" outlineLevel="2" x14ac:dyDescent="0.3">
      <c r="A1491" t="s">
        <v>2209</v>
      </c>
      <c r="B1491" t="s">
        <v>7</v>
      </c>
      <c r="C1491" t="s">
        <v>8</v>
      </c>
      <c r="D1491" t="s">
        <v>2202</v>
      </c>
    </row>
    <row r="1492" spans="1:4" hidden="1" outlineLevel="2" x14ac:dyDescent="0.3">
      <c r="A1492" t="s">
        <v>2210</v>
      </c>
      <c r="B1492" t="s">
        <v>7</v>
      </c>
      <c r="C1492" t="s">
        <v>8</v>
      </c>
      <c r="D1492" t="s">
        <v>2202</v>
      </c>
    </row>
    <row r="1493" spans="1:4" hidden="1" outlineLevel="2" x14ac:dyDescent="0.3">
      <c r="A1493" t="s">
        <v>2211</v>
      </c>
      <c r="B1493" t="s">
        <v>269</v>
      </c>
      <c r="C1493" t="s">
        <v>10</v>
      </c>
      <c r="D1493" t="s">
        <v>2212</v>
      </c>
    </row>
    <row r="1494" spans="1:4" hidden="1" outlineLevel="2" x14ac:dyDescent="0.3">
      <c r="A1494" t="s">
        <v>2213</v>
      </c>
      <c r="B1494" t="s">
        <v>3844</v>
      </c>
      <c r="C1494" t="s">
        <v>8</v>
      </c>
      <c r="D1494" t="s">
        <v>2214</v>
      </c>
    </row>
    <row r="1495" spans="1:4" hidden="1" outlineLevel="2" x14ac:dyDescent="0.3">
      <c r="A1495" t="s">
        <v>2215</v>
      </c>
      <c r="B1495" t="s">
        <v>269</v>
      </c>
      <c r="C1495" t="s">
        <v>8</v>
      </c>
      <c r="D1495" t="s">
        <v>2216</v>
      </c>
    </row>
    <row r="1496" spans="1:4" hidden="1" outlineLevel="2" x14ac:dyDescent="0.3">
      <c r="A1496" t="s">
        <v>2217</v>
      </c>
      <c r="B1496" t="s">
        <v>3910</v>
      </c>
      <c r="C1496" t="s">
        <v>8</v>
      </c>
      <c r="D1496" t="s">
        <v>2218</v>
      </c>
    </row>
    <row r="1497" spans="1:4" hidden="1" outlineLevel="2" x14ac:dyDescent="0.3">
      <c r="A1497" t="s">
        <v>2219</v>
      </c>
      <c r="B1497" t="s">
        <v>3910</v>
      </c>
      <c r="C1497" t="s">
        <v>8</v>
      </c>
      <c r="D1497" t="s">
        <v>2220</v>
      </c>
    </row>
    <row r="1498" spans="1:4" hidden="1" outlineLevel="2" x14ac:dyDescent="0.3">
      <c r="A1498" t="s">
        <v>2221</v>
      </c>
      <c r="B1498" t="s">
        <v>269</v>
      </c>
      <c r="C1498" t="s">
        <v>8</v>
      </c>
      <c r="D1498" t="s">
        <v>2222</v>
      </c>
    </row>
    <row r="1499" spans="1:4" hidden="1" outlineLevel="2" x14ac:dyDescent="0.3">
      <c r="A1499" t="s">
        <v>2223</v>
      </c>
      <c r="B1499" t="s">
        <v>269</v>
      </c>
      <c r="C1499" t="s">
        <v>8</v>
      </c>
      <c r="D1499" t="s">
        <v>2222</v>
      </c>
    </row>
    <row r="1500" spans="1:4" hidden="1" outlineLevel="2" x14ac:dyDescent="0.3">
      <c r="A1500" t="s">
        <v>2224</v>
      </c>
      <c r="B1500" t="s">
        <v>269</v>
      </c>
      <c r="C1500" t="s">
        <v>8</v>
      </c>
      <c r="D1500" t="s">
        <v>2222</v>
      </c>
    </row>
    <row r="1501" spans="1:4" hidden="1" outlineLevel="2" x14ac:dyDescent="0.3">
      <c r="A1501" t="s">
        <v>2225</v>
      </c>
      <c r="B1501" t="s">
        <v>269</v>
      </c>
      <c r="C1501" t="s">
        <v>8</v>
      </c>
      <c r="D1501" t="s">
        <v>2222</v>
      </c>
    </row>
    <row r="1502" spans="1:4" hidden="1" outlineLevel="2" x14ac:dyDescent="0.3">
      <c r="A1502" t="s">
        <v>2226</v>
      </c>
      <c r="B1502" t="s">
        <v>269</v>
      </c>
      <c r="C1502" t="s">
        <v>8</v>
      </c>
      <c r="D1502" t="s">
        <v>2222</v>
      </c>
    </row>
    <row r="1503" spans="1:4" hidden="1" outlineLevel="2" x14ac:dyDescent="0.3">
      <c r="A1503" t="s">
        <v>2227</v>
      </c>
      <c r="B1503" t="s">
        <v>269</v>
      </c>
      <c r="C1503" t="s">
        <v>8</v>
      </c>
      <c r="D1503" t="s">
        <v>2222</v>
      </c>
    </row>
    <row r="1504" spans="1:4" hidden="1" outlineLevel="2" x14ac:dyDescent="0.3">
      <c r="A1504" t="s">
        <v>2228</v>
      </c>
      <c r="B1504" t="s">
        <v>269</v>
      </c>
      <c r="C1504" t="s">
        <v>8</v>
      </c>
      <c r="D1504" t="s">
        <v>2229</v>
      </c>
    </row>
    <row r="1505" spans="1:4" hidden="1" outlineLevel="2" x14ac:dyDescent="0.3">
      <c r="A1505" t="s">
        <v>2230</v>
      </c>
      <c r="B1505" t="s">
        <v>269</v>
      </c>
      <c r="C1505" t="s">
        <v>8</v>
      </c>
      <c r="D1505" t="s">
        <v>2229</v>
      </c>
    </row>
    <row r="1506" spans="1:4" hidden="1" outlineLevel="2" x14ac:dyDescent="0.3">
      <c r="A1506" t="s">
        <v>2231</v>
      </c>
      <c r="B1506" t="s">
        <v>269</v>
      </c>
      <c r="C1506" t="s">
        <v>8</v>
      </c>
      <c r="D1506" t="s">
        <v>2229</v>
      </c>
    </row>
    <row r="1507" spans="1:4" hidden="1" outlineLevel="2" x14ac:dyDescent="0.3">
      <c r="A1507" t="s">
        <v>2232</v>
      </c>
      <c r="B1507" t="s">
        <v>269</v>
      </c>
      <c r="C1507" t="s">
        <v>8</v>
      </c>
      <c r="D1507" t="s">
        <v>2229</v>
      </c>
    </row>
    <row r="1508" spans="1:4" hidden="1" outlineLevel="2" x14ac:dyDescent="0.3">
      <c r="A1508" t="s">
        <v>2233</v>
      </c>
      <c r="B1508" t="s">
        <v>3910</v>
      </c>
      <c r="C1508" t="s">
        <v>8</v>
      </c>
      <c r="D1508" t="s">
        <v>2234</v>
      </c>
    </row>
    <row r="1509" spans="1:4" hidden="1" outlineLevel="2" x14ac:dyDescent="0.3">
      <c r="A1509" t="s">
        <v>2235</v>
      </c>
      <c r="B1509" t="s">
        <v>3844</v>
      </c>
      <c r="C1509" t="s">
        <v>8</v>
      </c>
      <c r="D1509" t="s">
        <v>2236</v>
      </c>
    </row>
    <row r="1510" spans="1:4" hidden="1" outlineLevel="2" x14ac:dyDescent="0.3">
      <c r="A1510" t="s">
        <v>2237</v>
      </c>
      <c r="B1510" t="s">
        <v>3844</v>
      </c>
      <c r="C1510" t="s">
        <v>8</v>
      </c>
      <c r="D1510" t="s">
        <v>2238</v>
      </c>
    </row>
    <row r="1511" spans="1:4" hidden="1" outlineLevel="2" x14ac:dyDescent="0.3">
      <c r="A1511" t="s">
        <v>2239</v>
      </c>
      <c r="B1511" t="s">
        <v>3844</v>
      </c>
      <c r="C1511" t="s">
        <v>10</v>
      </c>
      <c r="D1511" t="s">
        <v>2240</v>
      </c>
    </row>
    <row r="1512" spans="1:4" hidden="1" outlineLevel="2" x14ac:dyDescent="0.3">
      <c r="A1512" t="s">
        <v>2241</v>
      </c>
      <c r="B1512" t="s">
        <v>3844</v>
      </c>
      <c r="C1512" t="s">
        <v>10</v>
      </c>
      <c r="D1512" t="s">
        <v>2242</v>
      </c>
    </row>
    <row r="1513" spans="1:4" hidden="1" outlineLevel="2" x14ac:dyDescent="0.3">
      <c r="A1513" t="s">
        <v>2243</v>
      </c>
      <c r="B1513" t="s">
        <v>3844</v>
      </c>
      <c r="C1513" t="s">
        <v>10</v>
      </c>
      <c r="D1513" t="s">
        <v>2244</v>
      </c>
    </row>
    <row r="1514" spans="1:4" hidden="1" outlineLevel="2" x14ac:dyDescent="0.3">
      <c r="A1514" t="s">
        <v>2245</v>
      </c>
      <c r="B1514" t="s">
        <v>3844</v>
      </c>
      <c r="C1514" t="s">
        <v>10</v>
      </c>
      <c r="D1514" t="s">
        <v>2246</v>
      </c>
    </row>
    <row r="1515" spans="1:4" hidden="1" outlineLevel="2" x14ac:dyDescent="0.3">
      <c r="A1515" t="s">
        <v>2247</v>
      </c>
      <c r="B1515" t="s">
        <v>3844</v>
      </c>
      <c r="C1515" t="s">
        <v>10</v>
      </c>
      <c r="D1515" t="s">
        <v>2248</v>
      </c>
    </row>
    <row r="1516" spans="1:4" hidden="1" outlineLevel="2" x14ac:dyDescent="0.3">
      <c r="A1516" t="s">
        <v>2249</v>
      </c>
      <c r="B1516" t="s">
        <v>3844</v>
      </c>
      <c r="C1516" t="s">
        <v>10</v>
      </c>
      <c r="D1516" t="s">
        <v>2250</v>
      </c>
    </row>
    <row r="1517" spans="1:4" hidden="1" outlineLevel="2" x14ac:dyDescent="0.3">
      <c r="A1517" t="s">
        <v>2251</v>
      </c>
      <c r="B1517" t="s">
        <v>3844</v>
      </c>
      <c r="C1517" t="s">
        <v>10</v>
      </c>
      <c r="D1517" t="s">
        <v>2252</v>
      </c>
    </row>
    <row r="1518" spans="1:4" hidden="1" outlineLevel="2" x14ac:dyDescent="0.3">
      <c r="A1518" t="s">
        <v>2253</v>
      </c>
      <c r="B1518" t="s">
        <v>3844</v>
      </c>
      <c r="C1518" t="s">
        <v>10</v>
      </c>
      <c r="D1518" t="s">
        <v>2254</v>
      </c>
    </row>
    <row r="1519" spans="1:4" hidden="1" outlineLevel="2" x14ac:dyDescent="0.3">
      <c r="A1519" t="s">
        <v>2255</v>
      </c>
      <c r="B1519" t="s">
        <v>3844</v>
      </c>
      <c r="C1519" t="s">
        <v>10</v>
      </c>
      <c r="D1519" t="s">
        <v>2256</v>
      </c>
    </row>
    <row r="1520" spans="1:4" hidden="1" outlineLevel="2" x14ac:dyDescent="0.3">
      <c r="A1520" t="s">
        <v>2257</v>
      </c>
      <c r="B1520" t="s">
        <v>3910</v>
      </c>
      <c r="C1520" t="s">
        <v>8</v>
      </c>
      <c r="D1520" t="s">
        <v>2258</v>
      </c>
    </row>
    <row r="1521" spans="1:4" hidden="1" outlineLevel="2" x14ac:dyDescent="0.3">
      <c r="A1521" t="s">
        <v>2259</v>
      </c>
      <c r="B1521" t="s">
        <v>3910</v>
      </c>
      <c r="C1521" t="s">
        <v>8</v>
      </c>
      <c r="D1521" t="s">
        <v>2260</v>
      </c>
    </row>
    <row r="1522" spans="1:4" hidden="1" outlineLevel="2" x14ac:dyDescent="0.3">
      <c r="A1522" t="s">
        <v>2261</v>
      </c>
      <c r="B1522" t="s">
        <v>269</v>
      </c>
      <c r="C1522" t="s">
        <v>8</v>
      </c>
      <c r="D1522" t="s">
        <v>2260</v>
      </c>
    </row>
    <row r="1523" spans="1:4" hidden="1" outlineLevel="2" x14ac:dyDescent="0.3">
      <c r="A1523" t="s">
        <v>2262</v>
      </c>
      <c r="B1523" t="s">
        <v>3910</v>
      </c>
      <c r="C1523" t="s">
        <v>8</v>
      </c>
      <c r="D1523" t="s">
        <v>2263</v>
      </c>
    </row>
    <row r="1524" spans="1:4" hidden="1" outlineLevel="2" x14ac:dyDescent="0.3">
      <c r="A1524" t="s">
        <v>2264</v>
      </c>
      <c r="B1524" t="s">
        <v>269</v>
      </c>
      <c r="C1524" t="s">
        <v>8</v>
      </c>
      <c r="D1524" t="s">
        <v>2265</v>
      </c>
    </row>
    <row r="1525" spans="1:4" hidden="1" outlineLevel="2" x14ac:dyDescent="0.3">
      <c r="A1525" t="s">
        <v>2266</v>
      </c>
      <c r="B1525" t="s">
        <v>269</v>
      </c>
      <c r="C1525" t="s">
        <v>8</v>
      </c>
      <c r="D1525" t="s">
        <v>2265</v>
      </c>
    </row>
    <row r="1526" spans="1:4" hidden="1" outlineLevel="2" x14ac:dyDescent="0.3">
      <c r="A1526" t="s">
        <v>2267</v>
      </c>
      <c r="B1526" t="s">
        <v>269</v>
      </c>
      <c r="C1526" t="s">
        <v>8</v>
      </c>
      <c r="D1526" t="s">
        <v>2265</v>
      </c>
    </row>
    <row r="1527" spans="1:4" hidden="1" outlineLevel="2" x14ac:dyDescent="0.3">
      <c r="A1527" t="s">
        <v>2268</v>
      </c>
      <c r="B1527" t="s">
        <v>269</v>
      </c>
      <c r="C1527" t="s">
        <v>10</v>
      </c>
      <c r="D1527" t="s">
        <v>2269</v>
      </c>
    </row>
    <row r="1528" spans="1:4" hidden="1" outlineLevel="2" x14ac:dyDescent="0.3">
      <c r="A1528" t="s">
        <v>2270</v>
      </c>
      <c r="B1528" t="s">
        <v>269</v>
      </c>
      <c r="C1528" t="s">
        <v>10</v>
      </c>
      <c r="D1528" t="s">
        <v>2271</v>
      </c>
    </row>
    <row r="1529" spans="1:4" hidden="1" outlineLevel="2" x14ac:dyDescent="0.3">
      <c r="A1529" t="s">
        <v>2272</v>
      </c>
      <c r="B1529" t="s">
        <v>269</v>
      </c>
      <c r="C1529" t="s">
        <v>10</v>
      </c>
      <c r="D1529" t="s">
        <v>2273</v>
      </c>
    </row>
    <row r="1530" spans="1:4" hidden="1" outlineLevel="2" x14ac:dyDescent="0.3">
      <c r="A1530" t="s">
        <v>2274</v>
      </c>
      <c r="B1530" t="s">
        <v>269</v>
      </c>
      <c r="C1530" t="s">
        <v>10</v>
      </c>
      <c r="D1530" t="s">
        <v>2275</v>
      </c>
    </row>
    <row r="1531" spans="1:4" hidden="1" outlineLevel="2" x14ac:dyDescent="0.3">
      <c r="A1531" t="s">
        <v>2276</v>
      </c>
      <c r="B1531" t="s">
        <v>269</v>
      </c>
      <c r="C1531" t="s">
        <v>10</v>
      </c>
      <c r="D1531" t="s">
        <v>2277</v>
      </c>
    </row>
    <row r="1532" spans="1:4" hidden="1" outlineLevel="2" x14ac:dyDescent="0.3">
      <c r="A1532" t="s">
        <v>2278</v>
      </c>
      <c r="B1532" t="s">
        <v>269</v>
      </c>
      <c r="C1532" t="s">
        <v>10</v>
      </c>
      <c r="D1532" t="s">
        <v>2279</v>
      </c>
    </row>
    <row r="1533" spans="1:4" hidden="1" outlineLevel="2" x14ac:dyDescent="0.3">
      <c r="A1533" t="s">
        <v>2280</v>
      </c>
      <c r="B1533" t="s">
        <v>269</v>
      </c>
      <c r="C1533" t="s">
        <v>10</v>
      </c>
      <c r="D1533" t="s">
        <v>2281</v>
      </c>
    </row>
    <row r="1534" spans="1:4" hidden="1" outlineLevel="2" x14ac:dyDescent="0.3">
      <c r="A1534" t="s">
        <v>2282</v>
      </c>
      <c r="B1534" t="s">
        <v>269</v>
      </c>
      <c r="C1534" t="s">
        <v>10</v>
      </c>
      <c r="D1534" t="s">
        <v>2283</v>
      </c>
    </row>
    <row r="1535" spans="1:4" hidden="1" outlineLevel="2" x14ac:dyDescent="0.3">
      <c r="A1535" t="s">
        <v>2284</v>
      </c>
      <c r="B1535" t="s">
        <v>269</v>
      </c>
      <c r="C1535" t="s">
        <v>10</v>
      </c>
      <c r="D1535" t="s">
        <v>2285</v>
      </c>
    </row>
    <row r="1536" spans="1:4" hidden="1" outlineLevel="2" x14ac:dyDescent="0.3">
      <c r="A1536" t="s">
        <v>2286</v>
      </c>
      <c r="B1536" t="s">
        <v>269</v>
      </c>
      <c r="C1536" t="s">
        <v>10</v>
      </c>
      <c r="D1536" t="s">
        <v>2287</v>
      </c>
    </row>
    <row r="1537" spans="1:4" hidden="1" outlineLevel="2" x14ac:dyDescent="0.3">
      <c r="A1537" t="s">
        <v>2288</v>
      </c>
      <c r="B1537" t="s">
        <v>269</v>
      </c>
      <c r="C1537" t="s">
        <v>10</v>
      </c>
      <c r="D1537" t="s">
        <v>2289</v>
      </c>
    </row>
    <row r="1538" spans="1:4" hidden="1" outlineLevel="2" x14ac:dyDescent="0.3">
      <c r="A1538" t="s">
        <v>2290</v>
      </c>
      <c r="B1538" t="s">
        <v>269</v>
      </c>
      <c r="C1538" t="s">
        <v>10</v>
      </c>
      <c r="D1538" t="s">
        <v>2291</v>
      </c>
    </row>
    <row r="1539" spans="1:4" hidden="1" outlineLevel="2" x14ac:dyDescent="0.3">
      <c r="A1539" t="s">
        <v>2292</v>
      </c>
      <c r="B1539" t="s">
        <v>269</v>
      </c>
      <c r="C1539" t="s">
        <v>10</v>
      </c>
      <c r="D1539" t="s">
        <v>2293</v>
      </c>
    </row>
    <row r="1540" spans="1:4" hidden="1" outlineLevel="2" x14ac:dyDescent="0.3">
      <c r="A1540" t="s">
        <v>2294</v>
      </c>
      <c r="B1540" t="s">
        <v>269</v>
      </c>
      <c r="C1540" t="s">
        <v>10</v>
      </c>
      <c r="D1540" t="s">
        <v>2295</v>
      </c>
    </row>
    <row r="1541" spans="1:4" hidden="1" outlineLevel="2" x14ac:dyDescent="0.3">
      <c r="A1541" t="s">
        <v>2296</v>
      </c>
      <c r="B1541" t="s">
        <v>269</v>
      </c>
      <c r="C1541" t="s">
        <v>10</v>
      </c>
      <c r="D1541" t="s">
        <v>2297</v>
      </c>
    </row>
    <row r="1542" spans="1:4" hidden="1" outlineLevel="2" x14ac:dyDescent="0.3">
      <c r="A1542" t="s">
        <v>2298</v>
      </c>
      <c r="B1542" t="s">
        <v>269</v>
      </c>
      <c r="C1542" t="s">
        <v>10</v>
      </c>
      <c r="D1542" t="s">
        <v>2299</v>
      </c>
    </row>
    <row r="1543" spans="1:4" hidden="1" outlineLevel="2" x14ac:dyDescent="0.3">
      <c r="A1543" t="s">
        <v>2300</v>
      </c>
      <c r="B1543" t="s">
        <v>269</v>
      </c>
      <c r="C1543" t="s">
        <v>10</v>
      </c>
      <c r="D1543" t="s">
        <v>2301</v>
      </c>
    </row>
    <row r="1544" spans="1:4" hidden="1" outlineLevel="2" x14ac:dyDescent="0.3">
      <c r="A1544" t="s">
        <v>2302</v>
      </c>
      <c r="B1544" t="s">
        <v>269</v>
      </c>
      <c r="C1544" t="s">
        <v>10</v>
      </c>
      <c r="D1544" t="s">
        <v>2303</v>
      </c>
    </row>
    <row r="1545" spans="1:4" hidden="1" outlineLevel="2" x14ac:dyDescent="0.3">
      <c r="A1545" t="s">
        <v>2304</v>
      </c>
      <c r="B1545" t="s">
        <v>269</v>
      </c>
      <c r="C1545" t="s">
        <v>10</v>
      </c>
      <c r="D1545" t="s">
        <v>2305</v>
      </c>
    </row>
    <row r="1546" spans="1:4" hidden="1" outlineLevel="2" x14ac:dyDescent="0.3">
      <c r="A1546" t="s">
        <v>2306</v>
      </c>
      <c r="B1546" t="s">
        <v>3844</v>
      </c>
      <c r="C1546" t="s">
        <v>10</v>
      </c>
      <c r="D1546" t="s">
        <v>2307</v>
      </c>
    </row>
    <row r="1547" spans="1:4" hidden="1" outlineLevel="2" x14ac:dyDescent="0.3">
      <c r="A1547" t="s">
        <v>2308</v>
      </c>
      <c r="B1547" t="s">
        <v>3844</v>
      </c>
      <c r="C1547" t="s">
        <v>10</v>
      </c>
      <c r="D1547" t="s">
        <v>2307</v>
      </c>
    </row>
    <row r="1548" spans="1:4" hidden="1" outlineLevel="2" x14ac:dyDescent="0.3">
      <c r="A1548" t="s">
        <v>2309</v>
      </c>
      <c r="B1548" t="s">
        <v>3844</v>
      </c>
      <c r="C1548" t="s">
        <v>10</v>
      </c>
      <c r="D1548" t="s">
        <v>2310</v>
      </c>
    </row>
    <row r="1549" spans="1:4" hidden="1" outlineLevel="2" x14ac:dyDescent="0.3">
      <c r="A1549" t="s">
        <v>2311</v>
      </c>
      <c r="B1549" t="s">
        <v>3844</v>
      </c>
      <c r="C1549" t="s">
        <v>10</v>
      </c>
      <c r="D1549" t="s">
        <v>2312</v>
      </c>
    </row>
    <row r="1550" spans="1:4" hidden="1" outlineLevel="2" x14ac:dyDescent="0.3">
      <c r="A1550" t="s">
        <v>2313</v>
      </c>
      <c r="B1550" t="s">
        <v>269</v>
      </c>
      <c r="C1550" t="s">
        <v>10</v>
      </c>
      <c r="D1550" t="s">
        <v>2314</v>
      </c>
    </row>
    <row r="1551" spans="1:4" hidden="1" outlineLevel="2" x14ac:dyDescent="0.3">
      <c r="A1551" t="s">
        <v>2315</v>
      </c>
      <c r="B1551" t="s">
        <v>3844</v>
      </c>
      <c r="C1551" t="s">
        <v>10</v>
      </c>
      <c r="D1551" t="s">
        <v>2316</v>
      </c>
    </row>
    <row r="1552" spans="1:4" hidden="1" outlineLevel="2" x14ac:dyDescent="0.3">
      <c r="A1552" t="s">
        <v>2317</v>
      </c>
      <c r="B1552" t="s">
        <v>3844</v>
      </c>
      <c r="C1552" t="s">
        <v>8</v>
      </c>
      <c r="D1552" t="s">
        <v>2318</v>
      </c>
    </row>
    <row r="1553" spans="1:4" hidden="1" outlineLevel="2" x14ac:dyDescent="0.3">
      <c r="A1553" t="s">
        <v>2319</v>
      </c>
      <c r="B1553" t="s">
        <v>3844</v>
      </c>
      <c r="C1553" t="s">
        <v>8</v>
      </c>
      <c r="D1553" t="s">
        <v>2320</v>
      </c>
    </row>
    <row r="1554" spans="1:4" hidden="1" outlineLevel="2" x14ac:dyDescent="0.3">
      <c r="A1554" t="s">
        <v>2321</v>
      </c>
      <c r="B1554" t="s">
        <v>269</v>
      </c>
      <c r="C1554" t="s">
        <v>8</v>
      </c>
      <c r="D1554" t="s">
        <v>2322</v>
      </c>
    </row>
    <row r="1555" spans="1:4" hidden="1" outlineLevel="2" x14ac:dyDescent="0.3">
      <c r="A1555" t="s">
        <v>2323</v>
      </c>
      <c r="B1555" t="s">
        <v>269</v>
      </c>
      <c r="C1555" t="s">
        <v>8</v>
      </c>
      <c r="D1555" t="s">
        <v>2322</v>
      </c>
    </row>
    <row r="1556" spans="1:4" hidden="1" outlineLevel="2" x14ac:dyDescent="0.3">
      <c r="A1556" t="s">
        <v>2324</v>
      </c>
      <c r="B1556" t="s">
        <v>269</v>
      </c>
      <c r="C1556" t="s">
        <v>8</v>
      </c>
      <c r="D1556" t="s">
        <v>2325</v>
      </c>
    </row>
    <row r="1557" spans="1:4" hidden="1" outlineLevel="2" x14ac:dyDescent="0.3">
      <c r="A1557" t="s">
        <v>2326</v>
      </c>
      <c r="B1557" t="s">
        <v>3899</v>
      </c>
      <c r="C1557" t="s">
        <v>8</v>
      </c>
      <c r="D1557" t="s">
        <v>2325</v>
      </c>
    </row>
    <row r="1558" spans="1:4" hidden="1" outlineLevel="2" x14ac:dyDescent="0.3">
      <c r="A1558" t="s">
        <v>2327</v>
      </c>
      <c r="B1558" t="s">
        <v>269</v>
      </c>
      <c r="C1558" t="s">
        <v>8</v>
      </c>
      <c r="D1558" t="s">
        <v>2328</v>
      </c>
    </row>
    <row r="1559" spans="1:4" hidden="1" outlineLevel="2" x14ac:dyDescent="0.3">
      <c r="A1559" t="s">
        <v>2329</v>
      </c>
      <c r="B1559" t="s">
        <v>3910</v>
      </c>
      <c r="C1559" t="s">
        <v>8</v>
      </c>
      <c r="D1559" t="s">
        <v>2330</v>
      </c>
    </row>
    <row r="1560" spans="1:4" hidden="1" outlineLevel="2" x14ac:dyDescent="0.3">
      <c r="A1560" t="s">
        <v>2331</v>
      </c>
      <c r="B1560" t="s">
        <v>269</v>
      </c>
      <c r="C1560" t="s">
        <v>8</v>
      </c>
      <c r="D1560" t="s">
        <v>2332</v>
      </c>
    </row>
    <row r="1561" spans="1:4" hidden="1" outlineLevel="2" x14ac:dyDescent="0.3">
      <c r="A1561" t="s">
        <v>2333</v>
      </c>
      <c r="B1561" t="s">
        <v>269</v>
      </c>
      <c r="C1561" t="s">
        <v>8</v>
      </c>
      <c r="D1561" t="s">
        <v>2332</v>
      </c>
    </row>
    <row r="1562" spans="1:4" hidden="1" outlineLevel="2" x14ac:dyDescent="0.3">
      <c r="A1562" t="s">
        <v>2334</v>
      </c>
      <c r="B1562" t="s">
        <v>3844</v>
      </c>
      <c r="C1562" t="s">
        <v>10</v>
      </c>
      <c r="D1562" t="s">
        <v>2335</v>
      </c>
    </row>
    <row r="1563" spans="1:4" hidden="1" outlineLevel="2" x14ac:dyDescent="0.3">
      <c r="A1563" t="s">
        <v>2336</v>
      </c>
      <c r="B1563" t="s">
        <v>269</v>
      </c>
      <c r="C1563" t="s">
        <v>10</v>
      </c>
      <c r="D1563" t="s">
        <v>2337</v>
      </c>
    </row>
    <row r="1564" spans="1:4" hidden="1" outlineLevel="2" x14ac:dyDescent="0.3">
      <c r="A1564" t="s">
        <v>2338</v>
      </c>
      <c r="B1564" t="s">
        <v>269</v>
      </c>
      <c r="C1564" t="s">
        <v>10</v>
      </c>
      <c r="D1564" t="s">
        <v>2339</v>
      </c>
    </row>
    <row r="1565" spans="1:4" hidden="1" outlineLevel="2" x14ac:dyDescent="0.3">
      <c r="A1565" t="s">
        <v>2340</v>
      </c>
      <c r="B1565" t="s">
        <v>269</v>
      </c>
      <c r="C1565" t="s">
        <v>10</v>
      </c>
      <c r="D1565" t="s">
        <v>2341</v>
      </c>
    </row>
    <row r="1566" spans="1:4" hidden="1" outlineLevel="2" x14ac:dyDescent="0.3">
      <c r="A1566" t="s">
        <v>2342</v>
      </c>
      <c r="B1566" t="s">
        <v>269</v>
      </c>
      <c r="C1566" t="s">
        <v>10</v>
      </c>
      <c r="D1566" t="s">
        <v>2343</v>
      </c>
    </row>
    <row r="1567" spans="1:4" hidden="1" outlineLevel="2" x14ac:dyDescent="0.3">
      <c r="A1567" t="s">
        <v>2344</v>
      </c>
      <c r="B1567" t="s">
        <v>269</v>
      </c>
      <c r="C1567" t="s">
        <v>10</v>
      </c>
      <c r="D1567" t="s">
        <v>2345</v>
      </c>
    </row>
    <row r="1568" spans="1:4" hidden="1" outlineLevel="2" x14ac:dyDescent="0.3">
      <c r="A1568" t="s">
        <v>2346</v>
      </c>
      <c r="B1568" t="s">
        <v>269</v>
      </c>
      <c r="C1568" t="s">
        <v>10</v>
      </c>
      <c r="D1568" t="s">
        <v>2347</v>
      </c>
    </row>
    <row r="1569" spans="1:4" hidden="1" outlineLevel="2" x14ac:dyDescent="0.3">
      <c r="A1569" t="s">
        <v>2348</v>
      </c>
      <c r="B1569" t="s">
        <v>269</v>
      </c>
      <c r="C1569" t="s">
        <v>10</v>
      </c>
      <c r="D1569" t="s">
        <v>2349</v>
      </c>
    </row>
    <row r="1570" spans="1:4" hidden="1" outlineLevel="2" x14ac:dyDescent="0.3">
      <c r="A1570" t="s">
        <v>2350</v>
      </c>
      <c r="B1570" t="s">
        <v>269</v>
      </c>
      <c r="C1570" t="s">
        <v>10</v>
      </c>
      <c r="D1570" t="s">
        <v>2351</v>
      </c>
    </row>
    <row r="1571" spans="1:4" hidden="1" outlineLevel="2" x14ac:dyDescent="0.3">
      <c r="A1571" t="s">
        <v>2352</v>
      </c>
      <c r="B1571" t="s">
        <v>269</v>
      </c>
      <c r="C1571" t="s">
        <v>10</v>
      </c>
      <c r="D1571" t="s">
        <v>2353</v>
      </c>
    </row>
    <row r="1572" spans="1:4" hidden="1" outlineLevel="2" x14ac:dyDescent="0.3">
      <c r="A1572" t="s">
        <v>2354</v>
      </c>
      <c r="B1572" t="s">
        <v>269</v>
      </c>
      <c r="C1572" t="s">
        <v>10</v>
      </c>
      <c r="D1572" t="s">
        <v>2355</v>
      </c>
    </row>
    <row r="1573" spans="1:4" hidden="1" outlineLevel="2" x14ac:dyDescent="0.3">
      <c r="A1573" t="s">
        <v>2356</v>
      </c>
      <c r="B1573" t="s">
        <v>269</v>
      </c>
      <c r="C1573" t="s">
        <v>10</v>
      </c>
      <c r="D1573" t="s">
        <v>2357</v>
      </c>
    </row>
    <row r="1574" spans="1:4" hidden="1" outlineLevel="2" x14ac:dyDescent="0.3">
      <c r="A1574" t="s">
        <v>2358</v>
      </c>
      <c r="B1574" t="s">
        <v>269</v>
      </c>
      <c r="C1574" t="s">
        <v>10</v>
      </c>
      <c r="D1574" t="s">
        <v>2359</v>
      </c>
    </row>
    <row r="1575" spans="1:4" hidden="1" outlineLevel="2" x14ac:dyDescent="0.3">
      <c r="A1575" t="s">
        <v>2360</v>
      </c>
      <c r="B1575" t="s">
        <v>269</v>
      </c>
      <c r="C1575" t="s">
        <v>10</v>
      </c>
      <c r="D1575" t="s">
        <v>2361</v>
      </c>
    </row>
    <row r="1576" spans="1:4" hidden="1" outlineLevel="2" x14ac:dyDescent="0.3">
      <c r="A1576" t="s">
        <v>2362</v>
      </c>
      <c r="B1576" t="s">
        <v>3844</v>
      </c>
      <c r="C1576" t="s">
        <v>10</v>
      </c>
      <c r="D1576" t="s">
        <v>2363</v>
      </c>
    </row>
    <row r="1577" spans="1:4" hidden="1" outlineLevel="2" x14ac:dyDescent="0.3">
      <c r="A1577" t="s">
        <v>2364</v>
      </c>
      <c r="B1577" t="s">
        <v>269</v>
      </c>
      <c r="C1577" t="s">
        <v>8</v>
      </c>
      <c r="D1577" t="s">
        <v>2365</v>
      </c>
    </row>
    <row r="1578" spans="1:4" hidden="1" outlineLevel="2" x14ac:dyDescent="0.3">
      <c r="A1578" t="s">
        <v>2366</v>
      </c>
      <c r="B1578" t="s">
        <v>269</v>
      </c>
      <c r="C1578" t="s">
        <v>8</v>
      </c>
      <c r="D1578" t="s">
        <v>2365</v>
      </c>
    </row>
    <row r="1579" spans="1:4" hidden="1" outlineLevel="2" x14ac:dyDescent="0.3">
      <c r="A1579" t="s">
        <v>2367</v>
      </c>
      <c r="B1579" t="s">
        <v>269</v>
      </c>
      <c r="C1579" t="s">
        <v>8</v>
      </c>
      <c r="D1579" t="s">
        <v>2368</v>
      </c>
    </row>
    <row r="1580" spans="1:4" hidden="1" outlineLevel="2" x14ac:dyDescent="0.3">
      <c r="A1580" t="s">
        <v>2369</v>
      </c>
      <c r="B1580" t="s">
        <v>269</v>
      </c>
      <c r="C1580" t="s">
        <v>8</v>
      </c>
      <c r="D1580" t="s">
        <v>2370</v>
      </c>
    </row>
    <row r="1581" spans="1:4" hidden="1" outlineLevel="2" x14ac:dyDescent="0.3">
      <c r="A1581" t="s">
        <v>2371</v>
      </c>
      <c r="B1581" t="s">
        <v>269</v>
      </c>
      <c r="C1581" t="s">
        <v>8</v>
      </c>
      <c r="D1581" t="s">
        <v>2372</v>
      </c>
    </row>
    <row r="1582" spans="1:4" hidden="1" outlineLevel="2" x14ac:dyDescent="0.3">
      <c r="A1582" t="s">
        <v>2373</v>
      </c>
      <c r="B1582" t="s">
        <v>269</v>
      </c>
      <c r="C1582" t="s">
        <v>8</v>
      </c>
      <c r="D1582" t="s">
        <v>2374</v>
      </c>
    </row>
    <row r="1583" spans="1:4" hidden="1" outlineLevel="2" x14ac:dyDescent="0.3">
      <c r="A1583" t="s">
        <v>2375</v>
      </c>
      <c r="B1583" t="s">
        <v>269</v>
      </c>
      <c r="C1583" t="s">
        <v>8</v>
      </c>
      <c r="D1583" t="s">
        <v>2376</v>
      </c>
    </row>
    <row r="1584" spans="1:4" hidden="1" outlineLevel="2" x14ac:dyDescent="0.3">
      <c r="A1584" t="s">
        <v>2377</v>
      </c>
      <c r="B1584" t="s">
        <v>3910</v>
      </c>
      <c r="C1584" t="s">
        <v>10</v>
      </c>
      <c r="D1584" t="s">
        <v>2378</v>
      </c>
    </row>
    <row r="1585" spans="1:4" hidden="1" outlineLevel="2" x14ac:dyDescent="0.3">
      <c r="A1585" t="s">
        <v>2379</v>
      </c>
      <c r="B1585" t="s">
        <v>3910</v>
      </c>
      <c r="C1585" t="s">
        <v>8</v>
      </c>
      <c r="D1585" t="s">
        <v>2380</v>
      </c>
    </row>
    <row r="1586" spans="1:4" hidden="1" outlineLevel="2" x14ac:dyDescent="0.3">
      <c r="A1586" t="s">
        <v>2381</v>
      </c>
      <c r="B1586" t="s">
        <v>269</v>
      </c>
      <c r="C1586" t="s">
        <v>8</v>
      </c>
      <c r="D1586" t="s">
        <v>2382</v>
      </c>
    </row>
    <row r="1587" spans="1:4" hidden="1" outlineLevel="2" x14ac:dyDescent="0.3">
      <c r="A1587" t="s">
        <v>2383</v>
      </c>
      <c r="B1587" t="s">
        <v>269</v>
      </c>
      <c r="C1587" t="s">
        <v>8</v>
      </c>
      <c r="D1587" t="s">
        <v>2384</v>
      </c>
    </row>
    <row r="1588" spans="1:4" hidden="1" outlineLevel="2" x14ac:dyDescent="0.3">
      <c r="A1588" t="s">
        <v>2385</v>
      </c>
      <c r="B1588" t="s">
        <v>3844</v>
      </c>
      <c r="C1588" t="s">
        <v>10</v>
      </c>
      <c r="D1588" t="s">
        <v>2386</v>
      </c>
    </row>
    <row r="1589" spans="1:4" hidden="1" outlineLevel="2" x14ac:dyDescent="0.3">
      <c r="A1589" t="s">
        <v>2387</v>
      </c>
      <c r="B1589" t="s">
        <v>269</v>
      </c>
      <c r="C1589" t="s">
        <v>10</v>
      </c>
      <c r="D1589" t="s">
        <v>2388</v>
      </c>
    </row>
    <row r="1590" spans="1:4" hidden="1" outlineLevel="2" x14ac:dyDescent="0.3">
      <c r="A1590" t="s">
        <v>2389</v>
      </c>
      <c r="B1590" t="s">
        <v>269</v>
      </c>
      <c r="C1590" t="s">
        <v>10</v>
      </c>
      <c r="D1590" t="s">
        <v>2390</v>
      </c>
    </row>
    <row r="1591" spans="1:4" hidden="1" outlineLevel="2" x14ac:dyDescent="0.3">
      <c r="A1591" t="s">
        <v>2391</v>
      </c>
      <c r="B1591" t="s">
        <v>269</v>
      </c>
      <c r="C1591" t="s">
        <v>10</v>
      </c>
      <c r="D1591" t="s">
        <v>2392</v>
      </c>
    </row>
    <row r="1592" spans="1:4" hidden="1" outlineLevel="2" x14ac:dyDescent="0.3">
      <c r="A1592" t="s">
        <v>2393</v>
      </c>
      <c r="B1592" t="s">
        <v>269</v>
      </c>
      <c r="C1592" t="s">
        <v>10</v>
      </c>
      <c r="D1592" t="s">
        <v>2394</v>
      </c>
    </row>
    <row r="1593" spans="1:4" hidden="1" outlineLevel="2" x14ac:dyDescent="0.3">
      <c r="A1593" t="s">
        <v>2395</v>
      </c>
      <c r="B1593" t="s">
        <v>269</v>
      </c>
      <c r="C1593" t="s">
        <v>10</v>
      </c>
      <c r="D1593" t="s">
        <v>2396</v>
      </c>
    </row>
    <row r="1594" spans="1:4" hidden="1" outlineLevel="2" x14ac:dyDescent="0.3">
      <c r="A1594" t="s">
        <v>2397</v>
      </c>
      <c r="B1594" t="s">
        <v>269</v>
      </c>
      <c r="C1594" t="s">
        <v>10</v>
      </c>
      <c r="D1594" t="s">
        <v>2398</v>
      </c>
    </row>
    <row r="1595" spans="1:4" hidden="1" outlineLevel="2" x14ac:dyDescent="0.3">
      <c r="A1595" t="s">
        <v>2399</v>
      </c>
      <c r="B1595" t="s">
        <v>269</v>
      </c>
      <c r="C1595" t="s">
        <v>10</v>
      </c>
      <c r="D1595" t="s">
        <v>2400</v>
      </c>
    </row>
    <row r="1596" spans="1:4" hidden="1" outlineLevel="2" x14ac:dyDescent="0.3">
      <c r="A1596" t="s">
        <v>2401</v>
      </c>
      <c r="B1596" t="s">
        <v>269</v>
      </c>
      <c r="C1596" t="s">
        <v>10</v>
      </c>
      <c r="D1596" t="s">
        <v>2402</v>
      </c>
    </row>
    <row r="1597" spans="1:4" hidden="1" outlineLevel="2" x14ac:dyDescent="0.3">
      <c r="A1597" t="s">
        <v>2403</v>
      </c>
      <c r="B1597" t="s">
        <v>269</v>
      </c>
      <c r="C1597" t="s">
        <v>10</v>
      </c>
      <c r="D1597" t="s">
        <v>2404</v>
      </c>
    </row>
    <row r="1598" spans="1:4" hidden="1" outlineLevel="2" x14ac:dyDescent="0.3">
      <c r="A1598" t="s">
        <v>2405</v>
      </c>
      <c r="B1598" t="s">
        <v>269</v>
      </c>
      <c r="C1598" t="s">
        <v>10</v>
      </c>
      <c r="D1598" t="s">
        <v>2406</v>
      </c>
    </row>
    <row r="1599" spans="1:4" hidden="1" outlineLevel="2" x14ac:dyDescent="0.3">
      <c r="A1599" t="s">
        <v>2407</v>
      </c>
      <c r="B1599" t="s">
        <v>269</v>
      </c>
      <c r="C1599" t="s">
        <v>10</v>
      </c>
      <c r="D1599" t="s">
        <v>2408</v>
      </c>
    </row>
    <row r="1600" spans="1:4" hidden="1" outlineLevel="2" x14ac:dyDescent="0.3">
      <c r="A1600" t="s">
        <v>2409</v>
      </c>
      <c r="B1600" t="s">
        <v>269</v>
      </c>
      <c r="C1600" t="s">
        <v>10</v>
      </c>
      <c r="D1600" t="s">
        <v>2410</v>
      </c>
    </row>
    <row r="1601" spans="1:4" hidden="1" outlineLevel="2" x14ac:dyDescent="0.3">
      <c r="A1601" t="s">
        <v>2411</v>
      </c>
      <c r="B1601" t="s">
        <v>269</v>
      </c>
      <c r="C1601" t="s">
        <v>10</v>
      </c>
      <c r="D1601" t="s">
        <v>2412</v>
      </c>
    </row>
    <row r="1602" spans="1:4" hidden="1" outlineLevel="2" x14ac:dyDescent="0.3">
      <c r="A1602" t="s">
        <v>2413</v>
      </c>
      <c r="B1602" t="s">
        <v>269</v>
      </c>
      <c r="C1602" t="s">
        <v>10</v>
      </c>
      <c r="D1602" t="s">
        <v>2414</v>
      </c>
    </row>
    <row r="1603" spans="1:4" hidden="1" outlineLevel="2" x14ac:dyDescent="0.3">
      <c r="A1603" t="s">
        <v>2415</v>
      </c>
      <c r="B1603" t="s">
        <v>269</v>
      </c>
      <c r="C1603" t="s">
        <v>10</v>
      </c>
      <c r="D1603" t="s">
        <v>2416</v>
      </c>
    </row>
    <row r="1604" spans="1:4" hidden="1" outlineLevel="2" x14ac:dyDescent="0.3">
      <c r="A1604" t="s">
        <v>2417</v>
      </c>
      <c r="B1604" t="s">
        <v>269</v>
      </c>
      <c r="C1604" t="s">
        <v>10</v>
      </c>
      <c r="D1604" t="s">
        <v>2418</v>
      </c>
    </row>
    <row r="1605" spans="1:4" hidden="1" outlineLevel="2" x14ac:dyDescent="0.3">
      <c r="A1605" t="s">
        <v>2419</v>
      </c>
      <c r="B1605" t="s">
        <v>269</v>
      </c>
      <c r="C1605" t="s">
        <v>10</v>
      </c>
      <c r="D1605" t="s">
        <v>2420</v>
      </c>
    </row>
    <row r="1606" spans="1:4" hidden="1" outlineLevel="2" x14ac:dyDescent="0.3">
      <c r="A1606" t="s">
        <v>2421</v>
      </c>
      <c r="B1606" t="s">
        <v>269</v>
      </c>
      <c r="C1606" t="s">
        <v>10</v>
      </c>
      <c r="D1606" t="s">
        <v>2422</v>
      </c>
    </row>
    <row r="1607" spans="1:4" hidden="1" outlineLevel="2" x14ac:dyDescent="0.3">
      <c r="A1607" t="s">
        <v>2423</v>
      </c>
      <c r="B1607" t="s">
        <v>269</v>
      </c>
      <c r="C1607" t="s">
        <v>10</v>
      </c>
      <c r="D1607" t="s">
        <v>2424</v>
      </c>
    </row>
    <row r="1608" spans="1:4" hidden="1" outlineLevel="2" x14ac:dyDescent="0.3">
      <c r="A1608" t="s">
        <v>2425</v>
      </c>
      <c r="B1608" t="s">
        <v>3844</v>
      </c>
      <c r="C1608" t="s">
        <v>10</v>
      </c>
      <c r="D1608" t="s">
        <v>2426</v>
      </c>
    </row>
    <row r="1609" spans="1:4" hidden="1" outlineLevel="2" x14ac:dyDescent="0.3">
      <c r="A1609" t="s">
        <v>2427</v>
      </c>
      <c r="B1609" t="s">
        <v>269</v>
      </c>
      <c r="C1609" t="s">
        <v>10</v>
      </c>
      <c r="D1609" t="s">
        <v>2428</v>
      </c>
    </row>
    <row r="1610" spans="1:4" hidden="1" outlineLevel="2" x14ac:dyDescent="0.3">
      <c r="A1610" t="s">
        <v>2429</v>
      </c>
      <c r="B1610" t="s">
        <v>3844</v>
      </c>
      <c r="C1610" t="s">
        <v>10</v>
      </c>
      <c r="D1610" t="s">
        <v>2430</v>
      </c>
    </row>
    <row r="1611" spans="1:4" hidden="1" outlineLevel="2" x14ac:dyDescent="0.3">
      <c r="A1611" t="s">
        <v>2431</v>
      </c>
      <c r="B1611" t="s">
        <v>3844</v>
      </c>
      <c r="C1611" t="s">
        <v>10</v>
      </c>
      <c r="D1611" t="s">
        <v>2432</v>
      </c>
    </row>
    <row r="1612" spans="1:4" hidden="1" outlineLevel="2" x14ac:dyDescent="0.3">
      <c r="A1612" t="s">
        <v>2433</v>
      </c>
      <c r="B1612" t="s">
        <v>3844</v>
      </c>
      <c r="C1612" t="s">
        <v>8</v>
      </c>
      <c r="D1612" t="s">
        <v>2434</v>
      </c>
    </row>
    <row r="1613" spans="1:4" hidden="1" outlineLevel="2" x14ac:dyDescent="0.3">
      <c r="A1613" t="s">
        <v>2435</v>
      </c>
      <c r="B1613" t="s">
        <v>3844</v>
      </c>
      <c r="C1613" t="s">
        <v>10</v>
      </c>
      <c r="D1613" t="s">
        <v>2436</v>
      </c>
    </row>
    <row r="1614" spans="1:4" hidden="1" outlineLevel="2" x14ac:dyDescent="0.3">
      <c r="A1614" t="s">
        <v>2437</v>
      </c>
      <c r="B1614" t="s">
        <v>269</v>
      </c>
      <c r="C1614" t="s">
        <v>10</v>
      </c>
      <c r="D1614" t="s">
        <v>2438</v>
      </c>
    </row>
    <row r="1615" spans="1:4" hidden="1" outlineLevel="2" x14ac:dyDescent="0.3">
      <c r="A1615" t="s">
        <v>2439</v>
      </c>
      <c r="B1615" t="s">
        <v>269</v>
      </c>
      <c r="C1615" t="s">
        <v>10</v>
      </c>
      <c r="D1615" t="s">
        <v>2440</v>
      </c>
    </row>
    <row r="1616" spans="1:4" hidden="1" outlineLevel="2" x14ac:dyDescent="0.3">
      <c r="A1616" t="s">
        <v>2441</v>
      </c>
      <c r="B1616" t="s">
        <v>269</v>
      </c>
      <c r="C1616" t="s">
        <v>10</v>
      </c>
      <c r="D1616" t="s">
        <v>2442</v>
      </c>
    </row>
    <row r="1617" spans="1:4" hidden="1" outlineLevel="2" x14ac:dyDescent="0.3">
      <c r="A1617" t="s">
        <v>2443</v>
      </c>
      <c r="B1617" t="s">
        <v>269</v>
      </c>
      <c r="C1617" t="s">
        <v>10</v>
      </c>
      <c r="D1617" t="s">
        <v>2444</v>
      </c>
    </row>
    <row r="1618" spans="1:4" hidden="1" outlineLevel="2" x14ac:dyDescent="0.3">
      <c r="A1618" t="s">
        <v>2445</v>
      </c>
      <c r="B1618" t="s">
        <v>269</v>
      </c>
      <c r="C1618" t="s">
        <v>10</v>
      </c>
      <c r="D1618" t="s">
        <v>2446</v>
      </c>
    </row>
    <row r="1619" spans="1:4" hidden="1" outlineLevel="2" x14ac:dyDescent="0.3">
      <c r="A1619" t="s">
        <v>2447</v>
      </c>
      <c r="B1619" t="s">
        <v>269</v>
      </c>
      <c r="C1619" t="s">
        <v>10</v>
      </c>
      <c r="D1619" t="s">
        <v>2448</v>
      </c>
    </row>
    <row r="1620" spans="1:4" hidden="1" outlineLevel="2" x14ac:dyDescent="0.3">
      <c r="A1620" t="s">
        <v>2449</v>
      </c>
      <c r="B1620" t="s">
        <v>269</v>
      </c>
      <c r="C1620" t="s">
        <v>10</v>
      </c>
      <c r="D1620" t="s">
        <v>2450</v>
      </c>
    </row>
    <row r="1621" spans="1:4" hidden="1" outlineLevel="2" x14ac:dyDescent="0.3">
      <c r="A1621" t="s">
        <v>2451</v>
      </c>
      <c r="B1621" t="s">
        <v>269</v>
      </c>
      <c r="C1621" t="s">
        <v>10</v>
      </c>
      <c r="D1621" t="s">
        <v>2452</v>
      </c>
    </row>
    <row r="1622" spans="1:4" hidden="1" outlineLevel="2" x14ac:dyDescent="0.3">
      <c r="A1622" t="s">
        <v>2453</v>
      </c>
      <c r="B1622" t="s">
        <v>269</v>
      </c>
      <c r="C1622" t="s">
        <v>10</v>
      </c>
      <c r="D1622" t="s">
        <v>2454</v>
      </c>
    </row>
    <row r="1623" spans="1:4" hidden="1" outlineLevel="2" x14ac:dyDescent="0.3">
      <c r="A1623" t="s">
        <v>2455</v>
      </c>
      <c r="B1623" t="s">
        <v>3844</v>
      </c>
      <c r="C1623" t="s">
        <v>10</v>
      </c>
      <c r="D1623" t="s">
        <v>2456</v>
      </c>
    </row>
    <row r="1624" spans="1:4" hidden="1" outlineLevel="2" x14ac:dyDescent="0.3">
      <c r="A1624" t="s">
        <v>2457</v>
      </c>
      <c r="B1624" t="s">
        <v>3844</v>
      </c>
      <c r="C1624" t="s">
        <v>8</v>
      </c>
      <c r="D1624" t="s">
        <v>2458</v>
      </c>
    </row>
    <row r="1625" spans="1:4" hidden="1" outlineLevel="2" x14ac:dyDescent="0.3">
      <c r="A1625" t="s">
        <v>2459</v>
      </c>
      <c r="B1625" t="s">
        <v>269</v>
      </c>
      <c r="C1625" t="s">
        <v>10</v>
      </c>
      <c r="D1625" t="s">
        <v>2460</v>
      </c>
    </row>
    <row r="1626" spans="1:4" hidden="1" outlineLevel="2" x14ac:dyDescent="0.3">
      <c r="A1626" t="s">
        <v>2461</v>
      </c>
      <c r="B1626" t="s">
        <v>3844</v>
      </c>
      <c r="C1626" t="s">
        <v>10</v>
      </c>
      <c r="D1626" t="s">
        <v>2462</v>
      </c>
    </row>
    <row r="1627" spans="1:4" hidden="1" outlineLevel="2" x14ac:dyDescent="0.3">
      <c r="A1627" t="s">
        <v>2463</v>
      </c>
      <c r="B1627" t="s">
        <v>3844</v>
      </c>
      <c r="C1627" t="s">
        <v>10</v>
      </c>
      <c r="D1627" t="s">
        <v>2464</v>
      </c>
    </row>
    <row r="1628" spans="1:4" hidden="1" outlineLevel="2" x14ac:dyDescent="0.3">
      <c r="A1628" t="s">
        <v>2465</v>
      </c>
      <c r="B1628" t="s">
        <v>269</v>
      </c>
      <c r="C1628" t="s">
        <v>10</v>
      </c>
      <c r="D1628" t="s">
        <v>2466</v>
      </c>
    </row>
    <row r="1629" spans="1:4" hidden="1" outlineLevel="2" x14ac:dyDescent="0.3">
      <c r="A1629" t="s">
        <v>2467</v>
      </c>
      <c r="B1629" t="s">
        <v>3844</v>
      </c>
      <c r="C1629" t="s">
        <v>8</v>
      </c>
      <c r="D1629" t="s">
        <v>2468</v>
      </c>
    </row>
    <row r="1630" spans="1:4" hidden="1" outlineLevel="2" x14ac:dyDescent="0.3">
      <c r="A1630" t="s">
        <v>2469</v>
      </c>
      <c r="B1630" t="s">
        <v>3844</v>
      </c>
      <c r="C1630" t="s">
        <v>8</v>
      </c>
      <c r="D1630" t="s">
        <v>2470</v>
      </c>
    </row>
    <row r="1631" spans="1:4" hidden="1" outlineLevel="2" x14ac:dyDescent="0.3">
      <c r="A1631" t="s">
        <v>2471</v>
      </c>
      <c r="B1631" t="s">
        <v>3844</v>
      </c>
      <c r="C1631" t="s">
        <v>10</v>
      </c>
      <c r="D1631" t="s">
        <v>2472</v>
      </c>
    </row>
    <row r="1632" spans="1:4" hidden="1" outlineLevel="2" x14ac:dyDescent="0.3">
      <c r="A1632" t="s">
        <v>2473</v>
      </c>
      <c r="B1632" t="s">
        <v>3844</v>
      </c>
      <c r="C1632" t="s">
        <v>10</v>
      </c>
      <c r="D1632" t="s">
        <v>2474</v>
      </c>
    </row>
    <row r="1633" spans="1:4" hidden="1" outlineLevel="2" x14ac:dyDescent="0.3">
      <c r="A1633" t="s">
        <v>2475</v>
      </c>
      <c r="B1633" t="s">
        <v>269</v>
      </c>
      <c r="C1633" t="s">
        <v>10</v>
      </c>
      <c r="D1633" t="s">
        <v>2476</v>
      </c>
    </row>
    <row r="1634" spans="1:4" hidden="1" outlineLevel="2" x14ac:dyDescent="0.3">
      <c r="A1634" t="s">
        <v>2477</v>
      </c>
      <c r="B1634" t="s">
        <v>269</v>
      </c>
      <c r="C1634" t="s">
        <v>10</v>
      </c>
      <c r="D1634" t="s">
        <v>2478</v>
      </c>
    </row>
    <row r="1635" spans="1:4" hidden="1" outlineLevel="2" x14ac:dyDescent="0.3">
      <c r="A1635" t="s">
        <v>2479</v>
      </c>
      <c r="B1635" t="s">
        <v>269</v>
      </c>
      <c r="C1635" t="s">
        <v>10</v>
      </c>
      <c r="D1635" t="s">
        <v>2480</v>
      </c>
    </row>
    <row r="1636" spans="1:4" hidden="1" outlineLevel="2" x14ac:dyDescent="0.3">
      <c r="A1636" t="s">
        <v>2481</v>
      </c>
      <c r="B1636" t="s">
        <v>3844</v>
      </c>
      <c r="C1636" t="s">
        <v>10</v>
      </c>
      <c r="D1636" t="s">
        <v>2482</v>
      </c>
    </row>
    <row r="1637" spans="1:4" hidden="1" outlineLevel="2" x14ac:dyDescent="0.3">
      <c r="A1637" t="s">
        <v>2483</v>
      </c>
      <c r="B1637" t="s">
        <v>269</v>
      </c>
      <c r="C1637" t="s">
        <v>10</v>
      </c>
      <c r="D1637" t="s">
        <v>2484</v>
      </c>
    </row>
    <row r="1638" spans="1:4" hidden="1" outlineLevel="2" x14ac:dyDescent="0.3">
      <c r="A1638" t="s">
        <v>2485</v>
      </c>
      <c r="B1638" t="s">
        <v>269</v>
      </c>
      <c r="C1638" t="s">
        <v>10</v>
      </c>
      <c r="D1638" t="s">
        <v>2486</v>
      </c>
    </row>
    <row r="1639" spans="1:4" hidden="1" outlineLevel="2" x14ac:dyDescent="0.3">
      <c r="A1639" t="s">
        <v>2487</v>
      </c>
      <c r="B1639" t="s">
        <v>269</v>
      </c>
      <c r="C1639" t="s">
        <v>10</v>
      </c>
      <c r="D1639" t="s">
        <v>2488</v>
      </c>
    </row>
    <row r="1640" spans="1:4" hidden="1" outlineLevel="2" x14ac:dyDescent="0.3">
      <c r="A1640" t="s">
        <v>2489</v>
      </c>
      <c r="B1640" t="s">
        <v>269</v>
      </c>
      <c r="C1640" t="s">
        <v>10</v>
      </c>
      <c r="D1640" t="s">
        <v>2490</v>
      </c>
    </row>
    <row r="1641" spans="1:4" hidden="1" outlineLevel="2" x14ac:dyDescent="0.3">
      <c r="A1641" t="s">
        <v>2491</v>
      </c>
      <c r="B1641" t="s">
        <v>269</v>
      </c>
      <c r="C1641" t="s">
        <v>10</v>
      </c>
      <c r="D1641" t="s">
        <v>2492</v>
      </c>
    </row>
    <row r="1642" spans="1:4" hidden="1" outlineLevel="2" x14ac:dyDescent="0.3">
      <c r="A1642" t="s">
        <v>2493</v>
      </c>
      <c r="B1642" t="s">
        <v>269</v>
      </c>
      <c r="C1642" t="s">
        <v>10</v>
      </c>
      <c r="D1642" t="s">
        <v>2494</v>
      </c>
    </row>
    <row r="1643" spans="1:4" hidden="1" outlineLevel="2" x14ac:dyDescent="0.3">
      <c r="A1643" t="s">
        <v>2495</v>
      </c>
      <c r="B1643" t="s">
        <v>269</v>
      </c>
      <c r="C1643" t="s">
        <v>10</v>
      </c>
      <c r="D1643" t="s">
        <v>2496</v>
      </c>
    </row>
    <row r="1644" spans="1:4" hidden="1" outlineLevel="2" x14ac:dyDescent="0.3">
      <c r="A1644" t="s">
        <v>2497</v>
      </c>
      <c r="B1644" t="s">
        <v>269</v>
      </c>
      <c r="C1644" t="s">
        <v>10</v>
      </c>
      <c r="D1644" t="s">
        <v>2498</v>
      </c>
    </row>
    <row r="1645" spans="1:4" hidden="1" outlineLevel="2" x14ac:dyDescent="0.3">
      <c r="A1645" t="s">
        <v>2499</v>
      </c>
      <c r="B1645" t="s">
        <v>269</v>
      </c>
      <c r="C1645" t="s">
        <v>10</v>
      </c>
      <c r="D1645" t="s">
        <v>2500</v>
      </c>
    </row>
    <row r="1646" spans="1:4" hidden="1" outlineLevel="2" x14ac:dyDescent="0.3">
      <c r="A1646" t="s">
        <v>2501</v>
      </c>
      <c r="B1646" t="s">
        <v>269</v>
      </c>
      <c r="C1646" t="s">
        <v>10</v>
      </c>
      <c r="D1646" t="s">
        <v>2502</v>
      </c>
    </row>
    <row r="1647" spans="1:4" hidden="1" outlineLevel="2" x14ac:dyDescent="0.3">
      <c r="A1647" t="s">
        <v>2503</v>
      </c>
      <c r="B1647" t="s">
        <v>269</v>
      </c>
      <c r="C1647" t="s">
        <v>10</v>
      </c>
      <c r="D1647" t="s">
        <v>2504</v>
      </c>
    </row>
    <row r="1648" spans="1:4" hidden="1" outlineLevel="2" x14ac:dyDescent="0.3">
      <c r="A1648" t="s">
        <v>2505</v>
      </c>
      <c r="B1648" t="s">
        <v>269</v>
      </c>
      <c r="C1648" t="s">
        <v>10</v>
      </c>
      <c r="D1648" t="s">
        <v>2506</v>
      </c>
    </row>
    <row r="1649" spans="1:4" hidden="1" outlineLevel="2" x14ac:dyDescent="0.3">
      <c r="A1649" t="s">
        <v>2507</v>
      </c>
      <c r="B1649" t="s">
        <v>269</v>
      </c>
      <c r="C1649" t="s">
        <v>10</v>
      </c>
      <c r="D1649" t="s">
        <v>2508</v>
      </c>
    </row>
    <row r="1650" spans="1:4" hidden="1" outlineLevel="2" x14ac:dyDescent="0.3">
      <c r="A1650" t="s">
        <v>2509</v>
      </c>
      <c r="B1650" t="s">
        <v>269</v>
      </c>
      <c r="C1650" t="s">
        <v>10</v>
      </c>
      <c r="D1650" t="s">
        <v>2510</v>
      </c>
    </row>
    <row r="1651" spans="1:4" hidden="1" outlineLevel="2" x14ac:dyDescent="0.3">
      <c r="A1651" t="s">
        <v>2511</v>
      </c>
      <c r="B1651" t="s">
        <v>269</v>
      </c>
      <c r="C1651" t="s">
        <v>10</v>
      </c>
      <c r="D1651" t="s">
        <v>2512</v>
      </c>
    </row>
    <row r="1652" spans="1:4" hidden="1" outlineLevel="2" x14ac:dyDescent="0.3">
      <c r="A1652" t="s">
        <v>2513</v>
      </c>
      <c r="B1652" t="s">
        <v>269</v>
      </c>
      <c r="C1652" t="s">
        <v>10</v>
      </c>
      <c r="D1652" t="s">
        <v>2514</v>
      </c>
    </row>
    <row r="1653" spans="1:4" hidden="1" outlineLevel="2" x14ac:dyDescent="0.3">
      <c r="A1653" t="s">
        <v>2515</v>
      </c>
      <c r="B1653" t="s">
        <v>269</v>
      </c>
      <c r="C1653" t="s">
        <v>10</v>
      </c>
      <c r="D1653" t="s">
        <v>2516</v>
      </c>
    </row>
    <row r="1654" spans="1:4" hidden="1" outlineLevel="2" x14ac:dyDescent="0.3">
      <c r="A1654" t="s">
        <v>2517</v>
      </c>
      <c r="B1654" t="s">
        <v>269</v>
      </c>
      <c r="C1654" t="s">
        <v>10</v>
      </c>
      <c r="D1654" t="s">
        <v>2518</v>
      </c>
    </row>
    <row r="1655" spans="1:4" hidden="1" outlineLevel="2" x14ac:dyDescent="0.3">
      <c r="A1655" t="s">
        <v>2519</v>
      </c>
      <c r="B1655" t="s">
        <v>269</v>
      </c>
      <c r="C1655" t="s">
        <v>10</v>
      </c>
      <c r="D1655" t="s">
        <v>2520</v>
      </c>
    </row>
    <row r="1656" spans="1:4" hidden="1" outlineLevel="2" x14ac:dyDescent="0.3">
      <c r="A1656" t="s">
        <v>2521</v>
      </c>
      <c r="B1656" t="s">
        <v>269</v>
      </c>
      <c r="C1656" t="s">
        <v>8</v>
      </c>
      <c r="D1656" t="s">
        <v>2522</v>
      </c>
    </row>
    <row r="1657" spans="1:4" hidden="1" outlineLevel="2" x14ac:dyDescent="0.3">
      <c r="A1657" t="s">
        <v>2523</v>
      </c>
      <c r="B1657" t="s">
        <v>269</v>
      </c>
      <c r="C1657" t="s">
        <v>8</v>
      </c>
      <c r="D1657" t="s">
        <v>2522</v>
      </c>
    </row>
    <row r="1658" spans="1:4" hidden="1" outlineLevel="2" x14ac:dyDescent="0.3">
      <c r="A1658" t="s">
        <v>2524</v>
      </c>
      <c r="B1658" t="s">
        <v>269</v>
      </c>
      <c r="C1658" t="s">
        <v>8</v>
      </c>
      <c r="D1658" t="s">
        <v>2522</v>
      </c>
    </row>
    <row r="1659" spans="1:4" hidden="1" outlineLevel="2" x14ac:dyDescent="0.3">
      <c r="A1659" t="s">
        <v>2525</v>
      </c>
      <c r="B1659" t="s">
        <v>269</v>
      </c>
      <c r="C1659" t="s">
        <v>8</v>
      </c>
      <c r="D1659" t="s">
        <v>2522</v>
      </c>
    </row>
    <row r="1660" spans="1:4" hidden="1" outlineLevel="2" x14ac:dyDescent="0.3">
      <c r="A1660" t="s">
        <v>2526</v>
      </c>
      <c r="B1660" t="s">
        <v>3910</v>
      </c>
      <c r="C1660" t="s">
        <v>8</v>
      </c>
      <c r="D1660" t="s">
        <v>2527</v>
      </c>
    </row>
    <row r="1661" spans="1:4" hidden="1" outlineLevel="2" x14ac:dyDescent="0.3">
      <c r="A1661" t="s">
        <v>2528</v>
      </c>
      <c r="B1661" t="s">
        <v>269</v>
      </c>
      <c r="C1661" t="s">
        <v>8</v>
      </c>
      <c r="D1661" t="s">
        <v>2529</v>
      </c>
    </row>
    <row r="1662" spans="1:4" hidden="1" outlineLevel="2" x14ac:dyDescent="0.3">
      <c r="A1662" t="s">
        <v>2530</v>
      </c>
      <c r="B1662" t="s">
        <v>3910</v>
      </c>
      <c r="C1662" t="s">
        <v>8</v>
      </c>
      <c r="D1662" t="s">
        <v>2531</v>
      </c>
    </row>
    <row r="1663" spans="1:4" hidden="1" outlineLevel="2" x14ac:dyDescent="0.3">
      <c r="A1663" t="s">
        <v>2532</v>
      </c>
      <c r="B1663" t="s">
        <v>3910</v>
      </c>
      <c r="C1663" t="s">
        <v>8</v>
      </c>
      <c r="D1663" t="s">
        <v>2533</v>
      </c>
    </row>
    <row r="1664" spans="1:4" hidden="1" outlineLevel="2" x14ac:dyDescent="0.3">
      <c r="A1664" t="s">
        <v>2534</v>
      </c>
      <c r="B1664" t="s">
        <v>269</v>
      </c>
      <c r="C1664" t="s">
        <v>8</v>
      </c>
      <c r="D1664" t="s">
        <v>2535</v>
      </c>
    </row>
    <row r="1665" spans="1:4" hidden="1" outlineLevel="2" x14ac:dyDescent="0.3">
      <c r="A1665" t="s">
        <v>2536</v>
      </c>
      <c r="B1665" t="s">
        <v>269</v>
      </c>
      <c r="C1665" t="s">
        <v>8</v>
      </c>
      <c r="D1665" t="s">
        <v>2535</v>
      </c>
    </row>
    <row r="1666" spans="1:4" hidden="1" outlineLevel="2" x14ac:dyDescent="0.3">
      <c r="A1666" t="s">
        <v>2537</v>
      </c>
      <c r="B1666" t="s">
        <v>269</v>
      </c>
      <c r="C1666" t="s">
        <v>8</v>
      </c>
      <c r="D1666" t="s">
        <v>2535</v>
      </c>
    </row>
    <row r="1667" spans="1:4" hidden="1" outlineLevel="2" x14ac:dyDescent="0.3">
      <c r="A1667" t="s">
        <v>2538</v>
      </c>
      <c r="B1667" t="s">
        <v>269</v>
      </c>
      <c r="C1667" t="s">
        <v>8</v>
      </c>
      <c r="D1667" t="s">
        <v>2535</v>
      </c>
    </row>
    <row r="1668" spans="1:4" hidden="1" outlineLevel="2" x14ac:dyDescent="0.3">
      <c r="A1668" t="s">
        <v>2539</v>
      </c>
      <c r="B1668" t="s">
        <v>269</v>
      </c>
      <c r="C1668" t="s">
        <v>10</v>
      </c>
      <c r="D1668" t="s">
        <v>2540</v>
      </c>
    </row>
    <row r="1669" spans="1:4" hidden="1" outlineLevel="2" x14ac:dyDescent="0.3">
      <c r="A1669" t="s">
        <v>2541</v>
      </c>
      <c r="B1669" t="s">
        <v>269</v>
      </c>
      <c r="C1669" t="s">
        <v>10</v>
      </c>
      <c r="D1669" t="s">
        <v>2542</v>
      </c>
    </row>
    <row r="1670" spans="1:4" hidden="1" outlineLevel="2" x14ac:dyDescent="0.3">
      <c r="A1670" t="s">
        <v>2543</v>
      </c>
      <c r="B1670" t="s">
        <v>269</v>
      </c>
      <c r="C1670" t="s">
        <v>10</v>
      </c>
      <c r="D1670" t="s">
        <v>2544</v>
      </c>
    </row>
    <row r="1671" spans="1:4" hidden="1" outlineLevel="2" x14ac:dyDescent="0.3">
      <c r="A1671" t="s">
        <v>2545</v>
      </c>
      <c r="B1671" t="s">
        <v>269</v>
      </c>
      <c r="C1671" t="s">
        <v>10</v>
      </c>
      <c r="D1671" t="s">
        <v>2546</v>
      </c>
    </row>
    <row r="1672" spans="1:4" hidden="1" outlineLevel="2" x14ac:dyDescent="0.3">
      <c r="A1672" t="s">
        <v>2547</v>
      </c>
      <c r="B1672" t="s">
        <v>269</v>
      </c>
      <c r="C1672" t="s">
        <v>10</v>
      </c>
      <c r="D1672" t="s">
        <v>2548</v>
      </c>
    </row>
    <row r="1673" spans="1:4" hidden="1" outlineLevel="2" x14ac:dyDescent="0.3">
      <c r="A1673" t="s">
        <v>2549</v>
      </c>
      <c r="B1673" t="s">
        <v>269</v>
      </c>
      <c r="C1673" t="s">
        <v>10</v>
      </c>
      <c r="D1673" t="s">
        <v>2550</v>
      </c>
    </row>
    <row r="1674" spans="1:4" hidden="1" outlineLevel="2" x14ac:dyDescent="0.3">
      <c r="A1674" t="s">
        <v>2551</v>
      </c>
      <c r="B1674" t="s">
        <v>269</v>
      </c>
      <c r="C1674" t="s">
        <v>10</v>
      </c>
      <c r="D1674" t="s">
        <v>2552</v>
      </c>
    </row>
    <row r="1675" spans="1:4" hidden="1" outlineLevel="2" x14ac:dyDescent="0.3">
      <c r="A1675" t="s">
        <v>2553</v>
      </c>
      <c r="B1675" t="s">
        <v>269</v>
      </c>
      <c r="C1675" t="s">
        <v>10</v>
      </c>
      <c r="D1675" t="s">
        <v>2554</v>
      </c>
    </row>
    <row r="1676" spans="1:4" hidden="1" outlineLevel="2" x14ac:dyDescent="0.3">
      <c r="A1676" t="s">
        <v>2555</v>
      </c>
      <c r="B1676" t="s">
        <v>269</v>
      </c>
      <c r="C1676" t="s">
        <v>10</v>
      </c>
      <c r="D1676" t="s">
        <v>2556</v>
      </c>
    </row>
    <row r="1677" spans="1:4" hidden="1" outlineLevel="2" x14ac:dyDescent="0.3">
      <c r="A1677" t="s">
        <v>2557</v>
      </c>
      <c r="B1677" t="s">
        <v>3844</v>
      </c>
      <c r="C1677" t="s">
        <v>8</v>
      </c>
      <c r="D1677" t="s">
        <v>2558</v>
      </c>
    </row>
    <row r="1678" spans="1:4" hidden="1" outlineLevel="2" x14ac:dyDescent="0.3">
      <c r="A1678" t="s">
        <v>2559</v>
      </c>
      <c r="B1678" t="s">
        <v>269</v>
      </c>
      <c r="C1678" t="s">
        <v>10</v>
      </c>
      <c r="D1678" t="s">
        <v>2560</v>
      </c>
    </row>
    <row r="1679" spans="1:4" hidden="1" outlineLevel="2" x14ac:dyDescent="0.3">
      <c r="A1679" t="s">
        <v>2561</v>
      </c>
      <c r="B1679" t="s">
        <v>269</v>
      </c>
      <c r="C1679" t="s">
        <v>10</v>
      </c>
      <c r="D1679" t="s">
        <v>2562</v>
      </c>
    </row>
    <row r="1680" spans="1:4" hidden="1" outlineLevel="2" x14ac:dyDescent="0.3">
      <c r="A1680" t="s">
        <v>2563</v>
      </c>
      <c r="B1680" t="s">
        <v>3844</v>
      </c>
      <c r="C1680" t="s">
        <v>10</v>
      </c>
      <c r="D1680" t="s">
        <v>2564</v>
      </c>
    </row>
    <row r="1681" spans="1:4" hidden="1" outlineLevel="2" x14ac:dyDescent="0.3">
      <c r="A1681" t="s">
        <v>2565</v>
      </c>
      <c r="B1681" t="s">
        <v>269</v>
      </c>
      <c r="C1681" t="s">
        <v>10</v>
      </c>
      <c r="D1681" t="s">
        <v>2566</v>
      </c>
    </row>
    <row r="1682" spans="1:4" hidden="1" outlineLevel="2" x14ac:dyDescent="0.3">
      <c r="A1682" t="s">
        <v>2567</v>
      </c>
      <c r="B1682" t="s">
        <v>269</v>
      </c>
      <c r="C1682" t="s">
        <v>10</v>
      </c>
      <c r="D1682" t="s">
        <v>2568</v>
      </c>
    </row>
    <row r="1683" spans="1:4" hidden="1" outlineLevel="2" x14ac:dyDescent="0.3">
      <c r="A1683" t="s">
        <v>2569</v>
      </c>
      <c r="B1683" t="s">
        <v>269</v>
      </c>
      <c r="C1683" t="s">
        <v>10</v>
      </c>
      <c r="D1683" t="s">
        <v>2570</v>
      </c>
    </row>
    <row r="1684" spans="1:4" hidden="1" outlineLevel="2" x14ac:dyDescent="0.3">
      <c r="A1684" t="s">
        <v>2571</v>
      </c>
      <c r="B1684" t="s">
        <v>269</v>
      </c>
      <c r="C1684" t="s">
        <v>10</v>
      </c>
      <c r="D1684" t="s">
        <v>2572</v>
      </c>
    </row>
    <row r="1685" spans="1:4" hidden="1" outlineLevel="2" x14ac:dyDescent="0.3">
      <c r="A1685" t="s">
        <v>2573</v>
      </c>
      <c r="B1685" t="s">
        <v>269</v>
      </c>
      <c r="C1685" t="s">
        <v>10</v>
      </c>
      <c r="D1685" t="s">
        <v>2572</v>
      </c>
    </row>
    <row r="1686" spans="1:4" hidden="1" outlineLevel="2" x14ac:dyDescent="0.3">
      <c r="A1686" t="s">
        <v>2574</v>
      </c>
      <c r="B1686" t="s">
        <v>269</v>
      </c>
      <c r="C1686" t="s">
        <v>10</v>
      </c>
      <c r="D1686" t="s">
        <v>2575</v>
      </c>
    </row>
    <row r="1687" spans="1:4" hidden="1" outlineLevel="2" x14ac:dyDescent="0.3">
      <c r="A1687" t="s">
        <v>2576</v>
      </c>
      <c r="B1687" t="s">
        <v>3844</v>
      </c>
      <c r="C1687" t="s">
        <v>8</v>
      </c>
      <c r="D1687" t="s">
        <v>2577</v>
      </c>
    </row>
    <row r="1688" spans="1:4" hidden="1" outlineLevel="2" x14ac:dyDescent="0.3">
      <c r="A1688" t="s">
        <v>2578</v>
      </c>
      <c r="B1688" t="s">
        <v>269</v>
      </c>
      <c r="C1688" t="s">
        <v>10</v>
      </c>
      <c r="D1688" t="s">
        <v>2579</v>
      </c>
    </row>
    <row r="1689" spans="1:4" hidden="1" outlineLevel="2" x14ac:dyDescent="0.3">
      <c r="A1689" t="s">
        <v>2580</v>
      </c>
      <c r="B1689" t="s">
        <v>269</v>
      </c>
      <c r="C1689" t="s">
        <v>10</v>
      </c>
      <c r="D1689" t="s">
        <v>2581</v>
      </c>
    </row>
    <row r="1690" spans="1:4" hidden="1" outlineLevel="2" x14ac:dyDescent="0.3">
      <c r="A1690" t="s">
        <v>2582</v>
      </c>
      <c r="B1690" t="s">
        <v>3844</v>
      </c>
      <c r="C1690" t="s">
        <v>10</v>
      </c>
      <c r="D1690" t="s">
        <v>2583</v>
      </c>
    </row>
    <row r="1691" spans="1:4" hidden="1" outlineLevel="2" x14ac:dyDescent="0.3">
      <c r="A1691" t="s">
        <v>2584</v>
      </c>
      <c r="B1691" t="s">
        <v>3899</v>
      </c>
      <c r="C1691" t="s">
        <v>10</v>
      </c>
      <c r="D1691" t="s">
        <v>2585</v>
      </c>
    </row>
    <row r="1692" spans="1:4" hidden="1" outlineLevel="2" x14ac:dyDescent="0.3">
      <c r="A1692" t="s">
        <v>2586</v>
      </c>
      <c r="B1692" t="s">
        <v>3910</v>
      </c>
      <c r="C1692" t="s">
        <v>8</v>
      </c>
      <c r="D1692" t="s">
        <v>2587</v>
      </c>
    </row>
    <row r="1693" spans="1:4" hidden="1" outlineLevel="2" x14ac:dyDescent="0.3">
      <c r="A1693" t="s">
        <v>2588</v>
      </c>
      <c r="B1693" t="s">
        <v>269</v>
      </c>
      <c r="C1693" t="s">
        <v>8</v>
      </c>
      <c r="D1693" t="s">
        <v>2589</v>
      </c>
    </row>
    <row r="1694" spans="1:4" hidden="1" outlineLevel="2" x14ac:dyDescent="0.3">
      <c r="A1694" t="s">
        <v>2590</v>
      </c>
      <c r="B1694" t="s">
        <v>3910</v>
      </c>
      <c r="C1694" t="s">
        <v>10</v>
      </c>
      <c r="D1694" t="s">
        <v>2591</v>
      </c>
    </row>
    <row r="1695" spans="1:4" hidden="1" outlineLevel="2" x14ac:dyDescent="0.3">
      <c r="A1695" t="s">
        <v>2592</v>
      </c>
      <c r="B1695" t="s">
        <v>3910</v>
      </c>
      <c r="C1695" t="s">
        <v>8</v>
      </c>
      <c r="D1695" t="s">
        <v>2593</v>
      </c>
    </row>
    <row r="1696" spans="1:4" hidden="1" outlineLevel="2" x14ac:dyDescent="0.3">
      <c r="A1696" t="s">
        <v>2594</v>
      </c>
      <c r="B1696" t="s">
        <v>3910</v>
      </c>
      <c r="C1696" t="s">
        <v>8</v>
      </c>
      <c r="D1696" t="s">
        <v>2595</v>
      </c>
    </row>
    <row r="1697" spans="1:4" hidden="1" outlineLevel="2" x14ac:dyDescent="0.3">
      <c r="A1697" t="s">
        <v>2596</v>
      </c>
      <c r="B1697" t="s">
        <v>3910</v>
      </c>
      <c r="C1697" t="s">
        <v>8</v>
      </c>
      <c r="D1697" t="s">
        <v>2597</v>
      </c>
    </row>
    <row r="1698" spans="1:4" hidden="1" outlineLevel="2" x14ac:dyDescent="0.3">
      <c r="A1698" t="s">
        <v>2598</v>
      </c>
      <c r="B1698" t="s">
        <v>3910</v>
      </c>
      <c r="C1698" t="s">
        <v>8</v>
      </c>
      <c r="D1698" t="s">
        <v>2599</v>
      </c>
    </row>
    <row r="1699" spans="1:4" hidden="1" outlineLevel="2" x14ac:dyDescent="0.3">
      <c r="A1699" t="s">
        <v>2600</v>
      </c>
      <c r="B1699" t="s">
        <v>269</v>
      </c>
      <c r="C1699" t="s">
        <v>8</v>
      </c>
      <c r="D1699" t="s">
        <v>2601</v>
      </c>
    </row>
    <row r="1700" spans="1:4" hidden="1" outlineLevel="2" x14ac:dyDescent="0.3">
      <c r="A1700" t="s">
        <v>2602</v>
      </c>
      <c r="B1700" t="s">
        <v>3910</v>
      </c>
      <c r="C1700" t="s">
        <v>8</v>
      </c>
      <c r="D1700" t="s">
        <v>2603</v>
      </c>
    </row>
    <row r="1701" spans="1:4" hidden="1" outlineLevel="2" x14ac:dyDescent="0.3">
      <c r="A1701" t="s">
        <v>2604</v>
      </c>
      <c r="B1701" t="s">
        <v>3910</v>
      </c>
      <c r="C1701" t="s">
        <v>8</v>
      </c>
      <c r="D1701" t="s">
        <v>2605</v>
      </c>
    </row>
    <row r="1702" spans="1:4" hidden="1" outlineLevel="2" x14ac:dyDescent="0.3">
      <c r="A1702" t="s">
        <v>2606</v>
      </c>
      <c r="B1702" t="s">
        <v>3910</v>
      </c>
      <c r="C1702" t="s">
        <v>8</v>
      </c>
      <c r="D1702" t="s">
        <v>2607</v>
      </c>
    </row>
    <row r="1703" spans="1:4" hidden="1" outlineLevel="2" x14ac:dyDescent="0.3">
      <c r="A1703" t="s">
        <v>2608</v>
      </c>
      <c r="B1703" t="s">
        <v>3910</v>
      </c>
      <c r="C1703" t="s">
        <v>8</v>
      </c>
      <c r="D1703" t="s">
        <v>2609</v>
      </c>
    </row>
    <row r="1704" spans="1:4" hidden="1" outlineLevel="2" x14ac:dyDescent="0.3">
      <c r="A1704" t="s">
        <v>2610</v>
      </c>
      <c r="B1704" t="s">
        <v>3910</v>
      </c>
      <c r="C1704" t="s">
        <v>8</v>
      </c>
      <c r="D1704" t="s">
        <v>2611</v>
      </c>
    </row>
    <row r="1705" spans="1:4" hidden="1" outlineLevel="2" x14ac:dyDescent="0.3">
      <c r="A1705" t="s">
        <v>2612</v>
      </c>
      <c r="B1705" t="s">
        <v>3910</v>
      </c>
      <c r="C1705" t="s">
        <v>8</v>
      </c>
      <c r="D1705" t="s">
        <v>2613</v>
      </c>
    </row>
    <row r="1706" spans="1:4" hidden="1" outlineLevel="2" x14ac:dyDescent="0.3">
      <c r="A1706" t="s">
        <v>2614</v>
      </c>
      <c r="B1706" t="s">
        <v>3910</v>
      </c>
      <c r="C1706" t="s">
        <v>8</v>
      </c>
      <c r="D1706" t="s">
        <v>2615</v>
      </c>
    </row>
    <row r="1707" spans="1:4" hidden="1" outlineLevel="2" x14ac:dyDescent="0.3">
      <c r="A1707" t="s">
        <v>2616</v>
      </c>
      <c r="B1707" t="s">
        <v>269</v>
      </c>
      <c r="C1707" t="s">
        <v>10</v>
      </c>
      <c r="D1707" t="s">
        <v>2617</v>
      </c>
    </row>
    <row r="1708" spans="1:4" hidden="1" outlineLevel="2" x14ac:dyDescent="0.3">
      <c r="A1708" t="s">
        <v>2618</v>
      </c>
      <c r="B1708" t="s">
        <v>269</v>
      </c>
      <c r="C1708" t="s">
        <v>10</v>
      </c>
      <c r="D1708" t="s">
        <v>2619</v>
      </c>
    </row>
    <row r="1709" spans="1:4" hidden="1" outlineLevel="2" x14ac:dyDescent="0.3">
      <c r="A1709" t="s">
        <v>2620</v>
      </c>
      <c r="B1709" t="s">
        <v>269</v>
      </c>
      <c r="C1709" t="s">
        <v>10</v>
      </c>
      <c r="D1709" t="s">
        <v>2621</v>
      </c>
    </row>
    <row r="1710" spans="1:4" hidden="1" outlineLevel="2" x14ac:dyDescent="0.3">
      <c r="A1710" t="s">
        <v>2622</v>
      </c>
      <c r="B1710" t="s">
        <v>269</v>
      </c>
      <c r="C1710" t="s">
        <v>10</v>
      </c>
      <c r="D1710" t="s">
        <v>2623</v>
      </c>
    </row>
    <row r="1711" spans="1:4" hidden="1" outlineLevel="2" x14ac:dyDescent="0.3">
      <c r="A1711" t="s">
        <v>2624</v>
      </c>
      <c r="B1711" t="s">
        <v>269</v>
      </c>
      <c r="C1711" t="s">
        <v>10</v>
      </c>
      <c r="D1711" t="s">
        <v>2625</v>
      </c>
    </row>
    <row r="1712" spans="1:4" hidden="1" outlineLevel="2" x14ac:dyDescent="0.3">
      <c r="A1712" t="s">
        <v>2626</v>
      </c>
      <c r="B1712" t="s">
        <v>269</v>
      </c>
      <c r="C1712" t="s">
        <v>10</v>
      </c>
      <c r="D1712" t="s">
        <v>2627</v>
      </c>
    </row>
    <row r="1713" spans="1:4" hidden="1" outlineLevel="2" x14ac:dyDescent="0.3">
      <c r="A1713" t="s">
        <v>2628</v>
      </c>
      <c r="B1713" t="s">
        <v>269</v>
      </c>
      <c r="C1713" t="s">
        <v>10</v>
      </c>
      <c r="D1713" t="s">
        <v>2629</v>
      </c>
    </row>
    <row r="1714" spans="1:4" hidden="1" outlineLevel="2" x14ac:dyDescent="0.3">
      <c r="A1714" t="s">
        <v>2630</v>
      </c>
      <c r="B1714" t="s">
        <v>269</v>
      </c>
      <c r="C1714" t="s">
        <v>10</v>
      </c>
      <c r="D1714" t="s">
        <v>2631</v>
      </c>
    </row>
    <row r="1715" spans="1:4" hidden="1" outlineLevel="2" x14ac:dyDescent="0.3">
      <c r="A1715" t="s">
        <v>2632</v>
      </c>
      <c r="B1715" t="s">
        <v>269</v>
      </c>
      <c r="C1715" t="s">
        <v>10</v>
      </c>
      <c r="D1715" t="s">
        <v>2633</v>
      </c>
    </row>
    <row r="1716" spans="1:4" hidden="1" outlineLevel="2" x14ac:dyDescent="0.3">
      <c r="A1716" t="s">
        <v>2634</v>
      </c>
      <c r="B1716" t="s">
        <v>269</v>
      </c>
      <c r="C1716" t="s">
        <v>10</v>
      </c>
      <c r="D1716" t="s">
        <v>2635</v>
      </c>
    </row>
    <row r="1717" spans="1:4" hidden="1" outlineLevel="2" x14ac:dyDescent="0.3">
      <c r="A1717" t="s">
        <v>2636</v>
      </c>
      <c r="B1717" t="s">
        <v>269</v>
      </c>
      <c r="C1717" t="s">
        <v>10</v>
      </c>
      <c r="D1717" t="s">
        <v>2637</v>
      </c>
    </row>
    <row r="1718" spans="1:4" hidden="1" outlineLevel="2" x14ac:dyDescent="0.3">
      <c r="A1718" t="s">
        <v>2638</v>
      </c>
      <c r="B1718" t="s">
        <v>269</v>
      </c>
      <c r="C1718" t="s">
        <v>10</v>
      </c>
      <c r="D1718" t="s">
        <v>2639</v>
      </c>
    </row>
    <row r="1719" spans="1:4" hidden="1" outlineLevel="2" x14ac:dyDescent="0.3">
      <c r="A1719" t="s">
        <v>2640</v>
      </c>
      <c r="B1719" t="s">
        <v>269</v>
      </c>
      <c r="C1719" t="s">
        <v>10</v>
      </c>
      <c r="D1719" t="s">
        <v>2641</v>
      </c>
    </row>
    <row r="1720" spans="1:4" hidden="1" outlineLevel="2" x14ac:dyDescent="0.3">
      <c r="A1720" t="s">
        <v>2642</v>
      </c>
      <c r="B1720" t="s">
        <v>269</v>
      </c>
      <c r="C1720" t="s">
        <v>10</v>
      </c>
      <c r="D1720" t="s">
        <v>2643</v>
      </c>
    </row>
    <row r="1721" spans="1:4" hidden="1" outlineLevel="2" x14ac:dyDescent="0.3">
      <c r="A1721" t="s">
        <v>2644</v>
      </c>
      <c r="B1721" t="s">
        <v>269</v>
      </c>
      <c r="C1721" t="s">
        <v>10</v>
      </c>
      <c r="D1721" t="s">
        <v>2645</v>
      </c>
    </row>
    <row r="1722" spans="1:4" hidden="1" outlineLevel="2" x14ac:dyDescent="0.3">
      <c r="A1722" t="s">
        <v>2646</v>
      </c>
      <c r="B1722" t="s">
        <v>269</v>
      </c>
      <c r="C1722" t="s">
        <v>10</v>
      </c>
      <c r="D1722" t="s">
        <v>2647</v>
      </c>
    </row>
    <row r="1723" spans="1:4" hidden="1" outlineLevel="2" x14ac:dyDescent="0.3">
      <c r="A1723" t="s">
        <v>2648</v>
      </c>
      <c r="B1723" t="s">
        <v>269</v>
      </c>
      <c r="C1723" t="s">
        <v>10</v>
      </c>
      <c r="D1723" t="s">
        <v>2649</v>
      </c>
    </row>
    <row r="1724" spans="1:4" hidden="1" outlineLevel="2" x14ac:dyDescent="0.3">
      <c r="A1724" t="s">
        <v>2650</v>
      </c>
      <c r="B1724" t="s">
        <v>269</v>
      </c>
      <c r="C1724" t="s">
        <v>10</v>
      </c>
      <c r="D1724" t="s">
        <v>2651</v>
      </c>
    </row>
    <row r="1725" spans="1:4" hidden="1" outlineLevel="2" x14ac:dyDescent="0.3">
      <c r="A1725" t="s">
        <v>2652</v>
      </c>
      <c r="B1725" t="s">
        <v>3844</v>
      </c>
      <c r="C1725" t="s">
        <v>10</v>
      </c>
      <c r="D1725" t="s">
        <v>2653</v>
      </c>
    </row>
    <row r="1726" spans="1:4" hidden="1" outlineLevel="2" x14ac:dyDescent="0.3">
      <c r="A1726" t="s">
        <v>2654</v>
      </c>
      <c r="B1726" t="s">
        <v>269</v>
      </c>
      <c r="C1726" t="s">
        <v>10</v>
      </c>
      <c r="D1726" t="s">
        <v>2655</v>
      </c>
    </row>
    <row r="1727" spans="1:4" hidden="1" outlineLevel="2" x14ac:dyDescent="0.3">
      <c r="A1727" t="s">
        <v>2656</v>
      </c>
      <c r="B1727" t="s">
        <v>269</v>
      </c>
      <c r="C1727" t="s">
        <v>10</v>
      </c>
      <c r="D1727" t="s">
        <v>2657</v>
      </c>
    </row>
    <row r="1728" spans="1:4" hidden="1" outlineLevel="2" x14ac:dyDescent="0.3">
      <c r="A1728" t="s">
        <v>2658</v>
      </c>
      <c r="B1728" t="s">
        <v>269</v>
      </c>
      <c r="C1728" t="s">
        <v>10</v>
      </c>
      <c r="D1728" t="s">
        <v>2659</v>
      </c>
    </row>
    <row r="1729" spans="1:4" hidden="1" outlineLevel="2" x14ac:dyDescent="0.3">
      <c r="A1729" t="s">
        <v>2660</v>
      </c>
      <c r="B1729" t="s">
        <v>269</v>
      </c>
      <c r="C1729" t="s">
        <v>10</v>
      </c>
      <c r="D1729" t="s">
        <v>2661</v>
      </c>
    </row>
    <row r="1730" spans="1:4" hidden="1" outlineLevel="2" x14ac:dyDescent="0.3">
      <c r="A1730" t="s">
        <v>2662</v>
      </c>
      <c r="B1730" t="s">
        <v>269</v>
      </c>
      <c r="C1730" t="s">
        <v>8</v>
      </c>
      <c r="D1730" t="s">
        <v>2663</v>
      </c>
    </row>
    <row r="1731" spans="1:4" hidden="1" outlineLevel="2" x14ac:dyDescent="0.3">
      <c r="A1731" t="s">
        <v>2664</v>
      </c>
      <c r="B1731" t="s">
        <v>269</v>
      </c>
      <c r="C1731" t="s">
        <v>10</v>
      </c>
      <c r="D1731" t="s">
        <v>2665</v>
      </c>
    </row>
    <row r="1732" spans="1:4" hidden="1" outlineLevel="2" x14ac:dyDescent="0.3">
      <c r="A1732" t="s">
        <v>2666</v>
      </c>
      <c r="B1732" t="s">
        <v>269</v>
      </c>
      <c r="C1732" t="s">
        <v>10</v>
      </c>
      <c r="D1732" t="s">
        <v>2667</v>
      </c>
    </row>
    <row r="1733" spans="1:4" hidden="1" outlineLevel="2" x14ac:dyDescent="0.3">
      <c r="A1733" t="s">
        <v>2668</v>
      </c>
      <c r="B1733" t="s">
        <v>269</v>
      </c>
      <c r="C1733" t="s">
        <v>10</v>
      </c>
      <c r="D1733" t="s">
        <v>2669</v>
      </c>
    </row>
    <row r="1734" spans="1:4" hidden="1" outlineLevel="2" x14ac:dyDescent="0.3">
      <c r="A1734" t="s">
        <v>2670</v>
      </c>
      <c r="B1734" t="s">
        <v>269</v>
      </c>
      <c r="C1734" t="s">
        <v>10</v>
      </c>
      <c r="D1734" t="s">
        <v>2671</v>
      </c>
    </row>
    <row r="1735" spans="1:4" hidden="1" outlineLevel="2" x14ac:dyDescent="0.3">
      <c r="A1735" t="s">
        <v>2672</v>
      </c>
      <c r="B1735" t="s">
        <v>269</v>
      </c>
      <c r="C1735" t="s">
        <v>10</v>
      </c>
      <c r="D1735" t="s">
        <v>2673</v>
      </c>
    </row>
    <row r="1736" spans="1:4" hidden="1" outlineLevel="2" x14ac:dyDescent="0.3">
      <c r="A1736" t="s">
        <v>2674</v>
      </c>
      <c r="B1736" t="s">
        <v>269</v>
      </c>
      <c r="C1736" t="s">
        <v>10</v>
      </c>
      <c r="D1736" t="s">
        <v>2675</v>
      </c>
    </row>
    <row r="1737" spans="1:4" hidden="1" outlineLevel="2" x14ac:dyDescent="0.3">
      <c r="A1737" t="s">
        <v>2676</v>
      </c>
      <c r="B1737" t="s">
        <v>269</v>
      </c>
      <c r="C1737" t="s">
        <v>10</v>
      </c>
      <c r="D1737" t="s">
        <v>2677</v>
      </c>
    </row>
    <row r="1738" spans="1:4" hidden="1" outlineLevel="2" x14ac:dyDescent="0.3">
      <c r="A1738" t="s">
        <v>2678</v>
      </c>
      <c r="B1738" t="s">
        <v>269</v>
      </c>
      <c r="C1738" t="s">
        <v>10</v>
      </c>
      <c r="D1738" t="s">
        <v>2679</v>
      </c>
    </row>
    <row r="1739" spans="1:4" hidden="1" outlineLevel="2" x14ac:dyDescent="0.3">
      <c r="A1739" t="s">
        <v>2680</v>
      </c>
      <c r="B1739" t="s">
        <v>269</v>
      </c>
      <c r="C1739" t="s">
        <v>10</v>
      </c>
      <c r="D1739" t="s">
        <v>2681</v>
      </c>
    </row>
    <row r="1740" spans="1:4" hidden="1" outlineLevel="2" x14ac:dyDescent="0.3">
      <c r="A1740" t="s">
        <v>2682</v>
      </c>
      <c r="B1740" t="s">
        <v>269</v>
      </c>
      <c r="C1740" t="s">
        <v>10</v>
      </c>
      <c r="D1740" t="s">
        <v>2683</v>
      </c>
    </row>
    <row r="1741" spans="1:4" hidden="1" outlineLevel="2" x14ac:dyDescent="0.3">
      <c r="A1741" t="s">
        <v>2684</v>
      </c>
      <c r="B1741" t="s">
        <v>269</v>
      </c>
      <c r="C1741" t="s">
        <v>10</v>
      </c>
      <c r="D1741" t="s">
        <v>2685</v>
      </c>
    </row>
    <row r="1742" spans="1:4" hidden="1" outlineLevel="2" x14ac:dyDescent="0.3">
      <c r="A1742" t="s">
        <v>2686</v>
      </c>
      <c r="B1742" t="s">
        <v>269</v>
      </c>
      <c r="C1742" t="s">
        <v>10</v>
      </c>
      <c r="D1742" t="s">
        <v>2687</v>
      </c>
    </row>
    <row r="1743" spans="1:4" hidden="1" outlineLevel="2" x14ac:dyDescent="0.3">
      <c r="A1743" t="s">
        <v>2688</v>
      </c>
      <c r="B1743" t="s">
        <v>269</v>
      </c>
      <c r="C1743" t="s">
        <v>10</v>
      </c>
      <c r="D1743" t="s">
        <v>2689</v>
      </c>
    </row>
    <row r="1744" spans="1:4" hidden="1" outlineLevel="2" x14ac:dyDescent="0.3">
      <c r="A1744" t="s">
        <v>2690</v>
      </c>
      <c r="B1744" t="s">
        <v>269</v>
      </c>
      <c r="C1744" t="s">
        <v>10</v>
      </c>
      <c r="D1744" t="s">
        <v>2691</v>
      </c>
    </row>
    <row r="1745" spans="1:4" hidden="1" outlineLevel="2" x14ac:dyDescent="0.3">
      <c r="A1745" t="s">
        <v>2692</v>
      </c>
      <c r="B1745" t="s">
        <v>269</v>
      </c>
      <c r="C1745" t="s">
        <v>10</v>
      </c>
      <c r="D1745" t="s">
        <v>2693</v>
      </c>
    </row>
    <row r="1746" spans="1:4" hidden="1" outlineLevel="2" x14ac:dyDescent="0.3">
      <c r="A1746" t="s">
        <v>2694</v>
      </c>
      <c r="B1746" t="s">
        <v>269</v>
      </c>
      <c r="C1746" t="s">
        <v>10</v>
      </c>
      <c r="D1746" t="s">
        <v>2695</v>
      </c>
    </row>
    <row r="1747" spans="1:4" hidden="1" outlineLevel="2" x14ac:dyDescent="0.3">
      <c r="A1747" t="s">
        <v>2696</v>
      </c>
      <c r="B1747" t="s">
        <v>269</v>
      </c>
      <c r="C1747" t="s">
        <v>10</v>
      </c>
      <c r="D1747" t="s">
        <v>2697</v>
      </c>
    </row>
    <row r="1748" spans="1:4" hidden="1" outlineLevel="2" x14ac:dyDescent="0.3">
      <c r="A1748" t="s">
        <v>2698</v>
      </c>
      <c r="B1748" t="s">
        <v>269</v>
      </c>
      <c r="C1748" t="s">
        <v>10</v>
      </c>
      <c r="D1748" t="s">
        <v>2699</v>
      </c>
    </row>
    <row r="1749" spans="1:4" hidden="1" outlineLevel="2" x14ac:dyDescent="0.3">
      <c r="A1749" t="s">
        <v>2700</v>
      </c>
      <c r="B1749" t="s">
        <v>269</v>
      </c>
      <c r="C1749" t="s">
        <v>8</v>
      </c>
      <c r="D1749" t="s">
        <v>2701</v>
      </c>
    </row>
    <row r="1750" spans="1:4" hidden="1" outlineLevel="2" x14ac:dyDescent="0.3">
      <c r="A1750" t="s">
        <v>2702</v>
      </c>
      <c r="B1750" t="s">
        <v>269</v>
      </c>
      <c r="C1750" t="s">
        <v>10</v>
      </c>
      <c r="D1750" t="s">
        <v>2703</v>
      </c>
    </row>
    <row r="1751" spans="1:4" hidden="1" outlineLevel="2" x14ac:dyDescent="0.3">
      <c r="A1751" t="s">
        <v>2704</v>
      </c>
      <c r="B1751" t="s">
        <v>269</v>
      </c>
      <c r="C1751" t="s">
        <v>10</v>
      </c>
      <c r="D1751" t="s">
        <v>2705</v>
      </c>
    </row>
    <row r="1752" spans="1:4" hidden="1" outlineLevel="2" x14ac:dyDescent="0.3">
      <c r="A1752" t="s">
        <v>2706</v>
      </c>
      <c r="B1752" t="s">
        <v>269</v>
      </c>
      <c r="C1752" t="s">
        <v>10</v>
      </c>
      <c r="D1752" t="s">
        <v>2707</v>
      </c>
    </row>
    <row r="1753" spans="1:4" hidden="1" outlineLevel="2" x14ac:dyDescent="0.3">
      <c r="A1753" t="s">
        <v>2708</v>
      </c>
      <c r="B1753" t="s">
        <v>269</v>
      </c>
      <c r="C1753" t="s">
        <v>10</v>
      </c>
      <c r="D1753" t="s">
        <v>2709</v>
      </c>
    </row>
    <row r="1754" spans="1:4" hidden="1" outlineLevel="2" x14ac:dyDescent="0.3">
      <c r="A1754" t="s">
        <v>2710</v>
      </c>
      <c r="B1754" t="s">
        <v>269</v>
      </c>
      <c r="C1754" t="s">
        <v>10</v>
      </c>
      <c r="D1754" t="s">
        <v>2711</v>
      </c>
    </row>
    <row r="1755" spans="1:4" hidden="1" outlineLevel="2" x14ac:dyDescent="0.3">
      <c r="A1755" t="s">
        <v>2712</v>
      </c>
      <c r="B1755" t="s">
        <v>269</v>
      </c>
      <c r="C1755" t="s">
        <v>10</v>
      </c>
      <c r="D1755" t="s">
        <v>2713</v>
      </c>
    </row>
    <row r="1756" spans="1:4" hidden="1" outlineLevel="2" x14ac:dyDescent="0.3">
      <c r="A1756" t="s">
        <v>2714</v>
      </c>
      <c r="B1756" t="s">
        <v>269</v>
      </c>
      <c r="C1756" t="s">
        <v>10</v>
      </c>
      <c r="D1756" t="s">
        <v>2715</v>
      </c>
    </row>
    <row r="1757" spans="1:4" hidden="1" outlineLevel="2" x14ac:dyDescent="0.3">
      <c r="A1757" t="s">
        <v>2716</v>
      </c>
      <c r="B1757" t="s">
        <v>269</v>
      </c>
      <c r="C1757" t="s">
        <v>10</v>
      </c>
      <c r="D1757" t="s">
        <v>2717</v>
      </c>
    </row>
    <row r="1758" spans="1:4" hidden="1" outlineLevel="2" x14ac:dyDescent="0.3">
      <c r="A1758" t="s">
        <v>2718</v>
      </c>
      <c r="B1758" t="s">
        <v>269</v>
      </c>
      <c r="C1758" t="s">
        <v>10</v>
      </c>
      <c r="D1758" t="s">
        <v>2719</v>
      </c>
    </row>
    <row r="1759" spans="1:4" hidden="1" outlineLevel="2" x14ac:dyDescent="0.3">
      <c r="A1759" t="s">
        <v>2720</v>
      </c>
      <c r="B1759" t="s">
        <v>269</v>
      </c>
      <c r="C1759" t="s">
        <v>10</v>
      </c>
      <c r="D1759" t="s">
        <v>2721</v>
      </c>
    </row>
    <row r="1760" spans="1:4" hidden="1" outlineLevel="2" x14ac:dyDescent="0.3">
      <c r="A1760" t="s">
        <v>2722</v>
      </c>
      <c r="B1760" t="s">
        <v>269</v>
      </c>
      <c r="C1760" t="s">
        <v>10</v>
      </c>
      <c r="D1760" t="s">
        <v>2723</v>
      </c>
    </row>
    <row r="1761" spans="1:4" hidden="1" outlineLevel="2" x14ac:dyDescent="0.3">
      <c r="A1761" t="s">
        <v>2724</v>
      </c>
      <c r="B1761" t="s">
        <v>269</v>
      </c>
      <c r="C1761" t="s">
        <v>10</v>
      </c>
      <c r="D1761" t="s">
        <v>2725</v>
      </c>
    </row>
    <row r="1762" spans="1:4" hidden="1" outlineLevel="2" x14ac:dyDescent="0.3">
      <c r="A1762" t="s">
        <v>2726</v>
      </c>
      <c r="B1762" t="s">
        <v>269</v>
      </c>
      <c r="C1762" t="s">
        <v>10</v>
      </c>
      <c r="D1762" t="s">
        <v>2727</v>
      </c>
    </row>
    <row r="1763" spans="1:4" hidden="1" outlineLevel="2" x14ac:dyDescent="0.3">
      <c r="A1763" t="s">
        <v>2728</v>
      </c>
      <c r="B1763" t="s">
        <v>269</v>
      </c>
      <c r="C1763" t="s">
        <v>10</v>
      </c>
      <c r="D1763" t="s">
        <v>2729</v>
      </c>
    </row>
    <row r="1764" spans="1:4" hidden="1" outlineLevel="2" x14ac:dyDescent="0.3">
      <c r="A1764" t="s">
        <v>2730</v>
      </c>
      <c r="B1764" t="s">
        <v>269</v>
      </c>
      <c r="C1764" t="s">
        <v>10</v>
      </c>
      <c r="D1764" t="s">
        <v>2731</v>
      </c>
    </row>
    <row r="1765" spans="1:4" hidden="1" outlineLevel="2" x14ac:dyDescent="0.3">
      <c r="A1765" t="s">
        <v>2732</v>
      </c>
      <c r="B1765" t="s">
        <v>269</v>
      </c>
      <c r="C1765" t="s">
        <v>10</v>
      </c>
      <c r="D1765" t="s">
        <v>2733</v>
      </c>
    </row>
    <row r="1766" spans="1:4" hidden="1" outlineLevel="2" x14ac:dyDescent="0.3">
      <c r="A1766" t="s">
        <v>2734</v>
      </c>
      <c r="B1766" t="s">
        <v>269</v>
      </c>
      <c r="C1766" t="s">
        <v>10</v>
      </c>
      <c r="D1766" t="s">
        <v>2735</v>
      </c>
    </row>
    <row r="1767" spans="1:4" hidden="1" outlineLevel="2" x14ac:dyDescent="0.3">
      <c r="A1767" t="s">
        <v>2736</v>
      </c>
      <c r="B1767" t="s">
        <v>269</v>
      </c>
      <c r="C1767" t="s">
        <v>10</v>
      </c>
      <c r="D1767" t="s">
        <v>2737</v>
      </c>
    </row>
    <row r="1768" spans="1:4" hidden="1" outlineLevel="2" x14ac:dyDescent="0.3">
      <c r="A1768" t="s">
        <v>2738</v>
      </c>
      <c r="B1768" t="s">
        <v>269</v>
      </c>
      <c r="C1768" t="s">
        <v>10</v>
      </c>
      <c r="D1768" t="s">
        <v>2739</v>
      </c>
    </row>
    <row r="1769" spans="1:4" hidden="1" outlineLevel="2" x14ac:dyDescent="0.3">
      <c r="A1769" t="s">
        <v>2740</v>
      </c>
      <c r="B1769" t="s">
        <v>269</v>
      </c>
      <c r="C1769" t="s">
        <v>10</v>
      </c>
      <c r="D1769" t="s">
        <v>2741</v>
      </c>
    </row>
    <row r="1770" spans="1:4" hidden="1" outlineLevel="2" x14ac:dyDescent="0.3">
      <c r="A1770" t="s">
        <v>2742</v>
      </c>
      <c r="B1770" t="s">
        <v>269</v>
      </c>
      <c r="C1770" t="s">
        <v>10</v>
      </c>
      <c r="D1770" t="s">
        <v>2743</v>
      </c>
    </row>
    <row r="1771" spans="1:4" hidden="1" outlineLevel="2" x14ac:dyDescent="0.3">
      <c r="A1771" t="s">
        <v>2744</v>
      </c>
      <c r="B1771" t="s">
        <v>269</v>
      </c>
      <c r="C1771" t="s">
        <v>8</v>
      </c>
      <c r="D1771" t="s">
        <v>2745</v>
      </c>
    </row>
    <row r="1772" spans="1:4" hidden="1" outlineLevel="2" x14ac:dyDescent="0.3">
      <c r="A1772" t="s">
        <v>2746</v>
      </c>
      <c r="B1772" t="s">
        <v>269</v>
      </c>
      <c r="C1772" t="s">
        <v>8</v>
      </c>
      <c r="D1772" t="s">
        <v>2747</v>
      </c>
    </row>
    <row r="1773" spans="1:4" hidden="1" outlineLevel="2" x14ac:dyDescent="0.3">
      <c r="A1773" t="s">
        <v>2748</v>
      </c>
      <c r="B1773" t="s">
        <v>269</v>
      </c>
      <c r="C1773" t="s">
        <v>10</v>
      </c>
      <c r="D1773" t="s">
        <v>2749</v>
      </c>
    </row>
    <row r="1774" spans="1:4" hidden="1" outlineLevel="2" x14ac:dyDescent="0.3">
      <c r="A1774" t="s">
        <v>2750</v>
      </c>
      <c r="B1774" t="s">
        <v>269</v>
      </c>
      <c r="C1774" t="s">
        <v>8</v>
      </c>
      <c r="D1774" t="s">
        <v>2751</v>
      </c>
    </row>
    <row r="1775" spans="1:4" hidden="1" outlineLevel="2" x14ac:dyDescent="0.3">
      <c r="A1775" t="s">
        <v>2752</v>
      </c>
      <c r="B1775" t="s">
        <v>269</v>
      </c>
      <c r="C1775" t="s">
        <v>8</v>
      </c>
      <c r="D1775" t="s">
        <v>2753</v>
      </c>
    </row>
    <row r="1776" spans="1:4" hidden="1" outlineLevel="2" x14ac:dyDescent="0.3">
      <c r="A1776" t="s">
        <v>2754</v>
      </c>
      <c r="B1776" t="s">
        <v>269</v>
      </c>
      <c r="C1776" t="s">
        <v>10</v>
      </c>
      <c r="D1776" t="s">
        <v>2755</v>
      </c>
    </row>
    <row r="1777" spans="1:4" hidden="1" outlineLevel="2" x14ac:dyDescent="0.3">
      <c r="A1777" t="s">
        <v>2756</v>
      </c>
      <c r="B1777" t="s">
        <v>269</v>
      </c>
      <c r="C1777" t="s">
        <v>10</v>
      </c>
      <c r="D1777" t="s">
        <v>2757</v>
      </c>
    </row>
    <row r="1778" spans="1:4" hidden="1" outlineLevel="2" x14ac:dyDescent="0.3">
      <c r="A1778" t="s">
        <v>2758</v>
      </c>
      <c r="B1778" t="s">
        <v>269</v>
      </c>
      <c r="C1778" t="s">
        <v>10</v>
      </c>
      <c r="D1778" t="s">
        <v>2759</v>
      </c>
    </row>
    <row r="1779" spans="1:4" hidden="1" outlineLevel="2" x14ac:dyDescent="0.3">
      <c r="A1779" t="s">
        <v>2760</v>
      </c>
      <c r="B1779" t="s">
        <v>269</v>
      </c>
      <c r="C1779" t="s">
        <v>10</v>
      </c>
      <c r="D1779" t="s">
        <v>2761</v>
      </c>
    </row>
    <row r="1780" spans="1:4" hidden="1" outlineLevel="2" x14ac:dyDescent="0.3">
      <c r="A1780" t="s">
        <v>2762</v>
      </c>
      <c r="B1780" t="s">
        <v>269</v>
      </c>
      <c r="C1780" t="s">
        <v>10</v>
      </c>
      <c r="D1780" t="s">
        <v>2763</v>
      </c>
    </row>
    <row r="1781" spans="1:4" hidden="1" outlineLevel="2" x14ac:dyDescent="0.3">
      <c r="A1781" t="s">
        <v>2764</v>
      </c>
      <c r="B1781" t="s">
        <v>269</v>
      </c>
      <c r="C1781" t="s">
        <v>10</v>
      </c>
      <c r="D1781" t="s">
        <v>2765</v>
      </c>
    </row>
    <row r="1782" spans="1:4" hidden="1" outlineLevel="2" x14ac:dyDescent="0.3">
      <c r="A1782" t="s">
        <v>2766</v>
      </c>
      <c r="B1782" t="s">
        <v>269</v>
      </c>
      <c r="C1782" t="s">
        <v>10</v>
      </c>
      <c r="D1782" t="s">
        <v>2767</v>
      </c>
    </row>
    <row r="1783" spans="1:4" hidden="1" outlineLevel="2" x14ac:dyDescent="0.3">
      <c r="A1783" t="s">
        <v>2768</v>
      </c>
      <c r="B1783" t="s">
        <v>269</v>
      </c>
      <c r="C1783" t="s">
        <v>10</v>
      </c>
      <c r="D1783" t="s">
        <v>2769</v>
      </c>
    </row>
    <row r="1784" spans="1:4" hidden="1" outlineLevel="2" x14ac:dyDescent="0.3">
      <c r="A1784" t="s">
        <v>2770</v>
      </c>
      <c r="B1784" t="s">
        <v>269</v>
      </c>
      <c r="C1784" t="s">
        <v>10</v>
      </c>
      <c r="D1784" t="s">
        <v>2771</v>
      </c>
    </row>
    <row r="1785" spans="1:4" hidden="1" outlineLevel="2" x14ac:dyDescent="0.3">
      <c r="A1785" t="s">
        <v>2772</v>
      </c>
      <c r="B1785" t="s">
        <v>269</v>
      </c>
      <c r="C1785" t="s">
        <v>10</v>
      </c>
      <c r="D1785" t="s">
        <v>2773</v>
      </c>
    </row>
    <row r="1786" spans="1:4" hidden="1" outlineLevel="2" x14ac:dyDescent="0.3">
      <c r="A1786" t="s">
        <v>2774</v>
      </c>
      <c r="B1786" t="s">
        <v>269</v>
      </c>
      <c r="C1786" t="s">
        <v>10</v>
      </c>
      <c r="D1786" t="s">
        <v>2775</v>
      </c>
    </row>
    <row r="1787" spans="1:4" hidden="1" outlineLevel="2" x14ac:dyDescent="0.3">
      <c r="A1787" t="s">
        <v>2776</v>
      </c>
      <c r="B1787" t="s">
        <v>269</v>
      </c>
      <c r="C1787" t="s">
        <v>10</v>
      </c>
      <c r="D1787" t="s">
        <v>2777</v>
      </c>
    </row>
    <row r="1788" spans="1:4" hidden="1" outlineLevel="2" x14ac:dyDescent="0.3">
      <c r="A1788" t="s">
        <v>2778</v>
      </c>
      <c r="B1788" t="s">
        <v>269</v>
      </c>
      <c r="C1788" t="s">
        <v>10</v>
      </c>
      <c r="D1788" t="s">
        <v>2779</v>
      </c>
    </row>
    <row r="1789" spans="1:4" hidden="1" outlineLevel="2" x14ac:dyDescent="0.3">
      <c r="A1789" t="s">
        <v>2780</v>
      </c>
      <c r="B1789" t="s">
        <v>269</v>
      </c>
      <c r="C1789" t="s">
        <v>10</v>
      </c>
      <c r="D1789" t="s">
        <v>2781</v>
      </c>
    </row>
    <row r="1790" spans="1:4" hidden="1" outlineLevel="2" x14ac:dyDescent="0.3">
      <c r="A1790" t="s">
        <v>2782</v>
      </c>
      <c r="B1790" t="s">
        <v>269</v>
      </c>
      <c r="C1790" t="s">
        <v>10</v>
      </c>
      <c r="D1790" t="s">
        <v>2783</v>
      </c>
    </row>
    <row r="1791" spans="1:4" hidden="1" outlineLevel="2" x14ac:dyDescent="0.3">
      <c r="A1791" t="s">
        <v>2784</v>
      </c>
      <c r="B1791" t="s">
        <v>269</v>
      </c>
      <c r="C1791" t="s">
        <v>10</v>
      </c>
      <c r="D1791" t="s">
        <v>2785</v>
      </c>
    </row>
    <row r="1792" spans="1:4" hidden="1" outlineLevel="2" x14ac:dyDescent="0.3">
      <c r="A1792" t="s">
        <v>2786</v>
      </c>
      <c r="B1792" t="s">
        <v>269</v>
      </c>
      <c r="C1792" t="s">
        <v>10</v>
      </c>
      <c r="D1792" t="s">
        <v>2787</v>
      </c>
    </row>
    <row r="1793" spans="1:4" hidden="1" outlineLevel="2" x14ac:dyDescent="0.3">
      <c r="A1793" t="s">
        <v>2788</v>
      </c>
      <c r="B1793" t="s">
        <v>269</v>
      </c>
      <c r="C1793" t="s">
        <v>10</v>
      </c>
      <c r="D1793" t="s">
        <v>2789</v>
      </c>
    </row>
    <row r="1794" spans="1:4" hidden="1" outlineLevel="2" x14ac:dyDescent="0.3">
      <c r="A1794" t="s">
        <v>2790</v>
      </c>
      <c r="B1794" t="s">
        <v>269</v>
      </c>
      <c r="C1794" t="s">
        <v>10</v>
      </c>
      <c r="D1794" t="s">
        <v>2791</v>
      </c>
    </row>
    <row r="1795" spans="1:4" hidden="1" outlineLevel="2" x14ac:dyDescent="0.3">
      <c r="A1795" t="s">
        <v>2792</v>
      </c>
      <c r="B1795" t="s">
        <v>269</v>
      </c>
      <c r="C1795" t="s">
        <v>10</v>
      </c>
      <c r="D1795" t="s">
        <v>2793</v>
      </c>
    </row>
    <row r="1796" spans="1:4" hidden="1" outlineLevel="2" x14ac:dyDescent="0.3">
      <c r="A1796" t="s">
        <v>2794</v>
      </c>
      <c r="B1796" t="s">
        <v>269</v>
      </c>
      <c r="C1796" t="s">
        <v>10</v>
      </c>
      <c r="D1796" t="s">
        <v>2795</v>
      </c>
    </row>
    <row r="1797" spans="1:4" hidden="1" outlineLevel="2" x14ac:dyDescent="0.3">
      <c r="A1797" t="s">
        <v>2796</v>
      </c>
      <c r="B1797" t="s">
        <v>269</v>
      </c>
      <c r="C1797" t="s">
        <v>10</v>
      </c>
      <c r="D1797" t="s">
        <v>2797</v>
      </c>
    </row>
    <row r="1798" spans="1:4" hidden="1" outlineLevel="2" x14ac:dyDescent="0.3">
      <c r="A1798" t="s">
        <v>2798</v>
      </c>
      <c r="B1798" t="s">
        <v>269</v>
      </c>
      <c r="C1798" t="s">
        <v>10</v>
      </c>
      <c r="D1798" t="s">
        <v>2799</v>
      </c>
    </row>
    <row r="1799" spans="1:4" hidden="1" outlineLevel="2" x14ac:dyDescent="0.3">
      <c r="A1799" t="s">
        <v>2800</v>
      </c>
      <c r="B1799" t="s">
        <v>269</v>
      </c>
      <c r="C1799" t="s">
        <v>10</v>
      </c>
      <c r="D1799" t="s">
        <v>2801</v>
      </c>
    </row>
    <row r="1800" spans="1:4" hidden="1" outlineLevel="2" x14ac:dyDescent="0.3">
      <c r="A1800" t="s">
        <v>2802</v>
      </c>
      <c r="B1800" t="s">
        <v>269</v>
      </c>
      <c r="C1800" t="s">
        <v>10</v>
      </c>
      <c r="D1800" t="s">
        <v>2803</v>
      </c>
    </row>
    <row r="1801" spans="1:4" hidden="1" outlineLevel="2" x14ac:dyDescent="0.3">
      <c r="A1801" t="s">
        <v>2804</v>
      </c>
      <c r="B1801" t="s">
        <v>269</v>
      </c>
      <c r="C1801" t="s">
        <v>10</v>
      </c>
      <c r="D1801" t="s">
        <v>2805</v>
      </c>
    </row>
    <row r="1802" spans="1:4" hidden="1" outlineLevel="2" x14ac:dyDescent="0.3">
      <c r="A1802" t="s">
        <v>2806</v>
      </c>
      <c r="B1802" t="s">
        <v>269</v>
      </c>
      <c r="C1802" t="s">
        <v>10</v>
      </c>
      <c r="D1802" t="s">
        <v>2807</v>
      </c>
    </row>
    <row r="1803" spans="1:4" hidden="1" outlineLevel="2" x14ac:dyDescent="0.3">
      <c r="A1803" t="s">
        <v>2808</v>
      </c>
      <c r="B1803" t="s">
        <v>269</v>
      </c>
      <c r="C1803" t="s">
        <v>10</v>
      </c>
      <c r="D1803" t="s">
        <v>2809</v>
      </c>
    </row>
    <row r="1804" spans="1:4" hidden="1" outlineLevel="2" x14ac:dyDescent="0.3">
      <c r="A1804" t="s">
        <v>2810</v>
      </c>
      <c r="B1804" t="s">
        <v>269</v>
      </c>
      <c r="C1804" t="s">
        <v>10</v>
      </c>
      <c r="D1804" t="s">
        <v>2811</v>
      </c>
    </row>
    <row r="1805" spans="1:4" hidden="1" outlineLevel="2" x14ac:dyDescent="0.3">
      <c r="A1805" t="s">
        <v>2812</v>
      </c>
      <c r="B1805" t="s">
        <v>269</v>
      </c>
      <c r="C1805" t="s">
        <v>10</v>
      </c>
      <c r="D1805" t="s">
        <v>2813</v>
      </c>
    </row>
    <row r="1806" spans="1:4" hidden="1" outlineLevel="2" x14ac:dyDescent="0.3">
      <c r="A1806" t="s">
        <v>2814</v>
      </c>
      <c r="B1806" t="s">
        <v>269</v>
      </c>
      <c r="C1806" t="s">
        <v>10</v>
      </c>
      <c r="D1806" t="s">
        <v>2815</v>
      </c>
    </row>
    <row r="1807" spans="1:4" hidden="1" outlineLevel="2" x14ac:dyDescent="0.3">
      <c r="A1807" t="s">
        <v>2816</v>
      </c>
      <c r="B1807" t="s">
        <v>269</v>
      </c>
      <c r="C1807" t="s">
        <v>10</v>
      </c>
      <c r="D1807" t="s">
        <v>2817</v>
      </c>
    </row>
    <row r="1808" spans="1:4" hidden="1" outlineLevel="2" x14ac:dyDescent="0.3">
      <c r="A1808" t="s">
        <v>2818</v>
      </c>
      <c r="B1808" t="s">
        <v>269</v>
      </c>
      <c r="C1808" t="s">
        <v>10</v>
      </c>
      <c r="D1808" t="s">
        <v>2819</v>
      </c>
    </row>
    <row r="1809" spans="1:4" hidden="1" outlineLevel="2" x14ac:dyDescent="0.3">
      <c r="A1809" t="s">
        <v>2820</v>
      </c>
      <c r="B1809" t="s">
        <v>269</v>
      </c>
      <c r="C1809" t="s">
        <v>10</v>
      </c>
      <c r="D1809" t="s">
        <v>2821</v>
      </c>
    </row>
    <row r="1810" spans="1:4" hidden="1" outlineLevel="2" x14ac:dyDescent="0.3">
      <c r="A1810" t="s">
        <v>2822</v>
      </c>
      <c r="B1810" t="s">
        <v>269</v>
      </c>
      <c r="C1810" t="s">
        <v>10</v>
      </c>
      <c r="D1810" t="s">
        <v>2823</v>
      </c>
    </row>
    <row r="1811" spans="1:4" hidden="1" outlineLevel="2" x14ac:dyDescent="0.3">
      <c r="A1811" t="s">
        <v>2824</v>
      </c>
      <c r="B1811" t="s">
        <v>269</v>
      </c>
      <c r="C1811" t="s">
        <v>10</v>
      </c>
      <c r="D1811" t="s">
        <v>2823</v>
      </c>
    </row>
    <row r="1812" spans="1:4" hidden="1" outlineLevel="2" x14ac:dyDescent="0.3">
      <c r="A1812" t="s">
        <v>2825</v>
      </c>
      <c r="B1812" t="s">
        <v>269</v>
      </c>
      <c r="C1812" t="s">
        <v>10</v>
      </c>
      <c r="D1812" t="s">
        <v>2823</v>
      </c>
    </row>
    <row r="1813" spans="1:4" hidden="1" outlineLevel="2" x14ac:dyDescent="0.3">
      <c r="A1813" t="s">
        <v>2826</v>
      </c>
      <c r="B1813" t="s">
        <v>269</v>
      </c>
      <c r="C1813" t="s">
        <v>10</v>
      </c>
      <c r="D1813" t="s">
        <v>2823</v>
      </c>
    </row>
    <row r="1814" spans="1:4" hidden="1" outlineLevel="2" x14ac:dyDescent="0.3">
      <c r="A1814" t="s">
        <v>2827</v>
      </c>
      <c r="B1814" t="s">
        <v>269</v>
      </c>
      <c r="C1814" t="s">
        <v>10</v>
      </c>
      <c r="D1814" t="s">
        <v>2823</v>
      </c>
    </row>
    <row r="1815" spans="1:4" hidden="1" outlineLevel="2" x14ac:dyDescent="0.3">
      <c r="A1815" t="s">
        <v>2828</v>
      </c>
      <c r="B1815" t="s">
        <v>269</v>
      </c>
      <c r="C1815" t="s">
        <v>10</v>
      </c>
      <c r="D1815" t="s">
        <v>2829</v>
      </c>
    </row>
    <row r="1816" spans="1:4" hidden="1" outlineLevel="2" x14ac:dyDescent="0.3">
      <c r="A1816" t="s">
        <v>2830</v>
      </c>
      <c r="B1816" t="s">
        <v>269</v>
      </c>
      <c r="C1816" t="s">
        <v>10</v>
      </c>
      <c r="D1816" t="s">
        <v>2831</v>
      </c>
    </row>
    <row r="1817" spans="1:4" hidden="1" outlineLevel="2" x14ac:dyDescent="0.3">
      <c r="A1817" t="s">
        <v>2832</v>
      </c>
      <c r="B1817" t="s">
        <v>269</v>
      </c>
      <c r="C1817" t="s">
        <v>8</v>
      </c>
      <c r="D1817" t="s">
        <v>2833</v>
      </c>
    </row>
    <row r="1818" spans="1:4" hidden="1" outlineLevel="2" x14ac:dyDescent="0.3">
      <c r="A1818" t="s">
        <v>2834</v>
      </c>
      <c r="B1818" t="s">
        <v>269</v>
      </c>
      <c r="C1818" t="s">
        <v>10</v>
      </c>
      <c r="D1818" t="s">
        <v>2835</v>
      </c>
    </row>
    <row r="1819" spans="1:4" hidden="1" outlineLevel="2" x14ac:dyDescent="0.3">
      <c r="A1819" t="s">
        <v>2836</v>
      </c>
      <c r="B1819" t="s">
        <v>269</v>
      </c>
      <c r="C1819" t="s">
        <v>10</v>
      </c>
      <c r="D1819" t="s">
        <v>2837</v>
      </c>
    </row>
    <row r="1820" spans="1:4" hidden="1" outlineLevel="2" x14ac:dyDescent="0.3">
      <c r="A1820" t="s">
        <v>2838</v>
      </c>
      <c r="B1820" t="s">
        <v>269</v>
      </c>
      <c r="C1820" t="s">
        <v>10</v>
      </c>
      <c r="D1820" t="s">
        <v>2839</v>
      </c>
    </row>
    <row r="1821" spans="1:4" hidden="1" outlineLevel="2" x14ac:dyDescent="0.3">
      <c r="A1821" t="s">
        <v>2840</v>
      </c>
      <c r="B1821" t="s">
        <v>269</v>
      </c>
      <c r="C1821" t="s">
        <v>10</v>
      </c>
      <c r="D1821" t="s">
        <v>2841</v>
      </c>
    </row>
    <row r="1822" spans="1:4" hidden="1" outlineLevel="2" x14ac:dyDescent="0.3">
      <c r="A1822" t="s">
        <v>2842</v>
      </c>
      <c r="B1822" t="s">
        <v>269</v>
      </c>
      <c r="C1822" t="s">
        <v>10</v>
      </c>
      <c r="D1822" t="s">
        <v>2843</v>
      </c>
    </row>
    <row r="1823" spans="1:4" hidden="1" outlineLevel="2" x14ac:dyDescent="0.3">
      <c r="A1823" t="s">
        <v>2844</v>
      </c>
      <c r="B1823" t="s">
        <v>269</v>
      </c>
      <c r="C1823" t="s">
        <v>8</v>
      </c>
      <c r="D1823" t="s">
        <v>2845</v>
      </c>
    </row>
    <row r="1824" spans="1:4" hidden="1" outlineLevel="2" x14ac:dyDescent="0.3">
      <c r="A1824" t="s">
        <v>2846</v>
      </c>
      <c r="B1824" t="s">
        <v>269</v>
      </c>
      <c r="C1824" t="s">
        <v>8</v>
      </c>
      <c r="D1824" t="s">
        <v>2847</v>
      </c>
    </row>
    <row r="1825" spans="1:4" hidden="1" outlineLevel="2" x14ac:dyDescent="0.3">
      <c r="A1825" t="s">
        <v>2848</v>
      </c>
      <c r="B1825" t="s">
        <v>269</v>
      </c>
      <c r="C1825" t="s">
        <v>10</v>
      </c>
      <c r="D1825" t="s">
        <v>2849</v>
      </c>
    </row>
    <row r="1826" spans="1:4" hidden="1" outlineLevel="2" x14ac:dyDescent="0.3">
      <c r="A1826" t="s">
        <v>2850</v>
      </c>
      <c r="B1826" t="s">
        <v>269</v>
      </c>
      <c r="C1826" t="s">
        <v>10</v>
      </c>
      <c r="D1826" t="s">
        <v>2851</v>
      </c>
    </row>
    <row r="1827" spans="1:4" hidden="1" outlineLevel="2" x14ac:dyDescent="0.3">
      <c r="A1827" t="s">
        <v>2852</v>
      </c>
      <c r="B1827" t="s">
        <v>269</v>
      </c>
      <c r="C1827" t="s">
        <v>10</v>
      </c>
      <c r="D1827" t="s">
        <v>2853</v>
      </c>
    </row>
    <row r="1828" spans="1:4" hidden="1" outlineLevel="2" x14ac:dyDescent="0.3">
      <c r="A1828" t="s">
        <v>2854</v>
      </c>
      <c r="B1828" t="s">
        <v>269</v>
      </c>
      <c r="C1828" t="s">
        <v>10</v>
      </c>
      <c r="D1828" t="s">
        <v>2855</v>
      </c>
    </row>
    <row r="1829" spans="1:4" hidden="1" outlineLevel="2" x14ac:dyDescent="0.3">
      <c r="A1829" t="s">
        <v>2856</v>
      </c>
      <c r="B1829" t="s">
        <v>269</v>
      </c>
      <c r="C1829" t="s">
        <v>10</v>
      </c>
      <c r="D1829" t="s">
        <v>2857</v>
      </c>
    </row>
    <row r="1830" spans="1:4" hidden="1" outlineLevel="2" x14ac:dyDescent="0.3">
      <c r="A1830" t="s">
        <v>2858</v>
      </c>
      <c r="B1830" t="s">
        <v>269</v>
      </c>
      <c r="C1830" t="s">
        <v>10</v>
      </c>
      <c r="D1830" t="s">
        <v>2859</v>
      </c>
    </row>
    <row r="1831" spans="1:4" hidden="1" outlineLevel="2" x14ac:dyDescent="0.3">
      <c r="A1831" t="s">
        <v>2860</v>
      </c>
      <c r="B1831" t="s">
        <v>269</v>
      </c>
      <c r="C1831" t="s">
        <v>10</v>
      </c>
      <c r="D1831" t="s">
        <v>2861</v>
      </c>
    </row>
    <row r="1832" spans="1:4" hidden="1" outlineLevel="2" x14ac:dyDescent="0.3">
      <c r="A1832" t="s">
        <v>2862</v>
      </c>
      <c r="B1832" t="s">
        <v>269</v>
      </c>
      <c r="C1832" t="s">
        <v>10</v>
      </c>
      <c r="D1832" t="s">
        <v>2863</v>
      </c>
    </row>
    <row r="1833" spans="1:4" hidden="1" outlineLevel="2" x14ac:dyDescent="0.3">
      <c r="A1833" t="s">
        <v>2864</v>
      </c>
      <c r="B1833" t="s">
        <v>269</v>
      </c>
      <c r="C1833" t="s">
        <v>10</v>
      </c>
      <c r="D1833" t="s">
        <v>2865</v>
      </c>
    </row>
    <row r="1834" spans="1:4" hidden="1" outlineLevel="2" x14ac:dyDescent="0.3">
      <c r="A1834" t="s">
        <v>2866</v>
      </c>
      <c r="B1834" t="s">
        <v>269</v>
      </c>
      <c r="C1834" t="s">
        <v>8</v>
      </c>
      <c r="D1834" t="s">
        <v>2867</v>
      </c>
    </row>
    <row r="1835" spans="1:4" hidden="1" outlineLevel="2" x14ac:dyDescent="0.3">
      <c r="A1835" t="s">
        <v>2868</v>
      </c>
      <c r="B1835" t="s">
        <v>269</v>
      </c>
      <c r="C1835" t="s">
        <v>8</v>
      </c>
      <c r="D1835" t="s">
        <v>2869</v>
      </c>
    </row>
    <row r="1836" spans="1:4" hidden="1" outlineLevel="2" x14ac:dyDescent="0.3">
      <c r="A1836" t="s">
        <v>2870</v>
      </c>
      <c r="B1836" t="s">
        <v>269</v>
      </c>
      <c r="C1836" t="s">
        <v>10</v>
      </c>
      <c r="D1836" t="s">
        <v>2871</v>
      </c>
    </row>
    <row r="1837" spans="1:4" hidden="1" outlineLevel="2" x14ac:dyDescent="0.3">
      <c r="A1837" t="s">
        <v>2872</v>
      </c>
      <c r="B1837" t="s">
        <v>269</v>
      </c>
      <c r="C1837" t="s">
        <v>10</v>
      </c>
      <c r="D1837" t="s">
        <v>2873</v>
      </c>
    </row>
    <row r="1838" spans="1:4" hidden="1" outlineLevel="2" x14ac:dyDescent="0.3">
      <c r="A1838" t="s">
        <v>2874</v>
      </c>
      <c r="B1838" t="s">
        <v>269</v>
      </c>
      <c r="C1838" t="s">
        <v>8</v>
      </c>
      <c r="D1838" t="s">
        <v>2875</v>
      </c>
    </row>
    <row r="1839" spans="1:4" hidden="1" outlineLevel="2" x14ac:dyDescent="0.3">
      <c r="A1839" t="s">
        <v>2876</v>
      </c>
      <c r="B1839" t="s">
        <v>269</v>
      </c>
      <c r="C1839" t="s">
        <v>10</v>
      </c>
      <c r="D1839" t="s">
        <v>2877</v>
      </c>
    </row>
    <row r="1840" spans="1:4" hidden="1" outlineLevel="2" x14ac:dyDescent="0.3">
      <c r="A1840" t="s">
        <v>2878</v>
      </c>
      <c r="B1840" t="s">
        <v>269</v>
      </c>
      <c r="C1840" t="s">
        <v>10</v>
      </c>
      <c r="D1840" t="s">
        <v>2879</v>
      </c>
    </row>
    <row r="1841" spans="1:4" hidden="1" outlineLevel="2" x14ac:dyDescent="0.3">
      <c r="A1841" t="s">
        <v>2880</v>
      </c>
      <c r="B1841" t="s">
        <v>269</v>
      </c>
      <c r="C1841" t="s">
        <v>10</v>
      </c>
      <c r="D1841" t="s">
        <v>2881</v>
      </c>
    </row>
    <row r="1842" spans="1:4" hidden="1" outlineLevel="2" x14ac:dyDescent="0.3">
      <c r="A1842" t="s">
        <v>2882</v>
      </c>
      <c r="B1842" t="s">
        <v>269</v>
      </c>
      <c r="C1842" t="s">
        <v>10</v>
      </c>
      <c r="D1842" t="s">
        <v>2883</v>
      </c>
    </row>
    <row r="1843" spans="1:4" hidden="1" outlineLevel="2" x14ac:dyDescent="0.3">
      <c r="A1843" t="s">
        <v>2884</v>
      </c>
      <c r="B1843" t="s">
        <v>269</v>
      </c>
      <c r="C1843" t="s">
        <v>8</v>
      </c>
      <c r="D1843" t="s">
        <v>2885</v>
      </c>
    </row>
    <row r="1844" spans="1:4" hidden="1" outlineLevel="2" x14ac:dyDescent="0.3">
      <c r="A1844" t="s">
        <v>2886</v>
      </c>
      <c r="B1844" t="s">
        <v>269</v>
      </c>
      <c r="C1844" t="s">
        <v>10</v>
      </c>
      <c r="D1844" t="s">
        <v>2887</v>
      </c>
    </row>
    <row r="1845" spans="1:4" hidden="1" outlineLevel="2" x14ac:dyDescent="0.3">
      <c r="A1845" t="s">
        <v>2888</v>
      </c>
      <c r="B1845" t="s">
        <v>269</v>
      </c>
      <c r="C1845" t="s">
        <v>10</v>
      </c>
      <c r="D1845" t="s">
        <v>2889</v>
      </c>
    </row>
    <row r="1846" spans="1:4" hidden="1" outlineLevel="2" x14ac:dyDescent="0.3">
      <c r="A1846" t="s">
        <v>2890</v>
      </c>
      <c r="B1846" t="s">
        <v>269</v>
      </c>
      <c r="C1846" t="s">
        <v>8</v>
      </c>
      <c r="D1846" t="s">
        <v>2891</v>
      </c>
    </row>
    <row r="1847" spans="1:4" hidden="1" outlineLevel="2" x14ac:dyDescent="0.3">
      <c r="A1847" t="s">
        <v>2892</v>
      </c>
      <c r="B1847" t="s">
        <v>269</v>
      </c>
      <c r="C1847" t="s">
        <v>10</v>
      </c>
      <c r="D1847" t="s">
        <v>2893</v>
      </c>
    </row>
    <row r="1848" spans="1:4" hidden="1" outlineLevel="2" x14ac:dyDescent="0.3">
      <c r="A1848" t="s">
        <v>2894</v>
      </c>
      <c r="B1848" t="s">
        <v>269</v>
      </c>
      <c r="C1848" t="s">
        <v>10</v>
      </c>
      <c r="D1848" t="s">
        <v>2895</v>
      </c>
    </row>
    <row r="1849" spans="1:4" hidden="1" outlineLevel="2" x14ac:dyDescent="0.3">
      <c r="A1849" t="s">
        <v>2896</v>
      </c>
      <c r="B1849" t="s">
        <v>269</v>
      </c>
      <c r="C1849" t="s">
        <v>10</v>
      </c>
      <c r="D1849" t="s">
        <v>2897</v>
      </c>
    </row>
    <row r="1850" spans="1:4" hidden="1" outlineLevel="2" x14ac:dyDescent="0.3">
      <c r="A1850" t="s">
        <v>2898</v>
      </c>
      <c r="B1850" t="s">
        <v>269</v>
      </c>
      <c r="C1850" t="s">
        <v>10</v>
      </c>
      <c r="D1850" t="s">
        <v>2899</v>
      </c>
    </row>
    <row r="1851" spans="1:4" hidden="1" outlineLevel="2" x14ac:dyDescent="0.3">
      <c r="A1851" t="s">
        <v>2900</v>
      </c>
      <c r="B1851" t="s">
        <v>269</v>
      </c>
      <c r="C1851" t="s">
        <v>10</v>
      </c>
      <c r="D1851" t="s">
        <v>2901</v>
      </c>
    </row>
    <row r="1852" spans="1:4" hidden="1" outlineLevel="2" x14ac:dyDescent="0.3">
      <c r="A1852" t="s">
        <v>2902</v>
      </c>
      <c r="B1852" t="s">
        <v>269</v>
      </c>
      <c r="C1852" t="s">
        <v>10</v>
      </c>
      <c r="D1852" t="s">
        <v>2903</v>
      </c>
    </row>
    <row r="1853" spans="1:4" hidden="1" outlineLevel="2" x14ac:dyDescent="0.3">
      <c r="A1853" t="s">
        <v>2904</v>
      </c>
      <c r="B1853" t="s">
        <v>269</v>
      </c>
      <c r="C1853" t="s">
        <v>10</v>
      </c>
      <c r="D1853" t="s">
        <v>2905</v>
      </c>
    </row>
    <row r="1854" spans="1:4" hidden="1" outlineLevel="2" x14ac:dyDescent="0.3">
      <c r="A1854" t="s">
        <v>2906</v>
      </c>
      <c r="B1854" t="s">
        <v>269</v>
      </c>
      <c r="C1854" t="s">
        <v>10</v>
      </c>
      <c r="D1854" t="s">
        <v>2907</v>
      </c>
    </row>
    <row r="1855" spans="1:4" hidden="1" outlineLevel="2" x14ac:dyDescent="0.3">
      <c r="A1855" t="s">
        <v>2908</v>
      </c>
      <c r="B1855" t="s">
        <v>269</v>
      </c>
      <c r="C1855" t="s">
        <v>10</v>
      </c>
      <c r="D1855" t="s">
        <v>2909</v>
      </c>
    </row>
    <row r="1856" spans="1:4" hidden="1" outlineLevel="2" x14ac:dyDescent="0.3">
      <c r="A1856" t="s">
        <v>2910</v>
      </c>
      <c r="B1856" t="s">
        <v>269</v>
      </c>
      <c r="C1856" t="s">
        <v>10</v>
      </c>
      <c r="D1856" t="s">
        <v>2911</v>
      </c>
    </row>
    <row r="1857" spans="1:4" hidden="1" outlineLevel="2" x14ac:dyDescent="0.3">
      <c r="A1857" t="s">
        <v>2912</v>
      </c>
      <c r="B1857" t="s">
        <v>269</v>
      </c>
      <c r="C1857" t="s">
        <v>10</v>
      </c>
      <c r="D1857" t="s">
        <v>2913</v>
      </c>
    </row>
    <row r="1858" spans="1:4" hidden="1" outlineLevel="2" x14ac:dyDescent="0.3">
      <c r="A1858" t="s">
        <v>2914</v>
      </c>
      <c r="B1858" t="s">
        <v>269</v>
      </c>
      <c r="C1858" t="s">
        <v>10</v>
      </c>
      <c r="D1858" t="s">
        <v>2915</v>
      </c>
    </row>
    <row r="1859" spans="1:4" hidden="1" outlineLevel="2" x14ac:dyDescent="0.3">
      <c r="A1859" t="s">
        <v>2916</v>
      </c>
      <c r="B1859" t="s">
        <v>269</v>
      </c>
      <c r="C1859" t="s">
        <v>10</v>
      </c>
      <c r="D1859" t="s">
        <v>2917</v>
      </c>
    </row>
    <row r="1860" spans="1:4" hidden="1" outlineLevel="2" x14ac:dyDescent="0.3">
      <c r="A1860" t="s">
        <v>2918</v>
      </c>
      <c r="B1860" t="s">
        <v>269</v>
      </c>
      <c r="C1860" t="s">
        <v>10</v>
      </c>
      <c r="D1860" t="s">
        <v>2919</v>
      </c>
    </row>
    <row r="1861" spans="1:4" hidden="1" outlineLevel="2" x14ac:dyDescent="0.3">
      <c r="A1861" t="s">
        <v>2920</v>
      </c>
      <c r="B1861" t="s">
        <v>269</v>
      </c>
      <c r="C1861" t="s">
        <v>10</v>
      </c>
      <c r="D1861" t="s">
        <v>2919</v>
      </c>
    </row>
    <row r="1862" spans="1:4" hidden="1" outlineLevel="2" x14ac:dyDescent="0.3">
      <c r="A1862" t="s">
        <v>2921</v>
      </c>
      <c r="B1862" t="s">
        <v>269</v>
      </c>
      <c r="C1862" t="s">
        <v>10</v>
      </c>
      <c r="D1862" t="s">
        <v>2922</v>
      </c>
    </row>
    <row r="1863" spans="1:4" hidden="1" outlineLevel="2" x14ac:dyDescent="0.3">
      <c r="A1863" t="s">
        <v>2923</v>
      </c>
      <c r="B1863" t="s">
        <v>269</v>
      </c>
      <c r="C1863" t="s">
        <v>10</v>
      </c>
      <c r="D1863" t="s">
        <v>2924</v>
      </c>
    </row>
    <row r="1864" spans="1:4" hidden="1" outlineLevel="2" x14ac:dyDescent="0.3">
      <c r="A1864" t="s">
        <v>2925</v>
      </c>
      <c r="B1864" t="s">
        <v>269</v>
      </c>
      <c r="C1864" t="s">
        <v>10</v>
      </c>
      <c r="D1864" t="s">
        <v>2926</v>
      </c>
    </row>
    <row r="1865" spans="1:4" hidden="1" outlineLevel="2" x14ac:dyDescent="0.3">
      <c r="A1865" t="s">
        <v>2927</v>
      </c>
      <c r="B1865" t="s">
        <v>269</v>
      </c>
      <c r="C1865" t="s">
        <v>8</v>
      </c>
      <c r="D1865" t="s">
        <v>2928</v>
      </c>
    </row>
    <row r="1866" spans="1:4" hidden="1" outlineLevel="2" x14ac:dyDescent="0.3">
      <c r="A1866" t="s">
        <v>2929</v>
      </c>
      <c r="B1866" t="s">
        <v>269</v>
      </c>
      <c r="C1866" t="s">
        <v>8</v>
      </c>
      <c r="D1866" t="s">
        <v>2930</v>
      </c>
    </row>
    <row r="1867" spans="1:4" hidden="1" outlineLevel="2" x14ac:dyDescent="0.3">
      <c r="A1867" t="s">
        <v>2931</v>
      </c>
      <c r="B1867" t="s">
        <v>269</v>
      </c>
      <c r="C1867" t="s">
        <v>10</v>
      </c>
      <c r="D1867" t="s">
        <v>2932</v>
      </c>
    </row>
    <row r="1868" spans="1:4" hidden="1" outlineLevel="2" x14ac:dyDescent="0.3">
      <c r="A1868" t="s">
        <v>2933</v>
      </c>
      <c r="B1868" t="s">
        <v>269</v>
      </c>
      <c r="C1868" t="s">
        <v>10</v>
      </c>
      <c r="D1868" t="s">
        <v>2934</v>
      </c>
    </row>
    <row r="1869" spans="1:4" hidden="1" outlineLevel="2" x14ac:dyDescent="0.3">
      <c r="A1869" t="s">
        <v>2935</v>
      </c>
      <c r="B1869" t="s">
        <v>269</v>
      </c>
      <c r="C1869" t="s">
        <v>10</v>
      </c>
      <c r="D1869" t="s">
        <v>2936</v>
      </c>
    </row>
    <row r="1870" spans="1:4" hidden="1" outlineLevel="2" x14ac:dyDescent="0.3">
      <c r="A1870" t="s">
        <v>2937</v>
      </c>
      <c r="B1870" t="s">
        <v>269</v>
      </c>
      <c r="C1870" t="s">
        <v>10</v>
      </c>
      <c r="D1870" t="s">
        <v>2938</v>
      </c>
    </row>
    <row r="1871" spans="1:4" hidden="1" outlineLevel="2" x14ac:dyDescent="0.3">
      <c r="A1871" t="s">
        <v>2939</v>
      </c>
      <c r="B1871" t="s">
        <v>269</v>
      </c>
      <c r="C1871" t="s">
        <v>8</v>
      </c>
      <c r="D1871" t="s">
        <v>2940</v>
      </c>
    </row>
    <row r="1872" spans="1:4" hidden="1" outlineLevel="2" x14ac:dyDescent="0.3">
      <c r="A1872" t="s">
        <v>2941</v>
      </c>
      <c r="B1872" t="s">
        <v>269</v>
      </c>
      <c r="C1872" t="s">
        <v>10</v>
      </c>
      <c r="D1872" t="s">
        <v>2942</v>
      </c>
    </row>
    <row r="1873" spans="1:4" hidden="1" outlineLevel="2" x14ac:dyDescent="0.3">
      <c r="A1873" t="s">
        <v>2943</v>
      </c>
      <c r="B1873" t="s">
        <v>269</v>
      </c>
      <c r="C1873" t="s">
        <v>10</v>
      </c>
      <c r="D1873" t="s">
        <v>2944</v>
      </c>
    </row>
    <row r="1874" spans="1:4" hidden="1" outlineLevel="2" x14ac:dyDescent="0.3">
      <c r="A1874" t="s">
        <v>2945</v>
      </c>
      <c r="B1874" t="s">
        <v>269</v>
      </c>
      <c r="C1874" t="s">
        <v>10</v>
      </c>
      <c r="D1874" t="s">
        <v>2946</v>
      </c>
    </row>
    <row r="1875" spans="1:4" hidden="1" outlineLevel="2" x14ac:dyDescent="0.3">
      <c r="A1875" t="s">
        <v>2947</v>
      </c>
      <c r="B1875" t="s">
        <v>269</v>
      </c>
      <c r="C1875" t="s">
        <v>10</v>
      </c>
      <c r="D1875" t="s">
        <v>2948</v>
      </c>
    </row>
    <row r="1876" spans="1:4" hidden="1" outlineLevel="2" x14ac:dyDescent="0.3">
      <c r="A1876" t="s">
        <v>2949</v>
      </c>
      <c r="B1876" t="s">
        <v>269</v>
      </c>
      <c r="C1876" t="s">
        <v>10</v>
      </c>
      <c r="D1876" t="s">
        <v>2950</v>
      </c>
    </row>
    <row r="1877" spans="1:4" hidden="1" outlineLevel="2" x14ac:dyDescent="0.3">
      <c r="A1877" t="s">
        <v>2951</v>
      </c>
      <c r="B1877" t="s">
        <v>269</v>
      </c>
      <c r="C1877" t="s">
        <v>10</v>
      </c>
      <c r="D1877" t="s">
        <v>2952</v>
      </c>
    </row>
    <row r="1878" spans="1:4" hidden="1" outlineLevel="2" x14ac:dyDescent="0.3">
      <c r="A1878" t="s">
        <v>2953</v>
      </c>
      <c r="B1878" t="s">
        <v>269</v>
      </c>
      <c r="C1878" t="s">
        <v>10</v>
      </c>
      <c r="D1878" t="s">
        <v>2954</v>
      </c>
    </row>
    <row r="1879" spans="1:4" hidden="1" outlineLevel="2" x14ac:dyDescent="0.3">
      <c r="A1879" t="s">
        <v>2955</v>
      </c>
      <c r="B1879" t="s">
        <v>269</v>
      </c>
      <c r="C1879" t="s">
        <v>10</v>
      </c>
      <c r="D1879" t="s">
        <v>2956</v>
      </c>
    </row>
    <row r="1880" spans="1:4" hidden="1" outlineLevel="2" x14ac:dyDescent="0.3">
      <c r="A1880" t="s">
        <v>2957</v>
      </c>
      <c r="B1880" t="s">
        <v>269</v>
      </c>
      <c r="C1880" t="s">
        <v>8</v>
      </c>
      <c r="D1880" t="s">
        <v>2958</v>
      </c>
    </row>
    <row r="1881" spans="1:4" hidden="1" outlineLevel="2" x14ac:dyDescent="0.3">
      <c r="A1881" t="s">
        <v>2959</v>
      </c>
      <c r="B1881" t="s">
        <v>269</v>
      </c>
      <c r="C1881" t="s">
        <v>10</v>
      </c>
      <c r="D1881" t="s">
        <v>2960</v>
      </c>
    </row>
    <row r="1882" spans="1:4" hidden="1" outlineLevel="2" x14ac:dyDescent="0.3">
      <c r="A1882" t="s">
        <v>2961</v>
      </c>
      <c r="B1882" t="s">
        <v>269</v>
      </c>
      <c r="C1882" t="s">
        <v>10</v>
      </c>
      <c r="D1882" t="s">
        <v>2962</v>
      </c>
    </row>
    <row r="1883" spans="1:4" hidden="1" outlineLevel="2" x14ac:dyDescent="0.3">
      <c r="A1883" t="s">
        <v>2963</v>
      </c>
      <c r="B1883" t="s">
        <v>269</v>
      </c>
      <c r="C1883" t="s">
        <v>10</v>
      </c>
      <c r="D1883" t="s">
        <v>2964</v>
      </c>
    </row>
    <row r="1884" spans="1:4" hidden="1" outlineLevel="2" x14ac:dyDescent="0.3">
      <c r="A1884" t="s">
        <v>2965</v>
      </c>
      <c r="B1884" t="s">
        <v>269</v>
      </c>
      <c r="C1884" t="s">
        <v>10</v>
      </c>
      <c r="D1884" t="s">
        <v>2966</v>
      </c>
    </row>
    <row r="1885" spans="1:4" hidden="1" outlineLevel="2" x14ac:dyDescent="0.3">
      <c r="A1885" t="s">
        <v>2967</v>
      </c>
      <c r="B1885" t="s">
        <v>269</v>
      </c>
      <c r="C1885" t="s">
        <v>8</v>
      </c>
      <c r="D1885" t="s">
        <v>2968</v>
      </c>
    </row>
    <row r="1886" spans="1:4" hidden="1" outlineLevel="2" x14ac:dyDescent="0.3">
      <c r="A1886" t="s">
        <v>2969</v>
      </c>
      <c r="B1886" t="s">
        <v>269</v>
      </c>
      <c r="C1886" t="s">
        <v>10</v>
      </c>
      <c r="D1886" t="s">
        <v>2970</v>
      </c>
    </row>
    <row r="1887" spans="1:4" hidden="1" outlineLevel="2" x14ac:dyDescent="0.3">
      <c r="A1887" t="s">
        <v>2971</v>
      </c>
      <c r="B1887" t="s">
        <v>269</v>
      </c>
      <c r="C1887" t="s">
        <v>10</v>
      </c>
      <c r="D1887" t="s">
        <v>2972</v>
      </c>
    </row>
    <row r="1888" spans="1:4" hidden="1" outlineLevel="2" x14ac:dyDescent="0.3">
      <c r="A1888" t="s">
        <v>2973</v>
      </c>
      <c r="B1888" t="s">
        <v>269</v>
      </c>
      <c r="C1888" t="s">
        <v>10</v>
      </c>
      <c r="D1888" t="s">
        <v>2974</v>
      </c>
    </row>
    <row r="1889" spans="1:4" hidden="1" outlineLevel="2" x14ac:dyDescent="0.3">
      <c r="A1889" t="s">
        <v>2975</v>
      </c>
      <c r="B1889" t="s">
        <v>269</v>
      </c>
      <c r="C1889" t="s">
        <v>8</v>
      </c>
      <c r="D1889" t="s">
        <v>2976</v>
      </c>
    </row>
    <row r="1890" spans="1:4" hidden="1" outlineLevel="2" x14ac:dyDescent="0.3">
      <c r="A1890" t="s">
        <v>2977</v>
      </c>
      <c r="B1890" t="s">
        <v>269</v>
      </c>
      <c r="C1890" t="s">
        <v>10</v>
      </c>
      <c r="D1890" t="s">
        <v>2978</v>
      </c>
    </row>
    <row r="1891" spans="1:4" hidden="1" outlineLevel="2" x14ac:dyDescent="0.3">
      <c r="A1891" t="s">
        <v>2979</v>
      </c>
      <c r="B1891" t="s">
        <v>269</v>
      </c>
      <c r="C1891" t="s">
        <v>10</v>
      </c>
      <c r="D1891" t="s">
        <v>2980</v>
      </c>
    </row>
    <row r="1892" spans="1:4" hidden="1" outlineLevel="2" x14ac:dyDescent="0.3">
      <c r="A1892" t="s">
        <v>2981</v>
      </c>
      <c r="B1892" t="s">
        <v>269</v>
      </c>
      <c r="C1892" t="s">
        <v>10</v>
      </c>
      <c r="D1892" t="s">
        <v>2982</v>
      </c>
    </row>
    <row r="1893" spans="1:4" hidden="1" outlineLevel="2" x14ac:dyDescent="0.3">
      <c r="A1893" t="s">
        <v>2983</v>
      </c>
      <c r="B1893" t="s">
        <v>269</v>
      </c>
      <c r="C1893" t="s">
        <v>8</v>
      </c>
      <c r="D1893" t="s">
        <v>2984</v>
      </c>
    </row>
    <row r="1894" spans="1:4" hidden="1" outlineLevel="2" x14ac:dyDescent="0.3">
      <c r="A1894" t="s">
        <v>2985</v>
      </c>
      <c r="B1894" t="s">
        <v>269</v>
      </c>
      <c r="C1894" t="s">
        <v>10</v>
      </c>
      <c r="D1894" t="s">
        <v>2986</v>
      </c>
    </row>
    <row r="1895" spans="1:4" hidden="1" outlineLevel="2" x14ac:dyDescent="0.3">
      <c r="A1895" t="s">
        <v>2987</v>
      </c>
      <c r="B1895" t="s">
        <v>269</v>
      </c>
      <c r="C1895" t="s">
        <v>10</v>
      </c>
      <c r="D1895" t="s">
        <v>2986</v>
      </c>
    </row>
    <row r="1896" spans="1:4" hidden="1" outlineLevel="2" x14ac:dyDescent="0.3">
      <c r="A1896" t="s">
        <v>2988</v>
      </c>
      <c r="B1896" t="s">
        <v>269</v>
      </c>
      <c r="C1896" t="s">
        <v>10</v>
      </c>
      <c r="D1896" t="s">
        <v>2989</v>
      </c>
    </row>
    <row r="1897" spans="1:4" hidden="1" outlineLevel="2" x14ac:dyDescent="0.3">
      <c r="A1897" t="s">
        <v>2990</v>
      </c>
      <c r="B1897" t="s">
        <v>3910</v>
      </c>
      <c r="C1897" t="s">
        <v>8</v>
      </c>
      <c r="D1897" t="s">
        <v>2991</v>
      </c>
    </row>
    <row r="1898" spans="1:4" hidden="1" outlineLevel="2" x14ac:dyDescent="0.3">
      <c r="A1898" t="s">
        <v>2992</v>
      </c>
      <c r="B1898" t="s">
        <v>269</v>
      </c>
      <c r="C1898" t="s">
        <v>10</v>
      </c>
      <c r="D1898" t="s">
        <v>2993</v>
      </c>
    </row>
    <row r="1899" spans="1:4" hidden="1" outlineLevel="2" x14ac:dyDescent="0.3">
      <c r="A1899" t="s">
        <v>2994</v>
      </c>
      <c r="B1899" t="s">
        <v>269</v>
      </c>
      <c r="C1899" t="s">
        <v>10</v>
      </c>
      <c r="D1899" t="s">
        <v>2995</v>
      </c>
    </row>
    <row r="1900" spans="1:4" hidden="1" outlineLevel="2" x14ac:dyDescent="0.3">
      <c r="A1900" t="s">
        <v>2996</v>
      </c>
      <c r="B1900" t="s">
        <v>269</v>
      </c>
      <c r="C1900" t="s">
        <v>10</v>
      </c>
      <c r="D1900" t="s">
        <v>2997</v>
      </c>
    </row>
    <row r="1901" spans="1:4" hidden="1" outlineLevel="2" x14ac:dyDescent="0.3">
      <c r="A1901" t="s">
        <v>2998</v>
      </c>
      <c r="B1901" t="s">
        <v>269</v>
      </c>
      <c r="C1901" t="s">
        <v>10</v>
      </c>
      <c r="D1901" t="s">
        <v>2999</v>
      </c>
    </row>
    <row r="1902" spans="1:4" hidden="1" outlineLevel="2" x14ac:dyDescent="0.3">
      <c r="A1902" t="s">
        <v>3000</v>
      </c>
      <c r="B1902" t="s">
        <v>269</v>
      </c>
      <c r="C1902" t="s">
        <v>10</v>
      </c>
      <c r="D1902" t="s">
        <v>2999</v>
      </c>
    </row>
    <row r="1903" spans="1:4" hidden="1" outlineLevel="2" x14ac:dyDescent="0.3">
      <c r="A1903" t="s">
        <v>3001</v>
      </c>
      <c r="B1903" t="s">
        <v>269</v>
      </c>
      <c r="C1903" t="s">
        <v>10</v>
      </c>
      <c r="D1903" t="s">
        <v>3002</v>
      </c>
    </row>
    <row r="1904" spans="1:4" hidden="1" outlineLevel="2" x14ac:dyDescent="0.3">
      <c r="A1904" t="s">
        <v>3003</v>
      </c>
      <c r="B1904" t="s">
        <v>269</v>
      </c>
      <c r="C1904" t="s">
        <v>10</v>
      </c>
      <c r="D1904" t="s">
        <v>3004</v>
      </c>
    </row>
    <row r="1905" spans="1:4" hidden="1" outlineLevel="2" x14ac:dyDescent="0.3">
      <c r="A1905" t="s">
        <v>3005</v>
      </c>
      <c r="B1905" t="s">
        <v>269</v>
      </c>
      <c r="C1905" t="s">
        <v>10</v>
      </c>
      <c r="D1905" t="s">
        <v>3006</v>
      </c>
    </row>
    <row r="1906" spans="1:4" hidden="1" outlineLevel="2" x14ac:dyDescent="0.3">
      <c r="A1906" t="s">
        <v>3007</v>
      </c>
      <c r="B1906" t="s">
        <v>269</v>
      </c>
      <c r="C1906" t="s">
        <v>10</v>
      </c>
      <c r="D1906" t="s">
        <v>3008</v>
      </c>
    </row>
    <row r="1907" spans="1:4" hidden="1" outlineLevel="2" x14ac:dyDescent="0.3">
      <c r="A1907" t="s">
        <v>3009</v>
      </c>
      <c r="B1907" t="s">
        <v>269</v>
      </c>
      <c r="C1907" t="s">
        <v>10</v>
      </c>
      <c r="D1907" t="s">
        <v>3010</v>
      </c>
    </row>
    <row r="1908" spans="1:4" hidden="1" outlineLevel="2" x14ac:dyDescent="0.3">
      <c r="A1908" t="s">
        <v>3011</v>
      </c>
      <c r="B1908" t="s">
        <v>269</v>
      </c>
      <c r="C1908" t="s">
        <v>10</v>
      </c>
      <c r="D1908" t="s">
        <v>3012</v>
      </c>
    </row>
    <row r="1909" spans="1:4" hidden="1" outlineLevel="2" x14ac:dyDescent="0.3">
      <c r="A1909" t="s">
        <v>3013</v>
      </c>
      <c r="B1909" t="s">
        <v>269</v>
      </c>
      <c r="C1909" t="s">
        <v>10</v>
      </c>
      <c r="D1909" t="s">
        <v>3014</v>
      </c>
    </row>
    <row r="1910" spans="1:4" hidden="1" outlineLevel="2" x14ac:dyDescent="0.3">
      <c r="A1910" t="s">
        <v>3015</v>
      </c>
      <c r="B1910" t="s">
        <v>269</v>
      </c>
      <c r="C1910" t="s">
        <v>8</v>
      </c>
      <c r="D1910" t="s">
        <v>3016</v>
      </c>
    </row>
    <row r="1911" spans="1:4" hidden="1" outlineLevel="2" x14ac:dyDescent="0.3">
      <c r="A1911" t="s">
        <v>3017</v>
      </c>
      <c r="B1911" t="s">
        <v>269</v>
      </c>
      <c r="C1911" t="s">
        <v>10</v>
      </c>
      <c r="D1911" t="s">
        <v>3018</v>
      </c>
    </row>
    <row r="1912" spans="1:4" hidden="1" outlineLevel="2" x14ac:dyDescent="0.3">
      <c r="A1912" t="s">
        <v>3019</v>
      </c>
      <c r="B1912" t="s">
        <v>269</v>
      </c>
      <c r="C1912" t="s">
        <v>10</v>
      </c>
      <c r="D1912" t="s">
        <v>3020</v>
      </c>
    </row>
    <row r="1913" spans="1:4" hidden="1" outlineLevel="2" x14ac:dyDescent="0.3">
      <c r="A1913" t="s">
        <v>3021</v>
      </c>
      <c r="B1913" t="s">
        <v>269</v>
      </c>
      <c r="C1913" t="s">
        <v>8</v>
      </c>
      <c r="D1913" t="s">
        <v>3022</v>
      </c>
    </row>
    <row r="1914" spans="1:4" hidden="1" outlineLevel="2" x14ac:dyDescent="0.3">
      <c r="A1914" t="s">
        <v>3023</v>
      </c>
      <c r="B1914" t="s">
        <v>269</v>
      </c>
      <c r="C1914" t="s">
        <v>8</v>
      </c>
      <c r="D1914" t="s">
        <v>3024</v>
      </c>
    </row>
    <row r="1915" spans="1:4" hidden="1" outlineLevel="2" x14ac:dyDescent="0.3">
      <c r="A1915" t="s">
        <v>3025</v>
      </c>
      <c r="B1915" t="s">
        <v>269</v>
      </c>
      <c r="C1915" t="s">
        <v>10</v>
      </c>
      <c r="D1915" t="s">
        <v>3026</v>
      </c>
    </row>
    <row r="1916" spans="1:4" hidden="1" outlineLevel="2" x14ac:dyDescent="0.3">
      <c r="A1916" t="s">
        <v>3027</v>
      </c>
      <c r="B1916" t="s">
        <v>269</v>
      </c>
      <c r="C1916" t="s">
        <v>10</v>
      </c>
      <c r="D1916" t="s">
        <v>3028</v>
      </c>
    </row>
    <row r="1917" spans="1:4" hidden="1" outlineLevel="2" x14ac:dyDescent="0.3">
      <c r="A1917" t="s">
        <v>3029</v>
      </c>
      <c r="B1917" t="s">
        <v>269</v>
      </c>
      <c r="C1917" t="s">
        <v>10</v>
      </c>
      <c r="D1917" t="s">
        <v>3030</v>
      </c>
    </row>
    <row r="1918" spans="1:4" hidden="1" outlineLevel="2" x14ac:dyDescent="0.3">
      <c r="A1918" t="s">
        <v>3031</v>
      </c>
      <c r="B1918" t="s">
        <v>269</v>
      </c>
      <c r="C1918" t="s">
        <v>10</v>
      </c>
      <c r="D1918" t="s">
        <v>3032</v>
      </c>
    </row>
    <row r="1919" spans="1:4" hidden="1" outlineLevel="2" x14ac:dyDescent="0.3">
      <c r="A1919" t="s">
        <v>3033</v>
      </c>
      <c r="B1919" t="s">
        <v>269</v>
      </c>
      <c r="C1919" t="s">
        <v>10</v>
      </c>
      <c r="D1919" t="s">
        <v>3034</v>
      </c>
    </row>
    <row r="1920" spans="1:4" hidden="1" outlineLevel="2" x14ac:dyDescent="0.3">
      <c r="A1920" t="s">
        <v>3035</v>
      </c>
      <c r="B1920" t="s">
        <v>269</v>
      </c>
      <c r="C1920" t="s">
        <v>8</v>
      </c>
      <c r="D1920" t="s">
        <v>3036</v>
      </c>
    </row>
    <row r="1921" spans="1:4" hidden="1" outlineLevel="2" x14ac:dyDescent="0.3">
      <c r="A1921" t="s">
        <v>3037</v>
      </c>
      <c r="B1921" t="s">
        <v>269</v>
      </c>
      <c r="C1921" t="s">
        <v>10</v>
      </c>
      <c r="D1921" t="s">
        <v>3038</v>
      </c>
    </row>
    <row r="1922" spans="1:4" hidden="1" outlineLevel="2" x14ac:dyDescent="0.3">
      <c r="A1922" t="s">
        <v>3039</v>
      </c>
      <c r="B1922" t="s">
        <v>269</v>
      </c>
      <c r="C1922" t="s">
        <v>8</v>
      </c>
      <c r="D1922" t="s">
        <v>3040</v>
      </c>
    </row>
    <row r="1923" spans="1:4" hidden="1" outlineLevel="2" x14ac:dyDescent="0.3">
      <c r="A1923" t="s">
        <v>3041</v>
      </c>
      <c r="B1923" t="s">
        <v>269</v>
      </c>
      <c r="C1923" t="s">
        <v>8</v>
      </c>
      <c r="D1923" t="s">
        <v>3042</v>
      </c>
    </row>
    <row r="1924" spans="1:4" hidden="1" outlineLevel="2" x14ac:dyDescent="0.3">
      <c r="A1924" t="s">
        <v>3043</v>
      </c>
      <c r="B1924" t="s">
        <v>269</v>
      </c>
      <c r="C1924" t="s">
        <v>10</v>
      </c>
      <c r="D1924" t="s">
        <v>3044</v>
      </c>
    </row>
    <row r="1925" spans="1:4" hidden="1" outlineLevel="2" x14ac:dyDescent="0.3">
      <c r="A1925" t="s">
        <v>3045</v>
      </c>
      <c r="B1925" t="s">
        <v>269</v>
      </c>
      <c r="C1925" t="s">
        <v>10</v>
      </c>
      <c r="D1925" t="s">
        <v>3046</v>
      </c>
    </row>
    <row r="1926" spans="1:4" hidden="1" outlineLevel="2" x14ac:dyDescent="0.3">
      <c r="A1926" t="s">
        <v>3047</v>
      </c>
      <c r="B1926" t="s">
        <v>269</v>
      </c>
      <c r="C1926" t="s">
        <v>10</v>
      </c>
      <c r="D1926" t="s">
        <v>3048</v>
      </c>
    </row>
    <row r="1927" spans="1:4" hidden="1" outlineLevel="2" x14ac:dyDescent="0.3">
      <c r="A1927" t="s">
        <v>3049</v>
      </c>
      <c r="B1927" t="s">
        <v>269</v>
      </c>
      <c r="C1927" t="s">
        <v>10</v>
      </c>
      <c r="D1927" t="s">
        <v>3050</v>
      </c>
    </row>
    <row r="1928" spans="1:4" hidden="1" outlineLevel="2" x14ac:dyDescent="0.3">
      <c r="A1928" t="s">
        <v>3051</v>
      </c>
      <c r="B1928" t="s">
        <v>269</v>
      </c>
      <c r="C1928" t="s">
        <v>10</v>
      </c>
      <c r="D1928" t="s">
        <v>3052</v>
      </c>
    </row>
    <row r="1929" spans="1:4" hidden="1" outlineLevel="2" x14ac:dyDescent="0.3">
      <c r="A1929" t="s">
        <v>3053</v>
      </c>
      <c r="B1929" t="s">
        <v>269</v>
      </c>
      <c r="C1929" t="s">
        <v>10</v>
      </c>
      <c r="D1929" t="s">
        <v>3054</v>
      </c>
    </row>
    <row r="1930" spans="1:4" hidden="1" outlineLevel="2" x14ac:dyDescent="0.3">
      <c r="A1930" t="s">
        <v>3055</v>
      </c>
      <c r="B1930" t="s">
        <v>269</v>
      </c>
      <c r="C1930" t="s">
        <v>10</v>
      </c>
      <c r="D1930" t="s">
        <v>3056</v>
      </c>
    </row>
    <row r="1931" spans="1:4" hidden="1" outlineLevel="2" x14ac:dyDescent="0.3">
      <c r="A1931" t="s">
        <v>3057</v>
      </c>
      <c r="B1931" t="s">
        <v>269</v>
      </c>
      <c r="C1931" t="s">
        <v>10</v>
      </c>
      <c r="D1931" t="s">
        <v>3058</v>
      </c>
    </row>
    <row r="1932" spans="1:4" hidden="1" outlineLevel="2" x14ac:dyDescent="0.3">
      <c r="A1932" t="s">
        <v>3059</v>
      </c>
      <c r="B1932" t="s">
        <v>269</v>
      </c>
      <c r="C1932" t="s">
        <v>10</v>
      </c>
      <c r="D1932" t="s">
        <v>3060</v>
      </c>
    </row>
    <row r="1933" spans="1:4" hidden="1" outlineLevel="2" x14ac:dyDescent="0.3">
      <c r="A1933" t="s">
        <v>3061</v>
      </c>
      <c r="B1933" t="s">
        <v>269</v>
      </c>
      <c r="C1933" t="s">
        <v>10</v>
      </c>
      <c r="D1933" t="s">
        <v>3062</v>
      </c>
    </row>
    <row r="1934" spans="1:4" hidden="1" outlineLevel="2" x14ac:dyDescent="0.3">
      <c r="A1934" t="s">
        <v>3063</v>
      </c>
      <c r="B1934" t="s">
        <v>269</v>
      </c>
      <c r="C1934" t="s">
        <v>8</v>
      </c>
      <c r="D1934" t="s">
        <v>3064</v>
      </c>
    </row>
    <row r="1935" spans="1:4" hidden="1" outlineLevel="2" x14ac:dyDescent="0.3">
      <c r="A1935" t="s">
        <v>3065</v>
      </c>
      <c r="B1935" t="s">
        <v>269</v>
      </c>
      <c r="C1935" t="s">
        <v>10</v>
      </c>
      <c r="D1935" t="s">
        <v>3066</v>
      </c>
    </row>
    <row r="1936" spans="1:4" hidden="1" outlineLevel="2" x14ac:dyDescent="0.3">
      <c r="A1936" t="s">
        <v>3067</v>
      </c>
      <c r="B1936" t="s">
        <v>269</v>
      </c>
      <c r="C1936" t="s">
        <v>10</v>
      </c>
      <c r="D1936" t="s">
        <v>3068</v>
      </c>
    </row>
    <row r="1937" spans="1:4" hidden="1" outlineLevel="2" x14ac:dyDescent="0.3">
      <c r="A1937" t="s">
        <v>3069</v>
      </c>
      <c r="B1937" t="s">
        <v>269</v>
      </c>
      <c r="C1937" t="s">
        <v>10</v>
      </c>
      <c r="D1937" t="s">
        <v>3070</v>
      </c>
    </row>
    <row r="1938" spans="1:4" hidden="1" outlineLevel="2" x14ac:dyDescent="0.3">
      <c r="A1938" t="s">
        <v>3071</v>
      </c>
      <c r="B1938" t="s">
        <v>269</v>
      </c>
      <c r="C1938" t="s">
        <v>10</v>
      </c>
      <c r="D1938" t="s">
        <v>3072</v>
      </c>
    </row>
    <row r="1939" spans="1:4" hidden="1" outlineLevel="2" x14ac:dyDescent="0.3">
      <c r="A1939" t="s">
        <v>3073</v>
      </c>
      <c r="B1939" t="s">
        <v>269</v>
      </c>
      <c r="C1939" t="s">
        <v>10</v>
      </c>
      <c r="D1939" t="s">
        <v>3072</v>
      </c>
    </row>
    <row r="1940" spans="1:4" hidden="1" outlineLevel="2" x14ac:dyDescent="0.3">
      <c r="A1940" t="s">
        <v>3074</v>
      </c>
      <c r="B1940" t="s">
        <v>269</v>
      </c>
      <c r="C1940" t="s">
        <v>10</v>
      </c>
      <c r="D1940" t="s">
        <v>3075</v>
      </c>
    </row>
    <row r="1941" spans="1:4" hidden="1" outlineLevel="2" x14ac:dyDescent="0.3">
      <c r="A1941" t="s">
        <v>3076</v>
      </c>
      <c r="B1941" t="s">
        <v>269</v>
      </c>
      <c r="C1941" t="s">
        <v>10</v>
      </c>
      <c r="D1941" t="s">
        <v>3077</v>
      </c>
    </row>
    <row r="1942" spans="1:4" hidden="1" outlineLevel="2" x14ac:dyDescent="0.3">
      <c r="A1942" t="s">
        <v>3078</v>
      </c>
      <c r="B1942" t="s">
        <v>269</v>
      </c>
      <c r="C1942" t="s">
        <v>10</v>
      </c>
      <c r="D1942" t="s">
        <v>3079</v>
      </c>
    </row>
    <row r="1943" spans="1:4" hidden="1" outlineLevel="2" x14ac:dyDescent="0.3">
      <c r="A1943" t="s">
        <v>3080</v>
      </c>
      <c r="B1943" t="s">
        <v>269</v>
      </c>
      <c r="C1943" t="s">
        <v>10</v>
      </c>
      <c r="D1943" t="s">
        <v>3079</v>
      </c>
    </row>
    <row r="1944" spans="1:4" hidden="1" outlineLevel="2" x14ac:dyDescent="0.3">
      <c r="A1944" t="s">
        <v>3081</v>
      </c>
      <c r="B1944" t="s">
        <v>269</v>
      </c>
      <c r="C1944" t="s">
        <v>10</v>
      </c>
      <c r="D1944" t="s">
        <v>3079</v>
      </c>
    </row>
    <row r="1945" spans="1:4" hidden="1" outlineLevel="2" x14ac:dyDescent="0.3">
      <c r="A1945" t="s">
        <v>3082</v>
      </c>
      <c r="B1945" t="s">
        <v>269</v>
      </c>
      <c r="C1945" t="s">
        <v>10</v>
      </c>
      <c r="D1945" t="s">
        <v>3079</v>
      </c>
    </row>
    <row r="1946" spans="1:4" hidden="1" outlineLevel="2" x14ac:dyDescent="0.3">
      <c r="A1946" t="s">
        <v>3083</v>
      </c>
      <c r="B1946" t="s">
        <v>269</v>
      </c>
      <c r="C1946" t="s">
        <v>8</v>
      </c>
      <c r="D1946" t="s">
        <v>3084</v>
      </c>
    </row>
    <row r="1947" spans="1:4" hidden="1" outlineLevel="2" x14ac:dyDescent="0.3">
      <c r="A1947" t="s">
        <v>3085</v>
      </c>
      <c r="B1947" t="s">
        <v>269</v>
      </c>
      <c r="C1947" t="s">
        <v>10</v>
      </c>
      <c r="D1947" t="s">
        <v>3086</v>
      </c>
    </row>
    <row r="1948" spans="1:4" hidden="1" outlineLevel="2" x14ac:dyDescent="0.3">
      <c r="A1948" t="s">
        <v>3087</v>
      </c>
      <c r="B1948" t="s">
        <v>269</v>
      </c>
      <c r="C1948" t="s">
        <v>10</v>
      </c>
      <c r="D1948" t="s">
        <v>3088</v>
      </c>
    </row>
    <row r="1949" spans="1:4" hidden="1" outlineLevel="2" x14ac:dyDescent="0.3">
      <c r="A1949" t="s">
        <v>3089</v>
      </c>
      <c r="B1949" t="s">
        <v>269</v>
      </c>
      <c r="C1949" t="s">
        <v>10</v>
      </c>
      <c r="D1949" t="s">
        <v>3090</v>
      </c>
    </row>
    <row r="1950" spans="1:4" hidden="1" outlineLevel="2" x14ac:dyDescent="0.3">
      <c r="A1950" t="s">
        <v>3091</v>
      </c>
      <c r="B1950" t="s">
        <v>269</v>
      </c>
      <c r="C1950" t="s">
        <v>10</v>
      </c>
      <c r="D1950" t="s">
        <v>3092</v>
      </c>
    </row>
    <row r="1951" spans="1:4" hidden="1" outlineLevel="2" x14ac:dyDescent="0.3">
      <c r="A1951" t="s">
        <v>3093</v>
      </c>
      <c r="B1951" t="s">
        <v>269</v>
      </c>
      <c r="C1951" t="s">
        <v>10</v>
      </c>
      <c r="D1951" t="s">
        <v>3094</v>
      </c>
    </row>
    <row r="1952" spans="1:4" hidden="1" outlineLevel="2" x14ac:dyDescent="0.3">
      <c r="A1952" t="s">
        <v>3095</v>
      </c>
      <c r="B1952" t="s">
        <v>269</v>
      </c>
      <c r="C1952" t="s">
        <v>8</v>
      </c>
      <c r="D1952" t="s">
        <v>3096</v>
      </c>
    </row>
    <row r="1953" spans="1:4" hidden="1" outlineLevel="2" x14ac:dyDescent="0.3">
      <c r="A1953" t="s">
        <v>3097</v>
      </c>
      <c r="B1953" t="s">
        <v>269</v>
      </c>
      <c r="C1953" t="s">
        <v>10</v>
      </c>
      <c r="D1953" t="s">
        <v>3098</v>
      </c>
    </row>
    <row r="1954" spans="1:4" hidden="1" outlineLevel="2" x14ac:dyDescent="0.3">
      <c r="A1954" t="s">
        <v>3099</v>
      </c>
      <c r="B1954" t="s">
        <v>269</v>
      </c>
      <c r="C1954" t="s">
        <v>10</v>
      </c>
      <c r="D1954" t="s">
        <v>3098</v>
      </c>
    </row>
    <row r="1955" spans="1:4" hidden="1" outlineLevel="2" x14ac:dyDescent="0.3">
      <c r="A1955" t="s">
        <v>3100</v>
      </c>
      <c r="B1955" t="s">
        <v>269</v>
      </c>
      <c r="C1955" t="s">
        <v>10</v>
      </c>
      <c r="D1955" t="s">
        <v>3098</v>
      </c>
    </row>
    <row r="1956" spans="1:4" hidden="1" outlineLevel="2" x14ac:dyDescent="0.3">
      <c r="A1956" t="s">
        <v>3101</v>
      </c>
      <c r="B1956" t="s">
        <v>269</v>
      </c>
      <c r="C1956" t="s">
        <v>10</v>
      </c>
      <c r="D1956" t="s">
        <v>3102</v>
      </c>
    </row>
    <row r="1957" spans="1:4" hidden="1" outlineLevel="2" x14ac:dyDescent="0.3">
      <c r="A1957" t="s">
        <v>3103</v>
      </c>
      <c r="B1957" t="s">
        <v>269</v>
      </c>
      <c r="C1957" t="s">
        <v>10</v>
      </c>
      <c r="D1957" t="s">
        <v>3104</v>
      </c>
    </row>
    <row r="1958" spans="1:4" hidden="1" outlineLevel="2" x14ac:dyDescent="0.3">
      <c r="A1958" t="s">
        <v>3105</v>
      </c>
      <c r="B1958" t="s">
        <v>269</v>
      </c>
      <c r="C1958" t="s">
        <v>10</v>
      </c>
      <c r="D1958" t="s">
        <v>3106</v>
      </c>
    </row>
    <row r="1959" spans="1:4" hidden="1" outlineLevel="2" x14ac:dyDescent="0.3">
      <c r="A1959" t="s">
        <v>3107</v>
      </c>
      <c r="B1959" t="s">
        <v>269</v>
      </c>
      <c r="C1959" t="s">
        <v>10</v>
      </c>
      <c r="D1959" t="s">
        <v>3108</v>
      </c>
    </row>
    <row r="1960" spans="1:4" hidden="1" outlineLevel="2" x14ac:dyDescent="0.3">
      <c r="A1960" t="s">
        <v>3109</v>
      </c>
      <c r="B1960" t="s">
        <v>269</v>
      </c>
      <c r="C1960" t="s">
        <v>8</v>
      </c>
      <c r="D1960" t="s">
        <v>3110</v>
      </c>
    </row>
    <row r="1961" spans="1:4" hidden="1" outlineLevel="2" x14ac:dyDescent="0.3">
      <c r="A1961" t="s">
        <v>3111</v>
      </c>
      <c r="B1961" t="s">
        <v>269</v>
      </c>
      <c r="C1961" t="s">
        <v>10</v>
      </c>
      <c r="D1961" t="s">
        <v>3112</v>
      </c>
    </row>
    <row r="1962" spans="1:4" hidden="1" outlineLevel="2" x14ac:dyDescent="0.3">
      <c r="A1962" t="s">
        <v>3113</v>
      </c>
      <c r="B1962" t="s">
        <v>269</v>
      </c>
      <c r="C1962" t="s">
        <v>10</v>
      </c>
      <c r="D1962" t="s">
        <v>3114</v>
      </c>
    </row>
    <row r="1963" spans="1:4" hidden="1" outlineLevel="2" x14ac:dyDescent="0.3">
      <c r="A1963" t="s">
        <v>3115</v>
      </c>
      <c r="B1963" t="s">
        <v>269</v>
      </c>
      <c r="C1963" t="s">
        <v>10</v>
      </c>
      <c r="D1963" t="s">
        <v>3116</v>
      </c>
    </row>
    <row r="1964" spans="1:4" hidden="1" outlineLevel="2" x14ac:dyDescent="0.3">
      <c r="A1964" t="s">
        <v>3117</v>
      </c>
      <c r="B1964" t="s">
        <v>269</v>
      </c>
      <c r="C1964" t="s">
        <v>10</v>
      </c>
      <c r="D1964" t="s">
        <v>3116</v>
      </c>
    </row>
    <row r="1965" spans="1:4" hidden="1" outlineLevel="2" x14ac:dyDescent="0.3">
      <c r="A1965" t="s">
        <v>3118</v>
      </c>
      <c r="B1965" t="s">
        <v>269</v>
      </c>
      <c r="C1965" t="s">
        <v>10</v>
      </c>
      <c r="D1965" t="s">
        <v>3119</v>
      </c>
    </row>
    <row r="1966" spans="1:4" hidden="1" outlineLevel="2" x14ac:dyDescent="0.3">
      <c r="A1966" t="s">
        <v>3120</v>
      </c>
      <c r="B1966" t="s">
        <v>269</v>
      </c>
      <c r="C1966" t="s">
        <v>10</v>
      </c>
      <c r="D1966" t="s">
        <v>3119</v>
      </c>
    </row>
    <row r="1967" spans="1:4" hidden="1" outlineLevel="2" x14ac:dyDescent="0.3">
      <c r="A1967" t="s">
        <v>3121</v>
      </c>
      <c r="B1967" t="s">
        <v>269</v>
      </c>
      <c r="C1967" t="s">
        <v>10</v>
      </c>
      <c r="D1967" t="s">
        <v>3122</v>
      </c>
    </row>
    <row r="1968" spans="1:4" hidden="1" outlineLevel="2" x14ac:dyDescent="0.3">
      <c r="A1968" t="s">
        <v>3123</v>
      </c>
      <c r="B1968" t="s">
        <v>269</v>
      </c>
      <c r="C1968" t="s">
        <v>10</v>
      </c>
      <c r="D1968" t="s">
        <v>3122</v>
      </c>
    </row>
    <row r="1969" spans="1:4" hidden="1" outlineLevel="2" x14ac:dyDescent="0.3">
      <c r="A1969" t="s">
        <v>3124</v>
      </c>
      <c r="B1969" t="s">
        <v>269</v>
      </c>
      <c r="C1969" t="s">
        <v>10</v>
      </c>
      <c r="D1969" t="s">
        <v>3125</v>
      </c>
    </row>
    <row r="1970" spans="1:4" hidden="1" outlineLevel="2" x14ac:dyDescent="0.3">
      <c r="A1970" t="s">
        <v>3126</v>
      </c>
      <c r="B1970" t="s">
        <v>269</v>
      </c>
      <c r="C1970" t="s">
        <v>10</v>
      </c>
      <c r="D1970" t="s">
        <v>3127</v>
      </c>
    </row>
    <row r="1971" spans="1:4" hidden="1" outlineLevel="2" x14ac:dyDescent="0.3">
      <c r="A1971" t="s">
        <v>3128</v>
      </c>
      <c r="B1971" t="s">
        <v>269</v>
      </c>
      <c r="C1971" t="s">
        <v>10</v>
      </c>
      <c r="D1971" t="s">
        <v>3129</v>
      </c>
    </row>
    <row r="1972" spans="1:4" hidden="1" outlineLevel="2" x14ac:dyDescent="0.3">
      <c r="A1972" t="s">
        <v>3130</v>
      </c>
      <c r="B1972" t="s">
        <v>269</v>
      </c>
      <c r="C1972" t="s">
        <v>10</v>
      </c>
      <c r="D1972" t="s">
        <v>3131</v>
      </c>
    </row>
    <row r="1973" spans="1:4" hidden="1" outlineLevel="2" x14ac:dyDescent="0.3">
      <c r="A1973" t="s">
        <v>3132</v>
      </c>
      <c r="B1973" t="s">
        <v>269</v>
      </c>
      <c r="C1973" t="s">
        <v>10</v>
      </c>
      <c r="D1973" t="s">
        <v>3133</v>
      </c>
    </row>
    <row r="1974" spans="1:4" hidden="1" outlineLevel="2" x14ac:dyDescent="0.3">
      <c r="A1974" t="s">
        <v>3134</v>
      </c>
      <c r="B1974" t="s">
        <v>269</v>
      </c>
      <c r="C1974" t="s">
        <v>10</v>
      </c>
      <c r="D1974" t="s">
        <v>3135</v>
      </c>
    </row>
    <row r="1975" spans="1:4" hidden="1" outlineLevel="2" x14ac:dyDescent="0.3">
      <c r="A1975" t="s">
        <v>3136</v>
      </c>
      <c r="B1975" t="s">
        <v>269</v>
      </c>
      <c r="C1975" t="s">
        <v>10</v>
      </c>
      <c r="D1975" t="s">
        <v>3137</v>
      </c>
    </row>
    <row r="1976" spans="1:4" hidden="1" outlineLevel="2" x14ac:dyDescent="0.3">
      <c r="A1976" t="s">
        <v>3138</v>
      </c>
      <c r="B1976" t="s">
        <v>269</v>
      </c>
      <c r="C1976" t="s">
        <v>8</v>
      </c>
      <c r="D1976" t="s">
        <v>3139</v>
      </c>
    </row>
    <row r="1977" spans="1:4" hidden="1" outlineLevel="2" x14ac:dyDescent="0.3">
      <c r="A1977" t="s">
        <v>3140</v>
      </c>
      <c r="B1977" t="s">
        <v>269</v>
      </c>
      <c r="C1977" t="s">
        <v>10</v>
      </c>
      <c r="D1977" t="s">
        <v>3141</v>
      </c>
    </row>
    <row r="1978" spans="1:4" hidden="1" outlineLevel="2" x14ac:dyDescent="0.3">
      <c r="A1978" t="s">
        <v>3142</v>
      </c>
      <c r="B1978" t="s">
        <v>269</v>
      </c>
      <c r="C1978" t="s">
        <v>8</v>
      </c>
      <c r="D1978" t="s">
        <v>3143</v>
      </c>
    </row>
    <row r="1979" spans="1:4" hidden="1" outlineLevel="2" x14ac:dyDescent="0.3">
      <c r="A1979" t="s">
        <v>3144</v>
      </c>
      <c r="B1979" t="s">
        <v>269</v>
      </c>
      <c r="C1979" t="s">
        <v>10</v>
      </c>
      <c r="D1979" t="s">
        <v>3145</v>
      </c>
    </row>
    <row r="1980" spans="1:4" hidden="1" outlineLevel="2" x14ac:dyDescent="0.3">
      <c r="A1980" t="s">
        <v>3146</v>
      </c>
      <c r="B1980" t="s">
        <v>269</v>
      </c>
      <c r="C1980" t="s">
        <v>10</v>
      </c>
      <c r="D1980" t="s">
        <v>3079</v>
      </c>
    </row>
    <row r="1981" spans="1:4" hidden="1" outlineLevel="2" x14ac:dyDescent="0.3">
      <c r="A1981" t="s">
        <v>3147</v>
      </c>
      <c r="B1981" t="s">
        <v>269</v>
      </c>
      <c r="C1981" t="s">
        <v>10</v>
      </c>
      <c r="D1981" t="s">
        <v>3079</v>
      </c>
    </row>
    <row r="1982" spans="1:4" hidden="1" outlineLevel="2" x14ac:dyDescent="0.3">
      <c r="A1982" t="s">
        <v>3148</v>
      </c>
      <c r="B1982" t="s">
        <v>269</v>
      </c>
      <c r="C1982" t="s">
        <v>10</v>
      </c>
      <c r="D1982" t="s">
        <v>3079</v>
      </c>
    </row>
    <row r="1983" spans="1:4" hidden="1" outlineLevel="2" x14ac:dyDescent="0.3">
      <c r="A1983" t="s">
        <v>3149</v>
      </c>
      <c r="B1983" t="s">
        <v>269</v>
      </c>
      <c r="C1983" t="s">
        <v>10</v>
      </c>
      <c r="D1983" t="s">
        <v>3079</v>
      </c>
    </row>
    <row r="1984" spans="1:4" hidden="1" outlineLevel="2" x14ac:dyDescent="0.3">
      <c r="A1984" t="s">
        <v>3150</v>
      </c>
      <c r="B1984" t="s">
        <v>269</v>
      </c>
      <c r="C1984" t="s">
        <v>10</v>
      </c>
      <c r="D1984" t="s">
        <v>3145</v>
      </c>
    </row>
    <row r="1985" spans="1:4" hidden="1" outlineLevel="2" x14ac:dyDescent="0.3">
      <c r="A1985" t="s">
        <v>3151</v>
      </c>
      <c r="B1985" t="s">
        <v>269</v>
      </c>
      <c r="C1985" t="s">
        <v>10</v>
      </c>
      <c r="D1985" t="s">
        <v>3152</v>
      </c>
    </row>
    <row r="1986" spans="1:4" hidden="1" outlineLevel="2" x14ac:dyDescent="0.3">
      <c r="A1986" t="s">
        <v>3153</v>
      </c>
      <c r="B1986" t="s">
        <v>3844</v>
      </c>
      <c r="C1986" t="s">
        <v>8</v>
      </c>
      <c r="D1986" t="s">
        <v>3154</v>
      </c>
    </row>
    <row r="1987" spans="1:4" hidden="1" outlineLevel="2" x14ac:dyDescent="0.3">
      <c r="A1987" t="s">
        <v>3155</v>
      </c>
      <c r="B1987" t="s">
        <v>3844</v>
      </c>
      <c r="C1987" t="s">
        <v>8</v>
      </c>
      <c r="D1987" t="s">
        <v>3156</v>
      </c>
    </row>
    <row r="1988" spans="1:4" hidden="1" outlineLevel="2" x14ac:dyDescent="0.3">
      <c r="A1988" t="s">
        <v>3157</v>
      </c>
      <c r="B1988" t="s">
        <v>3844</v>
      </c>
      <c r="C1988" t="s">
        <v>10</v>
      </c>
      <c r="D1988" t="s">
        <v>3158</v>
      </c>
    </row>
    <row r="1989" spans="1:4" hidden="1" outlineLevel="2" x14ac:dyDescent="0.3">
      <c r="A1989" t="s">
        <v>3159</v>
      </c>
      <c r="B1989" t="s">
        <v>3844</v>
      </c>
      <c r="C1989" t="s">
        <v>10</v>
      </c>
      <c r="D1989" t="s">
        <v>3160</v>
      </c>
    </row>
    <row r="1990" spans="1:4" hidden="1" outlineLevel="2" x14ac:dyDescent="0.3">
      <c r="A1990" t="s">
        <v>3161</v>
      </c>
      <c r="B1990" t="s">
        <v>3844</v>
      </c>
      <c r="C1990" t="s">
        <v>10</v>
      </c>
      <c r="D1990" t="s">
        <v>3162</v>
      </c>
    </row>
    <row r="1991" spans="1:4" hidden="1" outlineLevel="2" x14ac:dyDescent="0.3">
      <c r="A1991" t="s">
        <v>3163</v>
      </c>
      <c r="B1991" t="s">
        <v>3844</v>
      </c>
      <c r="C1991" t="s">
        <v>10</v>
      </c>
      <c r="D1991" t="s">
        <v>3164</v>
      </c>
    </row>
    <row r="1992" spans="1:4" hidden="1" outlineLevel="2" x14ac:dyDescent="0.3">
      <c r="A1992" t="s">
        <v>3165</v>
      </c>
      <c r="B1992" t="s">
        <v>3844</v>
      </c>
      <c r="C1992" t="s">
        <v>10</v>
      </c>
      <c r="D1992" t="s">
        <v>3166</v>
      </c>
    </row>
    <row r="1993" spans="1:4" hidden="1" outlineLevel="2" x14ac:dyDescent="0.3">
      <c r="A1993" t="s">
        <v>3167</v>
      </c>
      <c r="B1993" t="s">
        <v>3844</v>
      </c>
      <c r="C1993" t="s">
        <v>10</v>
      </c>
      <c r="D1993" t="s">
        <v>3168</v>
      </c>
    </row>
    <row r="1994" spans="1:4" hidden="1" outlineLevel="2" x14ac:dyDescent="0.3">
      <c r="A1994" t="s">
        <v>3169</v>
      </c>
      <c r="B1994" t="s">
        <v>3844</v>
      </c>
      <c r="C1994" t="s">
        <v>10</v>
      </c>
      <c r="D1994" t="s">
        <v>3170</v>
      </c>
    </row>
    <row r="1995" spans="1:4" hidden="1" outlineLevel="2" x14ac:dyDescent="0.3">
      <c r="A1995" t="s">
        <v>3171</v>
      </c>
      <c r="B1995" t="s">
        <v>3844</v>
      </c>
      <c r="C1995" t="s">
        <v>10</v>
      </c>
      <c r="D1995" t="s">
        <v>3172</v>
      </c>
    </row>
    <row r="1996" spans="1:4" hidden="1" outlineLevel="2" x14ac:dyDescent="0.3">
      <c r="A1996" t="s">
        <v>3173</v>
      </c>
      <c r="B1996" t="s">
        <v>3844</v>
      </c>
      <c r="C1996" t="s">
        <v>10</v>
      </c>
      <c r="D1996" t="s">
        <v>3174</v>
      </c>
    </row>
    <row r="1997" spans="1:4" hidden="1" outlineLevel="2" x14ac:dyDescent="0.3">
      <c r="A1997" t="s">
        <v>3175</v>
      </c>
      <c r="B1997" t="s">
        <v>3844</v>
      </c>
      <c r="C1997" t="s">
        <v>10</v>
      </c>
      <c r="D1997" t="s">
        <v>3176</v>
      </c>
    </row>
    <row r="1998" spans="1:4" hidden="1" outlineLevel="2" x14ac:dyDescent="0.3">
      <c r="A1998" t="s">
        <v>3177</v>
      </c>
      <c r="B1998" t="s">
        <v>3844</v>
      </c>
      <c r="C1998" t="s">
        <v>10</v>
      </c>
      <c r="D1998" t="s">
        <v>3178</v>
      </c>
    </row>
    <row r="1999" spans="1:4" hidden="1" outlineLevel="2" x14ac:dyDescent="0.3">
      <c r="A1999" t="s">
        <v>3179</v>
      </c>
      <c r="B1999" t="s">
        <v>269</v>
      </c>
      <c r="C1999" t="s">
        <v>8</v>
      </c>
      <c r="D1999" t="s">
        <v>3180</v>
      </c>
    </row>
    <row r="2000" spans="1:4" hidden="1" outlineLevel="2" x14ac:dyDescent="0.3">
      <c r="A2000" t="s">
        <v>3181</v>
      </c>
      <c r="B2000" t="s">
        <v>269</v>
      </c>
      <c r="C2000" t="s">
        <v>8</v>
      </c>
      <c r="D2000" t="s">
        <v>3182</v>
      </c>
    </row>
    <row r="2001" spans="1:4" hidden="1" outlineLevel="2" x14ac:dyDescent="0.3">
      <c r="A2001" t="s">
        <v>3183</v>
      </c>
      <c r="B2001" t="s">
        <v>269</v>
      </c>
      <c r="C2001" t="s">
        <v>8</v>
      </c>
      <c r="D2001" t="s">
        <v>3182</v>
      </c>
    </row>
    <row r="2002" spans="1:4" hidden="1" outlineLevel="2" x14ac:dyDescent="0.3">
      <c r="A2002" t="s">
        <v>3184</v>
      </c>
      <c r="B2002" t="s">
        <v>3910</v>
      </c>
      <c r="C2002" t="s">
        <v>8</v>
      </c>
      <c r="D2002" t="s">
        <v>3185</v>
      </c>
    </row>
    <row r="2003" spans="1:4" hidden="1" outlineLevel="2" x14ac:dyDescent="0.3">
      <c r="A2003" t="s">
        <v>3186</v>
      </c>
      <c r="B2003" t="s">
        <v>3910</v>
      </c>
      <c r="C2003" t="s">
        <v>8</v>
      </c>
      <c r="D2003" t="s">
        <v>3187</v>
      </c>
    </row>
    <row r="2004" spans="1:4" hidden="1" outlineLevel="2" x14ac:dyDescent="0.3">
      <c r="A2004" t="s">
        <v>3188</v>
      </c>
      <c r="B2004" t="s">
        <v>269</v>
      </c>
      <c r="C2004" t="s">
        <v>10</v>
      </c>
      <c r="D2004" t="s">
        <v>3189</v>
      </c>
    </row>
    <row r="2005" spans="1:4" hidden="1" outlineLevel="2" x14ac:dyDescent="0.3">
      <c r="A2005" t="s">
        <v>3190</v>
      </c>
      <c r="B2005" t="s">
        <v>269</v>
      </c>
      <c r="C2005" t="s">
        <v>10</v>
      </c>
      <c r="D2005" t="s">
        <v>3191</v>
      </c>
    </row>
    <row r="2006" spans="1:4" hidden="1" outlineLevel="2" x14ac:dyDescent="0.3">
      <c r="A2006" t="s">
        <v>3192</v>
      </c>
      <c r="B2006" t="s">
        <v>269</v>
      </c>
      <c r="C2006" t="s">
        <v>10</v>
      </c>
      <c r="D2006" t="s">
        <v>3193</v>
      </c>
    </row>
    <row r="2007" spans="1:4" hidden="1" outlineLevel="2" x14ac:dyDescent="0.3">
      <c r="A2007" t="s">
        <v>3194</v>
      </c>
      <c r="B2007" t="s">
        <v>269</v>
      </c>
      <c r="C2007" t="s">
        <v>10</v>
      </c>
      <c r="D2007" t="s">
        <v>3195</v>
      </c>
    </row>
    <row r="2008" spans="1:4" hidden="1" outlineLevel="2" x14ac:dyDescent="0.3">
      <c r="A2008" t="s">
        <v>3196</v>
      </c>
      <c r="B2008" t="s">
        <v>269</v>
      </c>
      <c r="C2008" t="s">
        <v>10</v>
      </c>
      <c r="D2008" t="s">
        <v>3197</v>
      </c>
    </row>
    <row r="2009" spans="1:4" hidden="1" outlineLevel="2" x14ac:dyDescent="0.3">
      <c r="A2009" t="s">
        <v>3198</v>
      </c>
      <c r="B2009" t="s">
        <v>269</v>
      </c>
      <c r="C2009" t="s">
        <v>10</v>
      </c>
      <c r="D2009" t="s">
        <v>3199</v>
      </c>
    </row>
    <row r="2010" spans="1:4" hidden="1" outlineLevel="2" x14ac:dyDescent="0.3">
      <c r="A2010" t="s">
        <v>3200</v>
      </c>
      <c r="B2010" t="s">
        <v>269</v>
      </c>
      <c r="C2010" t="s">
        <v>10</v>
      </c>
      <c r="D2010" t="s">
        <v>3201</v>
      </c>
    </row>
    <row r="2011" spans="1:4" hidden="1" outlineLevel="2" x14ac:dyDescent="0.3">
      <c r="A2011" t="s">
        <v>3202</v>
      </c>
      <c r="B2011" t="s">
        <v>269</v>
      </c>
      <c r="C2011" t="s">
        <v>10</v>
      </c>
      <c r="D2011" t="s">
        <v>3203</v>
      </c>
    </row>
    <row r="2012" spans="1:4" hidden="1" outlineLevel="2" x14ac:dyDescent="0.3">
      <c r="A2012" t="s">
        <v>3204</v>
      </c>
      <c r="B2012" t="s">
        <v>269</v>
      </c>
      <c r="C2012" t="s">
        <v>10</v>
      </c>
      <c r="D2012" t="s">
        <v>3205</v>
      </c>
    </row>
    <row r="2013" spans="1:4" hidden="1" outlineLevel="2" x14ac:dyDescent="0.3">
      <c r="A2013" t="s">
        <v>3206</v>
      </c>
      <c r="B2013" t="s">
        <v>269</v>
      </c>
      <c r="C2013" t="s">
        <v>10</v>
      </c>
      <c r="D2013" t="s">
        <v>3207</v>
      </c>
    </row>
    <row r="2014" spans="1:4" hidden="1" outlineLevel="2" x14ac:dyDescent="0.3">
      <c r="A2014" t="s">
        <v>3208</v>
      </c>
      <c r="B2014" t="s">
        <v>269</v>
      </c>
      <c r="C2014" t="s">
        <v>10</v>
      </c>
      <c r="D2014" t="s">
        <v>3209</v>
      </c>
    </row>
    <row r="2015" spans="1:4" hidden="1" outlineLevel="2" x14ac:dyDescent="0.3">
      <c r="A2015" t="s">
        <v>3210</v>
      </c>
      <c r="B2015" t="s">
        <v>269</v>
      </c>
      <c r="C2015" t="s">
        <v>10</v>
      </c>
      <c r="D2015" t="s">
        <v>3211</v>
      </c>
    </row>
    <row r="2016" spans="1:4" hidden="1" outlineLevel="2" x14ac:dyDescent="0.3">
      <c r="A2016" t="s">
        <v>3212</v>
      </c>
      <c r="B2016" t="s">
        <v>269</v>
      </c>
      <c r="C2016" t="s">
        <v>10</v>
      </c>
      <c r="D2016" t="s">
        <v>3213</v>
      </c>
    </row>
    <row r="2017" spans="1:4" hidden="1" outlineLevel="2" x14ac:dyDescent="0.3">
      <c r="A2017" t="s">
        <v>3214</v>
      </c>
      <c r="B2017" t="s">
        <v>269</v>
      </c>
      <c r="C2017" t="s">
        <v>10</v>
      </c>
      <c r="D2017" t="s">
        <v>3215</v>
      </c>
    </row>
    <row r="2018" spans="1:4" hidden="1" outlineLevel="2" x14ac:dyDescent="0.3">
      <c r="A2018" t="s">
        <v>3216</v>
      </c>
      <c r="B2018" t="s">
        <v>269</v>
      </c>
      <c r="C2018" t="s">
        <v>10</v>
      </c>
      <c r="D2018" t="s">
        <v>3217</v>
      </c>
    </row>
    <row r="2019" spans="1:4" hidden="1" outlineLevel="2" x14ac:dyDescent="0.3">
      <c r="A2019" t="s">
        <v>3218</v>
      </c>
      <c r="B2019" t="s">
        <v>269</v>
      </c>
      <c r="C2019" t="s">
        <v>10</v>
      </c>
      <c r="D2019" t="s">
        <v>3219</v>
      </c>
    </row>
    <row r="2020" spans="1:4" hidden="1" outlineLevel="2" x14ac:dyDescent="0.3">
      <c r="A2020" t="s">
        <v>3220</v>
      </c>
      <c r="B2020" t="s">
        <v>269</v>
      </c>
      <c r="C2020" t="s">
        <v>10</v>
      </c>
      <c r="D2020" t="s">
        <v>3221</v>
      </c>
    </row>
    <row r="2021" spans="1:4" hidden="1" outlineLevel="2" x14ac:dyDescent="0.3">
      <c r="A2021" t="s">
        <v>3222</v>
      </c>
      <c r="B2021" t="s">
        <v>269</v>
      </c>
      <c r="C2021" t="s">
        <v>10</v>
      </c>
      <c r="D2021" t="s">
        <v>3223</v>
      </c>
    </row>
    <row r="2022" spans="1:4" hidden="1" outlineLevel="2" x14ac:dyDescent="0.3">
      <c r="A2022" t="s">
        <v>3224</v>
      </c>
      <c r="B2022" t="s">
        <v>269</v>
      </c>
      <c r="C2022" t="s">
        <v>10</v>
      </c>
      <c r="D2022" t="s">
        <v>3225</v>
      </c>
    </row>
    <row r="2023" spans="1:4" hidden="1" outlineLevel="2" x14ac:dyDescent="0.3">
      <c r="A2023" t="s">
        <v>3226</v>
      </c>
      <c r="B2023" t="s">
        <v>269</v>
      </c>
      <c r="C2023" t="s">
        <v>8</v>
      </c>
      <c r="D2023" t="s">
        <v>3227</v>
      </c>
    </row>
    <row r="2024" spans="1:4" hidden="1" outlineLevel="2" x14ac:dyDescent="0.3">
      <c r="A2024" t="s">
        <v>3228</v>
      </c>
      <c r="B2024" t="s">
        <v>269</v>
      </c>
      <c r="C2024" t="s">
        <v>8</v>
      </c>
      <c r="D2024" t="s">
        <v>3229</v>
      </c>
    </row>
    <row r="2025" spans="1:4" hidden="1" outlineLevel="2" x14ac:dyDescent="0.3">
      <c r="A2025" t="s">
        <v>3230</v>
      </c>
      <c r="B2025" t="s">
        <v>269</v>
      </c>
      <c r="C2025" t="s">
        <v>10</v>
      </c>
      <c r="D2025" t="s">
        <v>3231</v>
      </c>
    </row>
    <row r="2026" spans="1:4" hidden="1" outlineLevel="2" x14ac:dyDescent="0.3">
      <c r="A2026" t="s">
        <v>3232</v>
      </c>
      <c r="B2026" t="s">
        <v>269</v>
      </c>
      <c r="C2026" t="s">
        <v>10</v>
      </c>
      <c r="D2026" t="s">
        <v>3231</v>
      </c>
    </row>
    <row r="2027" spans="1:4" hidden="1" outlineLevel="2" x14ac:dyDescent="0.3">
      <c r="A2027" t="s">
        <v>3233</v>
      </c>
      <c r="B2027" t="s">
        <v>3844</v>
      </c>
      <c r="C2027" t="s">
        <v>10</v>
      </c>
      <c r="D2027" t="s">
        <v>3234</v>
      </c>
    </row>
    <row r="2028" spans="1:4" hidden="1" outlineLevel="2" x14ac:dyDescent="0.3">
      <c r="A2028" t="s">
        <v>3235</v>
      </c>
      <c r="B2028" t="s">
        <v>3844</v>
      </c>
      <c r="C2028" t="s">
        <v>8</v>
      </c>
      <c r="D2028" t="s">
        <v>3236</v>
      </c>
    </row>
    <row r="2029" spans="1:4" hidden="1" outlineLevel="2" x14ac:dyDescent="0.3">
      <c r="A2029" t="s">
        <v>3237</v>
      </c>
      <c r="B2029" t="s">
        <v>3844</v>
      </c>
      <c r="C2029" t="s">
        <v>10</v>
      </c>
      <c r="D2029" t="s">
        <v>3238</v>
      </c>
    </row>
    <row r="2030" spans="1:4" hidden="1" outlineLevel="2" x14ac:dyDescent="0.3">
      <c r="A2030" t="s">
        <v>3239</v>
      </c>
      <c r="B2030" t="s">
        <v>3844</v>
      </c>
      <c r="C2030" t="s">
        <v>10</v>
      </c>
      <c r="D2030" t="s">
        <v>3240</v>
      </c>
    </row>
    <row r="2031" spans="1:4" hidden="1" outlineLevel="2" x14ac:dyDescent="0.3">
      <c r="A2031" t="s">
        <v>3241</v>
      </c>
      <c r="B2031" t="s">
        <v>3844</v>
      </c>
      <c r="C2031" t="s">
        <v>10</v>
      </c>
      <c r="D2031" t="s">
        <v>3242</v>
      </c>
    </row>
    <row r="2032" spans="1:4" hidden="1" outlineLevel="2" x14ac:dyDescent="0.3">
      <c r="A2032" t="s">
        <v>3243</v>
      </c>
      <c r="B2032" t="s">
        <v>3844</v>
      </c>
      <c r="C2032" t="s">
        <v>8</v>
      </c>
      <c r="D2032" t="s">
        <v>3244</v>
      </c>
    </row>
    <row r="2033" spans="1:4" hidden="1" outlineLevel="2" x14ac:dyDescent="0.3">
      <c r="A2033" t="s">
        <v>3245</v>
      </c>
      <c r="B2033" t="s">
        <v>3910</v>
      </c>
      <c r="C2033" t="s">
        <v>8</v>
      </c>
      <c r="D2033" t="s">
        <v>3246</v>
      </c>
    </row>
    <row r="2034" spans="1:4" hidden="1" outlineLevel="2" x14ac:dyDescent="0.3">
      <c r="A2034" t="s">
        <v>3247</v>
      </c>
      <c r="B2034" t="s">
        <v>3910</v>
      </c>
      <c r="C2034" t="s">
        <v>8</v>
      </c>
      <c r="D2034" t="s">
        <v>3248</v>
      </c>
    </row>
    <row r="2035" spans="1:4" hidden="1" outlineLevel="2" x14ac:dyDescent="0.3">
      <c r="A2035" t="s">
        <v>3249</v>
      </c>
      <c r="B2035" t="s">
        <v>269</v>
      </c>
      <c r="C2035" t="s">
        <v>8</v>
      </c>
      <c r="D2035" t="s">
        <v>3250</v>
      </c>
    </row>
    <row r="2036" spans="1:4" hidden="1" outlineLevel="2" x14ac:dyDescent="0.3">
      <c r="A2036" t="s">
        <v>3251</v>
      </c>
      <c r="B2036" t="s">
        <v>269</v>
      </c>
      <c r="C2036" t="s">
        <v>8</v>
      </c>
      <c r="D2036" t="s">
        <v>3250</v>
      </c>
    </row>
    <row r="2037" spans="1:4" hidden="1" outlineLevel="2" x14ac:dyDescent="0.3">
      <c r="A2037" t="s">
        <v>3252</v>
      </c>
      <c r="B2037" t="s">
        <v>3910</v>
      </c>
      <c r="C2037" t="s">
        <v>8</v>
      </c>
      <c r="D2037" s="15" t="s">
        <v>3253</v>
      </c>
    </row>
    <row r="2038" spans="1:4" hidden="1" outlineLevel="2" x14ac:dyDescent="0.3">
      <c r="A2038" t="s">
        <v>3254</v>
      </c>
      <c r="B2038" t="s">
        <v>269</v>
      </c>
      <c r="C2038" t="s">
        <v>8</v>
      </c>
      <c r="D2038" t="s">
        <v>3255</v>
      </c>
    </row>
    <row r="2039" spans="1:4" hidden="1" outlineLevel="2" x14ac:dyDescent="0.3">
      <c r="A2039" t="s">
        <v>3256</v>
      </c>
      <c r="B2039" t="s">
        <v>3910</v>
      </c>
      <c r="C2039" t="s">
        <v>10</v>
      </c>
      <c r="D2039" t="s">
        <v>3257</v>
      </c>
    </row>
    <row r="2040" spans="1:4" hidden="1" outlineLevel="2" x14ac:dyDescent="0.3">
      <c r="A2040" t="s">
        <v>3258</v>
      </c>
      <c r="B2040" t="s">
        <v>3910</v>
      </c>
      <c r="C2040" t="s">
        <v>8</v>
      </c>
      <c r="D2040" t="s">
        <v>3259</v>
      </c>
    </row>
    <row r="2041" spans="1:4" hidden="1" outlineLevel="2" x14ac:dyDescent="0.3">
      <c r="A2041" t="s">
        <v>3260</v>
      </c>
      <c r="B2041" t="s">
        <v>3910</v>
      </c>
      <c r="C2041" t="s">
        <v>8</v>
      </c>
      <c r="D2041" t="s">
        <v>3261</v>
      </c>
    </row>
    <row r="2042" spans="1:4" hidden="1" outlineLevel="2" x14ac:dyDescent="0.3">
      <c r="A2042" t="s">
        <v>3262</v>
      </c>
      <c r="B2042" t="s">
        <v>3910</v>
      </c>
      <c r="C2042" t="s">
        <v>8</v>
      </c>
      <c r="D2042" t="s">
        <v>3261</v>
      </c>
    </row>
    <row r="2043" spans="1:4" hidden="1" outlineLevel="2" x14ac:dyDescent="0.3">
      <c r="A2043" t="s">
        <v>3263</v>
      </c>
      <c r="B2043" t="s">
        <v>3910</v>
      </c>
      <c r="C2043" t="s">
        <v>8</v>
      </c>
      <c r="D2043" t="s">
        <v>3264</v>
      </c>
    </row>
    <row r="2044" spans="1:4" hidden="1" outlineLevel="2" x14ac:dyDescent="0.3">
      <c r="A2044" t="s">
        <v>3265</v>
      </c>
      <c r="B2044" t="s">
        <v>269</v>
      </c>
      <c r="C2044" t="s">
        <v>10</v>
      </c>
      <c r="D2044" t="s">
        <v>3266</v>
      </c>
    </row>
    <row r="2045" spans="1:4" hidden="1" outlineLevel="2" x14ac:dyDescent="0.3">
      <c r="A2045" t="s">
        <v>3267</v>
      </c>
      <c r="B2045" t="s">
        <v>3844</v>
      </c>
      <c r="C2045" t="s">
        <v>10</v>
      </c>
      <c r="D2045" t="s">
        <v>3268</v>
      </c>
    </row>
    <row r="2046" spans="1:4" hidden="1" outlineLevel="2" x14ac:dyDescent="0.3">
      <c r="A2046" t="s">
        <v>3269</v>
      </c>
      <c r="B2046" t="s">
        <v>269</v>
      </c>
      <c r="C2046" t="s">
        <v>10</v>
      </c>
      <c r="D2046" t="s">
        <v>3270</v>
      </c>
    </row>
    <row r="2047" spans="1:4" hidden="1" outlineLevel="2" x14ac:dyDescent="0.3">
      <c r="A2047" t="s">
        <v>3271</v>
      </c>
      <c r="B2047" t="s">
        <v>269</v>
      </c>
      <c r="C2047" t="s">
        <v>10</v>
      </c>
      <c r="D2047" t="s">
        <v>3272</v>
      </c>
    </row>
    <row r="2048" spans="1:4" hidden="1" outlineLevel="2" x14ac:dyDescent="0.3">
      <c r="A2048" t="s">
        <v>3273</v>
      </c>
      <c r="B2048" t="s">
        <v>269</v>
      </c>
      <c r="C2048" t="s">
        <v>10</v>
      </c>
      <c r="D2048" t="s">
        <v>3274</v>
      </c>
    </row>
    <row r="2049" spans="1:4" hidden="1" outlineLevel="2" x14ac:dyDescent="0.3">
      <c r="A2049" t="s">
        <v>3275</v>
      </c>
      <c r="B2049" t="s">
        <v>269</v>
      </c>
      <c r="C2049" t="s">
        <v>10</v>
      </c>
      <c r="D2049" t="s">
        <v>3276</v>
      </c>
    </row>
    <row r="2050" spans="1:4" hidden="1" outlineLevel="2" x14ac:dyDescent="0.3">
      <c r="A2050" t="s">
        <v>3277</v>
      </c>
      <c r="B2050" t="s">
        <v>269</v>
      </c>
      <c r="C2050" t="s">
        <v>10</v>
      </c>
      <c r="D2050" t="s">
        <v>3278</v>
      </c>
    </row>
    <row r="2051" spans="1:4" hidden="1" outlineLevel="2" x14ac:dyDescent="0.3">
      <c r="A2051" t="s">
        <v>3279</v>
      </c>
      <c r="B2051" t="s">
        <v>269</v>
      </c>
      <c r="C2051" t="s">
        <v>10</v>
      </c>
      <c r="D2051" t="s">
        <v>3280</v>
      </c>
    </row>
    <row r="2052" spans="1:4" hidden="1" outlineLevel="2" x14ac:dyDescent="0.3">
      <c r="A2052" t="s">
        <v>3281</v>
      </c>
      <c r="B2052" t="s">
        <v>269</v>
      </c>
      <c r="C2052" t="s">
        <v>10</v>
      </c>
      <c r="D2052" t="s">
        <v>3282</v>
      </c>
    </row>
    <row r="2053" spans="1:4" hidden="1" outlineLevel="2" x14ac:dyDescent="0.3">
      <c r="A2053" t="s">
        <v>3283</v>
      </c>
      <c r="B2053" t="s">
        <v>269</v>
      </c>
      <c r="C2053" t="s">
        <v>10</v>
      </c>
      <c r="D2053" t="s">
        <v>3284</v>
      </c>
    </row>
    <row r="2054" spans="1:4" hidden="1" outlineLevel="2" x14ac:dyDescent="0.3">
      <c r="A2054" t="s">
        <v>3285</v>
      </c>
      <c r="B2054" t="s">
        <v>269</v>
      </c>
      <c r="C2054" t="s">
        <v>10</v>
      </c>
      <c r="D2054" t="s">
        <v>3286</v>
      </c>
    </row>
    <row r="2055" spans="1:4" hidden="1" outlineLevel="2" x14ac:dyDescent="0.3">
      <c r="A2055" t="s">
        <v>3287</v>
      </c>
      <c r="B2055" t="s">
        <v>269</v>
      </c>
      <c r="C2055" t="s">
        <v>10</v>
      </c>
      <c r="D2055" t="s">
        <v>3288</v>
      </c>
    </row>
    <row r="2056" spans="1:4" hidden="1" outlineLevel="2" x14ac:dyDescent="0.3">
      <c r="A2056" t="s">
        <v>3289</v>
      </c>
      <c r="B2056" t="s">
        <v>269</v>
      </c>
      <c r="C2056" t="s">
        <v>10</v>
      </c>
      <c r="D2056" t="s">
        <v>3290</v>
      </c>
    </row>
    <row r="2057" spans="1:4" hidden="1" outlineLevel="2" x14ac:dyDescent="0.3">
      <c r="A2057" t="s">
        <v>3291</v>
      </c>
      <c r="B2057" t="s">
        <v>3844</v>
      </c>
      <c r="C2057" t="s">
        <v>10</v>
      </c>
      <c r="D2057" t="s">
        <v>3292</v>
      </c>
    </row>
    <row r="2058" spans="1:4" hidden="1" outlineLevel="2" x14ac:dyDescent="0.3">
      <c r="A2058" t="s">
        <v>3293</v>
      </c>
      <c r="B2058" t="s">
        <v>3844</v>
      </c>
      <c r="C2058" t="s">
        <v>10</v>
      </c>
      <c r="D2058" t="s">
        <v>3294</v>
      </c>
    </row>
    <row r="2059" spans="1:4" hidden="1" outlineLevel="2" x14ac:dyDescent="0.3">
      <c r="A2059" t="s">
        <v>3295</v>
      </c>
      <c r="B2059" t="s">
        <v>3844</v>
      </c>
      <c r="C2059" t="s">
        <v>8</v>
      </c>
      <c r="D2059" t="s">
        <v>3296</v>
      </c>
    </row>
    <row r="2060" spans="1:4" hidden="1" outlineLevel="2" x14ac:dyDescent="0.3">
      <c r="A2060" t="s">
        <v>3297</v>
      </c>
      <c r="B2060" t="s">
        <v>3844</v>
      </c>
      <c r="C2060" t="s">
        <v>8</v>
      </c>
      <c r="D2060" t="s">
        <v>3298</v>
      </c>
    </row>
    <row r="2061" spans="1:4" hidden="1" outlineLevel="2" x14ac:dyDescent="0.3">
      <c r="A2061" t="s">
        <v>3299</v>
      </c>
      <c r="B2061" t="s">
        <v>269</v>
      </c>
      <c r="C2061" t="s">
        <v>10</v>
      </c>
      <c r="D2061" t="s">
        <v>3300</v>
      </c>
    </row>
    <row r="2062" spans="1:4" hidden="1" outlineLevel="2" x14ac:dyDescent="0.3">
      <c r="A2062" t="s">
        <v>3301</v>
      </c>
      <c r="B2062" t="s">
        <v>3844</v>
      </c>
      <c r="C2062" t="s">
        <v>10</v>
      </c>
      <c r="D2062" t="s">
        <v>3302</v>
      </c>
    </row>
    <row r="2063" spans="1:4" hidden="1" outlineLevel="2" x14ac:dyDescent="0.3">
      <c r="A2063" t="s">
        <v>3303</v>
      </c>
      <c r="B2063" t="s">
        <v>3910</v>
      </c>
      <c r="C2063" t="s">
        <v>8</v>
      </c>
      <c r="D2063" t="s">
        <v>3304</v>
      </c>
    </row>
    <row r="2064" spans="1:4" hidden="1" outlineLevel="2" x14ac:dyDescent="0.3">
      <c r="A2064" t="s">
        <v>3305</v>
      </c>
      <c r="B2064" t="s">
        <v>3910</v>
      </c>
      <c r="C2064" t="s">
        <v>8</v>
      </c>
      <c r="D2064" t="s">
        <v>3306</v>
      </c>
    </row>
    <row r="2065" spans="1:4" hidden="1" outlineLevel="2" x14ac:dyDescent="0.3">
      <c r="A2065" t="s">
        <v>3307</v>
      </c>
      <c r="B2065" t="s">
        <v>269</v>
      </c>
      <c r="C2065" t="s">
        <v>8</v>
      </c>
      <c r="D2065" t="s">
        <v>3308</v>
      </c>
    </row>
    <row r="2066" spans="1:4" hidden="1" outlineLevel="2" x14ac:dyDescent="0.3">
      <c r="A2066" t="s">
        <v>3309</v>
      </c>
      <c r="B2066" t="s">
        <v>3910</v>
      </c>
      <c r="C2066" t="s">
        <v>8</v>
      </c>
      <c r="D2066" t="s">
        <v>3310</v>
      </c>
    </row>
    <row r="2067" spans="1:4" hidden="1" outlineLevel="2" x14ac:dyDescent="0.3">
      <c r="A2067" t="s">
        <v>3311</v>
      </c>
      <c r="B2067" t="s">
        <v>269</v>
      </c>
      <c r="C2067" t="s">
        <v>10</v>
      </c>
      <c r="D2067" t="s">
        <v>3312</v>
      </c>
    </row>
    <row r="2068" spans="1:4" hidden="1" outlineLevel="2" x14ac:dyDescent="0.3">
      <c r="A2068" t="s">
        <v>3313</v>
      </c>
      <c r="B2068" t="s">
        <v>3910</v>
      </c>
      <c r="C2068" t="s">
        <v>8</v>
      </c>
      <c r="D2068" t="s">
        <v>3314</v>
      </c>
    </row>
    <row r="2069" spans="1:4" hidden="1" outlineLevel="2" x14ac:dyDescent="0.3">
      <c r="A2069" t="s">
        <v>3315</v>
      </c>
      <c r="B2069" t="s">
        <v>269</v>
      </c>
      <c r="C2069" t="s">
        <v>8</v>
      </c>
      <c r="D2069" t="s">
        <v>3316</v>
      </c>
    </row>
    <row r="2070" spans="1:4" hidden="1" outlineLevel="2" x14ac:dyDescent="0.3">
      <c r="A2070" t="s">
        <v>3317</v>
      </c>
      <c r="B2070" t="s">
        <v>269</v>
      </c>
      <c r="C2070" t="s">
        <v>8</v>
      </c>
      <c r="D2070" t="s">
        <v>3316</v>
      </c>
    </row>
    <row r="2071" spans="1:4" hidden="1" outlineLevel="2" x14ac:dyDescent="0.3">
      <c r="A2071" t="s">
        <v>3318</v>
      </c>
      <c r="B2071" t="s">
        <v>3844</v>
      </c>
      <c r="C2071" t="s">
        <v>10</v>
      </c>
      <c r="D2071" t="s">
        <v>3319</v>
      </c>
    </row>
    <row r="2072" spans="1:4" hidden="1" outlineLevel="2" x14ac:dyDescent="0.3">
      <c r="A2072" t="s">
        <v>3320</v>
      </c>
      <c r="B2072" t="s">
        <v>269</v>
      </c>
      <c r="C2072" t="s">
        <v>10</v>
      </c>
      <c r="D2072" t="s">
        <v>3321</v>
      </c>
    </row>
    <row r="2073" spans="1:4" hidden="1" outlineLevel="2" x14ac:dyDescent="0.3">
      <c r="A2073" t="s">
        <v>3322</v>
      </c>
      <c r="B2073" t="s">
        <v>269</v>
      </c>
      <c r="C2073" t="s">
        <v>10</v>
      </c>
      <c r="D2073" t="s">
        <v>3323</v>
      </c>
    </row>
    <row r="2074" spans="1:4" hidden="1" outlineLevel="2" x14ac:dyDescent="0.3">
      <c r="A2074" t="s">
        <v>3324</v>
      </c>
      <c r="B2074" t="s">
        <v>269</v>
      </c>
      <c r="C2074" t="s">
        <v>10</v>
      </c>
      <c r="D2074" t="s">
        <v>3325</v>
      </c>
    </row>
    <row r="2075" spans="1:4" hidden="1" outlineLevel="2" x14ac:dyDescent="0.3">
      <c r="A2075" t="s">
        <v>3326</v>
      </c>
      <c r="B2075" t="s">
        <v>269</v>
      </c>
      <c r="C2075" t="s">
        <v>10</v>
      </c>
      <c r="D2075" t="s">
        <v>3327</v>
      </c>
    </row>
    <row r="2076" spans="1:4" hidden="1" outlineLevel="2" x14ac:dyDescent="0.3">
      <c r="A2076" t="s">
        <v>3328</v>
      </c>
      <c r="B2076" t="s">
        <v>269</v>
      </c>
      <c r="C2076" t="s">
        <v>10</v>
      </c>
      <c r="D2076" t="s">
        <v>3329</v>
      </c>
    </row>
    <row r="2077" spans="1:4" hidden="1" outlineLevel="2" x14ac:dyDescent="0.3">
      <c r="A2077" t="s">
        <v>3330</v>
      </c>
      <c r="B2077" t="s">
        <v>269</v>
      </c>
      <c r="C2077" t="s">
        <v>10</v>
      </c>
      <c r="D2077" t="s">
        <v>3331</v>
      </c>
    </row>
    <row r="2078" spans="1:4" hidden="1" outlineLevel="2" x14ac:dyDescent="0.3">
      <c r="A2078" t="s">
        <v>3332</v>
      </c>
      <c r="B2078" t="s">
        <v>269</v>
      </c>
      <c r="C2078" t="s">
        <v>10</v>
      </c>
      <c r="D2078" t="s">
        <v>3333</v>
      </c>
    </row>
    <row r="2079" spans="1:4" hidden="1" outlineLevel="2" x14ac:dyDescent="0.3">
      <c r="A2079" t="s">
        <v>3334</v>
      </c>
      <c r="B2079" t="s">
        <v>269</v>
      </c>
      <c r="C2079" t="s">
        <v>10</v>
      </c>
      <c r="D2079" t="s">
        <v>3335</v>
      </c>
    </row>
    <row r="2080" spans="1:4" hidden="1" outlineLevel="2" x14ac:dyDescent="0.3">
      <c r="A2080" t="s">
        <v>3336</v>
      </c>
      <c r="B2080" t="s">
        <v>269</v>
      </c>
      <c r="C2080" t="s">
        <v>10</v>
      </c>
      <c r="D2080" t="s">
        <v>3337</v>
      </c>
    </row>
    <row r="2081" spans="1:4" hidden="1" outlineLevel="2" x14ac:dyDescent="0.3">
      <c r="A2081" t="s">
        <v>3338</v>
      </c>
      <c r="B2081" t="s">
        <v>269</v>
      </c>
      <c r="C2081" t="s">
        <v>10</v>
      </c>
      <c r="D2081" t="s">
        <v>3339</v>
      </c>
    </row>
    <row r="2082" spans="1:4" hidden="1" outlineLevel="2" x14ac:dyDescent="0.3">
      <c r="A2082" t="s">
        <v>3340</v>
      </c>
      <c r="B2082" t="s">
        <v>269</v>
      </c>
      <c r="C2082" t="s">
        <v>10</v>
      </c>
      <c r="D2082" t="s">
        <v>3341</v>
      </c>
    </row>
    <row r="2083" spans="1:4" hidden="1" outlineLevel="2" x14ac:dyDescent="0.3">
      <c r="A2083" t="s">
        <v>3342</v>
      </c>
      <c r="B2083" t="s">
        <v>269</v>
      </c>
      <c r="C2083" t="s">
        <v>10</v>
      </c>
      <c r="D2083" t="s">
        <v>3343</v>
      </c>
    </row>
    <row r="2084" spans="1:4" hidden="1" outlineLevel="2" x14ac:dyDescent="0.3">
      <c r="A2084" t="s">
        <v>3344</v>
      </c>
      <c r="B2084" t="s">
        <v>269</v>
      </c>
      <c r="C2084" t="s">
        <v>10</v>
      </c>
      <c r="D2084" t="s">
        <v>3345</v>
      </c>
    </row>
    <row r="2085" spans="1:4" hidden="1" outlineLevel="2" x14ac:dyDescent="0.3">
      <c r="A2085" t="s">
        <v>3346</v>
      </c>
      <c r="B2085" t="s">
        <v>269</v>
      </c>
      <c r="C2085" t="s">
        <v>10</v>
      </c>
      <c r="D2085" t="s">
        <v>3347</v>
      </c>
    </row>
    <row r="2086" spans="1:4" hidden="1" outlineLevel="2" x14ac:dyDescent="0.3">
      <c r="A2086" t="s">
        <v>3348</v>
      </c>
      <c r="B2086" t="s">
        <v>269</v>
      </c>
      <c r="C2086" t="s">
        <v>10</v>
      </c>
      <c r="D2086" t="s">
        <v>3349</v>
      </c>
    </row>
    <row r="2087" spans="1:4" hidden="1" outlineLevel="2" x14ac:dyDescent="0.3">
      <c r="A2087" t="s">
        <v>3350</v>
      </c>
      <c r="B2087" t="s">
        <v>269</v>
      </c>
      <c r="C2087" t="s">
        <v>10</v>
      </c>
      <c r="D2087" t="s">
        <v>3351</v>
      </c>
    </row>
    <row r="2088" spans="1:4" hidden="1" outlineLevel="2" x14ac:dyDescent="0.3">
      <c r="A2088" t="s">
        <v>3352</v>
      </c>
      <c r="B2088" t="s">
        <v>269</v>
      </c>
      <c r="C2088" t="s">
        <v>10</v>
      </c>
      <c r="D2088" t="s">
        <v>3353</v>
      </c>
    </row>
    <row r="2089" spans="1:4" hidden="1" outlineLevel="2" x14ac:dyDescent="0.3">
      <c r="A2089" t="s">
        <v>3354</v>
      </c>
      <c r="B2089" t="s">
        <v>269</v>
      </c>
      <c r="C2089" t="s">
        <v>10</v>
      </c>
      <c r="D2089" t="s">
        <v>3355</v>
      </c>
    </row>
    <row r="2090" spans="1:4" hidden="1" outlineLevel="2" x14ac:dyDescent="0.3">
      <c r="A2090" t="s">
        <v>3356</v>
      </c>
      <c r="B2090" t="s">
        <v>269</v>
      </c>
      <c r="C2090" t="s">
        <v>10</v>
      </c>
      <c r="D2090" t="s">
        <v>3357</v>
      </c>
    </row>
    <row r="2091" spans="1:4" hidden="1" outlineLevel="2" x14ac:dyDescent="0.3">
      <c r="A2091" t="s">
        <v>3358</v>
      </c>
      <c r="B2091" t="s">
        <v>269</v>
      </c>
      <c r="C2091" t="s">
        <v>8</v>
      </c>
      <c r="D2091" t="s">
        <v>3359</v>
      </c>
    </row>
    <row r="2092" spans="1:4" hidden="1" outlineLevel="2" x14ac:dyDescent="0.3">
      <c r="A2092" t="s">
        <v>3360</v>
      </c>
      <c r="B2092" t="s">
        <v>269</v>
      </c>
      <c r="C2092" t="s">
        <v>10</v>
      </c>
      <c r="D2092" t="s">
        <v>3361</v>
      </c>
    </row>
    <row r="2093" spans="1:4" hidden="1" outlineLevel="2" x14ac:dyDescent="0.3">
      <c r="A2093" t="s">
        <v>3362</v>
      </c>
      <c r="B2093" t="s">
        <v>269</v>
      </c>
      <c r="C2093" t="s">
        <v>10</v>
      </c>
      <c r="D2093" t="s">
        <v>3363</v>
      </c>
    </row>
    <row r="2094" spans="1:4" hidden="1" outlineLevel="2" x14ac:dyDescent="0.3">
      <c r="A2094" t="s">
        <v>3364</v>
      </c>
      <c r="B2094" t="s">
        <v>269</v>
      </c>
      <c r="C2094" t="s">
        <v>8</v>
      </c>
      <c r="D2094" t="s">
        <v>3365</v>
      </c>
    </row>
    <row r="2095" spans="1:4" hidden="1" outlineLevel="2" x14ac:dyDescent="0.3">
      <c r="A2095" t="s">
        <v>3366</v>
      </c>
      <c r="B2095" t="s">
        <v>3844</v>
      </c>
      <c r="C2095" t="s">
        <v>10</v>
      </c>
      <c r="D2095" t="s">
        <v>3367</v>
      </c>
    </row>
    <row r="2096" spans="1:4" hidden="1" outlineLevel="2" x14ac:dyDescent="0.3">
      <c r="A2096" t="s">
        <v>3368</v>
      </c>
      <c r="B2096" t="s">
        <v>3844</v>
      </c>
      <c r="C2096" t="s">
        <v>10</v>
      </c>
      <c r="D2096" t="s">
        <v>3369</v>
      </c>
    </row>
    <row r="2097" spans="1:4" hidden="1" outlineLevel="2" x14ac:dyDescent="0.3">
      <c r="A2097" t="s">
        <v>3370</v>
      </c>
      <c r="B2097" t="s">
        <v>3844</v>
      </c>
      <c r="C2097" t="s">
        <v>8</v>
      </c>
      <c r="D2097" t="s">
        <v>3371</v>
      </c>
    </row>
    <row r="2098" spans="1:4" hidden="1" outlineLevel="2" x14ac:dyDescent="0.3">
      <c r="A2098" t="s">
        <v>3372</v>
      </c>
      <c r="B2098" t="s">
        <v>3910</v>
      </c>
      <c r="C2098" t="s">
        <v>8</v>
      </c>
      <c r="D2098" t="s">
        <v>3373</v>
      </c>
    </row>
    <row r="2099" spans="1:4" hidden="1" outlineLevel="2" x14ac:dyDescent="0.3">
      <c r="A2099" t="s">
        <v>3374</v>
      </c>
      <c r="B2099" t="s">
        <v>269</v>
      </c>
      <c r="C2099" t="s">
        <v>8</v>
      </c>
      <c r="D2099" t="s">
        <v>3375</v>
      </c>
    </row>
    <row r="2100" spans="1:4" hidden="1" outlineLevel="2" x14ac:dyDescent="0.3">
      <c r="A2100" t="s">
        <v>3376</v>
      </c>
      <c r="B2100" t="s">
        <v>269</v>
      </c>
      <c r="C2100" t="s">
        <v>8</v>
      </c>
      <c r="D2100" t="s">
        <v>3377</v>
      </c>
    </row>
    <row r="2101" spans="1:4" hidden="1" outlineLevel="2" x14ac:dyDescent="0.3">
      <c r="A2101" t="s">
        <v>3378</v>
      </c>
      <c r="B2101" t="s">
        <v>269</v>
      </c>
      <c r="C2101" t="s">
        <v>8</v>
      </c>
      <c r="D2101" t="s">
        <v>3377</v>
      </c>
    </row>
    <row r="2102" spans="1:4" hidden="1" outlineLevel="2" x14ac:dyDescent="0.3">
      <c r="A2102" t="s">
        <v>3379</v>
      </c>
      <c r="B2102" t="s">
        <v>3910</v>
      </c>
      <c r="C2102" t="s">
        <v>8</v>
      </c>
      <c r="D2102" t="s">
        <v>3380</v>
      </c>
    </row>
    <row r="2103" spans="1:4" hidden="1" outlineLevel="2" x14ac:dyDescent="0.3">
      <c r="A2103" t="s">
        <v>3381</v>
      </c>
      <c r="B2103" t="s">
        <v>3910</v>
      </c>
      <c r="C2103" t="s">
        <v>10</v>
      </c>
      <c r="D2103" t="s">
        <v>3382</v>
      </c>
    </row>
    <row r="2104" spans="1:4" hidden="1" outlineLevel="2" x14ac:dyDescent="0.3">
      <c r="A2104" t="s">
        <v>3383</v>
      </c>
      <c r="B2104" t="s">
        <v>3910</v>
      </c>
      <c r="C2104" t="s">
        <v>8</v>
      </c>
      <c r="D2104" t="s">
        <v>3384</v>
      </c>
    </row>
    <row r="2105" spans="1:4" hidden="1" outlineLevel="2" x14ac:dyDescent="0.3">
      <c r="A2105" t="s">
        <v>3385</v>
      </c>
      <c r="B2105" t="s">
        <v>3910</v>
      </c>
      <c r="C2105" t="s">
        <v>8</v>
      </c>
      <c r="D2105" t="s">
        <v>3386</v>
      </c>
    </row>
    <row r="2106" spans="1:4" hidden="1" outlineLevel="2" x14ac:dyDescent="0.3">
      <c r="A2106" t="s">
        <v>3387</v>
      </c>
      <c r="B2106" t="s">
        <v>3910</v>
      </c>
      <c r="C2106" t="s">
        <v>8</v>
      </c>
      <c r="D2106" t="s">
        <v>3388</v>
      </c>
    </row>
    <row r="2107" spans="1:4" hidden="1" outlineLevel="2" x14ac:dyDescent="0.3">
      <c r="A2107" t="s">
        <v>3389</v>
      </c>
      <c r="B2107" t="s">
        <v>3910</v>
      </c>
      <c r="C2107" t="s">
        <v>8</v>
      </c>
      <c r="D2107" t="s">
        <v>3390</v>
      </c>
    </row>
    <row r="2108" spans="1:4" hidden="1" outlineLevel="2" x14ac:dyDescent="0.3">
      <c r="A2108" t="s">
        <v>3391</v>
      </c>
      <c r="B2108" t="s">
        <v>269</v>
      </c>
      <c r="C2108" t="s">
        <v>8</v>
      </c>
      <c r="D2108" t="s">
        <v>3392</v>
      </c>
    </row>
    <row r="2109" spans="1:4" hidden="1" outlineLevel="2" x14ac:dyDescent="0.3">
      <c r="A2109" t="s">
        <v>3393</v>
      </c>
      <c r="B2109" t="s">
        <v>269</v>
      </c>
      <c r="C2109" t="s">
        <v>8</v>
      </c>
      <c r="D2109" t="s">
        <v>3392</v>
      </c>
    </row>
    <row r="2110" spans="1:4" hidden="1" outlineLevel="2" x14ac:dyDescent="0.3">
      <c r="A2110" t="s">
        <v>3394</v>
      </c>
      <c r="B2110" t="s">
        <v>269</v>
      </c>
      <c r="C2110" t="s">
        <v>8</v>
      </c>
      <c r="D2110" t="s">
        <v>3392</v>
      </c>
    </row>
    <row r="2111" spans="1:4" hidden="1" outlineLevel="2" x14ac:dyDescent="0.3">
      <c r="A2111" t="s">
        <v>3395</v>
      </c>
      <c r="B2111" t="s">
        <v>269</v>
      </c>
      <c r="C2111" t="s">
        <v>8</v>
      </c>
      <c r="D2111" t="s">
        <v>3392</v>
      </c>
    </row>
    <row r="2112" spans="1:4" hidden="1" outlineLevel="2" x14ac:dyDescent="0.3">
      <c r="A2112" t="s">
        <v>3396</v>
      </c>
      <c r="B2112" t="s">
        <v>269</v>
      </c>
      <c r="C2112" t="s">
        <v>10</v>
      </c>
      <c r="D2112" t="s">
        <v>3397</v>
      </c>
    </row>
    <row r="2113" spans="1:4" hidden="1" outlineLevel="2" x14ac:dyDescent="0.3">
      <c r="A2113" t="s">
        <v>3398</v>
      </c>
      <c r="B2113" t="s">
        <v>269</v>
      </c>
      <c r="C2113" t="s">
        <v>10</v>
      </c>
      <c r="D2113" t="s">
        <v>3399</v>
      </c>
    </row>
    <row r="2114" spans="1:4" hidden="1" outlineLevel="2" x14ac:dyDescent="0.3">
      <c r="A2114" t="s">
        <v>3400</v>
      </c>
      <c r="B2114" t="s">
        <v>269</v>
      </c>
      <c r="C2114" t="s">
        <v>10</v>
      </c>
      <c r="D2114" t="s">
        <v>3401</v>
      </c>
    </row>
    <row r="2115" spans="1:4" hidden="1" outlineLevel="2" x14ac:dyDescent="0.3">
      <c r="A2115" t="s">
        <v>3402</v>
      </c>
      <c r="B2115" t="s">
        <v>269</v>
      </c>
      <c r="C2115" t="s">
        <v>10</v>
      </c>
      <c r="D2115" t="s">
        <v>3403</v>
      </c>
    </row>
    <row r="2116" spans="1:4" hidden="1" outlineLevel="2" x14ac:dyDescent="0.3">
      <c r="A2116" t="s">
        <v>3404</v>
      </c>
      <c r="B2116" t="s">
        <v>269</v>
      </c>
      <c r="C2116" t="s">
        <v>10</v>
      </c>
      <c r="D2116" t="s">
        <v>3405</v>
      </c>
    </row>
    <row r="2117" spans="1:4" hidden="1" outlineLevel="2" x14ac:dyDescent="0.3">
      <c r="A2117" t="s">
        <v>3406</v>
      </c>
      <c r="B2117" t="s">
        <v>269</v>
      </c>
      <c r="C2117" t="s">
        <v>10</v>
      </c>
      <c r="D2117" t="s">
        <v>3407</v>
      </c>
    </row>
    <row r="2118" spans="1:4" hidden="1" outlineLevel="2" x14ac:dyDescent="0.3">
      <c r="A2118" t="s">
        <v>3408</v>
      </c>
      <c r="B2118" t="s">
        <v>269</v>
      </c>
      <c r="C2118" t="s">
        <v>10</v>
      </c>
      <c r="D2118" t="s">
        <v>3409</v>
      </c>
    </row>
    <row r="2119" spans="1:4" hidden="1" outlineLevel="2" x14ac:dyDescent="0.3">
      <c r="A2119" t="s">
        <v>3410</v>
      </c>
      <c r="B2119" t="s">
        <v>269</v>
      </c>
      <c r="C2119" t="s">
        <v>10</v>
      </c>
      <c r="D2119" t="s">
        <v>3411</v>
      </c>
    </row>
    <row r="2120" spans="1:4" hidden="1" outlineLevel="2" x14ac:dyDescent="0.3">
      <c r="A2120" t="s">
        <v>3412</v>
      </c>
      <c r="B2120" t="s">
        <v>269</v>
      </c>
      <c r="C2120" t="s">
        <v>10</v>
      </c>
      <c r="D2120" t="s">
        <v>3413</v>
      </c>
    </row>
    <row r="2121" spans="1:4" hidden="1" outlineLevel="2" x14ac:dyDescent="0.3">
      <c r="A2121" t="s">
        <v>3414</v>
      </c>
      <c r="B2121" t="s">
        <v>269</v>
      </c>
      <c r="C2121" t="s">
        <v>10</v>
      </c>
      <c r="D2121" t="s">
        <v>3415</v>
      </c>
    </row>
    <row r="2122" spans="1:4" hidden="1" outlineLevel="2" x14ac:dyDescent="0.3">
      <c r="A2122" t="s">
        <v>3416</v>
      </c>
      <c r="B2122" t="s">
        <v>3844</v>
      </c>
      <c r="C2122" t="s">
        <v>8</v>
      </c>
      <c r="D2122" t="s">
        <v>3417</v>
      </c>
    </row>
    <row r="2123" spans="1:4" hidden="1" outlineLevel="2" x14ac:dyDescent="0.3">
      <c r="A2123" t="s">
        <v>3418</v>
      </c>
      <c r="B2123" t="s">
        <v>269</v>
      </c>
      <c r="C2123" t="s">
        <v>10</v>
      </c>
      <c r="D2123" t="s">
        <v>3419</v>
      </c>
    </row>
    <row r="2124" spans="1:4" hidden="1" outlineLevel="2" x14ac:dyDescent="0.3">
      <c r="A2124" t="s">
        <v>3420</v>
      </c>
      <c r="B2124" t="s">
        <v>269</v>
      </c>
      <c r="C2124" t="s">
        <v>10</v>
      </c>
      <c r="D2124" t="s">
        <v>3421</v>
      </c>
    </row>
    <row r="2125" spans="1:4" hidden="1" outlineLevel="2" x14ac:dyDescent="0.3">
      <c r="A2125" t="s">
        <v>3422</v>
      </c>
      <c r="B2125" t="s">
        <v>269</v>
      </c>
      <c r="C2125" t="s">
        <v>10</v>
      </c>
      <c r="D2125" t="s">
        <v>3423</v>
      </c>
    </row>
    <row r="2126" spans="1:4" hidden="1" outlineLevel="2" x14ac:dyDescent="0.3">
      <c r="A2126" t="s">
        <v>3424</v>
      </c>
      <c r="B2126" t="s">
        <v>269</v>
      </c>
      <c r="C2126" t="s">
        <v>10</v>
      </c>
      <c r="D2126" t="s">
        <v>3425</v>
      </c>
    </row>
    <row r="2127" spans="1:4" hidden="1" outlineLevel="2" x14ac:dyDescent="0.3">
      <c r="A2127" t="s">
        <v>3426</v>
      </c>
      <c r="B2127" t="s">
        <v>3844</v>
      </c>
      <c r="C2127" t="s">
        <v>8</v>
      </c>
      <c r="D2127" t="s">
        <v>3427</v>
      </c>
    </row>
    <row r="2128" spans="1:4" hidden="1" outlineLevel="2" x14ac:dyDescent="0.3">
      <c r="A2128" t="s">
        <v>3428</v>
      </c>
      <c r="B2128" t="s">
        <v>269</v>
      </c>
      <c r="C2128" t="s">
        <v>8</v>
      </c>
      <c r="D2128" t="s">
        <v>3429</v>
      </c>
    </row>
    <row r="2129" spans="1:4" hidden="1" outlineLevel="2" x14ac:dyDescent="0.3">
      <c r="A2129" t="s">
        <v>3430</v>
      </c>
      <c r="B2129" t="s">
        <v>269</v>
      </c>
      <c r="C2129" t="s">
        <v>8</v>
      </c>
      <c r="D2129" t="s">
        <v>3431</v>
      </c>
    </row>
    <row r="2130" spans="1:4" hidden="1" outlineLevel="2" x14ac:dyDescent="0.3">
      <c r="A2130" t="s">
        <v>3432</v>
      </c>
      <c r="B2130" t="s">
        <v>269</v>
      </c>
      <c r="C2130" t="s">
        <v>8</v>
      </c>
      <c r="D2130" t="s">
        <v>3431</v>
      </c>
    </row>
    <row r="2131" spans="1:4" hidden="1" outlineLevel="2" x14ac:dyDescent="0.3">
      <c r="A2131" t="s">
        <v>3433</v>
      </c>
      <c r="B2131" t="s">
        <v>3910</v>
      </c>
      <c r="C2131" t="s">
        <v>8</v>
      </c>
      <c r="D2131" t="s">
        <v>3434</v>
      </c>
    </row>
    <row r="2132" spans="1:4" hidden="1" outlineLevel="2" x14ac:dyDescent="0.3">
      <c r="A2132" t="s">
        <v>3435</v>
      </c>
      <c r="B2132" t="s">
        <v>3910</v>
      </c>
      <c r="C2132" t="s">
        <v>8</v>
      </c>
      <c r="D2132" t="s">
        <v>3436</v>
      </c>
    </row>
    <row r="2133" spans="1:4" hidden="1" outlineLevel="2" x14ac:dyDescent="0.3">
      <c r="A2133" t="s">
        <v>3437</v>
      </c>
      <c r="B2133" t="s">
        <v>3910</v>
      </c>
      <c r="C2133" t="s">
        <v>8</v>
      </c>
      <c r="D2133" t="s">
        <v>3438</v>
      </c>
    </row>
    <row r="2134" spans="1:4" hidden="1" outlineLevel="2" x14ac:dyDescent="0.3">
      <c r="A2134" t="s">
        <v>3439</v>
      </c>
      <c r="B2134" t="s">
        <v>3910</v>
      </c>
      <c r="C2134" t="s">
        <v>8</v>
      </c>
      <c r="D2134" t="s">
        <v>3440</v>
      </c>
    </row>
    <row r="2135" spans="1:4" hidden="1" outlineLevel="2" x14ac:dyDescent="0.3">
      <c r="A2135" t="s">
        <v>3441</v>
      </c>
      <c r="B2135" t="s">
        <v>3910</v>
      </c>
      <c r="C2135" t="s">
        <v>8</v>
      </c>
      <c r="D2135" t="s">
        <v>3442</v>
      </c>
    </row>
    <row r="2136" spans="1:4" hidden="1" outlineLevel="2" x14ac:dyDescent="0.3">
      <c r="A2136" t="s">
        <v>3443</v>
      </c>
      <c r="B2136" t="s">
        <v>269</v>
      </c>
      <c r="C2136" t="s">
        <v>8</v>
      </c>
      <c r="D2136" t="s">
        <v>3444</v>
      </c>
    </row>
    <row r="2137" spans="1:4" hidden="1" outlineLevel="2" x14ac:dyDescent="0.3">
      <c r="A2137" t="s">
        <v>3445</v>
      </c>
      <c r="B2137" t="s">
        <v>269</v>
      </c>
      <c r="C2137" t="s">
        <v>8</v>
      </c>
      <c r="D2137" t="s">
        <v>3444</v>
      </c>
    </row>
    <row r="2138" spans="1:4" hidden="1" outlineLevel="2" x14ac:dyDescent="0.3">
      <c r="A2138" t="s">
        <v>3446</v>
      </c>
      <c r="B2138" t="s">
        <v>3844</v>
      </c>
      <c r="C2138" t="s">
        <v>8</v>
      </c>
      <c r="D2138" t="s">
        <v>3447</v>
      </c>
    </row>
    <row r="2139" spans="1:4" hidden="1" outlineLevel="2" x14ac:dyDescent="0.3">
      <c r="A2139" t="s">
        <v>3448</v>
      </c>
      <c r="B2139" t="s">
        <v>269</v>
      </c>
      <c r="C2139" t="s">
        <v>10</v>
      </c>
      <c r="D2139" t="s">
        <v>3449</v>
      </c>
    </row>
    <row r="2140" spans="1:4" hidden="1" outlineLevel="2" x14ac:dyDescent="0.3">
      <c r="A2140" t="s">
        <v>3450</v>
      </c>
      <c r="B2140" t="s">
        <v>269</v>
      </c>
      <c r="C2140" t="s">
        <v>10</v>
      </c>
      <c r="D2140" t="s">
        <v>3451</v>
      </c>
    </row>
    <row r="2141" spans="1:4" hidden="1" outlineLevel="2" x14ac:dyDescent="0.3">
      <c r="A2141" t="s">
        <v>3452</v>
      </c>
      <c r="B2141" t="s">
        <v>3844</v>
      </c>
      <c r="C2141" t="s">
        <v>10</v>
      </c>
      <c r="D2141" t="s">
        <v>3453</v>
      </c>
    </row>
    <row r="2142" spans="1:4" hidden="1" outlineLevel="2" x14ac:dyDescent="0.3">
      <c r="A2142" t="s">
        <v>3454</v>
      </c>
      <c r="B2142" t="s">
        <v>269</v>
      </c>
      <c r="C2142" t="s">
        <v>10</v>
      </c>
      <c r="D2142" t="s">
        <v>3455</v>
      </c>
    </row>
    <row r="2143" spans="1:4" hidden="1" outlineLevel="2" x14ac:dyDescent="0.3">
      <c r="A2143" t="s">
        <v>3456</v>
      </c>
      <c r="B2143" t="s">
        <v>269</v>
      </c>
      <c r="C2143" t="s">
        <v>10</v>
      </c>
      <c r="D2143" t="s">
        <v>3457</v>
      </c>
    </row>
    <row r="2144" spans="1:4" hidden="1" outlineLevel="2" x14ac:dyDescent="0.3">
      <c r="A2144" t="s">
        <v>3458</v>
      </c>
      <c r="B2144" t="s">
        <v>269</v>
      </c>
      <c r="C2144" t="s">
        <v>10</v>
      </c>
      <c r="D2144" t="s">
        <v>3459</v>
      </c>
    </row>
    <row r="2145" spans="1:4" hidden="1" outlineLevel="2" x14ac:dyDescent="0.3">
      <c r="A2145" t="s">
        <v>3460</v>
      </c>
      <c r="B2145" t="s">
        <v>269</v>
      </c>
      <c r="C2145" t="s">
        <v>10</v>
      </c>
      <c r="D2145" t="s">
        <v>3461</v>
      </c>
    </row>
    <row r="2146" spans="1:4" hidden="1" outlineLevel="2" x14ac:dyDescent="0.3">
      <c r="A2146" t="s">
        <v>3462</v>
      </c>
      <c r="B2146" t="s">
        <v>269</v>
      </c>
      <c r="C2146" t="s">
        <v>10</v>
      </c>
      <c r="D2146" t="s">
        <v>3463</v>
      </c>
    </row>
    <row r="2147" spans="1:4" hidden="1" outlineLevel="2" x14ac:dyDescent="0.3">
      <c r="A2147" t="s">
        <v>3464</v>
      </c>
      <c r="B2147" t="s">
        <v>269</v>
      </c>
      <c r="C2147" t="s">
        <v>10</v>
      </c>
      <c r="D2147" t="s">
        <v>3465</v>
      </c>
    </row>
    <row r="2148" spans="1:4" hidden="1" outlineLevel="2" x14ac:dyDescent="0.3">
      <c r="A2148" t="s">
        <v>3466</v>
      </c>
      <c r="B2148" t="s">
        <v>269</v>
      </c>
      <c r="C2148" t="s">
        <v>10</v>
      </c>
      <c r="D2148" t="s">
        <v>3467</v>
      </c>
    </row>
    <row r="2149" spans="1:4" hidden="1" outlineLevel="2" x14ac:dyDescent="0.3">
      <c r="A2149" t="s">
        <v>3468</v>
      </c>
      <c r="B2149" t="s">
        <v>269</v>
      </c>
      <c r="C2149" t="s">
        <v>10</v>
      </c>
      <c r="D2149" t="s">
        <v>3469</v>
      </c>
    </row>
    <row r="2150" spans="1:4" hidden="1" outlineLevel="2" x14ac:dyDescent="0.3">
      <c r="A2150" t="s">
        <v>3470</v>
      </c>
      <c r="B2150" t="s">
        <v>269</v>
      </c>
      <c r="C2150" t="s">
        <v>10</v>
      </c>
      <c r="D2150" t="s">
        <v>3471</v>
      </c>
    </row>
    <row r="2151" spans="1:4" hidden="1" outlineLevel="2" x14ac:dyDescent="0.3">
      <c r="A2151" t="s">
        <v>3472</v>
      </c>
      <c r="B2151" t="s">
        <v>269</v>
      </c>
      <c r="C2151" t="s">
        <v>10</v>
      </c>
      <c r="D2151" t="s">
        <v>3473</v>
      </c>
    </row>
    <row r="2152" spans="1:4" hidden="1" outlineLevel="2" x14ac:dyDescent="0.3">
      <c r="A2152" t="s">
        <v>3474</v>
      </c>
      <c r="B2152" t="s">
        <v>269</v>
      </c>
      <c r="C2152" t="s">
        <v>10</v>
      </c>
      <c r="D2152" t="s">
        <v>3475</v>
      </c>
    </row>
    <row r="2153" spans="1:4" hidden="1" outlineLevel="2" x14ac:dyDescent="0.3">
      <c r="A2153" t="s">
        <v>3476</v>
      </c>
      <c r="B2153" t="s">
        <v>269</v>
      </c>
      <c r="C2153" t="s">
        <v>10</v>
      </c>
      <c r="D2153" t="s">
        <v>3477</v>
      </c>
    </row>
    <row r="2154" spans="1:4" hidden="1" outlineLevel="2" x14ac:dyDescent="0.3">
      <c r="A2154" t="s">
        <v>3478</v>
      </c>
      <c r="B2154" t="s">
        <v>269</v>
      </c>
      <c r="C2154" t="s">
        <v>10</v>
      </c>
      <c r="D2154" t="s">
        <v>3479</v>
      </c>
    </row>
    <row r="2155" spans="1:4" hidden="1" outlineLevel="2" x14ac:dyDescent="0.3">
      <c r="A2155" t="s">
        <v>3480</v>
      </c>
      <c r="B2155" t="s">
        <v>269</v>
      </c>
      <c r="C2155" t="s">
        <v>10</v>
      </c>
      <c r="D2155" t="s">
        <v>3481</v>
      </c>
    </row>
    <row r="2156" spans="1:4" hidden="1" outlineLevel="2" x14ac:dyDescent="0.3">
      <c r="A2156" t="s">
        <v>3482</v>
      </c>
      <c r="B2156" t="s">
        <v>269</v>
      </c>
      <c r="C2156" t="s">
        <v>10</v>
      </c>
      <c r="D2156" t="s">
        <v>3483</v>
      </c>
    </row>
    <row r="2157" spans="1:4" hidden="1" outlineLevel="2" x14ac:dyDescent="0.3">
      <c r="A2157" t="s">
        <v>3484</v>
      </c>
      <c r="B2157" t="s">
        <v>269</v>
      </c>
      <c r="C2157" t="s">
        <v>10</v>
      </c>
      <c r="D2157" t="s">
        <v>3485</v>
      </c>
    </row>
    <row r="2158" spans="1:4" hidden="1" outlineLevel="2" x14ac:dyDescent="0.3">
      <c r="A2158" t="s">
        <v>3486</v>
      </c>
      <c r="B2158" t="s">
        <v>269</v>
      </c>
      <c r="C2158" t="s">
        <v>10</v>
      </c>
      <c r="D2158" t="s">
        <v>3487</v>
      </c>
    </row>
    <row r="2159" spans="1:4" hidden="1" outlineLevel="2" x14ac:dyDescent="0.3">
      <c r="A2159" t="s">
        <v>3488</v>
      </c>
      <c r="B2159" t="s">
        <v>3844</v>
      </c>
      <c r="C2159" t="s">
        <v>10</v>
      </c>
      <c r="D2159" t="s">
        <v>3489</v>
      </c>
    </row>
    <row r="2160" spans="1:4" hidden="1" outlineLevel="2" x14ac:dyDescent="0.3">
      <c r="A2160" t="s">
        <v>3490</v>
      </c>
      <c r="B2160" t="s">
        <v>269</v>
      </c>
      <c r="C2160" t="s">
        <v>10</v>
      </c>
      <c r="D2160" t="s">
        <v>3491</v>
      </c>
    </row>
    <row r="2161" spans="1:4" hidden="1" outlineLevel="2" x14ac:dyDescent="0.3">
      <c r="A2161" t="s">
        <v>3492</v>
      </c>
      <c r="B2161" t="s">
        <v>269</v>
      </c>
      <c r="C2161" t="s">
        <v>10</v>
      </c>
      <c r="D2161" t="s">
        <v>3493</v>
      </c>
    </row>
    <row r="2162" spans="1:4" hidden="1" outlineLevel="2" x14ac:dyDescent="0.3">
      <c r="A2162" t="s">
        <v>3494</v>
      </c>
      <c r="B2162" t="s">
        <v>269</v>
      </c>
      <c r="C2162" t="s">
        <v>10</v>
      </c>
      <c r="D2162" t="s">
        <v>3495</v>
      </c>
    </row>
    <row r="2163" spans="1:4" hidden="1" outlineLevel="2" x14ac:dyDescent="0.3">
      <c r="A2163" t="s">
        <v>3496</v>
      </c>
      <c r="B2163" t="s">
        <v>269</v>
      </c>
      <c r="C2163" t="s">
        <v>10</v>
      </c>
      <c r="D2163" t="s">
        <v>3497</v>
      </c>
    </row>
    <row r="2164" spans="1:4" hidden="1" outlineLevel="2" x14ac:dyDescent="0.3">
      <c r="A2164" t="s">
        <v>3498</v>
      </c>
      <c r="B2164" t="s">
        <v>269</v>
      </c>
      <c r="C2164" t="s">
        <v>8</v>
      </c>
      <c r="D2164" t="s">
        <v>3499</v>
      </c>
    </row>
    <row r="2165" spans="1:4" hidden="1" outlineLevel="2" x14ac:dyDescent="0.3">
      <c r="A2165" t="s">
        <v>3500</v>
      </c>
      <c r="B2165" t="s">
        <v>269</v>
      </c>
      <c r="C2165" t="s">
        <v>8</v>
      </c>
      <c r="D2165" t="s">
        <v>3501</v>
      </c>
    </row>
    <row r="2166" spans="1:4" hidden="1" outlineLevel="2" x14ac:dyDescent="0.3">
      <c r="A2166" t="s">
        <v>3502</v>
      </c>
      <c r="B2166" t="s">
        <v>3910</v>
      </c>
      <c r="C2166" t="s">
        <v>8</v>
      </c>
      <c r="D2166" t="s">
        <v>3503</v>
      </c>
    </row>
    <row r="2167" spans="1:4" hidden="1" outlineLevel="2" x14ac:dyDescent="0.3">
      <c r="A2167" t="s">
        <v>3504</v>
      </c>
      <c r="B2167" t="s">
        <v>3910</v>
      </c>
      <c r="C2167" t="s">
        <v>8</v>
      </c>
      <c r="D2167" t="s">
        <v>3505</v>
      </c>
    </row>
    <row r="2168" spans="1:4" hidden="1" outlineLevel="2" x14ac:dyDescent="0.3">
      <c r="A2168" t="s">
        <v>3506</v>
      </c>
      <c r="B2168" t="s">
        <v>3910</v>
      </c>
      <c r="C2168" t="s">
        <v>8</v>
      </c>
      <c r="D2168" t="s">
        <v>3505</v>
      </c>
    </row>
    <row r="2169" spans="1:4" hidden="1" outlineLevel="2" x14ac:dyDescent="0.3">
      <c r="A2169" t="s">
        <v>3507</v>
      </c>
      <c r="B2169" t="s">
        <v>3910</v>
      </c>
      <c r="C2169" t="s">
        <v>8</v>
      </c>
      <c r="D2169" t="s">
        <v>3508</v>
      </c>
    </row>
    <row r="2170" spans="1:4" hidden="1" outlineLevel="2" x14ac:dyDescent="0.3">
      <c r="A2170" t="s">
        <v>3509</v>
      </c>
      <c r="B2170" t="s">
        <v>3910</v>
      </c>
      <c r="C2170" t="s">
        <v>8</v>
      </c>
      <c r="D2170" t="s">
        <v>3510</v>
      </c>
    </row>
    <row r="2171" spans="1:4" hidden="1" outlineLevel="2" x14ac:dyDescent="0.3">
      <c r="A2171" t="s">
        <v>3511</v>
      </c>
      <c r="B2171" t="s">
        <v>3910</v>
      </c>
      <c r="C2171" t="s">
        <v>8</v>
      </c>
      <c r="D2171" t="s">
        <v>3512</v>
      </c>
    </row>
    <row r="2172" spans="1:4" hidden="1" outlineLevel="2" x14ac:dyDescent="0.3">
      <c r="A2172" t="s">
        <v>3513</v>
      </c>
      <c r="B2172" t="s">
        <v>3910</v>
      </c>
      <c r="C2172" t="s">
        <v>8</v>
      </c>
      <c r="D2172" t="s">
        <v>3514</v>
      </c>
    </row>
    <row r="2173" spans="1:4" hidden="1" outlineLevel="2" x14ac:dyDescent="0.3">
      <c r="A2173" t="s">
        <v>3515</v>
      </c>
      <c r="B2173" t="s">
        <v>3910</v>
      </c>
      <c r="C2173" t="s">
        <v>8</v>
      </c>
      <c r="D2173" t="s">
        <v>3516</v>
      </c>
    </row>
    <row r="2174" spans="1:4" hidden="1" outlineLevel="2" x14ac:dyDescent="0.3">
      <c r="A2174" t="s">
        <v>3517</v>
      </c>
      <c r="B2174" t="s">
        <v>3910</v>
      </c>
      <c r="C2174" t="s">
        <v>8</v>
      </c>
      <c r="D2174" t="s">
        <v>3518</v>
      </c>
    </row>
    <row r="2175" spans="1:4" hidden="1" outlineLevel="2" x14ac:dyDescent="0.3">
      <c r="A2175" t="s">
        <v>3519</v>
      </c>
      <c r="B2175" t="s">
        <v>269</v>
      </c>
      <c r="C2175" t="s">
        <v>10</v>
      </c>
      <c r="D2175" t="s">
        <v>3520</v>
      </c>
    </row>
    <row r="2176" spans="1:4" hidden="1" outlineLevel="2" x14ac:dyDescent="0.3">
      <c r="A2176" t="s">
        <v>3521</v>
      </c>
      <c r="B2176" t="s">
        <v>269</v>
      </c>
      <c r="C2176" t="s">
        <v>10</v>
      </c>
      <c r="D2176" t="s">
        <v>3522</v>
      </c>
    </row>
    <row r="2177" spans="1:4" hidden="1" outlineLevel="2" x14ac:dyDescent="0.3">
      <c r="A2177" t="s">
        <v>3523</v>
      </c>
      <c r="B2177" t="s">
        <v>269</v>
      </c>
      <c r="C2177" t="s">
        <v>10</v>
      </c>
      <c r="D2177" t="s">
        <v>3524</v>
      </c>
    </row>
    <row r="2178" spans="1:4" hidden="1" outlineLevel="2" x14ac:dyDescent="0.3">
      <c r="A2178" t="s">
        <v>3525</v>
      </c>
      <c r="B2178" t="s">
        <v>269</v>
      </c>
      <c r="C2178" t="s">
        <v>10</v>
      </c>
      <c r="D2178" t="s">
        <v>3526</v>
      </c>
    </row>
    <row r="2179" spans="1:4" hidden="1" outlineLevel="2" x14ac:dyDescent="0.3">
      <c r="A2179" t="s">
        <v>3527</v>
      </c>
      <c r="B2179" t="s">
        <v>269</v>
      </c>
      <c r="C2179" t="s">
        <v>10</v>
      </c>
      <c r="D2179" t="s">
        <v>3528</v>
      </c>
    </row>
    <row r="2180" spans="1:4" hidden="1" outlineLevel="2" x14ac:dyDescent="0.3">
      <c r="A2180" t="s">
        <v>3529</v>
      </c>
      <c r="B2180" t="s">
        <v>269</v>
      </c>
      <c r="C2180" t="s">
        <v>10</v>
      </c>
      <c r="D2180" t="s">
        <v>3530</v>
      </c>
    </row>
    <row r="2181" spans="1:4" hidden="1" outlineLevel="2" x14ac:dyDescent="0.3">
      <c r="A2181" t="s">
        <v>3531</v>
      </c>
      <c r="B2181" t="s">
        <v>269</v>
      </c>
      <c r="C2181" t="s">
        <v>10</v>
      </c>
      <c r="D2181" t="s">
        <v>3532</v>
      </c>
    </row>
    <row r="2182" spans="1:4" hidden="1" outlineLevel="2" x14ac:dyDescent="0.3">
      <c r="A2182" t="s">
        <v>3533</v>
      </c>
      <c r="B2182" t="s">
        <v>269</v>
      </c>
      <c r="C2182" t="s">
        <v>10</v>
      </c>
      <c r="D2182" t="s">
        <v>3534</v>
      </c>
    </row>
    <row r="2183" spans="1:4" hidden="1" outlineLevel="2" x14ac:dyDescent="0.3">
      <c r="A2183" t="s">
        <v>3535</v>
      </c>
      <c r="B2183" t="s">
        <v>269</v>
      </c>
      <c r="C2183" t="s">
        <v>10</v>
      </c>
      <c r="D2183" t="s">
        <v>3536</v>
      </c>
    </row>
    <row r="2184" spans="1:4" hidden="1" outlineLevel="2" x14ac:dyDescent="0.3">
      <c r="A2184" t="s">
        <v>3537</v>
      </c>
      <c r="B2184" t="s">
        <v>3844</v>
      </c>
      <c r="C2184" t="s">
        <v>8</v>
      </c>
      <c r="D2184" t="s">
        <v>3538</v>
      </c>
    </row>
    <row r="2185" spans="1:4" hidden="1" outlineLevel="2" x14ac:dyDescent="0.3">
      <c r="A2185" t="s">
        <v>3539</v>
      </c>
      <c r="B2185" t="s">
        <v>269</v>
      </c>
      <c r="C2185" t="s">
        <v>10</v>
      </c>
      <c r="D2185" t="s">
        <v>3540</v>
      </c>
    </row>
    <row r="2186" spans="1:4" hidden="1" outlineLevel="2" x14ac:dyDescent="0.3">
      <c r="A2186" t="s">
        <v>3541</v>
      </c>
      <c r="B2186" t="s">
        <v>269</v>
      </c>
      <c r="C2186" t="s">
        <v>10</v>
      </c>
      <c r="D2186" t="s">
        <v>3542</v>
      </c>
    </row>
    <row r="2187" spans="1:4" hidden="1" outlineLevel="2" x14ac:dyDescent="0.3">
      <c r="A2187" t="s">
        <v>3543</v>
      </c>
      <c r="B2187" t="s">
        <v>3844</v>
      </c>
      <c r="C2187" t="s">
        <v>10</v>
      </c>
      <c r="D2187" t="s">
        <v>3544</v>
      </c>
    </row>
    <row r="2188" spans="1:4" hidden="1" outlineLevel="2" x14ac:dyDescent="0.3">
      <c r="A2188" t="s">
        <v>3545</v>
      </c>
      <c r="B2188" t="s">
        <v>269</v>
      </c>
      <c r="C2188" t="s">
        <v>10</v>
      </c>
      <c r="D2188" t="s">
        <v>3546</v>
      </c>
    </row>
    <row r="2189" spans="1:4" hidden="1" outlineLevel="2" x14ac:dyDescent="0.3">
      <c r="A2189" t="s">
        <v>3547</v>
      </c>
      <c r="B2189" t="s">
        <v>269</v>
      </c>
      <c r="C2189" t="s">
        <v>10</v>
      </c>
      <c r="D2189" t="s">
        <v>3548</v>
      </c>
    </row>
    <row r="2190" spans="1:4" hidden="1" outlineLevel="2" x14ac:dyDescent="0.3">
      <c r="A2190" t="s">
        <v>3549</v>
      </c>
      <c r="B2190" t="s">
        <v>269</v>
      </c>
      <c r="C2190" t="s">
        <v>10</v>
      </c>
      <c r="D2190" t="s">
        <v>3550</v>
      </c>
    </row>
    <row r="2191" spans="1:4" hidden="1" outlineLevel="2" x14ac:dyDescent="0.3">
      <c r="A2191" t="s">
        <v>3551</v>
      </c>
      <c r="B2191" t="s">
        <v>3844</v>
      </c>
      <c r="C2191" t="s">
        <v>8</v>
      </c>
      <c r="D2191" t="s">
        <v>3552</v>
      </c>
    </row>
    <row r="2192" spans="1:4" hidden="1" outlineLevel="2" x14ac:dyDescent="0.3">
      <c r="A2192" t="s">
        <v>3553</v>
      </c>
      <c r="B2192" t="s">
        <v>269</v>
      </c>
      <c r="C2192" t="s">
        <v>10</v>
      </c>
      <c r="D2192" t="s">
        <v>3554</v>
      </c>
    </row>
    <row r="2193" spans="1:4" hidden="1" outlineLevel="2" x14ac:dyDescent="0.3">
      <c r="A2193" t="s">
        <v>3555</v>
      </c>
      <c r="B2193" t="s">
        <v>269</v>
      </c>
      <c r="C2193" t="s">
        <v>10</v>
      </c>
      <c r="D2193" t="s">
        <v>3556</v>
      </c>
    </row>
    <row r="2194" spans="1:4" hidden="1" outlineLevel="2" x14ac:dyDescent="0.3">
      <c r="A2194" t="s">
        <v>3557</v>
      </c>
      <c r="B2194" t="s">
        <v>3910</v>
      </c>
      <c r="C2194" t="s">
        <v>8</v>
      </c>
      <c r="D2194" t="s">
        <v>3558</v>
      </c>
    </row>
    <row r="2195" spans="1:4" hidden="1" outlineLevel="2" x14ac:dyDescent="0.3">
      <c r="A2195" t="s">
        <v>3559</v>
      </c>
      <c r="B2195" t="s">
        <v>3910</v>
      </c>
      <c r="C2195" t="s">
        <v>8</v>
      </c>
      <c r="D2195" t="s">
        <v>3560</v>
      </c>
    </row>
    <row r="2196" spans="1:4" hidden="1" outlineLevel="2" x14ac:dyDescent="0.3">
      <c r="A2196" t="s">
        <v>3561</v>
      </c>
      <c r="B2196" t="s">
        <v>3910</v>
      </c>
      <c r="C2196" t="s">
        <v>8</v>
      </c>
      <c r="D2196" t="s">
        <v>3562</v>
      </c>
    </row>
    <row r="2197" spans="1:4" hidden="1" outlineLevel="2" x14ac:dyDescent="0.3">
      <c r="A2197" t="s">
        <v>3563</v>
      </c>
      <c r="B2197" t="s">
        <v>3910</v>
      </c>
      <c r="C2197" t="s">
        <v>8</v>
      </c>
      <c r="D2197" t="s">
        <v>3564</v>
      </c>
    </row>
    <row r="2198" spans="1:4" hidden="1" outlineLevel="2" x14ac:dyDescent="0.3">
      <c r="A2198" t="s">
        <v>3565</v>
      </c>
      <c r="B2198" t="s">
        <v>3910</v>
      </c>
      <c r="C2198" t="s">
        <v>8</v>
      </c>
      <c r="D2198" t="s">
        <v>3566</v>
      </c>
    </row>
    <row r="2199" spans="1:4" hidden="1" outlineLevel="2" x14ac:dyDescent="0.3">
      <c r="A2199" t="s">
        <v>3567</v>
      </c>
      <c r="B2199" t="s">
        <v>3910</v>
      </c>
      <c r="C2199" t="s">
        <v>8</v>
      </c>
      <c r="D2199" t="s">
        <v>3568</v>
      </c>
    </row>
    <row r="2200" spans="1:4" hidden="1" outlineLevel="2" x14ac:dyDescent="0.3">
      <c r="A2200" t="s">
        <v>3569</v>
      </c>
      <c r="B2200" t="s">
        <v>3910</v>
      </c>
      <c r="C2200" t="s">
        <v>8</v>
      </c>
      <c r="D2200" t="s">
        <v>3570</v>
      </c>
    </row>
    <row r="2201" spans="1:4" hidden="1" outlineLevel="2" x14ac:dyDescent="0.3">
      <c r="A2201" t="s">
        <v>3571</v>
      </c>
      <c r="B2201" t="s">
        <v>3910</v>
      </c>
      <c r="C2201" t="s">
        <v>8</v>
      </c>
      <c r="D2201" t="s">
        <v>3572</v>
      </c>
    </row>
    <row r="2202" spans="1:4" hidden="1" outlineLevel="2" x14ac:dyDescent="0.3">
      <c r="A2202" t="s">
        <v>3573</v>
      </c>
      <c r="B2202" t="s">
        <v>3910</v>
      </c>
      <c r="C2202" t="s">
        <v>8</v>
      </c>
      <c r="D2202" t="s">
        <v>3572</v>
      </c>
    </row>
    <row r="2203" spans="1:4" hidden="1" outlineLevel="2" x14ac:dyDescent="0.3">
      <c r="A2203" t="s">
        <v>3574</v>
      </c>
      <c r="B2203" t="s">
        <v>3910</v>
      </c>
      <c r="C2203" t="s">
        <v>8</v>
      </c>
      <c r="D2203" t="s">
        <v>3575</v>
      </c>
    </row>
    <row r="2204" spans="1:4" hidden="1" outlineLevel="2" x14ac:dyDescent="0.3">
      <c r="A2204" t="s">
        <v>3576</v>
      </c>
      <c r="B2204" t="s">
        <v>3844</v>
      </c>
      <c r="C2204" t="s">
        <v>10</v>
      </c>
      <c r="D2204" t="s">
        <v>3577</v>
      </c>
    </row>
    <row r="2205" spans="1:4" hidden="1" outlineLevel="2" x14ac:dyDescent="0.3">
      <c r="A2205" t="s">
        <v>3578</v>
      </c>
      <c r="B2205" t="s">
        <v>3844</v>
      </c>
      <c r="C2205" t="s">
        <v>10</v>
      </c>
      <c r="D2205" t="s">
        <v>3579</v>
      </c>
    </row>
    <row r="2206" spans="1:4" hidden="1" outlineLevel="2" x14ac:dyDescent="0.3">
      <c r="A2206" t="s">
        <v>3580</v>
      </c>
      <c r="B2206" t="s">
        <v>269</v>
      </c>
      <c r="C2206" t="s">
        <v>10</v>
      </c>
      <c r="D2206" t="s">
        <v>3581</v>
      </c>
    </row>
    <row r="2207" spans="1:4" hidden="1" outlineLevel="2" x14ac:dyDescent="0.3">
      <c r="A2207" t="s">
        <v>3582</v>
      </c>
      <c r="B2207" t="s">
        <v>269</v>
      </c>
      <c r="C2207" t="s">
        <v>10</v>
      </c>
      <c r="D2207" t="s">
        <v>3583</v>
      </c>
    </row>
    <row r="2208" spans="1:4" hidden="1" outlineLevel="2" x14ac:dyDescent="0.3">
      <c r="A2208" t="s">
        <v>3584</v>
      </c>
      <c r="B2208" t="s">
        <v>269</v>
      </c>
      <c r="C2208" t="s">
        <v>10</v>
      </c>
      <c r="D2208" t="s">
        <v>3585</v>
      </c>
    </row>
    <row r="2209" spans="1:4" hidden="1" outlineLevel="2" x14ac:dyDescent="0.3">
      <c r="A2209" t="s">
        <v>3586</v>
      </c>
      <c r="B2209" t="s">
        <v>269</v>
      </c>
      <c r="C2209" t="s">
        <v>10</v>
      </c>
      <c r="D2209" t="s">
        <v>3587</v>
      </c>
    </row>
    <row r="2210" spans="1:4" hidden="1" outlineLevel="2" x14ac:dyDescent="0.3">
      <c r="A2210" t="s">
        <v>3588</v>
      </c>
      <c r="B2210" t="s">
        <v>269</v>
      </c>
      <c r="C2210" t="s">
        <v>10</v>
      </c>
      <c r="D2210" t="s">
        <v>3589</v>
      </c>
    </row>
    <row r="2211" spans="1:4" hidden="1" outlineLevel="2" x14ac:dyDescent="0.3">
      <c r="A2211" t="s">
        <v>3590</v>
      </c>
      <c r="B2211" t="s">
        <v>269</v>
      </c>
      <c r="C2211" t="s">
        <v>10</v>
      </c>
      <c r="D2211" t="s">
        <v>3591</v>
      </c>
    </row>
    <row r="2212" spans="1:4" hidden="1" outlineLevel="2" x14ac:dyDescent="0.3">
      <c r="A2212" t="s">
        <v>3592</v>
      </c>
      <c r="B2212" t="s">
        <v>269</v>
      </c>
      <c r="C2212" t="s">
        <v>10</v>
      </c>
      <c r="D2212" t="s">
        <v>3593</v>
      </c>
    </row>
    <row r="2213" spans="1:4" hidden="1" outlineLevel="2" x14ac:dyDescent="0.3">
      <c r="A2213" t="s">
        <v>3594</v>
      </c>
      <c r="B2213" t="s">
        <v>269</v>
      </c>
      <c r="C2213" t="s">
        <v>10</v>
      </c>
      <c r="D2213" t="s">
        <v>3595</v>
      </c>
    </row>
    <row r="2214" spans="1:4" hidden="1" outlineLevel="2" x14ac:dyDescent="0.3">
      <c r="A2214" t="s">
        <v>3596</v>
      </c>
      <c r="B2214" t="s">
        <v>269</v>
      </c>
      <c r="C2214" t="s">
        <v>10</v>
      </c>
      <c r="D2214" t="s">
        <v>3597</v>
      </c>
    </row>
    <row r="2215" spans="1:4" hidden="1" outlineLevel="2" x14ac:dyDescent="0.3">
      <c r="A2215" t="s">
        <v>3598</v>
      </c>
      <c r="B2215" t="s">
        <v>269</v>
      </c>
      <c r="C2215" t="s">
        <v>10</v>
      </c>
      <c r="D2215" t="s">
        <v>3599</v>
      </c>
    </row>
    <row r="2216" spans="1:4" hidden="1" outlineLevel="2" x14ac:dyDescent="0.3">
      <c r="A2216" t="s">
        <v>3600</v>
      </c>
      <c r="B2216" t="s">
        <v>269</v>
      </c>
      <c r="C2216" t="s">
        <v>10</v>
      </c>
      <c r="D2216" t="s">
        <v>3601</v>
      </c>
    </row>
    <row r="2217" spans="1:4" hidden="1" outlineLevel="2" x14ac:dyDescent="0.3">
      <c r="A2217" t="s">
        <v>3602</v>
      </c>
      <c r="B2217" t="s">
        <v>269</v>
      </c>
      <c r="C2217" t="s">
        <v>10</v>
      </c>
      <c r="D2217" t="s">
        <v>3603</v>
      </c>
    </row>
    <row r="2218" spans="1:4" hidden="1" outlineLevel="2" x14ac:dyDescent="0.3">
      <c r="A2218" t="s">
        <v>3604</v>
      </c>
      <c r="B2218" t="s">
        <v>269</v>
      </c>
      <c r="C2218" t="s">
        <v>10</v>
      </c>
      <c r="D2218" t="s">
        <v>3605</v>
      </c>
    </row>
    <row r="2219" spans="1:4" hidden="1" outlineLevel="2" x14ac:dyDescent="0.3">
      <c r="A2219" t="s">
        <v>3606</v>
      </c>
      <c r="B2219" t="s">
        <v>269</v>
      </c>
      <c r="C2219" t="s">
        <v>10</v>
      </c>
      <c r="D2219" t="s">
        <v>3607</v>
      </c>
    </row>
    <row r="2220" spans="1:4" hidden="1" outlineLevel="2" x14ac:dyDescent="0.3">
      <c r="A2220" t="s">
        <v>3608</v>
      </c>
      <c r="B2220" t="s">
        <v>269</v>
      </c>
      <c r="C2220" t="s">
        <v>10</v>
      </c>
      <c r="D2220" t="s">
        <v>3609</v>
      </c>
    </row>
    <row r="2221" spans="1:4" hidden="1" outlineLevel="2" x14ac:dyDescent="0.3">
      <c r="A2221" t="s">
        <v>3610</v>
      </c>
      <c r="B2221" t="s">
        <v>269</v>
      </c>
      <c r="C2221" t="s">
        <v>10</v>
      </c>
      <c r="D2221" t="s">
        <v>3611</v>
      </c>
    </row>
    <row r="2222" spans="1:4" hidden="1" outlineLevel="2" x14ac:dyDescent="0.3">
      <c r="A2222" t="s">
        <v>3612</v>
      </c>
      <c r="B2222" t="s">
        <v>269</v>
      </c>
      <c r="C2222" t="s">
        <v>10</v>
      </c>
      <c r="D2222" t="s">
        <v>3613</v>
      </c>
    </row>
    <row r="2223" spans="1:4" hidden="1" outlineLevel="2" x14ac:dyDescent="0.3">
      <c r="A2223" t="s">
        <v>3614</v>
      </c>
      <c r="B2223" t="s">
        <v>269</v>
      </c>
      <c r="C2223" t="s">
        <v>10</v>
      </c>
      <c r="D2223" t="s">
        <v>3615</v>
      </c>
    </row>
    <row r="2224" spans="1:4" hidden="1" outlineLevel="2" x14ac:dyDescent="0.3">
      <c r="A2224" t="s">
        <v>3616</v>
      </c>
      <c r="B2224" t="s">
        <v>269</v>
      </c>
      <c r="C2224" t="s">
        <v>10</v>
      </c>
      <c r="D2224" t="s">
        <v>3617</v>
      </c>
    </row>
    <row r="2225" spans="1:4" hidden="1" outlineLevel="2" x14ac:dyDescent="0.3">
      <c r="A2225" t="s">
        <v>3618</v>
      </c>
      <c r="B2225" t="s">
        <v>269</v>
      </c>
      <c r="C2225" t="s">
        <v>10</v>
      </c>
      <c r="D2225" t="s">
        <v>3619</v>
      </c>
    </row>
    <row r="2226" spans="1:4" hidden="1" outlineLevel="2" x14ac:dyDescent="0.3">
      <c r="A2226" t="s">
        <v>3620</v>
      </c>
      <c r="B2226" t="s">
        <v>269</v>
      </c>
      <c r="C2226" t="s">
        <v>10</v>
      </c>
      <c r="D2226" t="s">
        <v>3621</v>
      </c>
    </row>
    <row r="2227" spans="1:4" hidden="1" outlineLevel="2" x14ac:dyDescent="0.3">
      <c r="A2227" t="s">
        <v>3622</v>
      </c>
      <c r="B2227" t="s">
        <v>269</v>
      </c>
      <c r="C2227" t="s">
        <v>10</v>
      </c>
      <c r="D2227" t="s">
        <v>3623</v>
      </c>
    </row>
    <row r="2228" spans="1:4" hidden="1" outlineLevel="2" x14ac:dyDescent="0.3">
      <c r="A2228" t="s">
        <v>3624</v>
      </c>
      <c r="B2228" t="s">
        <v>269</v>
      </c>
      <c r="C2228" t="s">
        <v>8</v>
      </c>
      <c r="D2228" t="s">
        <v>3625</v>
      </c>
    </row>
    <row r="2229" spans="1:4" hidden="1" outlineLevel="2" x14ac:dyDescent="0.3">
      <c r="A2229" t="s">
        <v>3626</v>
      </c>
      <c r="B2229" t="s">
        <v>269</v>
      </c>
      <c r="C2229" t="s">
        <v>8</v>
      </c>
      <c r="D2229" t="s">
        <v>3627</v>
      </c>
    </row>
    <row r="2230" spans="1:4" hidden="1" outlineLevel="2" x14ac:dyDescent="0.3">
      <c r="A2230" t="s">
        <v>3628</v>
      </c>
      <c r="B2230" t="s">
        <v>48</v>
      </c>
      <c r="C2230" t="s">
        <v>10</v>
      </c>
      <c r="D2230" t="s">
        <v>3629</v>
      </c>
    </row>
    <row r="2231" spans="1:4" hidden="1" outlineLevel="2" x14ac:dyDescent="0.3">
      <c r="A2231" t="s">
        <v>3630</v>
      </c>
      <c r="B2231" t="s">
        <v>48</v>
      </c>
      <c r="C2231" t="s">
        <v>8</v>
      </c>
      <c r="D2231" t="s">
        <v>3631</v>
      </c>
    </row>
    <row r="2232" spans="1:4" hidden="1" outlineLevel="2" x14ac:dyDescent="0.3">
      <c r="A2232" t="s">
        <v>3632</v>
      </c>
      <c r="B2232" t="s">
        <v>48</v>
      </c>
      <c r="C2232" t="s">
        <v>8</v>
      </c>
      <c r="D2232" t="s">
        <v>3633</v>
      </c>
    </row>
    <row r="2233" spans="1:4" hidden="1" outlineLevel="2" x14ac:dyDescent="0.3">
      <c r="A2233" t="s">
        <v>3634</v>
      </c>
      <c r="B2233" t="s">
        <v>48</v>
      </c>
      <c r="C2233" t="s">
        <v>10</v>
      </c>
      <c r="D2233" t="s">
        <v>3629</v>
      </c>
    </row>
    <row r="2234" spans="1:4" hidden="1" outlineLevel="2" x14ac:dyDescent="0.3">
      <c r="A2234" t="s">
        <v>3635</v>
      </c>
      <c r="B2234" t="s">
        <v>48</v>
      </c>
      <c r="C2234" t="s">
        <v>10</v>
      </c>
      <c r="D2234" t="s">
        <v>3636</v>
      </c>
    </row>
    <row r="2235" spans="1:4" hidden="1" outlineLevel="2" x14ac:dyDescent="0.3">
      <c r="A2235" t="s">
        <v>3637</v>
      </c>
      <c r="B2235" t="s">
        <v>48</v>
      </c>
      <c r="C2235" t="s">
        <v>8</v>
      </c>
      <c r="D2235" t="s">
        <v>3638</v>
      </c>
    </row>
    <row r="2236" spans="1:4" hidden="1" outlineLevel="2" x14ac:dyDescent="0.3">
      <c r="A2236" t="s">
        <v>3639</v>
      </c>
      <c r="B2236" t="s">
        <v>48</v>
      </c>
      <c r="C2236" t="s">
        <v>8</v>
      </c>
      <c r="D2236" t="s">
        <v>3640</v>
      </c>
    </row>
    <row r="2237" spans="1:4" hidden="1" outlineLevel="2" x14ac:dyDescent="0.3">
      <c r="A2237" t="s">
        <v>3641</v>
      </c>
      <c r="B2237" t="s">
        <v>48</v>
      </c>
      <c r="C2237" t="s">
        <v>10</v>
      </c>
      <c r="D2237" t="s">
        <v>3642</v>
      </c>
    </row>
    <row r="2238" spans="1:4" hidden="1" outlineLevel="2" x14ac:dyDescent="0.3">
      <c r="A2238" t="s">
        <v>3643</v>
      </c>
      <c r="B2238" t="s">
        <v>48</v>
      </c>
      <c r="C2238" t="s">
        <v>10</v>
      </c>
      <c r="D2238" t="s">
        <v>3642</v>
      </c>
    </row>
    <row r="2239" spans="1:4" hidden="1" outlineLevel="2" x14ac:dyDescent="0.3">
      <c r="A2239" t="s">
        <v>3644</v>
      </c>
      <c r="B2239" t="s">
        <v>48</v>
      </c>
      <c r="C2239" t="s">
        <v>10</v>
      </c>
      <c r="D2239" t="s">
        <v>3645</v>
      </c>
    </row>
    <row r="2240" spans="1:4" hidden="1" outlineLevel="2" x14ac:dyDescent="0.3">
      <c r="A2240" t="s">
        <v>3646</v>
      </c>
      <c r="B2240" t="s">
        <v>48</v>
      </c>
      <c r="C2240" t="s">
        <v>10</v>
      </c>
      <c r="D2240" t="s">
        <v>3647</v>
      </c>
    </row>
    <row r="2241" spans="1:4" hidden="1" outlineLevel="2" x14ac:dyDescent="0.3">
      <c r="A2241" t="s">
        <v>3648</v>
      </c>
      <c r="B2241" t="s">
        <v>48</v>
      </c>
      <c r="C2241" t="s">
        <v>10</v>
      </c>
      <c r="D2241" t="s">
        <v>3647</v>
      </c>
    </row>
    <row r="2242" spans="1:4" hidden="1" outlineLevel="2" x14ac:dyDescent="0.3">
      <c r="A2242" t="s">
        <v>3649</v>
      </c>
      <c r="B2242" t="s">
        <v>48</v>
      </c>
      <c r="C2242" t="s">
        <v>10</v>
      </c>
      <c r="D2242" t="s">
        <v>3650</v>
      </c>
    </row>
    <row r="2243" spans="1:4" hidden="1" outlineLevel="2" x14ac:dyDescent="0.3">
      <c r="A2243" t="s">
        <v>3651</v>
      </c>
      <c r="B2243" t="s">
        <v>48</v>
      </c>
      <c r="C2243" t="s">
        <v>10</v>
      </c>
      <c r="D2243" t="s">
        <v>3650</v>
      </c>
    </row>
    <row r="2244" spans="1:4" hidden="1" outlineLevel="2" x14ac:dyDescent="0.3">
      <c r="A2244" t="s">
        <v>3652</v>
      </c>
      <c r="B2244" t="s">
        <v>48</v>
      </c>
      <c r="C2244" t="s">
        <v>8</v>
      </c>
      <c r="D2244" t="s">
        <v>3653</v>
      </c>
    </row>
    <row r="2245" spans="1:4" hidden="1" outlineLevel="2" x14ac:dyDescent="0.3">
      <c r="A2245" t="s">
        <v>3654</v>
      </c>
      <c r="B2245" t="s">
        <v>48</v>
      </c>
      <c r="C2245" t="s">
        <v>8</v>
      </c>
      <c r="D2245" t="s">
        <v>3653</v>
      </c>
    </row>
    <row r="2246" spans="1:4" hidden="1" outlineLevel="2" x14ac:dyDescent="0.3">
      <c r="A2246" t="s">
        <v>3655</v>
      </c>
      <c r="B2246" t="s">
        <v>48</v>
      </c>
      <c r="C2246" t="s">
        <v>10</v>
      </c>
      <c r="D2246" t="s">
        <v>3656</v>
      </c>
    </row>
    <row r="2247" spans="1:4" hidden="1" outlineLevel="2" x14ac:dyDescent="0.3">
      <c r="A2247" t="s">
        <v>3657</v>
      </c>
      <c r="B2247" t="s">
        <v>48</v>
      </c>
      <c r="C2247" t="s">
        <v>10</v>
      </c>
      <c r="D2247" t="s">
        <v>3658</v>
      </c>
    </row>
    <row r="2248" spans="1:4" hidden="1" outlineLevel="2" x14ac:dyDescent="0.3">
      <c r="A2248" t="s">
        <v>3659</v>
      </c>
      <c r="B2248" t="s">
        <v>48</v>
      </c>
      <c r="C2248" t="s">
        <v>10</v>
      </c>
      <c r="D2248" t="s">
        <v>3658</v>
      </c>
    </row>
    <row r="2249" spans="1:4" hidden="1" outlineLevel="2" x14ac:dyDescent="0.3">
      <c r="A2249" t="s">
        <v>3660</v>
      </c>
      <c r="B2249" t="s">
        <v>48</v>
      </c>
      <c r="C2249" t="s">
        <v>8</v>
      </c>
      <c r="D2249" t="s">
        <v>3661</v>
      </c>
    </row>
    <row r="2250" spans="1:4" hidden="1" outlineLevel="2" x14ac:dyDescent="0.3">
      <c r="A2250" t="s">
        <v>3662</v>
      </c>
      <c r="B2250" t="s">
        <v>48</v>
      </c>
      <c r="C2250" t="s">
        <v>8</v>
      </c>
      <c r="D2250" t="s">
        <v>3661</v>
      </c>
    </row>
    <row r="2251" spans="1:4" hidden="1" outlineLevel="2" x14ac:dyDescent="0.3">
      <c r="A2251" t="s">
        <v>3663</v>
      </c>
      <c r="B2251" t="s">
        <v>48</v>
      </c>
      <c r="C2251" t="s">
        <v>10</v>
      </c>
      <c r="D2251" t="s">
        <v>3664</v>
      </c>
    </row>
    <row r="2252" spans="1:4" hidden="1" outlineLevel="2" x14ac:dyDescent="0.3">
      <c r="A2252" t="s">
        <v>3665</v>
      </c>
      <c r="B2252" t="s">
        <v>48</v>
      </c>
      <c r="C2252" t="s">
        <v>10</v>
      </c>
      <c r="D2252" t="s">
        <v>3664</v>
      </c>
    </row>
    <row r="2253" spans="1:4" hidden="1" outlineLevel="2" x14ac:dyDescent="0.3">
      <c r="A2253" t="s">
        <v>3666</v>
      </c>
      <c r="B2253" t="s">
        <v>48</v>
      </c>
      <c r="C2253" t="s">
        <v>10</v>
      </c>
      <c r="D2253" t="s">
        <v>3667</v>
      </c>
    </row>
    <row r="2254" spans="1:4" hidden="1" outlineLevel="2" x14ac:dyDescent="0.3">
      <c r="A2254" t="s">
        <v>3668</v>
      </c>
      <c r="B2254" t="s">
        <v>48</v>
      </c>
      <c r="C2254" t="s">
        <v>8</v>
      </c>
      <c r="D2254" t="s">
        <v>3669</v>
      </c>
    </row>
    <row r="2255" spans="1:4" hidden="1" outlineLevel="2" x14ac:dyDescent="0.3">
      <c r="A2255" t="s">
        <v>3670</v>
      </c>
      <c r="B2255" t="s">
        <v>48</v>
      </c>
      <c r="C2255" t="s">
        <v>8</v>
      </c>
      <c r="D2255" t="s">
        <v>3669</v>
      </c>
    </row>
    <row r="2256" spans="1:4" hidden="1" outlineLevel="2" x14ac:dyDescent="0.3">
      <c r="A2256" t="s">
        <v>3671</v>
      </c>
      <c r="B2256" t="s">
        <v>48</v>
      </c>
      <c r="C2256" t="s">
        <v>8</v>
      </c>
      <c r="D2256" t="s">
        <v>3672</v>
      </c>
    </row>
    <row r="2257" spans="1:4" hidden="1" outlineLevel="2" x14ac:dyDescent="0.3">
      <c r="A2257" t="s">
        <v>3673</v>
      </c>
      <c r="B2257" t="s">
        <v>48</v>
      </c>
      <c r="C2257" t="s">
        <v>10</v>
      </c>
      <c r="D2257" t="s">
        <v>3674</v>
      </c>
    </row>
    <row r="2258" spans="1:4" hidden="1" outlineLevel="2" x14ac:dyDescent="0.3">
      <c r="A2258" t="s">
        <v>3675</v>
      </c>
      <c r="B2258" t="s">
        <v>48</v>
      </c>
      <c r="C2258" t="s">
        <v>8</v>
      </c>
      <c r="D2258" t="s">
        <v>3676</v>
      </c>
    </row>
    <row r="2259" spans="1:4" hidden="1" outlineLevel="2" x14ac:dyDescent="0.3">
      <c r="A2259" t="s">
        <v>3677</v>
      </c>
      <c r="B2259" t="s">
        <v>48</v>
      </c>
      <c r="C2259" t="s">
        <v>8</v>
      </c>
      <c r="D2259" t="s">
        <v>3678</v>
      </c>
    </row>
    <row r="2260" spans="1:4" hidden="1" outlineLevel="2" x14ac:dyDescent="0.3">
      <c r="A2260" t="s">
        <v>3679</v>
      </c>
      <c r="B2260" t="s">
        <v>48</v>
      </c>
      <c r="C2260" t="s">
        <v>8</v>
      </c>
      <c r="D2260" t="s">
        <v>3359</v>
      </c>
    </row>
    <row r="2261" spans="1:4" hidden="1" outlineLevel="2" x14ac:dyDescent="0.3">
      <c r="A2261" t="s">
        <v>3680</v>
      </c>
      <c r="B2261" t="s">
        <v>48</v>
      </c>
      <c r="C2261" t="s">
        <v>8</v>
      </c>
      <c r="D2261" t="s">
        <v>3681</v>
      </c>
    </row>
    <row r="2262" spans="1:4" hidden="1" outlineLevel="2" x14ac:dyDescent="0.3">
      <c r="A2262" t="s">
        <v>3682</v>
      </c>
      <c r="B2262" t="s">
        <v>48</v>
      </c>
      <c r="C2262" t="s">
        <v>8</v>
      </c>
      <c r="D2262" t="s">
        <v>3681</v>
      </c>
    </row>
    <row r="2263" spans="1:4" hidden="1" outlineLevel="2" x14ac:dyDescent="0.3">
      <c r="A2263" t="s">
        <v>3683</v>
      </c>
      <c r="B2263" t="s">
        <v>48</v>
      </c>
      <c r="C2263" t="s">
        <v>8</v>
      </c>
      <c r="D2263" t="s">
        <v>3625</v>
      </c>
    </row>
    <row r="2264" spans="1:4" hidden="1" outlineLevel="2" x14ac:dyDescent="0.3">
      <c r="A2264" t="s">
        <v>3684</v>
      </c>
      <c r="B2264" t="s">
        <v>48</v>
      </c>
      <c r="C2264" t="s">
        <v>8</v>
      </c>
      <c r="D2264" t="s">
        <v>3627</v>
      </c>
    </row>
    <row r="2265" spans="1:4" hidden="1" outlineLevel="2" x14ac:dyDescent="0.3">
      <c r="A2265" t="s">
        <v>3685</v>
      </c>
      <c r="B2265" t="s">
        <v>48</v>
      </c>
      <c r="C2265" t="s">
        <v>8</v>
      </c>
      <c r="D2265" t="s">
        <v>3686</v>
      </c>
    </row>
    <row r="2266" spans="1:4" hidden="1" outlineLevel="2" x14ac:dyDescent="0.3">
      <c r="A2266" t="s">
        <v>3687</v>
      </c>
      <c r="B2266" t="s">
        <v>48</v>
      </c>
      <c r="C2266" t="s">
        <v>8</v>
      </c>
      <c r="D2266" t="s">
        <v>3686</v>
      </c>
    </row>
    <row r="2267" spans="1:4" hidden="1" outlineLevel="2" x14ac:dyDescent="0.3">
      <c r="A2267" t="s">
        <v>3688</v>
      </c>
      <c r="B2267" t="s">
        <v>48</v>
      </c>
      <c r="C2267" t="s">
        <v>10</v>
      </c>
      <c r="D2267" t="s">
        <v>2212</v>
      </c>
    </row>
    <row r="2268" spans="1:4" hidden="1" outlineLevel="2" x14ac:dyDescent="0.3">
      <c r="A2268" t="s">
        <v>3689</v>
      </c>
      <c r="B2268" t="s">
        <v>48</v>
      </c>
      <c r="C2268" t="s">
        <v>8</v>
      </c>
      <c r="D2268" t="s">
        <v>3690</v>
      </c>
    </row>
    <row r="2269" spans="1:4" hidden="1" outlineLevel="2" x14ac:dyDescent="0.3">
      <c r="A2269" t="s">
        <v>3691</v>
      </c>
      <c r="B2269" t="s">
        <v>48</v>
      </c>
      <c r="C2269" t="s">
        <v>8</v>
      </c>
      <c r="D2269" t="s">
        <v>3692</v>
      </c>
    </row>
    <row r="2270" spans="1:4" hidden="1" outlineLevel="2" x14ac:dyDescent="0.3">
      <c r="A2270" t="s">
        <v>3693</v>
      </c>
      <c r="B2270" t="s">
        <v>48</v>
      </c>
      <c r="C2270" t="s">
        <v>8</v>
      </c>
      <c r="D2270" t="s">
        <v>3692</v>
      </c>
    </row>
    <row r="2271" spans="1:4" hidden="1" outlineLevel="2" x14ac:dyDescent="0.3">
      <c r="A2271" t="s">
        <v>3694</v>
      </c>
      <c r="B2271" t="s">
        <v>48</v>
      </c>
      <c r="C2271" t="s">
        <v>10</v>
      </c>
      <c r="D2271" t="s">
        <v>3695</v>
      </c>
    </row>
    <row r="2272" spans="1:4" hidden="1" outlineLevel="2" x14ac:dyDescent="0.3">
      <c r="A2272" t="s">
        <v>3696</v>
      </c>
      <c r="B2272" t="s">
        <v>48</v>
      </c>
      <c r="C2272" t="s">
        <v>10</v>
      </c>
      <c r="D2272" t="s">
        <v>3697</v>
      </c>
    </row>
    <row r="2273" spans="1:4" hidden="1" outlineLevel="2" x14ac:dyDescent="0.3">
      <c r="A2273" t="s">
        <v>3698</v>
      </c>
      <c r="B2273" t="s">
        <v>48</v>
      </c>
      <c r="C2273" t="s">
        <v>10</v>
      </c>
      <c r="D2273" t="s">
        <v>3699</v>
      </c>
    </row>
    <row r="2274" spans="1:4" hidden="1" outlineLevel="2" x14ac:dyDescent="0.3">
      <c r="A2274" t="s">
        <v>3700</v>
      </c>
      <c r="B2274" t="s">
        <v>48</v>
      </c>
      <c r="C2274" t="s">
        <v>8</v>
      </c>
      <c r="D2274" t="s">
        <v>3701</v>
      </c>
    </row>
    <row r="2275" spans="1:4" hidden="1" outlineLevel="2" x14ac:dyDescent="0.3">
      <c r="A2275" t="s">
        <v>3702</v>
      </c>
      <c r="B2275" t="s">
        <v>48</v>
      </c>
      <c r="C2275" t="s">
        <v>8</v>
      </c>
      <c r="D2275" t="s">
        <v>3703</v>
      </c>
    </row>
    <row r="2276" spans="1:4" hidden="1" outlineLevel="2" x14ac:dyDescent="0.3">
      <c r="A2276" t="s">
        <v>3704</v>
      </c>
      <c r="B2276" t="s">
        <v>48</v>
      </c>
      <c r="C2276" t="s">
        <v>10</v>
      </c>
      <c r="D2276" t="s">
        <v>3705</v>
      </c>
    </row>
    <row r="2277" spans="1:4" hidden="1" outlineLevel="2" x14ac:dyDescent="0.3">
      <c r="A2277" t="s">
        <v>3706</v>
      </c>
      <c r="B2277" t="s">
        <v>48</v>
      </c>
      <c r="C2277" t="s">
        <v>10</v>
      </c>
      <c r="D2277" t="s">
        <v>3705</v>
      </c>
    </row>
    <row r="2278" spans="1:4" hidden="1" outlineLevel="2" x14ac:dyDescent="0.3">
      <c r="A2278" t="s">
        <v>3707</v>
      </c>
      <c r="B2278" t="s">
        <v>48</v>
      </c>
      <c r="C2278" t="s">
        <v>8</v>
      </c>
      <c r="D2278" t="s">
        <v>3708</v>
      </c>
    </row>
    <row r="2279" spans="1:4" hidden="1" outlineLevel="2" x14ac:dyDescent="0.3">
      <c r="A2279" t="s">
        <v>3709</v>
      </c>
      <c r="B2279" t="s">
        <v>48</v>
      </c>
      <c r="C2279" t="s">
        <v>8</v>
      </c>
      <c r="D2279" t="s">
        <v>3708</v>
      </c>
    </row>
    <row r="2280" spans="1:4" hidden="1" outlineLevel="2" x14ac:dyDescent="0.3">
      <c r="A2280" t="s">
        <v>3710</v>
      </c>
      <c r="B2280" t="s">
        <v>48</v>
      </c>
      <c r="C2280" t="s">
        <v>10</v>
      </c>
      <c r="D2280" t="s">
        <v>3711</v>
      </c>
    </row>
    <row r="2281" spans="1:4" hidden="1" outlineLevel="2" x14ac:dyDescent="0.3">
      <c r="A2281" t="s">
        <v>3712</v>
      </c>
      <c r="B2281" t="s">
        <v>48</v>
      </c>
      <c r="C2281" t="s">
        <v>8</v>
      </c>
      <c r="D2281" t="s">
        <v>3713</v>
      </c>
    </row>
    <row r="2282" spans="1:4" hidden="1" outlineLevel="2" x14ac:dyDescent="0.3">
      <c r="A2282" t="s">
        <v>3714</v>
      </c>
      <c r="B2282" t="s">
        <v>48</v>
      </c>
      <c r="C2282" t="s">
        <v>8</v>
      </c>
      <c r="D2282" t="s">
        <v>3713</v>
      </c>
    </row>
    <row r="2283" spans="1:4" hidden="1" outlineLevel="2" x14ac:dyDescent="0.3">
      <c r="A2283" t="s">
        <v>3715</v>
      </c>
      <c r="B2283" t="s">
        <v>48</v>
      </c>
      <c r="C2283" t="s">
        <v>10</v>
      </c>
      <c r="D2283" t="s">
        <v>3716</v>
      </c>
    </row>
    <row r="2284" spans="1:4" hidden="1" outlineLevel="2" x14ac:dyDescent="0.3">
      <c r="A2284" t="s">
        <v>3717</v>
      </c>
      <c r="B2284" t="s">
        <v>48</v>
      </c>
      <c r="C2284" t="s">
        <v>10</v>
      </c>
      <c r="D2284" t="s">
        <v>3718</v>
      </c>
    </row>
    <row r="2285" spans="1:4" hidden="1" outlineLevel="2" x14ac:dyDescent="0.3">
      <c r="A2285" t="s">
        <v>3719</v>
      </c>
      <c r="B2285" t="s">
        <v>48</v>
      </c>
      <c r="C2285" t="s">
        <v>10</v>
      </c>
      <c r="D2285" t="s">
        <v>3718</v>
      </c>
    </row>
    <row r="2286" spans="1:4" hidden="1" outlineLevel="2" x14ac:dyDescent="0.3">
      <c r="A2286" t="s">
        <v>3720</v>
      </c>
      <c r="B2286" t="s">
        <v>48</v>
      </c>
      <c r="C2286" t="s">
        <v>10</v>
      </c>
      <c r="D2286" t="s">
        <v>3718</v>
      </c>
    </row>
    <row r="2287" spans="1:4" hidden="1" outlineLevel="2" x14ac:dyDescent="0.3">
      <c r="A2287" t="s">
        <v>3721</v>
      </c>
      <c r="B2287" t="s">
        <v>48</v>
      </c>
      <c r="C2287" t="s">
        <v>10</v>
      </c>
      <c r="D2287" t="s">
        <v>3718</v>
      </c>
    </row>
    <row r="2288" spans="1:4" hidden="1" outlineLevel="2" x14ac:dyDescent="0.3">
      <c r="A2288" t="s">
        <v>3722</v>
      </c>
      <c r="B2288" t="s">
        <v>48</v>
      </c>
      <c r="C2288" t="s">
        <v>10</v>
      </c>
      <c r="D2288" t="s">
        <v>3718</v>
      </c>
    </row>
    <row r="2289" spans="1:4" hidden="1" outlineLevel="2" x14ac:dyDescent="0.3">
      <c r="A2289" t="s">
        <v>3723</v>
      </c>
      <c r="B2289" t="s">
        <v>48</v>
      </c>
      <c r="C2289" t="s">
        <v>10</v>
      </c>
      <c r="D2289" t="s">
        <v>3724</v>
      </c>
    </row>
    <row r="2290" spans="1:4" hidden="1" outlineLevel="2" x14ac:dyDescent="0.3">
      <c r="A2290" t="s">
        <v>3725</v>
      </c>
      <c r="B2290" t="s">
        <v>48</v>
      </c>
      <c r="C2290" t="s">
        <v>8</v>
      </c>
      <c r="D2290" t="s">
        <v>3726</v>
      </c>
    </row>
    <row r="2291" spans="1:4" hidden="1" outlineLevel="2" x14ac:dyDescent="0.3">
      <c r="A2291" t="s">
        <v>3727</v>
      </c>
      <c r="B2291" t="s">
        <v>48</v>
      </c>
      <c r="C2291" t="s">
        <v>8</v>
      </c>
      <c r="D2291" t="s">
        <v>3726</v>
      </c>
    </row>
    <row r="2292" spans="1:4" hidden="1" outlineLevel="2" x14ac:dyDescent="0.3">
      <c r="A2292" t="s">
        <v>3728</v>
      </c>
      <c r="B2292" t="s">
        <v>48</v>
      </c>
      <c r="C2292" t="s">
        <v>8</v>
      </c>
      <c r="D2292" t="s">
        <v>3729</v>
      </c>
    </row>
    <row r="2293" spans="1:4" hidden="1" outlineLevel="2" x14ac:dyDescent="0.3">
      <c r="A2293" t="s">
        <v>3730</v>
      </c>
      <c r="B2293" t="s">
        <v>48</v>
      </c>
      <c r="C2293" t="s">
        <v>8</v>
      </c>
      <c r="D2293" t="s">
        <v>3729</v>
      </c>
    </row>
    <row r="2294" spans="1:4" hidden="1" outlineLevel="2" x14ac:dyDescent="0.3">
      <c r="A2294" t="s">
        <v>3731</v>
      </c>
      <c r="B2294" t="s">
        <v>48</v>
      </c>
      <c r="C2294" t="s">
        <v>10</v>
      </c>
      <c r="D2294" t="s">
        <v>3732</v>
      </c>
    </row>
    <row r="2295" spans="1:4" hidden="1" outlineLevel="2" x14ac:dyDescent="0.3">
      <c r="A2295" t="s">
        <v>3733</v>
      </c>
      <c r="B2295" t="s">
        <v>48</v>
      </c>
      <c r="C2295" t="s">
        <v>10</v>
      </c>
      <c r="D2295" t="s">
        <v>3734</v>
      </c>
    </row>
    <row r="2296" spans="1:4" hidden="1" outlineLevel="2" x14ac:dyDescent="0.3">
      <c r="A2296" t="s">
        <v>3735</v>
      </c>
      <c r="B2296" t="s">
        <v>48</v>
      </c>
      <c r="C2296" t="s">
        <v>8</v>
      </c>
      <c r="D2296" t="s">
        <v>3736</v>
      </c>
    </row>
    <row r="2297" spans="1:4" hidden="1" outlineLevel="2" x14ac:dyDescent="0.3">
      <c r="A2297" t="s">
        <v>3737</v>
      </c>
      <c r="B2297" t="s">
        <v>48</v>
      </c>
      <c r="C2297" t="s">
        <v>8</v>
      </c>
      <c r="D2297" t="s">
        <v>3736</v>
      </c>
    </row>
    <row r="2298" spans="1:4" hidden="1" outlineLevel="2" x14ac:dyDescent="0.3">
      <c r="A2298" t="s">
        <v>3738</v>
      </c>
      <c r="B2298" t="s">
        <v>48</v>
      </c>
      <c r="C2298" t="s">
        <v>8</v>
      </c>
      <c r="D2298" t="s">
        <v>3739</v>
      </c>
    </row>
    <row r="2299" spans="1:4" hidden="1" outlineLevel="2" x14ac:dyDescent="0.3">
      <c r="A2299" t="s">
        <v>3740</v>
      </c>
      <c r="B2299" t="s">
        <v>48</v>
      </c>
      <c r="C2299" t="s">
        <v>8</v>
      </c>
      <c r="D2299" t="s">
        <v>3739</v>
      </c>
    </row>
    <row r="2300" spans="1:4" hidden="1" outlineLevel="2" x14ac:dyDescent="0.3">
      <c r="A2300" t="s">
        <v>3741</v>
      </c>
      <c r="B2300" t="s">
        <v>48</v>
      </c>
      <c r="C2300" t="s">
        <v>10</v>
      </c>
      <c r="D2300" t="s">
        <v>3724</v>
      </c>
    </row>
    <row r="2301" spans="1:4" hidden="1" outlineLevel="2" x14ac:dyDescent="0.3">
      <c r="A2301" t="s">
        <v>3742</v>
      </c>
      <c r="B2301" t="s">
        <v>48</v>
      </c>
      <c r="C2301" t="s">
        <v>8</v>
      </c>
      <c r="D2301" t="s">
        <v>3743</v>
      </c>
    </row>
    <row r="2302" spans="1:4" hidden="1" outlineLevel="2" x14ac:dyDescent="0.3">
      <c r="A2302" t="s">
        <v>3744</v>
      </c>
      <c r="B2302" t="s">
        <v>48</v>
      </c>
      <c r="C2302" t="s">
        <v>8</v>
      </c>
      <c r="D2302" t="s">
        <v>3743</v>
      </c>
    </row>
    <row r="2303" spans="1:4" hidden="1" outlineLevel="2" x14ac:dyDescent="0.3">
      <c r="A2303" t="s">
        <v>3745</v>
      </c>
      <c r="B2303" t="s">
        <v>48</v>
      </c>
      <c r="C2303" t="s">
        <v>8</v>
      </c>
      <c r="D2303" t="s">
        <v>3743</v>
      </c>
    </row>
    <row r="2304" spans="1:4" hidden="1" outlineLevel="2" x14ac:dyDescent="0.3">
      <c r="A2304" t="s">
        <v>3746</v>
      </c>
      <c r="B2304" t="s">
        <v>48</v>
      </c>
      <c r="C2304" t="s">
        <v>8</v>
      </c>
      <c r="D2304" t="s">
        <v>3743</v>
      </c>
    </row>
    <row r="2305" spans="1:4" hidden="1" outlineLevel="2" x14ac:dyDescent="0.3">
      <c r="A2305" t="s">
        <v>3747</v>
      </c>
      <c r="B2305" t="s">
        <v>48</v>
      </c>
      <c r="C2305" t="s">
        <v>8</v>
      </c>
      <c r="D2305" t="s">
        <v>3748</v>
      </c>
    </row>
    <row r="2306" spans="1:4" hidden="1" outlineLevel="2" x14ac:dyDescent="0.3">
      <c r="A2306" t="s">
        <v>3749</v>
      </c>
      <c r="B2306" t="s">
        <v>48</v>
      </c>
      <c r="C2306" t="s">
        <v>8</v>
      </c>
      <c r="D2306" t="s">
        <v>3748</v>
      </c>
    </row>
    <row r="2307" spans="1:4" hidden="1" outlineLevel="2" x14ac:dyDescent="0.3">
      <c r="A2307" t="s">
        <v>3750</v>
      </c>
      <c r="B2307" t="s">
        <v>48</v>
      </c>
      <c r="C2307" t="s">
        <v>8</v>
      </c>
      <c r="D2307" t="s">
        <v>3751</v>
      </c>
    </row>
    <row r="2308" spans="1:4" hidden="1" outlineLevel="2" x14ac:dyDescent="0.3">
      <c r="A2308" t="s">
        <v>3752</v>
      </c>
      <c r="B2308" t="s">
        <v>48</v>
      </c>
      <c r="C2308" t="s">
        <v>8</v>
      </c>
      <c r="D2308" t="s">
        <v>3751</v>
      </c>
    </row>
    <row r="2309" spans="1:4" hidden="1" outlineLevel="2" x14ac:dyDescent="0.3">
      <c r="A2309" t="s">
        <v>3753</v>
      </c>
      <c r="B2309" t="s">
        <v>48</v>
      </c>
      <c r="C2309" t="s">
        <v>8</v>
      </c>
      <c r="D2309" t="s">
        <v>3754</v>
      </c>
    </row>
    <row r="2310" spans="1:4" hidden="1" outlineLevel="2" x14ac:dyDescent="0.3">
      <c r="A2310" t="s">
        <v>3755</v>
      </c>
      <c r="B2310" t="s">
        <v>48</v>
      </c>
      <c r="C2310" t="s">
        <v>8</v>
      </c>
      <c r="D2310" t="s">
        <v>3754</v>
      </c>
    </row>
    <row r="2311" spans="1:4" hidden="1" outlineLevel="2" x14ac:dyDescent="0.3">
      <c r="A2311" t="s">
        <v>3756</v>
      </c>
      <c r="B2311" t="s">
        <v>48</v>
      </c>
      <c r="C2311" t="s">
        <v>8</v>
      </c>
      <c r="D2311" t="s">
        <v>3743</v>
      </c>
    </row>
    <row r="2312" spans="1:4" hidden="1" outlineLevel="2" x14ac:dyDescent="0.3">
      <c r="A2312" t="s">
        <v>3757</v>
      </c>
      <c r="B2312" t="s">
        <v>48</v>
      </c>
      <c r="C2312" t="s">
        <v>8</v>
      </c>
      <c r="D2312" t="s">
        <v>3743</v>
      </c>
    </row>
    <row r="2313" spans="1:4" hidden="1" outlineLevel="2" x14ac:dyDescent="0.3">
      <c r="A2313" t="s">
        <v>3758</v>
      </c>
      <c r="B2313" t="s">
        <v>48</v>
      </c>
      <c r="C2313" t="s">
        <v>8</v>
      </c>
      <c r="D2313" t="s">
        <v>3743</v>
      </c>
    </row>
    <row r="2314" spans="1:4" hidden="1" outlineLevel="2" x14ac:dyDescent="0.3">
      <c r="A2314" t="s">
        <v>3759</v>
      </c>
      <c r="B2314" t="s">
        <v>48</v>
      </c>
      <c r="C2314" t="s">
        <v>8</v>
      </c>
      <c r="D2314" t="s">
        <v>3760</v>
      </c>
    </row>
    <row r="2315" spans="1:4" hidden="1" outlineLevel="2" x14ac:dyDescent="0.3">
      <c r="A2315" t="s">
        <v>3761</v>
      </c>
      <c r="B2315" t="s">
        <v>48</v>
      </c>
      <c r="C2315" t="s">
        <v>8</v>
      </c>
      <c r="D2315" t="s">
        <v>3760</v>
      </c>
    </row>
    <row r="2316" spans="1:4" hidden="1" outlineLevel="2" x14ac:dyDescent="0.3">
      <c r="A2316" t="s">
        <v>3762</v>
      </c>
      <c r="B2316" t="s">
        <v>48</v>
      </c>
      <c r="C2316" t="s">
        <v>8</v>
      </c>
      <c r="D2316" t="s">
        <v>3763</v>
      </c>
    </row>
    <row r="2317" spans="1:4" hidden="1" outlineLevel="2" x14ac:dyDescent="0.3">
      <c r="A2317" t="s">
        <v>3764</v>
      </c>
      <c r="B2317" t="s">
        <v>48</v>
      </c>
      <c r="C2317" t="s">
        <v>8</v>
      </c>
      <c r="D2317" t="s">
        <v>3763</v>
      </c>
    </row>
    <row r="2318" spans="1:4" hidden="1" outlineLevel="2" x14ac:dyDescent="0.3">
      <c r="A2318" t="s">
        <v>3765</v>
      </c>
      <c r="B2318" t="s">
        <v>48</v>
      </c>
      <c r="C2318" t="s">
        <v>8</v>
      </c>
      <c r="D2318" t="s">
        <v>3766</v>
      </c>
    </row>
    <row r="2319" spans="1:4" hidden="1" outlineLevel="2" x14ac:dyDescent="0.3">
      <c r="A2319" t="s">
        <v>3767</v>
      </c>
      <c r="B2319" t="s">
        <v>48</v>
      </c>
      <c r="C2319" t="s">
        <v>8</v>
      </c>
      <c r="D2319" t="s">
        <v>3766</v>
      </c>
    </row>
    <row r="2320" spans="1:4" hidden="1" outlineLevel="2" x14ac:dyDescent="0.3">
      <c r="A2320" t="s">
        <v>3768</v>
      </c>
      <c r="B2320" t="s">
        <v>48</v>
      </c>
      <c r="C2320" t="s">
        <v>8</v>
      </c>
      <c r="D2320" t="s">
        <v>3743</v>
      </c>
    </row>
    <row r="2321" spans="1:6" hidden="1" outlineLevel="2" x14ac:dyDescent="0.3">
      <c r="A2321" t="s">
        <v>3769</v>
      </c>
      <c r="B2321" t="s">
        <v>48</v>
      </c>
      <c r="C2321" t="s">
        <v>10</v>
      </c>
      <c r="D2321" t="s">
        <v>3770</v>
      </c>
    </row>
    <row r="2322" spans="1:6" hidden="1" outlineLevel="2" x14ac:dyDescent="0.3">
      <c r="A2322" t="s">
        <v>3771</v>
      </c>
      <c r="B2322" t="s">
        <v>48</v>
      </c>
      <c r="C2322" t="s">
        <v>8</v>
      </c>
      <c r="D2322" t="s">
        <v>3772</v>
      </c>
    </row>
    <row r="2323" spans="1:6" hidden="1" outlineLevel="2" x14ac:dyDescent="0.3">
      <c r="A2323" t="s">
        <v>3773</v>
      </c>
      <c r="B2323" t="s">
        <v>48</v>
      </c>
      <c r="C2323" t="s">
        <v>8</v>
      </c>
      <c r="D2323" t="s">
        <v>3772</v>
      </c>
    </row>
    <row r="2324" spans="1:6" hidden="1" outlineLevel="2" x14ac:dyDescent="0.3">
      <c r="A2324" t="s">
        <v>3774</v>
      </c>
      <c r="B2324" t="s">
        <v>48</v>
      </c>
      <c r="C2324" t="s">
        <v>8</v>
      </c>
      <c r="D2324" t="s">
        <v>3775</v>
      </c>
    </row>
    <row r="2325" spans="1:6" hidden="1" outlineLevel="2" x14ac:dyDescent="0.3">
      <c r="A2325" t="s">
        <v>3776</v>
      </c>
      <c r="B2325" t="s">
        <v>48</v>
      </c>
      <c r="C2325" t="s">
        <v>8</v>
      </c>
      <c r="D2325" t="s">
        <v>3775</v>
      </c>
    </row>
    <row r="2326" spans="1:6" hidden="1" outlineLevel="2" x14ac:dyDescent="0.3">
      <c r="A2326" t="s">
        <v>3777</v>
      </c>
      <c r="B2326" t="s">
        <v>48</v>
      </c>
      <c r="C2326" t="s">
        <v>8</v>
      </c>
      <c r="D2326" t="s">
        <v>3778</v>
      </c>
    </row>
    <row r="2327" spans="1:6" hidden="1" outlineLevel="2" x14ac:dyDescent="0.3">
      <c r="A2327" t="s">
        <v>3779</v>
      </c>
      <c r="B2327" t="s">
        <v>48</v>
      </c>
      <c r="C2327" t="s">
        <v>8</v>
      </c>
      <c r="D2327" t="s">
        <v>3778</v>
      </c>
    </row>
    <row r="2328" spans="1:6" hidden="1" outlineLevel="2" x14ac:dyDescent="0.3">
      <c r="A2328" t="s">
        <v>3780</v>
      </c>
      <c r="B2328" t="s">
        <v>48</v>
      </c>
      <c r="C2328" t="s">
        <v>8</v>
      </c>
      <c r="D2328" t="s">
        <v>3781</v>
      </c>
    </row>
    <row r="2329" spans="1:6" hidden="1" outlineLevel="2" x14ac:dyDescent="0.3">
      <c r="A2329" t="s">
        <v>3782</v>
      </c>
      <c r="B2329" t="s">
        <v>48</v>
      </c>
      <c r="C2329" t="s">
        <v>10</v>
      </c>
      <c r="D2329" t="s">
        <v>3783</v>
      </c>
    </row>
    <row r="2330" spans="1:6" hidden="1" outlineLevel="2" x14ac:dyDescent="0.3">
      <c r="A2330" t="s">
        <v>3784</v>
      </c>
      <c r="B2330" t="s">
        <v>48</v>
      </c>
      <c r="C2330" t="s">
        <v>10</v>
      </c>
      <c r="D2330" t="s">
        <v>3785</v>
      </c>
    </row>
    <row r="2331" spans="1:6" hidden="1" outlineLevel="2" x14ac:dyDescent="0.3">
      <c r="A2331" t="s">
        <v>3786</v>
      </c>
      <c r="B2331" t="s">
        <v>48</v>
      </c>
      <c r="C2331" t="s">
        <v>8</v>
      </c>
      <c r="D2331" t="s">
        <v>3787</v>
      </c>
    </row>
    <row r="2332" spans="1:6" hidden="1" outlineLevel="2" x14ac:dyDescent="0.3">
      <c r="A2332" t="s">
        <v>3788</v>
      </c>
      <c r="B2332" t="s">
        <v>48</v>
      </c>
      <c r="C2332" t="s">
        <v>8</v>
      </c>
      <c r="D2332" t="s">
        <v>3787</v>
      </c>
    </row>
    <row r="2333" spans="1:6" hidden="1" outlineLevel="2" x14ac:dyDescent="0.3">
      <c r="A2333" t="s">
        <v>3789</v>
      </c>
      <c r="B2333" t="s">
        <v>48</v>
      </c>
      <c r="C2333" t="s">
        <v>8</v>
      </c>
      <c r="D2333" t="s">
        <v>3790</v>
      </c>
    </row>
    <row r="2334" spans="1:6" hidden="1" outlineLevel="2" x14ac:dyDescent="0.3">
      <c r="A2334" t="s">
        <v>3791</v>
      </c>
      <c r="B2334" t="s">
        <v>48</v>
      </c>
      <c r="C2334" t="s">
        <v>8</v>
      </c>
      <c r="D2334" t="s">
        <v>3790</v>
      </c>
    </row>
    <row r="2335" spans="1:6" hidden="1" outlineLevel="2" x14ac:dyDescent="0.3">
      <c r="A2335" t="s">
        <v>3792</v>
      </c>
      <c r="B2335" t="s">
        <v>48</v>
      </c>
      <c r="C2335" t="s">
        <v>10</v>
      </c>
      <c r="D2335" t="s">
        <v>3793</v>
      </c>
    </row>
    <row r="2336" spans="1:6" hidden="1" outlineLevel="2" x14ac:dyDescent="0.3">
      <c r="A2336" t="s">
        <v>3794</v>
      </c>
      <c r="B2336" t="s">
        <v>48</v>
      </c>
      <c r="C2336" t="s">
        <v>10</v>
      </c>
      <c r="D2336" t="s">
        <v>3795</v>
      </c>
      <c r="F2336" t="s">
        <v>9208</v>
      </c>
    </row>
    <row r="2337" spans="1:6" hidden="1" outlineLevel="2" x14ac:dyDescent="0.3">
      <c r="A2337" t="s">
        <v>3796</v>
      </c>
      <c r="B2337" t="s">
        <v>48</v>
      </c>
      <c r="C2337" t="s">
        <v>10</v>
      </c>
      <c r="D2337" t="s">
        <v>3797</v>
      </c>
      <c r="F2337" t="s">
        <v>9208</v>
      </c>
    </row>
    <row r="2338" spans="1:6" hidden="1" outlineLevel="2" x14ac:dyDescent="0.3">
      <c r="A2338" t="s">
        <v>3798</v>
      </c>
      <c r="B2338" t="s">
        <v>48</v>
      </c>
      <c r="C2338" t="s">
        <v>10</v>
      </c>
      <c r="D2338" t="s">
        <v>3799</v>
      </c>
      <c r="F2338" t="s">
        <v>9208</v>
      </c>
    </row>
    <row r="2339" spans="1:6" hidden="1" outlineLevel="2" x14ac:dyDescent="0.3">
      <c r="A2339" t="s">
        <v>3800</v>
      </c>
      <c r="B2339" t="s">
        <v>48</v>
      </c>
      <c r="C2339" t="s">
        <v>10</v>
      </c>
      <c r="D2339" t="s">
        <v>3801</v>
      </c>
      <c r="F2339" t="s">
        <v>9208</v>
      </c>
    </row>
    <row r="2340" spans="1:6" hidden="1" outlineLevel="2" x14ac:dyDescent="0.3">
      <c r="A2340" t="s">
        <v>3802</v>
      </c>
      <c r="B2340" t="s">
        <v>48</v>
      </c>
      <c r="C2340" t="s">
        <v>10</v>
      </c>
      <c r="D2340" t="s">
        <v>3803</v>
      </c>
      <c r="F2340" t="s">
        <v>9208</v>
      </c>
    </row>
    <row r="2341" spans="1:6" hidden="1" outlineLevel="2" x14ac:dyDescent="0.3">
      <c r="A2341" t="s">
        <v>3804</v>
      </c>
      <c r="B2341" t="s">
        <v>48</v>
      </c>
      <c r="C2341" t="s">
        <v>10</v>
      </c>
      <c r="D2341" t="s">
        <v>3805</v>
      </c>
      <c r="F2341" t="s">
        <v>9208</v>
      </c>
    </row>
    <row r="2342" spans="1:6" hidden="1" outlineLevel="2" x14ac:dyDescent="0.3">
      <c r="A2342" t="s">
        <v>3806</v>
      </c>
      <c r="B2342" t="s">
        <v>48</v>
      </c>
      <c r="C2342" t="s">
        <v>8</v>
      </c>
      <c r="D2342" t="s">
        <v>3807</v>
      </c>
      <c r="F2342" t="s">
        <v>9208</v>
      </c>
    </row>
    <row r="2343" spans="1:6" hidden="1" outlineLevel="2" x14ac:dyDescent="0.3">
      <c r="A2343" t="s">
        <v>3808</v>
      </c>
      <c r="B2343" t="s">
        <v>48</v>
      </c>
      <c r="C2343" t="s">
        <v>10</v>
      </c>
      <c r="D2343" t="s">
        <v>3809</v>
      </c>
      <c r="F2343" t="s">
        <v>9208</v>
      </c>
    </row>
    <row r="2344" spans="1:6" hidden="1" outlineLevel="2" x14ac:dyDescent="0.3">
      <c r="A2344" t="s">
        <v>3810</v>
      </c>
      <c r="B2344" t="s">
        <v>48</v>
      </c>
      <c r="C2344" t="s">
        <v>10</v>
      </c>
      <c r="D2344" t="s">
        <v>3811</v>
      </c>
      <c r="F2344" t="s">
        <v>9208</v>
      </c>
    </row>
    <row r="2345" spans="1:6" hidden="1" outlineLevel="2" x14ac:dyDescent="0.3">
      <c r="A2345" t="s">
        <v>3812</v>
      </c>
      <c r="B2345" t="s">
        <v>48</v>
      </c>
      <c r="C2345" t="s">
        <v>8</v>
      </c>
      <c r="D2345" t="s">
        <v>3813</v>
      </c>
      <c r="F2345" t="s">
        <v>9208</v>
      </c>
    </row>
    <row r="2346" spans="1:6" hidden="1" outlineLevel="2" x14ac:dyDescent="0.3">
      <c r="A2346" t="s">
        <v>3814</v>
      </c>
      <c r="B2346" t="s">
        <v>48</v>
      </c>
      <c r="C2346" t="s">
        <v>10</v>
      </c>
      <c r="D2346" t="s">
        <v>3815</v>
      </c>
      <c r="F2346" t="s">
        <v>9208</v>
      </c>
    </row>
    <row r="2347" spans="1:6" hidden="1" outlineLevel="2" x14ac:dyDescent="0.3">
      <c r="A2347" t="s">
        <v>3816</v>
      </c>
      <c r="B2347" t="s">
        <v>48</v>
      </c>
      <c r="C2347" t="s">
        <v>10</v>
      </c>
      <c r="D2347" t="s">
        <v>3817</v>
      </c>
      <c r="F2347" t="s">
        <v>9208</v>
      </c>
    </row>
    <row r="2348" spans="1:6" hidden="1" outlineLevel="2" x14ac:dyDescent="0.3">
      <c r="A2348" t="s">
        <v>3818</v>
      </c>
      <c r="B2348" t="s">
        <v>48</v>
      </c>
      <c r="C2348" t="s">
        <v>8</v>
      </c>
      <c r="D2348" t="s">
        <v>3819</v>
      </c>
      <c r="F2348" t="s">
        <v>9208</v>
      </c>
    </row>
    <row r="2349" spans="1:6" hidden="1" outlineLevel="2" x14ac:dyDescent="0.3">
      <c r="A2349" t="s">
        <v>3820</v>
      </c>
      <c r="B2349" t="s">
        <v>48</v>
      </c>
      <c r="C2349" t="s">
        <v>8</v>
      </c>
      <c r="D2349" t="s">
        <v>3819</v>
      </c>
      <c r="F2349" t="s">
        <v>9208</v>
      </c>
    </row>
    <row r="2350" spans="1:6" hidden="1" outlineLevel="2" x14ac:dyDescent="0.3">
      <c r="A2350" t="s">
        <v>3821</v>
      </c>
      <c r="B2350" t="s">
        <v>48</v>
      </c>
      <c r="C2350" t="s">
        <v>10</v>
      </c>
      <c r="D2350" t="s">
        <v>3822</v>
      </c>
    </row>
    <row r="2351" spans="1:6" hidden="1" outlineLevel="2" x14ac:dyDescent="0.3">
      <c r="A2351" t="s">
        <v>3823</v>
      </c>
      <c r="B2351" t="s">
        <v>48</v>
      </c>
      <c r="C2351" t="s">
        <v>10</v>
      </c>
      <c r="D2351" t="s">
        <v>3822</v>
      </c>
    </row>
    <row r="2352" spans="1:6" hidden="1" outlineLevel="2" x14ac:dyDescent="0.3">
      <c r="A2352" t="s">
        <v>3824</v>
      </c>
      <c r="B2352" t="s">
        <v>48</v>
      </c>
      <c r="C2352" t="s">
        <v>10</v>
      </c>
      <c r="D2352" t="s">
        <v>3822</v>
      </c>
    </row>
    <row r="2353" spans="1:4" hidden="1" outlineLevel="2" x14ac:dyDescent="0.3">
      <c r="A2353" t="s">
        <v>3825</v>
      </c>
      <c r="B2353" t="s">
        <v>48</v>
      </c>
      <c r="C2353" t="s">
        <v>10</v>
      </c>
      <c r="D2353" t="s">
        <v>3822</v>
      </c>
    </row>
    <row r="2354" spans="1:4" hidden="1" outlineLevel="2" x14ac:dyDescent="0.3">
      <c r="A2354" t="s">
        <v>3826</v>
      </c>
      <c r="B2354" t="s">
        <v>48</v>
      </c>
      <c r="C2354" t="s">
        <v>8</v>
      </c>
      <c r="D2354" t="s">
        <v>3819</v>
      </c>
    </row>
    <row r="2355" spans="1:4" hidden="1" outlineLevel="2" x14ac:dyDescent="0.3">
      <c r="A2355" t="s">
        <v>3827</v>
      </c>
      <c r="B2355" t="s">
        <v>48</v>
      </c>
      <c r="C2355" t="s">
        <v>8</v>
      </c>
      <c r="D2355" t="s">
        <v>3819</v>
      </c>
    </row>
    <row r="2356" spans="1:4" hidden="1" outlineLevel="2" x14ac:dyDescent="0.3">
      <c r="A2356" t="s">
        <v>3828</v>
      </c>
      <c r="B2356" t="s">
        <v>48</v>
      </c>
      <c r="C2356" t="s">
        <v>8</v>
      </c>
      <c r="D2356" t="s">
        <v>3819</v>
      </c>
    </row>
    <row r="2357" spans="1:4" hidden="1" outlineLevel="2" x14ac:dyDescent="0.3">
      <c r="A2357" t="s">
        <v>3829</v>
      </c>
      <c r="B2357" t="s">
        <v>48</v>
      </c>
      <c r="C2357" t="s">
        <v>8</v>
      </c>
      <c r="D2357" t="s">
        <v>3819</v>
      </c>
    </row>
    <row r="2358" spans="1:4" hidden="1" outlineLevel="2" x14ac:dyDescent="0.3">
      <c r="A2358" t="s">
        <v>3830</v>
      </c>
      <c r="B2358" t="s">
        <v>48</v>
      </c>
      <c r="C2358" t="s">
        <v>8</v>
      </c>
      <c r="D2358" t="s">
        <v>3831</v>
      </c>
    </row>
    <row r="2359" spans="1:4" hidden="1" outlineLevel="2" x14ac:dyDescent="0.3">
      <c r="A2359" t="s">
        <v>3832</v>
      </c>
      <c r="B2359" t="s">
        <v>48</v>
      </c>
      <c r="C2359" t="s">
        <v>8</v>
      </c>
      <c r="D2359" t="s">
        <v>3831</v>
      </c>
    </row>
    <row r="2360" spans="1:4" hidden="1" outlineLevel="2" x14ac:dyDescent="0.3">
      <c r="A2360" t="s">
        <v>3833</v>
      </c>
      <c r="B2360" t="s">
        <v>48</v>
      </c>
      <c r="C2360" t="s">
        <v>8</v>
      </c>
      <c r="D2360" t="s">
        <v>3831</v>
      </c>
    </row>
    <row r="2361" spans="1:4" hidden="1" outlineLevel="2" x14ac:dyDescent="0.3">
      <c r="A2361" t="s">
        <v>3834</v>
      </c>
      <c r="B2361" t="s">
        <v>48</v>
      </c>
      <c r="C2361" t="s">
        <v>8</v>
      </c>
      <c r="D2361" t="s">
        <v>3831</v>
      </c>
    </row>
    <row r="2362" spans="1:4" hidden="1" outlineLevel="2" x14ac:dyDescent="0.3">
      <c r="A2362" t="s">
        <v>3835</v>
      </c>
      <c r="B2362" t="s">
        <v>48</v>
      </c>
      <c r="C2362" t="s">
        <v>8</v>
      </c>
      <c r="D2362" t="s">
        <v>3831</v>
      </c>
    </row>
    <row r="2363" spans="1:4" hidden="1" outlineLevel="2" x14ac:dyDescent="0.3">
      <c r="A2363" t="s">
        <v>3836</v>
      </c>
      <c r="B2363" t="s">
        <v>48</v>
      </c>
      <c r="C2363" t="s">
        <v>8</v>
      </c>
      <c r="D2363" t="s">
        <v>3831</v>
      </c>
    </row>
    <row r="2364" spans="1:4" hidden="1" outlineLevel="2" x14ac:dyDescent="0.3">
      <c r="A2364" t="s">
        <v>3837</v>
      </c>
      <c r="B2364" t="s">
        <v>48</v>
      </c>
      <c r="C2364" t="s">
        <v>8</v>
      </c>
      <c r="D2364" t="s">
        <v>3831</v>
      </c>
    </row>
    <row r="2365" spans="1:4" hidden="1" outlineLevel="2" x14ac:dyDescent="0.3">
      <c r="A2365" t="s">
        <v>3838</v>
      </c>
      <c r="B2365" t="s">
        <v>3839</v>
      </c>
      <c r="C2365" t="s">
        <v>10</v>
      </c>
      <c r="D2365" t="s">
        <v>3840</v>
      </c>
    </row>
    <row r="2366" spans="1:4" hidden="1" outlineLevel="2" x14ac:dyDescent="0.3">
      <c r="A2366" t="s">
        <v>3841</v>
      </c>
      <c r="B2366" t="s">
        <v>3839</v>
      </c>
      <c r="C2366" t="s">
        <v>8</v>
      </c>
      <c r="D2366" t="s">
        <v>3842</v>
      </c>
    </row>
    <row r="2367" spans="1:4" hidden="1" outlineLevel="2" x14ac:dyDescent="0.3">
      <c r="A2367" t="s">
        <v>3843</v>
      </c>
      <c r="B2367" t="s">
        <v>3844</v>
      </c>
      <c r="C2367" t="s">
        <v>8</v>
      </c>
      <c r="D2367" t="s">
        <v>3842</v>
      </c>
    </row>
    <row r="2368" spans="1:4" hidden="1" outlineLevel="2" x14ac:dyDescent="0.3">
      <c r="A2368" t="s">
        <v>3845</v>
      </c>
      <c r="B2368" t="s">
        <v>3839</v>
      </c>
      <c r="C2368" t="s">
        <v>8</v>
      </c>
      <c r="D2368" t="s">
        <v>3846</v>
      </c>
    </row>
    <row r="2369" spans="1:4" hidden="1" outlineLevel="2" x14ac:dyDescent="0.3">
      <c r="A2369" t="s">
        <v>3847</v>
      </c>
      <c r="B2369" t="s">
        <v>3844</v>
      </c>
      <c r="C2369" t="s">
        <v>8</v>
      </c>
      <c r="D2369" t="s">
        <v>3846</v>
      </c>
    </row>
    <row r="2370" spans="1:4" hidden="1" outlineLevel="2" x14ac:dyDescent="0.3">
      <c r="A2370" t="s">
        <v>3848</v>
      </c>
      <c r="B2370" t="s">
        <v>3839</v>
      </c>
      <c r="C2370" t="s">
        <v>8</v>
      </c>
      <c r="D2370" t="s">
        <v>3849</v>
      </c>
    </row>
    <row r="2371" spans="1:4" hidden="1" outlineLevel="2" x14ac:dyDescent="0.3">
      <c r="A2371" t="s">
        <v>3850</v>
      </c>
      <c r="B2371" t="s">
        <v>3839</v>
      </c>
      <c r="C2371" t="s">
        <v>8</v>
      </c>
      <c r="D2371" t="s">
        <v>3851</v>
      </c>
    </row>
    <row r="2372" spans="1:4" hidden="1" outlineLevel="2" x14ac:dyDescent="0.3">
      <c r="A2372" t="s">
        <v>3852</v>
      </c>
      <c r="B2372" t="s">
        <v>3839</v>
      </c>
      <c r="C2372" t="s">
        <v>10</v>
      </c>
      <c r="D2372" t="s">
        <v>3840</v>
      </c>
    </row>
    <row r="2373" spans="1:4" hidden="1" outlineLevel="2" x14ac:dyDescent="0.3">
      <c r="A2373" t="s">
        <v>3853</v>
      </c>
      <c r="B2373" t="s">
        <v>3839</v>
      </c>
      <c r="C2373" t="s">
        <v>8</v>
      </c>
      <c r="D2373" t="s">
        <v>3854</v>
      </c>
    </row>
    <row r="2374" spans="1:4" hidden="1" outlineLevel="2" x14ac:dyDescent="0.3">
      <c r="A2374" t="s">
        <v>3855</v>
      </c>
      <c r="B2374" t="s">
        <v>3844</v>
      </c>
      <c r="C2374" t="s">
        <v>8</v>
      </c>
      <c r="D2374" t="s">
        <v>3854</v>
      </c>
    </row>
    <row r="2375" spans="1:4" hidden="1" outlineLevel="2" x14ac:dyDescent="0.3">
      <c r="A2375" t="s">
        <v>3856</v>
      </c>
      <c r="B2375" t="s">
        <v>3839</v>
      </c>
      <c r="C2375" t="s">
        <v>8</v>
      </c>
      <c r="D2375" t="s">
        <v>3857</v>
      </c>
    </row>
    <row r="2376" spans="1:4" hidden="1" outlineLevel="2" x14ac:dyDescent="0.3">
      <c r="A2376" t="s">
        <v>3858</v>
      </c>
      <c r="B2376" t="s">
        <v>3839</v>
      </c>
      <c r="C2376" t="s">
        <v>10</v>
      </c>
      <c r="D2376" t="s">
        <v>3859</v>
      </c>
    </row>
    <row r="2377" spans="1:4" hidden="1" outlineLevel="2" x14ac:dyDescent="0.3">
      <c r="A2377" t="s">
        <v>3860</v>
      </c>
      <c r="B2377" t="s">
        <v>3839</v>
      </c>
      <c r="C2377" t="s">
        <v>8</v>
      </c>
      <c r="D2377" t="s">
        <v>2214</v>
      </c>
    </row>
    <row r="2378" spans="1:4" hidden="1" outlineLevel="2" x14ac:dyDescent="0.3">
      <c r="A2378" t="s">
        <v>3861</v>
      </c>
      <c r="B2378" t="s">
        <v>3839</v>
      </c>
      <c r="C2378" t="s">
        <v>10</v>
      </c>
      <c r="D2378" t="s">
        <v>3862</v>
      </c>
    </row>
    <row r="2379" spans="1:4" hidden="1" outlineLevel="2" x14ac:dyDescent="0.3">
      <c r="A2379" t="s">
        <v>3863</v>
      </c>
      <c r="B2379" t="s">
        <v>3839</v>
      </c>
      <c r="C2379" t="s">
        <v>8</v>
      </c>
      <c r="D2379" t="s">
        <v>2236</v>
      </c>
    </row>
    <row r="2380" spans="1:4" hidden="1" outlineLevel="2" x14ac:dyDescent="0.3">
      <c r="A2380" t="s">
        <v>3864</v>
      </c>
      <c r="B2380" t="s">
        <v>3839</v>
      </c>
      <c r="C2380" t="s">
        <v>8</v>
      </c>
      <c r="D2380" t="s">
        <v>2238</v>
      </c>
    </row>
    <row r="2381" spans="1:4" hidden="1" outlineLevel="2" x14ac:dyDescent="0.3">
      <c r="A2381" t="s">
        <v>3865</v>
      </c>
      <c r="B2381" t="s">
        <v>3839</v>
      </c>
      <c r="C2381" t="s">
        <v>10</v>
      </c>
      <c r="D2381" t="s">
        <v>2240</v>
      </c>
    </row>
    <row r="2382" spans="1:4" hidden="1" outlineLevel="2" x14ac:dyDescent="0.3">
      <c r="A2382" t="s">
        <v>3866</v>
      </c>
      <c r="B2382" t="s">
        <v>3839</v>
      </c>
      <c r="C2382" t="s">
        <v>10</v>
      </c>
      <c r="D2382" t="s">
        <v>2242</v>
      </c>
    </row>
    <row r="2383" spans="1:4" hidden="1" outlineLevel="2" x14ac:dyDescent="0.3">
      <c r="A2383" t="s">
        <v>3867</v>
      </c>
      <c r="B2383" t="s">
        <v>3839</v>
      </c>
      <c r="C2383" t="s">
        <v>10</v>
      </c>
      <c r="D2383" t="s">
        <v>2244</v>
      </c>
    </row>
    <row r="2384" spans="1:4" hidden="1" outlineLevel="2" x14ac:dyDescent="0.3">
      <c r="A2384" t="s">
        <v>3868</v>
      </c>
      <c r="B2384" t="s">
        <v>3839</v>
      </c>
      <c r="C2384" t="s">
        <v>10</v>
      </c>
      <c r="D2384" t="s">
        <v>2246</v>
      </c>
    </row>
    <row r="2385" spans="1:4" hidden="1" outlineLevel="2" x14ac:dyDescent="0.3">
      <c r="A2385" t="s">
        <v>3869</v>
      </c>
      <c r="B2385" t="s">
        <v>3839</v>
      </c>
      <c r="C2385" t="s">
        <v>10</v>
      </c>
      <c r="D2385" t="s">
        <v>2248</v>
      </c>
    </row>
    <row r="2386" spans="1:4" hidden="1" outlineLevel="2" x14ac:dyDescent="0.3">
      <c r="A2386" t="s">
        <v>3870</v>
      </c>
      <c r="B2386" t="s">
        <v>3839</v>
      </c>
      <c r="C2386" t="s">
        <v>10</v>
      </c>
      <c r="D2386" t="s">
        <v>2250</v>
      </c>
    </row>
    <row r="2387" spans="1:4" hidden="1" outlineLevel="2" x14ac:dyDescent="0.3">
      <c r="A2387" t="s">
        <v>3871</v>
      </c>
      <c r="B2387" t="s">
        <v>3839</v>
      </c>
      <c r="C2387" t="s">
        <v>10</v>
      </c>
      <c r="D2387" t="s">
        <v>2252</v>
      </c>
    </row>
    <row r="2388" spans="1:4" hidden="1" outlineLevel="2" x14ac:dyDescent="0.3">
      <c r="A2388" t="s">
        <v>3872</v>
      </c>
      <c r="B2388" t="s">
        <v>3839</v>
      </c>
      <c r="C2388" t="s">
        <v>10</v>
      </c>
      <c r="D2388" t="s">
        <v>2254</v>
      </c>
    </row>
    <row r="2389" spans="1:4" hidden="1" outlineLevel="2" x14ac:dyDescent="0.3">
      <c r="A2389" t="s">
        <v>3873</v>
      </c>
      <c r="B2389" t="s">
        <v>3839</v>
      </c>
      <c r="C2389" t="s">
        <v>10</v>
      </c>
      <c r="D2389" t="s">
        <v>2256</v>
      </c>
    </row>
    <row r="2390" spans="1:4" hidden="1" outlineLevel="2" x14ac:dyDescent="0.3">
      <c r="A2390" t="s">
        <v>3874</v>
      </c>
      <c r="B2390" t="s">
        <v>3839</v>
      </c>
      <c r="C2390" t="s">
        <v>10</v>
      </c>
      <c r="D2390" t="s">
        <v>3875</v>
      </c>
    </row>
    <row r="2391" spans="1:4" hidden="1" outlineLevel="2" x14ac:dyDescent="0.3">
      <c r="A2391" t="s">
        <v>3876</v>
      </c>
      <c r="B2391" t="s">
        <v>3839</v>
      </c>
      <c r="C2391" t="s">
        <v>10</v>
      </c>
      <c r="D2391" t="s">
        <v>2269</v>
      </c>
    </row>
    <row r="2392" spans="1:4" hidden="1" outlineLevel="2" x14ac:dyDescent="0.3">
      <c r="A2392" t="s">
        <v>3877</v>
      </c>
      <c r="B2392" t="s">
        <v>3839</v>
      </c>
      <c r="C2392" t="s">
        <v>10</v>
      </c>
      <c r="D2392" t="s">
        <v>2271</v>
      </c>
    </row>
    <row r="2393" spans="1:4" hidden="1" outlineLevel="2" x14ac:dyDescent="0.3">
      <c r="A2393" t="s">
        <v>3878</v>
      </c>
      <c r="B2393" t="s">
        <v>3839</v>
      </c>
      <c r="C2393" t="s">
        <v>10</v>
      </c>
      <c r="D2393" t="s">
        <v>3879</v>
      </c>
    </row>
    <row r="2394" spans="1:4" hidden="1" outlineLevel="2" x14ac:dyDescent="0.3">
      <c r="A2394" t="s">
        <v>3880</v>
      </c>
      <c r="B2394" t="s">
        <v>3839</v>
      </c>
      <c r="C2394" t="s">
        <v>10</v>
      </c>
      <c r="D2394" t="s">
        <v>3881</v>
      </c>
    </row>
    <row r="2395" spans="1:4" hidden="1" outlineLevel="2" x14ac:dyDescent="0.3">
      <c r="A2395" t="s">
        <v>3882</v>
      </c>
      <c r="B2395" t="s">
        <v>3839</v>
      </c>
      <c r="C2395" t="s">
        <v>10</v>
      </c>
      <c r="D2395" t="s">
        <v>2277</v>
      </c>
    </row>
    <row r="2396" spans="1:4" hidden="1" outlineLevel="2" x14ac:dyDescent="0.3">
      <c r="A2396" t="s">
        <v>3883</v>
      </c>
      <c r="B2396" t="s">
        <v>3839</v>
      </c>
      <c r="C2396" t="s">
        <v>10</v>
      </c>
      <c r="D2396" t="s">
        <v>2279</v>
      </c>
    </row>
    <row r="2397" spans="1:4" hidden="1" outlineLevel="2" x14ac:dyDescent="0.3">
      <c r="A2397" t="s">
        <v>3884</v>
      </c>
      <c r="B2397" t="s">
        <v>3839</v>
      </c>
      <c r="C2397" t="s">
        <v>10</v>
      </c>
      <c r="D2397" t="s">
        <v>2281</v>
      </c>
    </row>
    <row r="2398" spans="1:4" hidden="1" outlineLevel="2" x14ac:dyDescent="0.3">
      <c r="A2398" t="s">
        <v>3885</v>
      </c>
      <c r="B2398" t="s">
        <v>3839</v>
      </c>
      <c r="C2398" t="s">
        <v>10</v>
      </c>
      <c r="D2398" t="s">
        <v>3886</v>
      </c>
    </row>
    <row r="2399" spans="1:4" hidden="1" outlineLevel="2" x14ac:dyDescent="0.3">
      <c r="A2399" t="s">
        <v>3887</v>
      </c>
      <c r="B2399" t="s">
        <v>3839</v>
      </c>
      <c r="C2399" t="s">
        <v>10</v>
      </c>
      <c r="D2399" t="s">
        <v>2285</v>
      </c>
    </row>
    <row r="2400" spans="1:4" hidden="1" outlineLevel="2" x14ac:dyDescent="0.3">
      <c r="A2400" t="s">
        <v>3888</v>
      </c>
      <c r="B2400" t="s">
        <v>3839</v>
      </c>
      <c r="C2400" t="s">
        <v>10</v>
      </c>
      <c r="D2400" t="s">
        <v>2287</v>
      </c>
    </row>
    <row r="2401" spans="1:4" hidden="1" outlineLevel="2" x14ac:dyDescent="0.3">
      <c r="A2401" t="s">
        <v>3889</v>
      </c>
      <c r="B2401" t="s">
        <v>3839</v>
      </c>
      <c r="C2401" t="s">
        <v>10</v>
      </c>
      <c r="D2401" t="s">
        <v>2289</v>
      </c>
    </row>
    <row r="2402" spans="1:4" hidden="1" outlineLevel="2" x14ac:dyDescent="0.3">
      <c r="A2402" t="s">
        <v>3890</v>
      </c>
      <c r="B2402" t="s">
        <v>3839</v>
      </c>
      <c r="C2402" t="s">
        <v>10</v>
      </c>
      <c r="D2402" t="s">
        <v>2291</v>
      </c>
    </row>
    <row r="2403" spans="1:4" hidden="1" outlineLevel="2" x14ac:dyDescent="0.3">
      <c r="A2403" t="s">
        <v>3891</v>
      </c>
      <c r="B2403" t="s">
        <v>3839</v>
      </c>
      <c r="C2403" t="s">
        <v>10</v>
      </c>
      <c r="D2403" t="s">
        <v>2293</v>
      </c>
    </row>
    <row r="2404" spans="1:4" hidden="1" outlineLevel="2" x14ac:dyDescent="0.3">
      <c r="A2404" t="s">
        <v>3892</v>
      </c>
      <c r="B2404" t="s">
        <v>3839</v>
      </c>
      <c r="C2404" t="s">
        <v>10</v>
      </c>
      <c r="D2404" t="s">
        <v>3893</v>
      </c>
    </row>
    <row r="2405" spans="1:4" hidden="1" outlineLevel="2" x14ac:dyDescent="0.3">
      <c r="A2405" t="s">
        <v>3894</v>
      </c>
      <c r="B2405" t="s">
        <v>3839</v>
      </c>
      <c r="C2405" t="s">
        <v>10</v>
      </c>
      <c r="D2405" t="s">
        <v>2297</v>
      </c>
    </row>
    <row r="2406" spans="1:4" hidden="1" outlineLevel="2" x14ac:dyDescent="0.3">
      <c r="A2406" t="s">
        <v>3895</v>
      </c>
      <c r="B2406" t="s">
        <v>3839</v>
      </c>
      <c r="C2406" t="s">
        <v>10</v>
      </c>
      <c r="D2406" t="s">
        <v>2299</v>
      </c>
    </row>
    <row r="2407" spans="1:4" hidden="1" outlineLevel="2" x14ac:dyDescent="0.3">
      <c r="A2407" t="s">
        <v>3896</v>
      </c>
      <c r="B2407" t="s">
        <v>3839</v>
      </c>
      <c r="C2407" t="s">
        <v>10</v>
      </c>
      <c r="D2407" t="s">
        <v>2301</v>
      </c>
    </row>
    <row r="2408" spans="1:4" hidden="1" outlineLevel="2" x14ac:dyDescent="0.3">
      <c r="A2408" t="s">
        <v>3897</v>
      </c>
      <c r="B2408" t="s">
        <v>3839</v>
      </c>
      <c r="C2408" t="s">
        <v>10</v>
      </c>
      <c r="D2408" t="s">
        <v>2303</v>
      </c>
    </row>
    <row r="2409" spans="1:4" hidden="1" outlineLevel="2" x14ac:dyDescent="0.3">
      <c r="A2409" t="s">
        <v>3898</v>
      </c>
      <c r="B2409" t="s">
        <v>3899</v>
      </c>
      <c r="C2409" t="s">
        <v>10</v>
      </c>
      <c r="D2409" t="s">
        <v>3900</v>
      </c>
    </row>
    <row r="2410" spans="1:4" hidden="1" outlineLevel="2" x14ac:dyDescent="0.3">
      <c r="A2410" t="s">
        <v>3901</v>
      </c>
      <c r="B2410" t="s">
        <v>3844</v>
      </c>
      <c r="C2410" t="s">
        <v>8</v>
      </c>
      <c r="D2410" t="s">
        <v>3902</v>
      </c>
    </row>
    <row r="2411" spans="1:4" hidden="1" outlineLevel="2" x14ac:dyDescent="0.3">
      <c r="A2411" t="s">
        <v>3903</v>
      </c>
      <c r="B2411" t="s">
        <v>3844</v>
      </c>
      <c r="C2411" t="s">
        <v>10</v>
      </c>
      <c r="D2411" t="s">
        <v>2273</v>
      </c>
    </row>
    <row r="2412" spans="1:4" hidden="1" outlineLevel="2" x14ac:dyDescent="0.3">
      <c r="A2412" t="s">
        <v>3904</v>
      </c>
      <c r="B2412" t="s">
        <v>3844</v>
      </c>
      <c r="C2412" t="s">
        <v>10</v>
      </c>
      <c r="D2412" t="s">
        <v>2283</v>
      </c>
    </row>
    <row r="2413" spans="1:4" hidden="1" outlineLevel="2" x14ac:dyDescent="0.3">
      <c r="A2413" t="s">
        <v>3905</v>
      </c>
      <c r="B2413" t="s">
        <v>3844</v>
      </c>
      <c r="C2413" t="s">
        <v>10</v>
      </c>
      <c r="D2413" t="s">
        <v>3906</v>
      </c>
    </row>
    <row r="2414" spans="1:4" hidden="1" outlineLevel="2" x14ac:dyDescent="0.3">
      <c r="A2414" t="s">
        <v>3907</v>
      </c>
      <c r="B2414" t="s">
        <v>3844</v>
      </c>
      <c r="C2414" t="s">
        <v>10</v>
      </c>
      <c r="D2414" t="s">
        <v>3908</v>
      </c>
    </row>
    <row r="2415" spans="1:4" hidden="1" outlineLevel="2" x14ac:dyDescent="0.3">
      <c r="A2415" t="s">
        <v>3909</v>
      </c>
      <c r="B2415" t="s">
        <v>3910</v>
      </c>
      <c r="C2415" t="s">
        <v>8</v>
      </c>
      <c r="D2415" t="s">
        <v>2216</v>
      </c>
    </row>
    <row r="2416" spans="1:4" hidden="1" outlineLevel="2" x14ac:dyDescent="0.3">
      <c r="A2416" t="s">
        <v>3911</v>
      </c>
      <c r="B2416" t="s">
        <v>3912</v>
      </c>
      <c r="C2416" t="s">
        <v>8</v>
      </c>
      <c r="D2416" t="s">
        <v>2260</v>
      </c>
    </row>
    <row r="2417" spans="1:4" hidden="1" outlineLevel="2" x14ac:dyDescent="0.3">
      <c r="A2417" t="s">
        <v>3913</v>
      </c>
      <c r="B2417" t="s">
        <v>3912</v>
      </c>
      <c r="C2417" t="s">
        <v>8</v>
      </c>
      <c r="D2417" t="s">
        <v>2260</v>
      </c>
    </row>
    <row r="2418" spans="1:4" hidden="1" outlineLevel="2" x14ac:dyDescent="0.3">
      <c r="A2418" t="s">
        <v>3914</v>
      </c>
      <c r="B2418" t="s">
        <v>3910</v>
      </c>
      <c r="C2418" t="s">
        <v>8</v>
      </c>
      <c r="D2418" t="s">
        <v>3915</v>
      </c>
    </row>
    <row r="2419" spans="1:4" hidden="1" outlineLevel="2" x14ac:dyDescent="0.3">
      <c r="A2419" t="s">
        <v>3916</v>
      </c>
      <c r="B2419" t="s">
        <v>3910</v>
      </c>
      <c r="C2419" t="s">
        <v>8</v>
      </c>
      <c r="D2419" t="s">
        <v>3915</v>
      </c>
    </row>
    <row r="2420" spans="1:4" hidden="1" outlineLevel="2" x14ac:dyDescent="0.3">
      <c r="A2420" t="s">
        <v>3917</v>
      </c>
      <c r="B2420" t="s">
        <v>3912</v>
      </c>
      <c r="C2420" t="s">
        <v>8</v>
      </c>
      <c r="D2420" t="s">
        <v>3915</v>
      </c>
    </row>
    <row r="2421" spans="1:4" hidden="1" outlineLevel="2" x14ac:dyDescent="0.3">
      <c r="A2421" t="s">
        <v>3918</v>
      </c>
      <c r="B2421" t="s">
        <v>3912</v>
      </c>
      <c r="C2421" t="s">
        <v>8</v>
      </c>
      <c r="D2421" t="s">
        <v>3915</v>
      </c>
    </row>
    <row r="2422" spans="1:4" hidden="1" outlineLevel="2" x14ac:dyDescent="0.3">
      <c r="A2422" t="s">
        <v>3919</v>
      </c>
      <c r="B2422" t="s">
        <v>3912</v>
      </c>
      <c r="C2422" t="s">
        <v>8</v>
      </c>
      <c r="D2422" t="s">
        <v>3915</v>
      </c>
    </row>
    <row r="2423" spans="1:4" hidden="1" outlineLevel="2" x14ac:dyDescent="0.3">
      <c r="A2423" t="s">
        <v>3920</v>
      </c>
      <c r="B2423" t="s">
        <v>3839</v>
      </c>
      <c r="C2423" t="s">
        <v>10</v>
      </c>
      <c r="D2423" t="s">
        <v>2964</v>
      </c>
    </row>
    <row r="2424" spans="1:4" hidden="1" outlineLevel="2" x14ac:dyDescent="0.3">
      <c r="A2424" t="s">
        <v>3921</v>
      </c>
      <c r="B2424" t="s">
        <v>3839</v>
      </c>
      <c r="C2424" t="s">
        <v>8</v>
      </c>
      <c r="D2424" t="s">
        <v>3922</v>
      </c>
    </row>
    <row r="2425" spans="1:4" hidden="1" outlineLevel="2" x14ac:dyDescent="0.3">
      <c r="A2425" t="s">
        <v>3923</v>
      </c>
      <c r="B2425" t="s">
        <v>3839</v>
      </c>
      <c r="C2425" t="s">
        <v>10</v>
      </c>
      <c r="D2425" t="s">
        <v>3924</v>
      </c>
    </row>
    <row r="2426" spans="1:4" hidden="1" outlineLevel="2" x14ac:dyDescent="0.3">
      <c r="A2426" t="s">
        <v>3925</v>
      </c>
      <c r="B2426" t="s">
        <v>3839</v>
      </c>
      <c r="C2426" t="s">
        <v>8</v>
      </c>
      <c r="D2426" t="s">
        <v>2968</v>
      </c>
    </row>
    <row r="2427" spans="1:4" hidden="1" outlineLevel="2" x14ac:dyDescent="0.3">
      <c r="A2427" t="s">
        <v>3926</v>
      </c>
      <c r="B2427" t="s">
        <v>3839</v>
      </c>
      <c r="C2427" t="s">
        <v>10</v>
      </c>
      <c r="D2427" t="s">
        <v>2970</v>
      </c>
    </row>
    <row r="2428" spans="1:4" hidden="1" outlineLevel="2" x14ac:dyDescent="0.3">
      <c r="A2428" t="s">
        <v>3927</v>
      </c>
      <c r="B2428" t="s">
        <v>3839</v>
      </c>
      <c r="C2428" t="s">
        <v>10</v>
      </c>
      <c r="D2428" t="s">
        <v>2972</v>
      </c>
    </row>
    <row r="2429" spans="1:4" hidden="1" outlineLevel="2" x14ac:dyDescent="0.3">
      <c r="A2429" t="s">
        <v>3928</v>
      </c>
      <c r="B2429" t="s">
        <v>3839</v>
      </c>
      <c r="C2429" t="s">
        <v>10</v>
      </c>
      <c r="D2429" t="s">
        <v>3929</v>
      </c>
    </row>
    <row r="2430" spans="1:4" hidden="1" outlineLevel="2" x14ac:dyDescent="0.3">
      <c r="A2430" t="s">
        <v>3930</v>
      </c>
      <c r="B2430" t="s">
        <v>3839</v>
      </c>
      <c r="C2430" t="s">
        <v>8</v>
      </c>
      <c r="D2430" t="s">
        <v>2976</v>
      </c>
    </row>
    <row r="2431" spans="1:4" hidden="1" outlineLevel="2" x14ac:dyDescent="0.3">
      <c r="A2431" t="s">
        <v>3931</v>
      </c>
      <c r="B2431" t="s">
        <v>3839</v>
      </c>
      <c r="C2431" t="s">
        <v>10</v>
      </c>
      <c r="D2431" t="s">
        <v>2978</v>
      </c>
    </row>
    <row r="2432" spans="1:4" hidden="1" outlineLevel="2" x14ac:dyDescent="0.3">
      <c r="A2432" t="s">
        <v>3932</v>
      </c>
      <c r="B2432" t="s">
        <v>3839</v>
      </c>
      <c r="C2432" t="s">
        <v>10</v>
      </c>
      <c r="D2432" t="s">
        <v>2980</v>
      </c>
    </row>
    <row r="2433" spans="1:4" hidden="1" outlineLevel="2" x14ac:dyDescent="0.3">
      <c r="A2433" t="s">
        <v>3933</v>
      </c>
      <c r="B2433" t="s">
        <v>3839</v>
      </c>
      <c r="C2433" t="s">
        <v>10</v>
      </c>
      <c r="D2433" t="s">
        <v>3934</v>
      </c>
    </row>
    <row r="2434" spans="1:4" hidden="1" outlineLevel="2" x14ac:dyDescent="0.3">
      <c r="A2434" t="s">
        <v>3935</v>
      </c>
      <c r="B2434" t="s">
        <v>3839</v>
      </c>
      <c r="C2434" t="s">
        <v>10</v>
      </c>
      <c r="D2434" t="s">
        <v>3936</v>
      </c>
    </row>
    <row r="2435" spans="1:4" hidden="1" outlineLevel="2" x14ac:dyDescent="0.3">
      <c r="A2435" t="s">
        <v>3937</v>
      </c>
      <c r="B2435" t="s">
        <v>3839</v>
      </c>
      <c r="C2435" t="s">
        <v>8</v>
      </c>
      <c r="D2435" t="s">
        <v>2984</v>
      </c>
    </row>
    <row r="2436" spans="1:4" hidden="1" outlineLevel="2" x14ac:dyDescent="0.3">
      <c r="A2436" t="s">
        <v>3938</v>
      </c>
      <c r="B2436" t="s">
        <v>3839</v>
      </c>
      <c r="C2436" t="s">
        <v>10</v>
      </c>
      <c r="D2436" t="s">
        <v>2986</v>
      </c>
    </row>
    <row r="2437" spans="1:4" hidden="1" outlineLevel="2" x14ac:dyDescent="0.3">
      <c r="A2437" t="s">
        <v>3939</v>
      </c>
      <c r="B2437" t="s">
        <v>3839</v>
      </c>
      <c r="C2437" t="s">
        <v>10</v>
      </c>
      <c r="D2437" t="s">
        <v>2986</v>
      </c>
    </row>
    <row r="2438" spans="1:4" hidden="1" outlineLevel="2" x14ac:dyDescent="0.3">
      <c r="A2438" t="s">
        <v>3940</v>
      </c>
      <c r="B2438" t="s">
        <v>3839</v>
      </c>
      <c r="C2438" t="s">
        <v>10</v>
      </c>
      <c r="D2438" t="s">
        <v>3941</v>
      </c>
    </row>
    <row r="2439" spans="1:4" hidden="1" outlineLevel="2" x14ac:dyDescent="0.3">
      <c r="A2439" t="s">
        <v>3942</v>
      </c>
      <c r="B2439" t="s">
        <v>3839</v>
      </c>
      <c r="C2439" t="s">
        <v>10</v>
      </c>
      <c r="D2439" t="s">
        <v>3943</v>
      </c>
    </row>
    <row r="2440" spans="1:4" hidden="1" outlineLevel="2" x14ac:dyDescent="0.3">
      <c r="A2440" t="s">
        <v>3944</v>
      </c>
      <c r="B2440" t="s">
        <v>3839</v>
      </c>
      <c r="C2440" t="s">
        <v>10</v>
      </c>
      <c r="D2440" t="s">
        <v>3945</v>
      </c>
    </row>
    <row r="2441" spans="1:4" hidden="1" outlineLevel="2" x14ac:dyDescent="0.3">
      <c r="A2441" t="s">
        <v>3946</v>
      </c>
      <c r="B2441" t="s">
        <v>3839</v>
      </c>
      <c r="C2441" t="s">
        <v>10</v>
      </c>
      <c r="D2441" t="s">
        <v>3947</v>
      </c>
    </row>
    <row r="2442" spans="1:4" hidden="1" outlineLevel="2" x14ac:dyDescent="0.3">
      <c r="A2442" t="s">
        <v>3948</v>
      </c>
      <c r="B2442" t="s">
        <v>3839</v>
      </c>
      <c r="C2442" t="s">
        <v>8</v>
      </c>
      <c r="D2442" t="s">
        <v>3949</v>
      </c>
    </row>
    <row r="2443" spans="1:4" hidden="1" outlineLevel="2" x14ac:dyDescent="0.3">
      <c r="A2443" t="s">
        <v>3950</v>
      </c>
      <c r="B2443" t="s">
        <v>3839</v>
      </c>
      <c r="C2443" t="s">
        <v>10</v>
      </c>
      <c r="D2443" t="s">
        <v>3951</v>
      </c>
    </row>
    <row r="2444" spans="1:4" hidden="1" outlineLevel="2" x14ac:dyDescent="0.3">
      <c r="A2444" t="s">
        <v>3952</v>
      </c>
      <c r="B2444" t="s">
        <v>3839</v>
      </c>
      <c r="C2444" t="s">
        <v>10</v>
      </c>
      <c r="D2444" t="s">
        <v>2212</v>
      </c>
    </row>
    <row r="2445" spans="1:4" hidden="1" outlineLevel="2" x14ac:dyDescent="0.3">
      <c r="A2445" t="s">
        <v>3953</v>
      </c>
      <c r="B2445" t="s">
        <v>3839</v>
      </c>
      <c r="C2445" t="s">
        <v>10</v>
      </c>
      <c r="D2445" t="s">
        <v>2305</v>
      </c>
    </row>
    <row r="2446" spans="1:4" hidden="1" outlineLevel="2" x14ac:dyDescent="0.3">
      <c r="A2446" t="s">
        <v>3954</v>
      </c>
      <c r="B2446" t="s">
        <v>3839</v>
      </c>
      <c r="C2446" t="s">
        <v>10</v>
      </c>
      <c r="D2446" t="s">
        <v>3955</v>
      </c>
    </row>
    <row r="2447" spans="1:4" hidden="1" outlineLevel="2" x14ac:dyDescent="0.3">
      <c r="A2447" t="s">
        <v>3956</v>
      </c>
      <c r="B2447" t="s">
        <v>3839</v>
      </c>
      <c r="C2447" t="s">
        <v>10</v>
      </c>
      <c r="D2447" t="s">
        <v>2314</v>
      </c>
    </row>
    <row r="2448" spans="1:4" hidden="1" outlineLevel="2" x14ac:dyDescent="0.3">
      <c r="A2448" t="s">
        <v>3957</v>
      </c>
      <c r="B2448" t="s">
        <v>3839</v>
      </c>
      <c r="C2448" t="s">
        <v>10</v>
      </c>
      <c r="D2448" t="s">
        <v>2335</v>
      </c>
    </row>
    <row r="2449" spans="1:4" hidden="1" outlineLevel="2" x14ac:dyDescent="0.3">
      <c r="A2449" t="s">
        <v>3958</v>
      </c>
      <c r="B2449" t="s">
        <v>3839</v>
      </c>
      <c r="C2449" t="s">
        <v>10</v>
      </c>
      <c r="D2449" t="s">
        <v>2337</v>
      </c>
    </row>
    <row r="2450" spans="1:4" hidden="1" outlineLevel="2" x14ac:dyDescent="0.3">
      <c r="A2450" t="s">
        <v>3959</v>
      </c>
      <c r="B2450" t="s">
        <v>3839</v>
      </c>
      <c r="C2450" t="s">
        <v>10</v>
      </c>
      <c r="D2450" t="s">
        <v>2339</v>
      </c>
    </row>
    <row r="2451" spans="1:4" hidden="1" outlineLevel="2" x14ac:dyDescent="0.3">
      <c r="A2451" t="s">
        <v>3960</v>
      </c>
      <c r="B2451" t="s">
        <v>3839</v>
      </c>
      <c r="C2451" t="s">
        <v>10</v>
      </c>
      <c r="D2451" t="s">
        <v>2341</v>
      </c>
    </row>
    <row r="2452" spans="1:4" hidden="1" outlineLevel="2" x14ac:dyDescent="0.3">
      <c r="A2452" t="s">
        <v>3961</v>
      </c>
      <c r="B2452" t="s">
        <v>3839</v>
      </c>
      <c r="C2452" t="s">
        <v>10</v>
      </c>
      <c r="D2452" t="s">
        <v>2343</v>
      </c>
    </row>
    <row r="2453" spans="1:4" hidden="1" outlineLevel="2" x14ac:dyDescent="0.3">
      <c r="A2453" t="s">
        <v>3962</v>
      </c>
      <c r="B2453" t="s">
        <v>3839</v>
      </c>
      <c r="C2453" t="s">
        <v>10</v>
      </c>
      <c r="D2453" t="s">
        <v>2345</v>
      </c>
    </row>
    <row r="2454" spans="1:4" hidden="1" outlineLevel="2" x14ac:dyDescent="0.3">
      <c r="A2454" t="s">
        <v>3963</v>
      </c>
      <c r="B2454" t="s">
        <v>3839</v>
      </c>
      <c r="C2454" t="s">
        <v>10</v>
      </c>
      <c r="D2454" t="s">
        <v>2347</v>
      </c>
    </row>
    <row r="2455" spans="1:4" hidden="1" outlineLevel="2" x14ac:dyDescent="0.3">
      <c r="A2455" t="s">
        <v>3964</v>
      </c>
      <c r="B2455" t="s">
        <v>3839</v>
      </c>
      <c r="C2455" t="s">
        <v>10</v>
      </c>
      <c r="D2455" t="s">
        <v>2349</v>
      </c>
    </row>
    <row r="2456" spans="1:4" hidden="1" outlineLevel="2" x14ac:dyDescent="0.3">
      <c r="A2456" t="s">
        <v>3965</v>
      </c>
      <c r="B2456" t="s">
        <v>3839</v>
      </c>
      <c r="C2456" t="s">
        <v>10</v>
      </c>
      <c r="D2456" t="s">
        <v>2351</v>
      </c>
    </row>
    <row r="2457" spans="1:4" hidden="1" outlineLevel="2" x14ac:dyDescent="0.3">
      <c r="A2457" t="s">
        <v>3966</v>
      </c>
      <c r="B2457" t="s">
        <v>3839</v>
      </c>
      <c r="C2457" t="s">
        <v>10</v>
      </c>
      <c r="D2457" t="s">
        <v>2353</v>
      </c>
    </row>
    <row r="2458" spans="1:4" hidden="1" outlineLevel="2" x14ac:dyDescent="0.3">
      <c r="A2458" t="s">
        <v>3967</v>
      </c>
      <c r="B2458" t="s">
        <v>3839</v>
      </c>
      <c r="C2458" t="s">
        <v>10</v>
      </c>
      <c r="D2458" t="s">
        <v>2355</v>
      </c>
    </row>
    <row r="2459" spans="1:4" hidden="1" outlineLevel="2" x14ac:dyDescent="0.3">
      <c r="A2459" t="s">
        <v>3968</v>
      </c>
      <c r="B2459" t="s">
        <v>3839</v>
      </c>
      <c r="C2459" t="s">
        <v>10</v>
      </c>
      <c r="D2459" t="s">
        <v>2357</v>
      </c>
    </row>
    <row r="2460" spans="1:4" hidden="1" outlineLevel="2" x14ac:dyDescent="0.3">
      <c r="A2460" t="s">
        <v>3969</v>
      </c>
      <c r="B2460" t="s">
        <v>3839</v>
      </c>
      <c r="C2460" t="s">
        <v>10</v>
      </c>
      <c r="D2460" t="s">
        <v>2359</v>
      </c>
    </row>
    <row r="2461" spans="1:4" hidden="1" outlineLevel="2" x14ac:dyDescent="0.3">
      <c r="A2461" t="s">
        <v>3970</v>
      </c>
      <c r="B2461" t="s">
        <v>3839</v>
      </c>
      <c r="C2461" t="s">
        <v>10</v>
      </c>
      <c r="D2461" t="s">
        <v>2361</v>
      </c>
    </row>
    <row r="2462" spans="1:4" hidden="1" outlineLevel="2" x14ac:dyDescent="0.3">
      <c r="A2462" t="s">
        <v>3971</v>
      </c>
      <c r="B2462" t="s">
        <v>3839</v>
      </c>
      <c r="C2462" t="s">
        <v>10</v>
      </c>
      <c r="D2462" t="s">
        <v>3972</v>
      </c>
    </row>
    <row r="2463" spans="1:4" hidden="1" outlineLevel="2" x14ac:dyDescent="0.3">
      <c r="A2463" t="s">
        <v>3973</v>
      </c>
      <c r="B2463" t="s">
        <v>3839</v>
      </c>
      <c r="C2463" t="s">
        <v>10</v>
      </c>
      <c r="D2463" t="s">
        <v>2363</v>
      </c>
    </row>
    <row r="2464" spans="1:4" hidden="1" outlineLevel="2" x14ac:dyDescent="0.3">
      <c r="A2464" t="s">
        <v>3974</v>
      </c>
      <c r="B2464" t="s">
        <v>3839</v>
      </c>
      <c r="C2464" t="s">
        <v>10</v>
      </c>
      <c r="D2464" t="s">
        <v>3975</v>
      </c>
    </row>
    <row r="2465" spans="1:4" hidden="1" outlineLevel="2" x14ac:dyDescent="0.3">
      <c r="A2465" t="s">
        <v>3976</v>
      </c>
      <c r="B2465" t="s">
        <v>3839</v>
      </c>
      <c r="C2465" t="s">
        <v>10</v>
      </c>
      <c r="D2465" t="s">
        <v>3977</v>
      </c>
    </row>
    <row r="2466" spans="1:4" hidden="1" outlineLevel="2" x14ac:dyDescent="0.3">
      <c r="A2466" t="s">
        <v>3978</v>
      </c>
      <c r="B2466" t="s">
        <v>3839</v>
      </c>
      <c r="C2466" t="s">
        <v>10</v>
      </c>
      <c r="D2466" t="s">
        <v>2386</v>
      </c>
    </row>
    <row r="2467" spans="1:4" hidden="1" outlineLevel="2" x14ac:dyDescent="0.3">
      <c r="A2467" t="s">
        <v>3979</v>
      </c>
      <c r="B2467" t="s">
        <v>3839</v>
      </c>
      <c r="C2467" t="s">
        <v>10</v>
      </c>
      <c r="D2467" t="s">
        <v>2388</v>
      </c>
    </row>
    <row r="2468" spans="1:4" hidden="1" outlineLevel="2" x14ac:dyDescent="0.3">
      <c r="A2468" t="s">
        <v>3980</v>
      </c>
      <c r="B2468" t="s">
        <v>3839</v>
      </c>
      <c r="C2468" t="s">
        <v>10</v>
      </c>
      <c r="D2468" t="s">
        <v>2390</v>
      </c>
    </row>
    <row r="2469" spans="1:4" hidden="1" outlineLevel="2" x14ac:dyDescent="0.3">
      <c r="A2469" t="s">
        <v>3981</v>
      </c>
      <c r="B2469" t="s">
        <v>3839</v>
      </c>
      <c r="C2469" t="s">
        <v>10</v>
      </c>
      <c r="D2469" t="s">
        <v>2392</v>
      </c>
    </row>
    <row r="2470" spans="1:4" hidden="1" outlineLevel="2" x14ac:dyDescent="0.3">
      <c r="A2470" t="s">
        <v>3982</v>
      </c>
      <c r="B2470" t="s">
        <v>3839</v>
      </c>
      <c r="C2470" t="s">
        <v>10</v>
      </c>
      <c r="D2470" t="s">
        <v>2394</v>
      </c>
    </row>
    <row r="2471" spans="1:4" hidden="1" outlineLevel="2" x14ac:dyDescent="0.3">
      <c r="A2471" t="s">
        <v>3983</v>
      </c>
      <c r="B2471" t="s">
        <v>3839</v>
      </c>
      <c r="C2471" t="s">
        <v>10</v>
      </c>
      <c r="D2471" t="s">
        <v>3984</v>
      </c>
    </row>
    <row r="2472" spans="1:4" hidden="1" outlineLevel="2" x14ac:dyDescent="0.3">
      <c r="A2472" t="s">
        <v>3985</v>
      </c>
      <c r="B2472" t="s">
        <v>3839</v>
      </c>
      <c r="C2472" t="s">
        <v>10</v>
      </c>
      <c r="D2472" t="s">
        <v>2396</v>
      </c>
    </row>
    <row r="2473" spans="1:4" hidden="1" outlineLevel="2" x14ac:dyDescent="0.3">
      <c r="A2473" t="s">
        <v>3986</v>
      </c>
      <c r="B2473" t="s">
        <v>3839</v>
      </c>
      <c r="C2473" t="s">
        <v>10</v>
      </c>
      <c r="D2473" t="s">
        <v>2398</v>
      </c>
    </row>
    <row r="2474" spans="1:4" hidden="1" outlineLevel="2" x14ac:dyDescent="0.3">
      <c r="A2474" t="s">
        <v>3987</v>
      </c>
      <c r="B2474" t="s">
        <v>3839</v>
      </c>
      <c r="C2474" t="s">
        <v>10</v>
      </c>
      <c r="D2474" t="s">
        <v>2400</v>
      </c>
    </row>
    <row r="2475" spans="1:4" hidden="1" outlineLevel="2" x14ac:dyDescent="0.3">
      <c r="A2475" t="s">
        <v>3988</v>
      </c>
      <c r="B2475" t="s">
        <v>3839</v>
      </c>
      <c r="C2475" t="s">
        <v>10</v>
      </c>
      <c r="D2475" t="s">
        <v>2402</v>
      </c>
    </row>
    <row r="2476" spans="1:4" hidden="1" outlineLevel="2" x14ac:dyDescent="0.3">
      <c r="A2476" t="s">
        <v>3989</v>
      </c>
      <c r="B2476" t="s">
        <v>3839</v>
      </c>
      <c r="C2476" t="s">
        <v>10</v>
      </c>
      <c r="D2476" t="s">
        <v>2404</v>
      </c>
    </row>
    <row r="2477" spans="1:4" hidden="1" outlineLevel="2" x14ac:dyDescent="0.3">
      <c r="A2477" t="s">
        <v>3990</v>
      </c>
      <c r="B2477" t="s">
        <v>3839</v>
      </c>
      <c r="C2477" t="s">
        <v>10</v>
      </c>
      <c r="D2477" t="s">
        <v>3991</v>
      </c>
    </row>
    <row r="2478" spans="1:4" hidden="1" outlineLevel="2" x14ac:dyDescent="0.3">
      <c r="A2478" t="s">
        <v>3992</v>
      </c>
      <c r="B2478" t="s">
        <v>3839</v>
      </c>
      <c r="C2478" t="s">
        <v>10</v>
      </c>
      <c r="D2478" t="s">
        <v>2406</v>
      </c>
    </row>
    <row r="2479" spans="1:4" hidden="1" outlineLevel="2" x14ac:dyDescent="0.3">
      <c r="A2479" t="s">
        <v>3993</v>
      </c>
      <c r="B2479" t="s">
        <v>3839</v>
      </c>
      <c r="C2479" t="s">
        <v>10</v>
      </c>
      <c r="D2479" t="s">
        <v>2408</v>
      </c>
    </row>
    <row r="2480" spans="1:4" hidden="1" outlineLevel="2" x14ac:dyDescent="0.3">
      <c r="A2480" t="s">
        <v>3994</v>
      </c>
      <c r="B2480" t="s">
        <v>3839</v>
      </c>
      <c r="C2480" t="s">
        <v>10</v>
      </c>
      <c r="D2480" t="s">
        <v>2410</v>
      </c>
    </row>
    <row r="2481" spans="1:4" hidden="1" outlineLevel="2" x14ac:dyDescent="0.3">
      <c r="A2481" t="s">
        <v>3995</v>
      </c>
      <c r="B2481" t="s">
        <v>3839</v>
      </c>
      <c r="C2481" t="s">
        <v>10</v>
      </c>
      <c r="D2481" t="s">
        <v>2412</v>
      </c>
    </row>
    <row r="2482" spans="1:4" hidden="1" outlineLevel="2" x14ac:dyDescent="0.3">
      <c r="A2482" t="s">
        <v>3996</v>
      </c>
      <c r="B2482" t="s">
        <v>3839</v>
      </c>
      <c r="C2482" t="s">
        <v>10</v>
      </c>
      <c r="D2482" t="s">
        <v>3997</v>
      </c>
    </row>
    <row r="2483" spans="1:4" hidden="1" outlineLevel="2" x14ac:dyDescent="0.3">
      <c r="A2483" t="s">
        <v>3998</v>
      </c>
      <c r="B2483" t="s">
        <v>3839</v>
      </c>
      <c r="C2483" t="s">
        <v>10</v>
      </c>
      <c r="D2483" t="s">
        <v>2414</v>
      </c>
    </row>
    <row r="2484" spans="1:4" hidden="1" outlineLevel="2" x14ac:dyDescent="0.3">
      <c r="A2484" t="s">
        <v>3999</v>
      </c>
      <c r="B2484" t="s">
        <v>3839</v>
      </c>
      <c r="C2484" t="s">
        <v>10</v>
      </c>
      <c r="D2484" t="s">
        <v>2416</v>
      </c>
    </row>
    <row r="2485" spans="1:4" hidden="1" outlineLevel="2" x14ac:dyDescent="0.3">
      <c r="A2485" t="s">
        <v>4000</v>
      </c>
      <c r="B2485" t="s">
        <v>3839</v>
      </c>
      <c r="C2485" t="s">
        <v>10</v>
      </c>
      <c r="D2485" t="s">
        <v>2418</v>
      </c>
    </row>
    <row r="2486" spans="1:4" hidden="1" outlineLevel="2" x14ac:dyDescent="0.3">
      <c r="A2486" t="s">
        <v>4001</v>
      </c>
      <c r="B2486" t="s">
        <v>3839</v>
      </c>
      <c r="C2486" t="s">
        <v>10</v>
      </c>
      <c r="D2486" t="s">
        <v>2428</v>
      </c>
    </row>
    <row r="2487" spans="1:4" hidden="1" outlineLevel="2" x14ac:dyDescent="0.3">
      <c r="A2487" t="s">
        <v>4002</v>
      </c>
      <c r="B2487" t="s">
        <v>3844</v>
      </c>
      <c r="C2487" t="s">
        <v>10</v>
      </c>
      <c r="D2487" t="s">
        <v>3955</v>
      </c>
    </row>
    <row r="2488" spans="1:4" hidden="1" outlineLevel="2" x14ac:dyDescent="0.3">
      <c r="A2488" t="s">
        <v>4003</v>
      </c>
      <c r="B2488" t="s">
        <v>3844</v>
      </c>
      <c r="C2488" t="s">
        <v>10</v>
      </c>
      <c r="D2488" t="s">
        <v>2314</v>
      </c>
    </row>
    <row r="2489" spans="1:4" hidden="1" outlineLevel="2" x14ac:dyDescent="0.3">
      <c r="A2489" t="s">
        <v>4004</v>
      </c>
      <c r="B2489" t="s">
        <v>3844</v>
      </c>
      <c r="C2489" t="s">
        <v>10</v>
      </c>
      <c r="D2489" t="s">
        <v>4005</v>
      </c>
    </row>
    <row r="2490" spans="1:4" hidden="1" outlineLevel="2" x14ac:dyDescent="0.3">
      <c r="A2490" t="s">
        <v>4006</v>
      </c>
      <c r="B2490" t="s">
        <v>3844</v>
      </c>
      <c r="C2490" t="s">
        <v>8</v>
      </c>
      <c r="D2490" t="s">
        <v>3701</v>
      </c>
    </row>
    <row r="2491" spans="1:4" hidden="1" outlineLevel="2" x14ac:dyDescent="0.3">
      <c r="A2491" t="s">
        <v>4007</v>
      </c>
      <c r="B2491" t="s">
        <v>3844</v>
      </c>
      <c r="C2491" t="s">
        <v>10</v>
      </c>
      <c r="D2491" t="s">
        <v>3977</v>
      </c>
    </row>
    <row r="2492" spans="1:4" hidden="1" outlineLevel="2" x14ac:dyDescent="0.3">
      <c r="A2492" t="s">
        <v>4008</v>
      </c>
      <c r="B2492" t="s">
        <v>3910</v>
      </c>
      <c r="C2492" t="s">
        <v>8</v>
      </c>
      <c r="D2492" t="s">
        <v>2322</v>
      </c>
    </row>
    <row r="2493" spans="1:4" hidden="1" outlineLevel="2" x14ac:dyDescent="0.3">
      <c r="A2493" t="s">
        <v>4009</v>
      </c>
      <c r="B2493" t="s">
        <v>3910</v>
      </c>
      <c r="C2493" t="s">
        <v>8</v>
      </c>
      <c r="D2493" t="s">
        <v>2322</v>
      </c>
    </row>
    <row r="2494" spans="1:4" hidden="1" outlineLevel="2" x14ac:dyDescent="0.3">
      <c r="A2494" t="s">
        <v>4010</v>
      </c>
      <c r="B2494" t="s">
        <v>3912</v>
      </c>
      <c r="C2494" t="s">
        <v>8</v>
      </c>
      <c r="D2494" t="s">
        <v>2322</v>
      </c>
    </row>
    <row r="2495" spans="1:4" hidden="1" outlineLevel="2" x14ac:dyDescent="0.3">
      <c r="A2495" t="s">
        <v>4011</v>
      </c>
      <c r="B2495" t="s">
        <v>3910</v>
      </c>
      <c r="C2495" t="s">
        <v>8</v>
      </c>
      <c r="D2495" t="s">
        <v>2322</v>
      </c>
    </row>
    <row r="2496" spans="1:4" hidden="1" outlineLevel="2" x14ac:dyDescent="0.3">
      <c r="A2496" t="s">
        <v>4012</v>
      </c>
      <c r="B2496" t="s">
        <v>3912</v>
      </c>
      <c r="C2496" t="s">
        <v>8</v>
      </c>
      <c r="D2496" t="s">
        <v>2325</v>
      </c>
    </row>
    <row r="2497" spans="1:4" hidden="1" outlineLevel="2" x14ac:dyDescent="0.3">
      <c r="A2497" t="s">
        <v>4013</v>
      </c>
      <c r="B2497" t="s">
        <v>3910</v>
      </c>
      <c r="C2497" t="s">
        <v>8</v>
      </c>
      <c r="D2497" t="s">
        <v>2328</v>
      </c>
    </row>
    <row r="2498" spans="1:4" hidden="1" outlineLevel="2" x14ac:dyDescent="0.3">
      <c r="A2498" t="s">
        <v>4014</v>
      </c>
      <c r="B2498" t="s">
        <v>3912</v>
      </c>
      <c r="C2498" t="s">
        <v>8</v>
      </c>
      <c r="D2498" t="s">
        <v>2328</v>
      </c>
    </row>
    <row r="2499" spans="1:4" hidden="1" outlineLevel="2" x14ac:dyDescent="0.3">
      <c r="A2499" t="s">
        <v>4015</v>
      </c>
      <c r="B2499" t="s">
        <v>3912</v>
      </c>
      <c r="C2499" t="s">
        <v>8</v>
      </c>
      <c r="D2499" t="s">
        <v>2328</v>
      </c>
    </row>
    <row r="2500" spans="1:4" hidden="1" outlineLevel="2" x14ac:dyDescent="0.3">
      <c r="A2500" t="s">
        <v>4016</v>
      </c>
      <c r="B2500" t="s">
        <v>3912</v>
      </c>
      <c r="C2500" t="s">
        <v>8</v>
      </c>
      <c r="D2500" t="s">
        <v>2328</v>
      </c>
    </row>
    <row r="2501" spans="1:4" hidden="1" outlineLevel="2" x14ac:dyDescent="0.3">
      <c r="A2501" t="s">
        <v>4017</v>
      </c>
      <c r="B2501" t="s">
        <v>3912</v>
      </c>
      <c r="C2501" t="s">
        <v>8</v>
      </c>
      <c r="D2501" t="s">
        <v>2330</v>
      </c>
    </row>
    <row r="2502" spans="1:4" hidden="1" outlineLevel="2" x14ac:dyDescent="0.3">
      <c r="A2502" t="s">
        <v>4018</v>
      </c>
      <c r="B2502" t="s">
        <v>3912</v>
      </c>
      <c r="C2502" t="s">
        <v>8</v>
      </c>
      <c r="D2502" t="s">
        <v>2330</v>
      </c>
    </row>
    <row r="2503" spans="1:4" hidden="1" outlineLevel="2" x14ac:dyDescent="0.3">
      <c r="A2503" t="s">
        <v>4019</v>
      </c>
      <c r="B2503" t="s">
        <v>3910</v>
      </c>
      <c r="C2503" t="s">
        <v>8</v>
      </c>
      <c r="D2503" t="s">
        <v>2332</v>
      </c>
    </row>
    <row r="2504" spans="1:4" hidden="1" outlineLevel="2" x14ac:dyDescent="0.3">
      <c r="A2504" t="s">
        <v>4020</v>
      </c>
      <c r="B2504" t="s">
        <v>3912</v>
      </c>
      <c r="C2504" t="s">
        <v>8</v>
      </c>
      <c r="D2504" t="s">
        <v>2332</v>
      </c>
    </row>
    <row r="2505" spans="1:4" hidden="1" outlineLevel="2" x14ac:dyDescent="0.3">
      <c r="A2505" t="s">
        <v>4021</v>
      </c>
      <c r="B2505" t="s">
        <v>3912</v>
      </c>
      <c r="C2505" t="s">
        <v>8</v>
      </c>
      <c r="D2505" t="s">
        <v>2332</v>
      </c>
    </row>
    <row r="2506" spans="1:4" hidden="1" outlineLevel="2" x14ac:dyDescent="0.3">
      <c r="A2506" t="s">
        <v>4022</v>
      </c>
      <c r="B2506" t="s">
        <v>3912</v>
      </c>
      <c r="C2506" t="s">
        <v>8</v>
      </c>
      <c r="D2506" t="s">
        <v>2332</v>
      </c>
    </row>
    <row r="2507" spans="1:4" hidden="1" outlineLevel="2" x14ac:dyDescent="0.3">
      <c r="A2507" t="s">
        <v>4023</v>
      </c>
      <c r="B2507" t="s">
        <v>3912</v>
      </c>
      <c r="C2507" t="s">
        <v>8</v>
      </c>
      <c r="D2507" t="s">
        <v>2332</v>
      </c>
    </row>
    <row r="2508" spans="1:4" hidden="1" outlineLevel="2" x14ac:dyDescent="0.3">
      <c r="A2508" t="s">
        <v>4024</v>
      </c>
      <c r="B2508" t="s">
        <v>3910</v>
      </c>
      <c r="C2508" t="s">
        <v>8</v>
      </c>
      <c r="D2508" t="s">
        <v>4025</v>
      </c>
    </row>
    <row r="2509" spans="1:4" hidden="1" outlineLevel="2" x14ac:dyDescent="0.3">
      <c r="A2509" t="s">
        <v>4026</v>
      </c>
      <c r="B2509" t="s">
        <v>3910</v>
      </c>
      <c r="C2509" t="s">
        <v>8</v>
      </c>
      <c r="D2509" t="s">
        <v>4025</v>
      </c>
    </row>
    <row r="2510" spans="1:4" hidden="1" outlineLevel="2" x14ac:dyDescent="0.3">
      <c r="A2510" t="s">
        <v>4027</v>
      </c>
      <c r="B2510" t="s">
        <v>3912</v>
      </c>
      <c r="C2510" t="s">
        <v>8</v>
      </c>
      <c r="D2510" t="s">
        <v>2365</v>
      </c>
    </row>
    <row r="2511" spans="1:4" hidden="1" outlineLevel="2" x14ac:dyDescent="0.3">
      <c r="A2511" t="s">
        <v>4028</v>
      </c>
      <c r="B2511" t="s">
        <v>3910</v>
      </c>
      <c r="C2511" t="s">
        <v>8</v>
      </c>
      <c r="D2511" t="s">
        <v>2368</v>
      </c>
    </row>
    <row r="2512" spans="1:4" hidden="1" outlineLevel="2" x14ac:dyDescent="0.3">
      <c r="A2512" t="s">
        <v>4029</v>
      </c>
      <c r="B2512" t="s">
        <v>3910</v>
      </c>
      <c r="C2512" t="s">
        <v>8</v>
      </c>
      <c r="D2512" t="s">
        <v>2368</v>
      </c>
    </row>
    <row r="2513" spans="1:4" hidden="1" outlineLevel="2" x14ac:dyDescent="0.3">
      <c r="A2513" t="s">
        <v>4030</v>
      </c>
      <c r="B2513" t="s">
        <v>3912</v>
      </c>
      <c r="C2513" t="s">
        <v>8</v>
      </c>
      <c r="D2513" t="s">
        <v>2370</v>
      </c>
    </row>
    <row r="2514" spans="1:4" hidden="1" outlineLevel="2" x14ac:dyDescent="0.3">
      <c r="A2514" t="s">
        <v>4031</v>
      </c>
      <c r="B2514" t="s">
        <v>3910</v>
      </c>
      <c r="C2514" t="s">
        <v>8</v>
      </c>
      <c r="D2514" t="s">
        <v>2372</v>
      </c>
    </row>
    <row r="2515" spans="1:4" hidden="1" outlineLevel="2" x14ac:dyDescent="0.3">
      <c r="A2515" t="s">
        <v>4032</v>
      </c>
      <c r="B2515" t="s">
        <v>3910</v>
      </c>
      <c r="C2515" t="s">
        <v>8</v>
      </c>
      <c r="D2515" t="s">
        <v>2374</v>
      </c>
    </row>
    <row r="2516" spans="1:4" hidden="1" outlineLevel="2" x14ac:dyDescent="0.3">
      <c r="A2516" t="s">
        <v>4033</v>
      </c>
      <c r="B2516" t="s">
        <v>3912</v>
      </c>
      <c r="C2516" t="s">
        <v>8</v>
      </c>
      <c r="D2516" t="s">
        <v>4034</v>
      </c>
    </row>
    <row r="2517" spans="1:4" hidden="1" outlineLevel="2" x14ac:dyDescent="0.3">
      <c r="A2517" t="s">
        <v>4035</v>
      </c>
      <c r="B2517" t="s">
        <v>3912</v>
      </c>
      <c r="C2517" t="s">
        <v>8</v>
      </c>
      <c r="D2517" t="s">
        <v>4034</v>
      </c>
    </row>
    <row r="2518" spans="1:4" hidden="1" outlineLevel="2" x14ac:dyDescent="0.3">
      <c r="A2518" t="s">
        <v>4036</v>
      </c>
      <c r="B2518" t="s">
        <v>3910</v>
      </c>
      <c r="C2518" t="s">
        <v>8</v>
      </c>
      <c r="D2518" t="s">
        <v>2376</v>
      </c>
    </row>
    <row r="2519" spans="1:4" hidden="1" outlineLevel="2" x14ac:dyDescent="0.3">
      <c r="A2519" t="s">
        <v>4037</v>
      </c>
      <c r="B2519" t="s">
        <v>3899</v>
      </c>
      <c r="C2519" t="s">
        <v>8</v>
      </c>
      <c r="D2519" t="s">
        <v>4038</v>
      </c>
    </row>
    <row r="2520" spans="1:4" hidden="1" outlineLevel="2" x14ac:dyDescent="0.3">
      <c r="A2520" t="s">
        <v>4039</v>
      </c>
      <c r="B2520" t="s">
        <v>3912</v>
      </c>
      <c r="C2520" t="s">
        <v>8</v>
      </c>
      <c r="D2520" t="s">
        <v>2384</v>
      </c>
    </row>
    <row r="2521" spans="1:4" hidden="1" outlineLevel="2" x14ac:dyDescent="0.3">
      <c r="A2521" t="s">
        <v>4040</v>
      </c>
      <c r="B2521" t="s">
        <v>3912</v>
      </c>
      <c r="C2521" t="s">
        <v>8</v>
      </c>
      <c r="D2521" t="s">
        <v>2384</v>
      </c>
    </row>
    <row r="2522" spans="1:4" hidden="1" outlineLevel="2" x14ac:dyDescent="0.3">
      <c r="A2522" t="s">
        <v>4041</v>
      </c>
      <c r="B2522" t="s">
        <v>3912</v>
      </c>
      <c r="C2522" t="s">
        <v>8</v>
      </c>
      <c r="D2522" t="s">
        <v>2384</v>
      </c>
    </row>
    <row r="2523" spans="1:4" hidden="1" outlineLevel="2" x14ac:dyDescent="0.3">
      <c r="A2523" t="s">
        <v>4042</v>
      </c>
      <c r="B2523" t="s">
        <v>3912</v>
      </c>
      <c r="C2523" t="s">
        <v>8</v>
      </c>
      <c r="D2523" t="s">
        <v>2384</v>
      </c>
    </row>
    <row r="2524" spans="1:4" hidden="1" outlineLevel="2" x14ac:dyDescent="0.3">
      <c r="A2524" t="s">
        <v>4043</v>
      </c>
      <c r="B2524" t="s">
        <v>3912</v>
      </c>
      <c r="C2524" t="s">
        <v>8</v>
      </c>
      <c r="D2524" t="s">
        <v>2384</v>
      </c>
    </row>
    <row r="2525" spans="1:4" hidden="1" outlineLevel="2" x14ac:dyDescent="0.3">
      <c r="A2525" t="s">
        <v>4044</v>
      </c>
      <c r="B2525" t="s">
        <v>3912</v>
      </c>
      <c r="C2525" t="s">
        <v>8</v>
      </c>
      <c r="D2525" t="s">
        <v>2384</v>
      </c>
    </row>
    <row r="2526" spans="1:4" hidden="1" outlineLevel="2" x14ac:dyDescent="0.3">
      <c r="A2526" t="s">
        <v>4045</v>
      </c>
      <c r="B2526" t="s">
        <v>3912</v>
      </c>
      <c r="C2526" t="s">
        <v>8</v>
      </c>
      <c r="D2526" t="s">
        <v>2384</v>
      </c>
    </row>
    <row r="2527" spans="1:4" hidden="1" outlineLevel="2" x14ac:dyDescent="0.3">
      <c r="A2527" t="s">
        <v>4046</v>
      </c>
      <c r="B2527" t="s">
        <v>3839</v>
      </c>
      <c r="C2527" t="s">
        <v>10</v>
      </c>
      <c r="D2527" t="s">
        <v>2960</v>
      </c>
    </row>
    <row r="2528" spans="1:4" hidden="1" outlineLevel="2" x14ac:dyDescent="0.3">
      <c r="A2528" t="s">
        <v>4047</v>
      </c>
      <c r="B2528" t="s">
        <v>3839</v>
      </c>
      <c r="C2528" t="s">
        <v>10</v>
      </c>
      <c r="D2528" t="s">
        <v>4048</v>
      </c>
    </row>
    <row r="2529" spans="1:4" hidden="1" outlineLevel="2" x14ac:dyDescent="0.3">
      <c r="A2529" t="s">
        <v>4049</v>
      </c>
      <c r="B2529" t="s">
        <v>3839</v>
      </c>
      <c r="C2529" t="s">
        <v>10</v>
      </c>
      <c r="D2529" t="s">
        <v>4050</v>
      </c>
    </row>
    <row r="2530" spans="1:4" hidden="1" outlineLevel="2" x14ac:dyDescent="0.3">
      <c r="A2530" t="s">
        <v>4051</v>
      </c>
      <c r="B2530" t="s">
        <v>3839</v>
      </c>
      <c r="C2530" t="s">
        <v>10</v>
      </c>
      <c r="D2530" t="s">
        <v>4052</v>
      </c>
    </row>
    <row r="2531" spans="1:4" hidden="1" outlineLevel="2" x14ac:dyDescent="0.3">
      <c r="A2531" t="s">
        <v>4053</v>
      </c>
      <c r="B2531" t="s">
        <v>3839</v>
      </c>
      <c r="C2531" t="s">
        <v>10</v>
      </c>
      <c r="D2531" t="s">
        <v>4054</v>
      </c>
    </row>
    <row r="2532" spans="1:4" hidden="1" outlineLevel="2" x14ac:dyDescent="0.3">
      <c r="A2532" t="s">
        <v>4055</v>
      </c>
      <c r="B2532" t="s">
        <v>3839</v>
      </c>
      <c r="C2532" t="s">
        <v>10</v>
      </c>
      <c r="D2532" t="s">
        <v>4056</v>
      </c>
    </row>
    <row r="2533" spans="1:4" hidden="1" outlineLevel="2" x14ac:dyDescent="0.3">
      <c r="A2533" t="s">
        <v>4057</v>
      </c>
      <c r="B2533" t="s">
        <v>3839</v>
      </c>
      <c r="C2533" t="s">
        <v>10</v>
      </c>
      <c r="D2533" t="s">
        <v>4058</v>
      </c>
    </row>
    <row r="2534" spans="1:4" hidden="1" outlineLevel="2" x14ac:dyDescent="0.3">
      <c r="A2534" t="s">
        <v>4059</v>
      </c>
      <c r="B2534" t="s">
        <v>3839</v>
      </c>
      <c r="C2534" t="s">
        <v>10</v>
      </c>
      <c r="D2534" t="s">
        <v>2310</v>
      </c>
    </row>
    <row r="2535" spans="1:4" hidden="1" outlineLevel="2" x14ac:dyDescent="0.3">
      <c r="A2535" t="s">
        <v>4060</v>
      </c>
      <c r="B2535" t="s">
        <v>3839</v>
      </c>
      <c r="C2535" t="s">
        <v>10</v>
      </c>
      <c r="D2535" t="s">
        <v>2312</v>
      </c>
    </row>
    <row r="2536" spans="1:4" hidden="1" outlineLevel="2" x14ac:dyDescent="0.3">
      <c r="A2536" t="s">
        <v>4061</v>
      </c>
      <c r="B2536" t="s">
        <v>3839</v>
      </c>
      <c r="C2536" t="s">
        <v>10</v>
      </c>
      <c r="D2536" t="s">
        <v>4062</v>
      </c>
    </row>
    <row r="2537" spans="1:4" hidden="1" outlineLevel="2" x14ac:dyDescent="0.3">
      <c r="A2537" t="s">
        <v>4063</v>
      </c>
      <c r="B2537" t="s">
        <v>3839</v>
      </c>
      <c r="C2537" t="s">
        <v>10</v>
      </c>
      <c r="D2537" t="s">
        <v>2316</v>
      </c>
    </row>
    <row r="2538" spans="1:4" hidden="1" outlineLevel="2" x14ac:dyDescent="0.3">
      <c r="A2538" t="s">
        <v>4064</v>
      </c>
      <c r="B2538" t="s">
        <v>3839</v>
      </c>
      <c r="C2538" t="s">
        <v>8</v>
      </c>
      <c r="D2538" t="s">
        <v>2318</v>
      </c>
    </row>
    <row r="2539" spans="1:4" hidden="1" outlineLevel="2" x14ac:dyDescent="0.3">
      <c r="A2539" t="s">
        <v>4065</v>
      </c>
      <c r="B2539" t="s">
        <v>3839</v>
      </c>
      <c r="C2539" t="s">
        <v>8</v>
      </c>
      <c r="D2539" t="s">
        <v>2320</v>
      </c>
    </row>
    <row r="2540" spans="1:4" hidden="1" outlineLevel="2" x14ac:dyDescent="0.3">
      <c r="A2540" t="s">
        <v>4066</v>
      </c>
      <c r="B2540" t="s">
        <v>3839</v>
      </c>
      <c r="C2540" t="s">
        <v>10</v>
      </c>
      <c r="D2540" t="s">
        <v>2420</v>
      </c>
    </row>
    <row r="2541" spans="1:4" hidden="1" outlineLevel="2" x14ac:dyDescent="0.3">
      <c r="A2541" t="s">
        <v>4067</v>
      </c>
      <c r="B2541" t="s">
        <v>3839</v>
      </c>
      <c r="C2541" t="s">
        <v>10</v>
      </c>
      <c r="D2541" t="s">
        <v>2422</v>
      </c>
    </row>
    <row r="2542" spans="1:4" hidden="1" outlineLevel="2" x14ac:dyDescent="0.3">
      <c r="A2542" t="s">
        <v>4068</v>
      </c>
      <c r="B2542" t="s">
        <v>3839</v>
      </c>
      <c r="C2542" t="s">
        <v>10</v>
      </c>
      <c r="D2542" t="s">
        <v>2424</v>
      </c>
    </row>
    <row r="2543" spans="1:4" hidden="1" outlineLevel="2" x14ac:dyDescent="0.3">
      <c r="A2543" t="s">
        <v>4069</v>
      </c>
      <c r="B2543" t="s">
        <v>3839</v>
      </c>
      <c r="C2543" t="s">
        <v>10</v>
      </c>
      <c r="D2543" t="s">
        <v>2426</v>
      </c>
    </row>
    <row r="2544" spans="1:4" hidden="1" outlineLevel="2" x14ac:dyDescent="0.3">
      <c r="A2544" t="s">
        <v>4070</v>
      </c>
      <c r="B2544" t="s">
        <v>3839</v>
      </c>
      <c r="C2544" t="s">
        <v>10</v>
      </c>
      <c r="D2544" t="s">
        <v>2307</v>
      </c>
    </row>
    <row r="2545" spans="1:4" hidden="1" outlineLevel="2" x14ac:dyDescent="0.3">
      <c r="A2545" t="s">
        <v>4071</v>
      </c>
      <c r="B2545" t="s">
        <v>3839</v>
      </c>
      <c r="C2545" t="s">
        <v>10</v>
      </c>
      <c r="D2545" t="s">
        <v>2307</v>
      </c>
    </row>
    <row r="2546" spans="1:4" hidden="1" outlineLevel="2" x14ac:dyDescent="0.3">
      <c r="A2546" t="s">
        <v>4072</v>
      </c>
      <c r="B2546" t="s">
        <v>3839</v>
      </c>
      <c r="C2546" t="s">
        <v>10</v>
      </c>
      <c r="D2546" t="s">
        <v>2430</v>
      </c>
    </row>
    <row r="2547" spans="1:4" hidden="1" outlineLevel="2" x14ac:dyDescent="0.3">
      <c r="A2547" t="s">
        <v>4073</v>
      </c>
      <c r="B2547" t="s">
        <v>3839</v>
      </c>
      <c r="C2547" t="s">
        <v>10</v>
      </c>
      <c r="D2547" t="s">
        <v>4074</v>
      </c>
    </row>
    <row r="2548" spans="1:4" hidden="1" outlineLevel="2" x14ac:dyDescent="0.3">
      <c r="A2548" t="s">
        <v>4075</v>
      </c>
      <c r="B2548" t="s">
        <v>3839</v>
      </c>
      <c r="C2548" t="s">
        <v>10</v>
      </c>
      <c r="D2548" t="s">
        <v>2432</v>
      </c>
    </row>
    <row r="2549" spans="1:4" hidden="1" outlineLevel="2" x14ac:dyDescent="0.3">
      <c r="A2549" t="s">
        <v>4076</v>
      </c>
      <c r="B2549" t="s">
        <v>3839</v>
      </c>
      <c r="C2549" t="s">
        <v>10</v>
      </c>
      <c r="D2549" t="s">
        <v>4077</v>
      </c>
    </row>
    <row r="2550" spans="1:4" hidden="1" outlineLevel="2" x14ac:dyDescent="0.3">
      <c r="A2550" t="s">
        <v>4078</v>
      </c>
      <c r="B2550" t="s">
        <v>3839</v>
      </c>
      <c r="C2550" t="s">
        <v>10</v>
      </c>
      <c r="D2550" t="s">
        <v>4079</v>
      </c>
    </row>
    <row r="2551" spans="1:4" hidden="1" outlineLevel="2" x14ac:dyDescent="0.3">
      <c r="A2551" t="s">
        <v>4080</v>
      </c>
      <c r="B2551" t="s">
        <v>3839</v>
      </c>
      <c r="C2551" t="s">
        <v>8</v>
      </c>
      <c r="D2551" t="s">
        <v>2434</v>
      </c>
    </row>
    <row r="2552" spans="1:4" hidden="1" outlineLevel="2" x14ac:dyDescent="0.3">
      <c r="A2552" t="s">
        <v>4081</v>
      </c>
      <c r="B2552" t="s">
        <v>3839</v>
      </c>
      <c r="C2552" t="s">
        <v>8</v>
      </c>
      <c r="D2552" t="s">
        <v>2470</v>
      </c>
    </row>
    <row r="2553" spans="1:4" hidden="1" outlineLevel="2" x14ac:dyDescent="0.3">
      <c r="A2553" t="s">
        <v>4082</v>
      </c>
      <c r="B2553" t="s">
        <v>3839</v>
      </c>
      <c r="C2553" t="s">
        <v>10</v>
      </c>
      <c r="D2553" t="s">
        <v>2476</v>
      </c>
    </row>
    <row r="2554" spans="1:4" hidden="1" outlineLevel="2" x14ac:dyDescent="0.3">
      <c r="A2554" t="s">
        <v>4083</v>
      </c>
      <c r="B2554" t="s">
        <v>3839</v>
      </c>
      <c r="C2554" t="s">
        <v>10</v>
      </c>
      <c r="D2554" t="s">
        <v>2478</v>
      </c>
    </row>
    <row r="2555" spans="1:4" hidden="1" outlineLevel="2" x14ac:dyDescent="0.3">
      <c r="A2555" t="s">
        <v>4084</v>
      </c>
      <c r="B2555" t="s">
        <v>3839</v>
      </c>
      <c r="C2555" t="s">
        <v>10</v>
      </c>
      <c r="D2555" t="s">
        <v>2480</v>
      </c>
    </row>
    <row r="2556" spans="1:4" hidden="1" outlineLevel="2" x14ac:dyDescent="0.3">
      <c r="A2556" t="s">
        <v>4085</v>
      </c>
      <c r="B2556" t="s">
        <v>3839</v>
      </c>
      <c r="C2556" t="s">
        <v>10</v>
      </c>
      <c r="D2556" t="s">
        <v>2482</v>
      </c>
    </row>
    <row r="2557" spans="1:4" hidden="1" outlineLevel="2" x14ac:dyDescent="0.3">
      <c r="A2557" t="s">
        <v>4086</v>
      </c>
      <c r="B2557" t="s">
        <v>3844</v>
      </c>
      <c r="C2557" t="s">
        <v>10</v>
      </c>
      <c r="D2557" t="s">
        <v>2482</v>
      </c>
    </row>
    <row r="2558" spans="1:4" hidden="1" outlineLevel="2" x14ac:dyDescent="0.3">
      <c r="A2558" t="s">
        <v>4087</v>
      </c>
      <c r="B2558" t="s">
        <v>3844</v>
      </c>
      <c r="C2558" t="s">
        <v>10</v>
      </c>
      <c r="D2558" t="s">
        <v>4062</v>
      </c>
    </row>
    <row r="2559" spans="1:4" hidden="1" outlineLevel="2" x14ac:dyDescent="0.3">
      <c r="A2559" t="s">
        <v>4088</v>
      </c>
      <c r="B2559" t="s">
        <v>3844</v>
      </c>
      <c r="C2559" t="s">
        <v>10</v>
      </c>
      <c r="D2559" t="s">
        <v>2316</v>
      </c>
    </row>
    <row r="2560" spans="1:4" hidden="1" outlineLevel="2" x14ac:dyDescent="0.3">
      <c r="A2560" t="s">
        <v>4089</v>
      </c>
      <c r="B2560" t="s">
        <v>3844</v>
      </c>
      <c r="C2560" t="s">
        <v>10</v>
      </c>
      <c r="D2560" t="s">
        <v>4077</v>
      </c>
    </row>
    <row r="2561" spans="1:4" hidden="1" outlineLevel="2" x14ac:dyDescent="0.3">
      <c r="A2561" t="s">
        <v>4090</v>
      </c>
      <c r="B2561" t="s">
        <v>3844</v>
      </c>
      <c r="C2561" t="s">
        <v>8</v>
      </c>
      <c r="D2561" t="s">
        <v>3708</v>
      </c>
    </row>
    <row r="2562" spans="1:4" hidden="1" outlineLevel="2" x14ac:dyDescent="0.3">
      <c r="A2562" t="s">
        <v>4091</v>
      </c>
      <c r="B2562" t="s">
        <v>3839</v>
      </c>
      <c r="C2562" t="s">
        <v>10</v>
      </c>
      <c r="D2562" t="s">
        <v>2997</v>
      </c>
    </row>
    <row r="2563" spans="1:4" hidden="1" outlineLevel="2" x14ac:dyDescent="0.3">
      <c r="A2563" t="s">
        <v>4092</v>
      </c>
      <c r="B2563" t="s">
        <v>3839</v>
      </c>
      <c r="C2563" t="s">
        <v>10</v>
      </c>
      <c r="D2563" t="s">
        <v>2999</v>
      </c>
    </row>
    <row r="2564" spans="1:4" hidden="1" outlineLevel="2" x14ac:dyDescent="0.3">
      <c r="A2564" t="s">
        <v>4093</v>
      </c>
      <c r="B2564" t="s">
        <v>3839</v>
      </c>
      <c r="C2564" t="s">
        <v>10</v>
      </c>
      <c r="D2564" t="s">
        <v>2999</v>
      </c>
    </row>
    <row r="2565" spans="1:4" hidden="1" outlineLevel="2" x14ac:dyDescent="0.3">
      <c r="A2565" t="s">
        <v>4094</v>
      </c>
      <c r="B2565" t="s">
        <v>3839</v>
      </c>
      <c r="C2565" t="s">
        <v>10</v>
      </c>
      <c r="D2565" t="s">
        <v>3004</v>
      </c>
    </row>
    <row r="2566" spans="1:4" hidden="1" outlineLevel="2" x14ac:dyDescent="0.3">
      <c r="A2566" t="s">
        <v>4095</v>
      </c>
      <c r="B2566" t="s">
        <v>3839</v>
      </c>
      <c r="C2566" t="s">
        <v>10</v>
      </c>
      <c r="D2566" t="s">
        <v>3006</v>
      </c>
    </row>
    <row r="2567" spans="1:4" hidden="1" outlineLevel="2" x14ac:dyDescent="0.3">
      <c r="A2567" t="s">
        <v>4096</v>
      </c>
      <c r="B2567" t="s">
        <v>3839</v>
      </c>
      <c r="C2567" t="s">
        <v>10</v>
      </c>
      <c r="D2567" t="s">
        <v>3008</v>
      </c>
    </row>
    <row r="2568" spans="1:4" hidden="1" outlineLevel="2" x14ac:dyDescent="0.3">
      <c r="A2568" t="s">
        <v>4097</v>
      </c>
      <c r="B2568" t="s">
        <v>3839</v>
      </c>
      <c r="C2568" t="s">
        <v>10</v>
      </c>
      <c r="D2568" t="s">
        <v>3010</v>
      </c>
    </row>
    <row r="2569" spans="1:4" hidden="1" outlineLevel="2" x14ac:dyDescent="0.3">
      <c r="A2569" t="s">
        <v>4098</v>
      </c>
      <c r="B2569" t="s">
        <v>3839</v>
      </c>
      <c r="C2569" t="s">
        <v>10</v>
      </c>
      <c r="D2569" t="s">
        <v>3012</v>
      </c>
    </row>
    <row r="2570" spans="1:4" hidden="1" outlineLevel="2" x14ac:dyDescent="0.3">
      <c r="A2570" t="s">
        <v>4099</v>
      </c>
      <c r="B2570" t="s">
        <v>3839</v>
      </c>
      <c r="C2570" t="s">
        <v>10</v>
      </c>
      <c r="D2570" t="s">
        <v>3014</v>
      </c>
    </row>
    <row r="2571" spans="1:4" hidden="1" outlineLevel="2" x14ac:dyDescent="0.3">
      <c r="A2571" t="s">
        <v>4100</v>
      </c>
      <c r="B2571" t="s">
        <v>3839</v>
      </c>
      <c r="C2571" t="s">
        <v>8</v>
      </c>
      <c r="D2571" t="s">
        <v>3016</v>
      </c>
    </row>
    <row r="2572" spans="1:4" hidden="1" outlineLevel="2" x14ac:dyDescent="0.3">
      <c r="A2572" t="s">
        <v>4101</v>
      </c>
      <c r="B2572" t="s">
        <v>3839</v>
      </c>
      <c r="C2572" t="s">
        <v>10</v>
      </c>
      <c r="D2572" t="s">
        <v>3018</v>
      </c>
    </row>
    <row r="2573" spans="1:4" hidden="1" outlineLevel="2" x14ac:dyDescent="0.3">
      <c r="A2573" t="s">
        <v>4102</v>
      </c>
      <c r="B2573" t="s">
        <v>3839</v>
      </c>
      <c r="C2573" t="s">
        <v>10</v>
      </c>
      <c r="D2573" t="s">
        <v>3020</v>
      </c>
    </row>
    <row r="2574" spans="1:4" hidden="1" outlineLevel="2" x14ac:dyDescent="0.3">
      <c r="A2574" t="s">
        <v>4103</v>
      </c>
      <c r="B2574" t="s">
        <v>3839</v>
      </c>
      <c r="C2574" t="s">
        <v>8</v>
      </c>
      <c r="D2574" t="s">
        <v>3022</v>
      </c>
    </row>
    <row r="2575" spans="1:4" hidden="1" outlineLevel="2" x14ac:dyDescent="0.3">
      <c r="A2575" t="s">
        <v>4104</v>
      </c>
      <c r="B2575" t="s">
        <v>3839</v>
      </c>
      <c r="C2575" t="s">
        <v>8</v>
      </c>
      <c r="D2575" t="s">
        <v>3024</v>
      </c>
    </row>
    <row r="2576" spans="1:4" hidden="1" outlineLevel="2" x14ac:dyDescent="0.3">
      <c r="A2576" t="s">
        <v>4105</v>
      </c>
      <c r="B2576" t="s">
        <v>3839</v>
      </c>
      <c r="C2576" t="s">
        <v>10</v>
      </c>
      <c r="D2576" t="s">
        <v>3026</v>
      </c>
    </row>
    <row r="2577" spans="1:4" hidden="1" outlineLevel="2" x14ac:dyDescent="0.3">
      <c r="A2577" t="s">
        <v>4106</v>
      </c>
      <c r="B2577" t="s">
        <v>3839</v>
      </c>
      <c r="C2577" t="s">
        <v>10</v>
      </c>
      <c r="D2577" t="s">
        <v>4107</v>
      </c>
    </row>
    <row r="2578" spans="1:4" hidden="1" outlineLevel="2" x14ac:dyDescent="0.3">
      <c r="A2578" t="s">
        <v>4108</v>
      </c>
      <c r="B2578" t="s">
        <v>3839</v>
      </c>
      <c r="C2578" t="s">
        <v>10</v>
      </c>
      <c r="D2578" t="s">
        <v>3030</v>
      </c>
    </row>
    <row r="2579" spans="1:4" hidden="1" outlineLevel="2" x14ac:dyDescent="0.3">
      <c r="A2579" t="s">
        <v>4109</v>
      </c>
      <c r="B2579" t="s">
        <v>3839</v>
      </c>
      <c r="C2579" t="s">
        <v>10</v>
      </c>
      <c r="D2579" t="s">
        <v>3032</v>
      </c>
    </row>
    <row r="2580" spans="1:4" hidden="1" outlineLevel="2" x14ac:dyDescent="0.3">
      <c r="A2580" t="s">
        <v>4110</v>
      </c>
      <c r="B2580" t="s">
        <v>3839</v>
      </c>
      <c r="C2580" t="s">
        <v>10</v>
      </c>
      <c r="D2580" t="s">
        <v>3034</v>
      </c>
    </row>
    <row r="2581" spans="1:4" hidden="1" outlineLevel="2" x14ac:dyDescent="0.3">
      <c r="A2581" t="s">
        <v>4111</v>
      </c>
      <c r="B2581" t="s">
        <v>3839</v>
      </c>
      <c r="C2581" t="s">
        <v>8</v>
      </c>
      <c r="D2581" t="s">
        <v>3036</v>
      </c>
    </row>
    <row r="2582" spans="1:4" hidden="1" outlineLevel="2" x14ac:dyDescent="0.3">
      <c r="A2582" t="s">
        <v>4112</v>
      </c>
      <c r="B2582" t="s">
        <v>3839</v>
      </c>
      <c r="C2582" t="s">
        <v>10</v>
      </c>
      <c r="D2582" t="s">
        <v>3038</v>
      </c>
    </row>
    <row r="2583" spans="1:4" hidden="1" outlineLevel="2" x14ac:dyDescent="0.3">
      <c r="A2583" t="s">
        <v>4113</v>
      </c>
      <c r="B2583" t="s">
        <v>3839</v>
      </c>
      <c r="C2583" t="s">
        <v>8</v>
      </c>
      <c r="D2583" t="s">
        <v>3040</v>
      </c>
    </row>
    <row r="2584" spans="1:4" hidden="1" outlineLevel="2" x14ac:dyDescent="0.3">
      <c r="A2584" t="s">
        <v>4114</v>
      </c>
      <c r="B2584" t="s">
        <v>3839</v>
      </c>
      <c r="C2584" t="s">
        <v>8</v>
      </c>
      <c r="D2584" t="s">
        <v>3042</v>
      </c>
    </row>
    <row r="2585" spans="1:4" hidden="1" outlineLevel="2" x14ac:dyDescent="0.3">
      <c r="A2585" t="s">
        <v>4115</v>
      </c>
      <c r="B2585" t="s">
        <v>3839</v>
      </c>
      <c r="C2585" t="s">
        <v>10</v>
      </c>
      <c r="D2585" t="s">
        <v>3044</v>
      </c>
    </row>
    <row r="2586" spans="1:4" hidden="1" outlineLevel="2" x14ac:dyDescent="0.3">
      <c r="A2586" t="s">
        <v>4116</v>
      </c>
      <c r="B2586" t="s">
        <v>3839</v>
      </c>
      <c r="C2586" t="s">
        <v>10</v>
      </c>
      <c r="D2586" t="s">
        <v>3046</v>
      </c>
    </row>
    <row r="2587" spans="1:4" hidden="1" outlineLevel="2" x14ac:dyDescent="0.3">
      <c r="A2587" t="s">
        <v>4117</v>
      </c>
      <c r="B2587" t="s">
        <v>3839</v>
      </c>
      <c r="C2587" t="s">
        <v>10</v>
      </c>
      <c r="D2587" t="s">
        <v>3048</v>
      </c>
    </row>
    <row r="2588" spans="1:4" hidden="1" outlineLevel="2" x14ac:dyDescent="0.3">
      <c r="A2588" t="s">
        <v>4118</v>
      </c>
      <c r="B2588" t="s">
        <v>3839</v>
      </c>
      <c r="C2588" t="s">
        <v>10</v>
      </c>
      <c r="D2588" t="s">
        <v>3050</v>
      </c>
    </row>
    <row r="2589" spans="1:4" hidden="1" outlineLevel="2" x14ac:dyDescent="0.3">
      <c r="A2589" t="s">
        <v>4119</v>
      </c>
      <c r="B2589" t="s">
        <v>3839</v>
      </c>
      <c r="C2589" t="s">
        <v>10</v>
      </c>
      <c r="D2589" t="s">
        <v>3052</v>
      </c>
    </row>
    <row r="2590" spans="1:4" hidden="1" outlineLevel="2" x14ac:dyDescent="0.3">
      <c r="A2590" t="s">
        <v>4120</v>
      </c>
      <c r="B2590" t="s">
        <v>3839</v>
      </c>
      <c r="C2590" t="s">
        <v>10</v>
      </c>
      <c r="D2590" t="s">
        <v>3054</v>
      </c>
    </row>
    <row r="2591" spans="1:4" hidden="1" outlineLevel="2" x14ac:dyDescent="0.3">
      <c r="A2591" t="s">
        <v>4121</v>
      </c>
      <c r="B2591" t="s">
        <v>3839</v>
      </c>
      <c r="C2591" t="s">
        <v>10</v>
      </c>
      <c r="D2591" t="s">
        <v>3056</v>
      </c>
    </row>
    <row r="2592" spans="1:4" hidden="1" outlineLevel="2" x14ac:dyDescent="0.3">
      <c r="A2592" t="s">
        <v>4122</v>
      </c>
      <c r="B2592" t="s">
        <v>3839</v>
      </c>
      <c r="C2592" t="s">
        <v>10</v>
      </c>
      <c r="D2592" t="s">
        <v>4123</v>
      </c>
    </row>
    <row r="2593" spans="1:4" hidden="1" outlineLevel="2" x14ac:dyDescent="0.3">
      <c r="A2593" t="s">
        <v>4124</v>
      </c>
      <c r="B2593" t="s">
        <v>3839</v>
      </c>
      <c r="C2593" t="s">
        <v>10</v>
      </c>
      <c r="D2593" t="s">
        <v>3060</v>
      </c>
    </row>
    <row r="2594" spans="1:4" hidden="1" outlineLevel="2" x14ac:dyDescent="0.3">
      <c r="A2594" t="s">
        <v>4125</v>
      </c>
      <c r="B2594" t="s">
        <v>3839</v>
      </c>
      <c r="C2594" t="s">
        <v>8</v>
      </c>
      <c r="D2594" t="s">
        <v>4126</v>
      </c>
    </row>
    <row r="2595" spans="1:4" hidden="1" outlineLevel="2" x14ac:dyDescent="0.3">
      <c r="A2595" t="s">
        <v>4127</v>
      </c>
      <c r="B2595" t="s">
        <v>3839</v>
      </c>
      <c r="C2595" t="s">
        <v>8</v>
      </c>
      <c r="D2595" t="s">
        <v>3064</v>
      </c>
    </row>
    <row r="2596" spans="1:4" hidden="1" outlineLevel="2" x14ac:dyDescent="0.3">
      <c r="A2596" t="s">
        <v>4128</v>
      </c>
      <c r="B2596" t="s">
        <v>3839</v>
      </c>
      <c r="C2596" t="s">
        <v>10</v>
      </c>
      <c r="D2596" t="s">
        <v>3066</v>
      </c>
    </row>
    <row r="2597" spans="1:4" hidden="1" outlineLevel="2" x14ac:dyDescent="0.3">
      <c r="A2597" t="s">
        <v>4129</v>
      </c>
      <c r="B2597" t="s">
        <v>3839</v>
      </c>
      <c r="C2597" t="s">
        <v>10</v>
      </c>
      <c r="D2597" t="s">
        <v>3068</v>
      </c>
    </row>
    <row r="2598" spans="1:4" hidden="1" outlineLevel="2" x14ac:dyDescent="0.3">
      <c r="A2598" t="s">
        <v>4130</v>
      </c>
      <c r="B2598" t="s">
        <v>3839</v>
      </c>
      <c r="C2598" t="s">
        <v>10</v>
      </c>
      <c r="D2598" t="s">
        <v>3070</v>
      </c>
    </row>
    <row r="2599" spans="1:4" hidden="1" outlineLevel="2" x14ac:dyDescent="0.3">
      <c r="A2599" t="s">
        <v>4131</v>
      </c>
      <c r="B2599" t="s">
        <v>3839</v>
      </c>
      <c r="C2599" t="s">
        <v>10</v>
      </c>
      <c r="D2599" t="s">
        <v>3072</v>
      </c>
    </row>
    <row r="2600" spans="1:4" hidden="1" outlineLevel="2" x14ac:dyDescent="0.3">
      <c r="A2600" t="s">
        <v>4132</v>
      </c>
      <c r="B2600" t="s">
        <v>3839</v>
      </c>
      <c r="C2600" t="s">
        <v>10</v>
      </c>
      <c r="D2600" t="s">
        <v>3072</v>
      </c>
    </row>
    <row r="2601" spans="1:4" hidden="1" outlineLevel="2" x14ac:dyDescent="0.3">
      <c r="A2601" t="s">
        <v>4133</v>
      </c>
      <c r="B2601" t="s">
        <v>3839</v>
      </c>
      <c r="C2601" t="s">
        <v>10</v>
      </c>
      <c r="D2601" t="s">
        <v>3079</v>
      </c>
    </row>
    <row r="2602" spans="1:4" hidden="1" outlineLevel="2" x14ac:dyDescent="0.3">
      <c r="A2602" t="s">
        <v>4134</v>
      </c>
      <c r="B2602" t="s">
        <v>3839</v>
      </c>
      <c r="C2602" t="s">
        <v>10</v>
      </c>
      <c r="D2602" t="s">
        <v>3079</v>
      </c>
    </row>
    <row r="2603" spans="1:4" hidden="1" outlineLevel="2" x14ac:dyDescent="0.3">
      <c r="A2603" t="s">
        <v>4135</v>
      </c>
      <c r="B2603" t="s">
        <v>3839</v>
      </c>
      <c r="C2603" t="s">
        <v>10</v>
      </c>
      <c r="D2603" t="s">
        <v>3079</v>
      </c>
    </row>
    <row r="2604" spans="1:4" hidden="1" outlineLevel="2" x14ac:dyDescent="0.3">
      <c r="A2604" t="s">
        <v>4136</v>
      </c>
      <c r="B2604" t="s">
        <v>3839</v>
      </c>
      <c r="C2604" t="s">
        <v>10</v>
      </c>
      <c r="D2604" t="s">
        <v>3079</v>
      </c>
    </row>
    <row r="2605" spans="1:4" hidden="1" outlineLevel="2" x14ac:dyDescent="0.3">
      <c r="A2605" t="s">
        <v>4137</v>
      </c>
      <c r="B2605" t="s">
        <v>3839</v>
      </c>
      <c r="C2605" t="s">
        <v>10</v>
      </c>
      <c r="D2605" t="s">
        <v>3079</v>
      </c>
    </row>
    <row r="2606" spans="1:4" hidden="1" outlineLevel="2" x14ac:dyDescent="0.3">
      <c r="A2606" t="s">
        <v>4138</v>
      </c>
      <c r="B2606" t="s">
        <v>3839</v>
      </c>
      <c r="C2606" t="s">
        <v>10</v>
      </c>
      <c r="D2606" t="s">
        <v>3079</v>
      </c>
    </row>
    <row r="2607" spans="1:4" hidden="1" outlineLevel="2" x14ac:dyDescent="0.3">
      <c r="A2607" t="s">
        <v>4139</v>
      </c>
      <c r="B2607" t="s">
        <v>3839</v>
      </c>
      <c r="C2607" t="s">
        <v>10</v>
      </c>
      <c r="D2607" t="s">
        <v>4140</v>
      </c>
    </row>
    <row r="2608" spans="1:4" hidden="1" outlineLevel="2" x14ac:dyDescent="0.3">
      <c r="A2608" t="s">
        <v>4141</v>
      </c>
      <c r="B2608" t="s">
        <v>3839</v>
      </c>
      <c r="C2608" t="s">
        <v>10</v>
      </c>
      <c r="D2608" t="s">
        <v>4142</v>
      </c>
    </row>
    <row r="2609" spans="1:4" hidden="1" outlineLevel="2" x14ac:dyDescent="0.3">
      <c r="A2609" t="s">
        <v>4143</v>
      </c>
      <c r="B2609" t="s">
        <v>3839</v>
      </c>
      <c r="C2609" t="s">
        <v>10</v>
      </c>
      <c r="D2609" t="s">
        <v>3034</v>
      </c>
    </row>
    <row r="2610" spans="1:4" hidden="1" outlineLevel="2" x14ac:dyDescent="0.3">
      <c r="A2610" t="s">
        <v>4144</v>
      </c>
      <c r="B2610" t="s">
        <v>3839</v>
      </c>
      <c r="C2610" t="s">
        <v>10</v>
      </c>
      <c r="D2610" t="s">
        <v>4145</v>
      </c>
    </row>
    <row r="2611" spans="1:4" hidden="1" outlineLevel="2" x14ac:dyDescent="0.3">
      <c r="A2611" t="s">
        <v>4146</v>
      </c>
      <c r="B2611" t="s">
        <v>3839</v>
      </c>
      <c r="C2611" t="s">
        <v>10</v>
      </c>
      <c r="D2611" t="s">
        <v>4147</v>
      </c>
    </row>
    <row r="2612" spans="1:4" hidden="1" outlineLevel="2" x14ac:dyDescent="0.3">
      <c r="A2612" t="s">
        <v>4148</v>
      </c>
      <c r="B2612" t="s">
        <v>3839</v>
      </c>
      <c r="C2612" t="s">
        <v>10</v>
      </c>
      <c r="D2612" t="s">
        <v>4149</v>
      </c>
    </row>
    <row r="2613" spans="1:4" hidden="1" outlineLevel="2" x14ac:dyDescent="0.3">
      <c r="A2613" t="s">
        <v>4150</v>
      </c>
      <c r="B2613" t="s">
        <v>3839</v>
      </c>
      <c r="C2613" t="s">
        <v>10</v>
      </c>
      <c r="D2613" t="s">
        <v>4151</v>
      </c>
    </row>
    <row r="2614" spans="1:4" hidden="1" outlineLevel="2" x14ac:dyDescent="0.3">
      <c r="A2614" t="s">
        <v>4152</v>
      </c>
      <c r="B2614" t="s">
        <v>3839</v>
      </c>
      <c r="C2614" t="s">
        <v>10</v>
      </c>
      <c r="D2614" t="s">
        <v>3002</v>
      </c>
    </row>
    <row r="2615" spans="1:4" hidden="1" outlineLevel="2" x14ac:dyDescent="0.3">
      <c r="A2615" t="s">
        <v>4153</v>
      </c>
      <c r="B2615" t="s">
        <v>3839</v>
      </c>
      <c r="C2615" t="s">
        <v>10</v>
      </c>
      <c r="D2615" t="s">
        <v>2436</v>
      </c>
    </row>
    <row r="2616" spans="1:4" hidden="1" outlineLevel="2" x14ac:dyDescent="0.3">
      <c r="A2616" t="s">
        <v>4154</v>
      </c>
      <c r="B2616" t="s">
        <v>3839</v>
      </c>
      <c r="C2616" t="s">
        <v>10</v>
      </c>
      <c r="D2616" t="s">
        <v>2438</v>
      </c>
    </row>
    <row r="2617" spans="1:4" hidden="1" outlineLevel="2" x14ac:dyDescent="0.3">
      <c r="A2617" t="s">
        <v>4155</v>
      </c>
      <c r="B2617" t="s">
        <v>3839</v>
      </c>
      <c r="C2617" t="s">
        <v>10</v>
      </c>
      <c r="D2617" t="s">
        <v>2440</v>
      </c>
    </row>
    <row r="2618" spans="1:4" hidden="1" outlineLevel="2" x14ac:dyDescent="0.3">
      <c r="A2618" t="s">
        <v>4156</v>
      </c>
      <c r="B2618" t="s">
        <v>3839</v>
      </c>
      <c r="C2618" t="s">
        <v>10</v>
      </c>
      <c r="D2618" t="s">
        <v>2442</v>
      </c>
    </row>
    <row r="2619" spans="1:4" hidden="1" outlineLevel="2" x14ac:dyDescent="0.3">
      <c r="A2619" t="s">
        <v>4157</v>
      </c>
      <c r="B2619" t="s">
        <v>3839</v>
      </c>
      <c r="C2619" t="s">
        <v>10</v>
      </c>
      <c r="D2619" t="s">
        <v>2444</v>
      </c>
    </row>
    <row r="2620" spans="1:4" hidden="1" outlineLevel="2" x14ac:dyDescent="0.3">
      <c r="A2620" t="s">
        <v>4158</v>
      </c>
      <c r="B2620" t="s">
        <v>3839</v>
      </c>
      <c r="C2620" t="s">
        <v>10</v>
      </c>
      <c r="D2620" t="s">
        <v>2446</v>
      </c>
    </row>
    <row r="2621" spans="1:4" hidden="1" outlineLevel="2" x14ac:dyDescent="0.3">
      <c r="A2621" t="s">
        <v>4159</v>
      </c>
      <c r="B2621" t="s">
        <v>3839</v>
      </c>
      <c r="C2621" t="s">
        <v>10</v>
      </c>
      <c r="D2621" t="s">
        <v>2448</v>
      </c>
    </row>
    <row r="2622" spans="1:4" hidden="1" outlineLevel="2" x14ac:dyDescent="0.3">
      <c r="A2622" t="s">
        <v>4160</v>
      </c>
      <c r="B2622" t="s">
        <v>3839</v>
      </c>
      <c r="C2622" t="s">
        <v>10</v>
      </c>
      <c r="D2622" t="s">
        <v>2450</v>
      </c>
    </row>
    <row r="2623" spans="1:4" hidden="1" outlineLevel="2" x14ac:dyDescent="0.3">
      <c r="A2623" t="s">
        <v>4161</v>
      </c>
      <c r="B2623" t="s">
        <v>3839</v>
      </c>
      <c r="C2623" t="s">
        <v>10</v>
      </c>
      <c r="D2623" t="s">
        <v>2452</v>
      </c>
    </row>
    <row r="2624" spans="1:4" hidden="1" outlineLevel="2" x14ac:dyDescent="0.3">
      <c r="A2624" t="s">
        <v>4162</v>
      </c>
      <c r="B2624" t="s">
        <v>3839</v>
      </c>
      <c r="C2624" t="s">
        <v>10</v>
      </c>
      <c r="D2624" t="s">
        <v>2454</v>
      </c>
    </row>
    <row r="2625" spans="1:4" hidden="1" outlineLevel="2" x14ac:dyDescent="0.3">
      <c r="A2625" t="s">
        <v>4163</v>
      </c>
      <c r="B2625" t="s">
        <v>3839</v>
      </c>
      <c r="C2625" t="s">
        <v>10</v>
      </c>
      <c r="D2625" t="s">
        <v>2456</v>
      </c>
    </row>
    <row r="2626" spans="1:4" hidden="1" outlineLevel="2" x14ac:dyDescent="0.3">
      <c r="A2626" t="s">
        <v>4164</v>
      </c>
      <c r="B2626" t="s">
        <v>3839</v>
      </c>
      <c r="C2626" t="s">
        <v>10</v>
      </c>
      <c r="D2626" t="s">
        <v>4165</v>
      </c>
    </row>
    <row r="2627" spans="1:4" hidden="1" outlineLevel="2" x14ac:dyDescent="0.3">
      <c r="A2627" t="s">
        <v>4166</v>
      </c>
      <c r="B2627" t="s">
        <v>3839</v>
      </c>
      <c r="C2627" t="s">
        <v>10</v>
      </c>
      <c r="D2627" t="s">
        <v>2460</v>
      </c>
    </row>
    <row r="2628" spans="1:4" hidden="1" outlineLevel="2" x14ac:dyDescent="0.3">
      <c r="A2628" t="s">
        <v>4167</v>
      </c>
      <c r="B2628" t="s">
        <v>3839</v>
      </c>
      <c r="C2628" t="s">
        <v>8</v>
      </c>
      <c r="D2628" t="s">
        <v>2458</v>
      </c>
    </row>
    <row r="2629" spans="1:4" hidden="1" outlineLevel="2" x14ac:dyDescent="0.3">
      <c r="A2629" t="s">
        <v>4168</v>
      </c>
      <c r="B2629" t="s">
        <v>3839</v>
      </c>
      <c r="C2629" t="s">
        <v>10</v>
      </c>
      <c r="D2629" t="s">
        <v>2462</v>
      </c>
    </row>
    <row r="2630" spans="1:4" hidden="1" outlineLevel="2" x14ac:dyDescent="0.3">
      <c r="A2630" t="s">
        <v>4169</v>
      </c>
      <c r="B2630" t="s">
        <v>3839</v>
      </c>
      <c r="C2630" t="s">
        <v>10</v>
      </c>
      <c r="D2630" t="s">
        <v>4170</v>
      </c>
    </row>
    <row r="2631" spans="1:4" hidden="1" outlineLevel="2" x14ac:dyDescent="0.3">
      <c r="A2631" t="s">
        <v>4171</v>
      </c>
      <c r="B2631" t="s">
        <v>3839</v>
      </c>
      <c r="C2631" t="s">
        <v>8</v>
      </c>
      <c r="D2631" t="s">
        <v>2468</v>
      </c>
    </row>
    <row r="2632" spans="1:4" hidden="1" outlineLevel="2" x14ac:dyDescent="0.3">
      <c r="A2632" t="s">
        <v>4172</v>
      </c>
      <c r="B2632" t="s">
        <v>3839</v>
      </c>
      <c r="C2632" t="s">
        <v>10</v>
      </c>
      <c r="D2632" t="s">
        <v>4173</v>
      </c>
    </row>
    <row r="2633" spans="1:4" hidden="1" outlineLevel="2" x14ac:dyDescent="0.3">
      <c r="A2633" t="s">
        <v>4174</v>
      </c>
      <c r="B2633" t="s">
        <v>3839</v>
      </c>
      <c r="C2633" t="s">
        <v>10</v>
      </c>
      <c r="D2633" t="s">
        <v>4175</v>
      </c>
    </row>
    <row r="2634" spans="1:4" hidden="1" outlineLevel="2" x14ac:dyDescent="0.3">
      <c r="A2634" t="s">
        <v>4176</v>
      </c>
      <c r="B2634" t="s">
        <v>3839</v>
      </c>
      <c r="C2634" t="s">
        <v>8</v>
      </c>
      <c r="D2634" t="s">
        <v>4177</v>
      </c>
    </row>
    <row r="2635" spans="1:4" hidden="1" outlineLevel="2" x14ac:dyDescent="0.3">
      <c r="A2635" t="s">
        <v>4178</v>
      </c>
      <c r="B2635" t="s">
        <v>3839</v>
      </c>
      <c r="C2635" t="s">
        <v>10</v>
      </c>
      <c r="D2635" t="s">
        <v>4179</v>
      </c>
    </row>
    <row r="2636" spans="1:4" hidden="1" outlineLevel="2" x14ac:dyDescent="0.3">
      <c r="A2636" t="s">
        <v>4180</v>
      </c>
      <c r="B2636" t="s">
        <v>3839</v>
      </c>
      <c r="C2636" t="s">
        <v>10</v>
      </c>
      <c r="D2636" t="s">
        <v>4181</v>
      </c>
    </row>
    <row r="2637" spans="1:4" hidden="1" outlineLevel="2" x14ac:dyDescent="0.3">
      <c r="A2637" t="s">
        <v>4182</v>
      </c>
      <c r="B2637" t="s">
        <v>3839</v>
      </c>
      <c r="C2637" t="s">
        <v>10</v>
      </c>
      <c r="D2637" t="s">
        <v>2474</v>
      </c>
    </row>
    <row r="2638" spans="1:4" hidden="1" outlineLevel="2" x14ac:dyDescent="0.3">
      <c r="A2638" t="s">
        <v>4183</v>
      </c>
      <c r="B2638" t="s">
        <v>3839</v>
      </c>
      <c r="C2638" t="s">
        <v>10</v>
      </c>
      <c r="D2638" t="s">
        <v>2484</v>
      </c>
    </row>
    <row r="2639" spans="1:4" hidden="1" outlineLevel="2" x14ac:dyDescent="0.3">
      <c r="A2639" t="s">
        <v>4184</v>
      </c>
      <c r="B2639" t="s">
        <v>3839</v>
      </c>
      <c r="C2639" t="s">
        <v>10</v>
      </c>
      <c r="D2639" t="s">
        <v>2486</v>
      </c>
    </row>
    <row r="2640" spans="1:4" hidden="1" outlineLevel="2" x14ac:dyDescent="0.3">
      <c r="A2640" t="s">
        <v>4185</v>
      </c>
      <c r="B2640" t="s">
        <v>3839</v>
      </c>
      <c r="C2640" t="s">
        <v>10</v>
      </c>
      <c r="D2640" t="s">
        <v>2488</v>
      </c>
    </row>
    <row r="2641" spans="1:4" hidden="1" outlineLevel="2" x14ac:dyDescent="0.3">
      <c r="A2641" t="s">
        <v>4186</v>
      </c>
      <c r="B2641" t="s">
        <v>3839</v>
      </c>
      <c r="C2641" t="s">
        <v>10</v>
      </c>
      <c r="D2641" t="s">
        <v>2490</v>
      </c>
    </row>
    <row r="2642" spans="1:4" hidden="1" outlineLevel="2" x14ac:dyDescent="0.3">
      <c r="A2642" t="s">
        <v>4187</v>
      </c>
      <c r="B2642" t="s">
        <v>3839</v>
      </c>
      <c r="C2642" t="s">
        <v>10</v>
      </c>
      <c r="D2642" t="s">
        <v>2492</v>
      </c>
    </row>
    <row r="2643" spans="1:4" hidden="1" outlineLevel="2" x14ac:dyDescent="0.3">
      <c r="A2643" t="s">
        <v>4188</v>
      </c>
      <c r="B2643" t="s">
        <v>3839</v>
      </c>
      <c r="C2643" t="s">
        <v>10</v>
      </c>
      <c r="D2643" t="s">
        <v>2494</v>
      </c>
    </row>
    <row r="2644" spans="1:4" hidden="1" outlineLevel="2" x14ac:dyDescent="0.3">
      <c r="A2644" t="s">
        <v>4189</v>
      </c>
      <c r="B2644" t="s">
        <v>3839</v>
      </c>
      <c r="C2644" t="s">
        <v>10</v>
      </c>
      <c r="D2644" t="s">
        <v>2496</v>
      </c>
    </row>
    <row r="2645" spans="1:4" hidden="1" outlineLevel="2" x14ac:dyDescent="0.3">
      <c r="A2645" t="s">
        <v>4190</v>
      </c>
      <c r="B2645" t="s">
        <v>3839</v>
      </c>
      <c r="C2645" t="s">
        <v>10</v>
      </c>
      <c r="D2645" t="s">
        <v>2498</v>
      </c>
    </row>
    <row r="2646" spans="1:4" hidden="1" outlineLevel="2" x14ac:dyDescent="0.3">
      <c r="A2646" t="s">
        <v>4191</v>
      </c>
      <c r="B2646" t="s">
        <v>3839</v>
      </c>
      <c r="C2646" t="s">
        <v>10</v>
      </c>
      <c r="D2646" t="s">
        <v>2500</v>
      </c>
    </row>
    <row r="2647" spans="1:4" hidden="1" outlineLevel="2" x14ac:dyDescent="0.3">
      <c r="A2647" t="s">
        <v>4192</v>
      </c>
      <c r="B2647" t="s">
        <v>3839</v>
      </c>
      <c r="C2647" t="s">
        <v>10</v>
      </c>
      <c r="D2647" t="s">
        <v>2502</v>
      </c>
    </row>
    <row r="2648" spans="1:4" hidden="1" outlineLevel="2" x14ac:dyDescent="0.3">
      <c r="A2648" t="s">
        <v>4193</v>
      </c>
      <c r="B2648" t="s">
        <v>3839</v>
      </c>
      <c r="C2648" t="s">
        <v>10</v>
      </c>
      <c r="D2648" t="s">
        <v>2504</v>
      </c>
    </row>
    <row r="2649" spans="1:4" hidden="1" outlineLevel="2" x14ac:dyDescent="0.3">
      <c r="A2649" t="s">
        <v>4194</v>
      </c>
      <c r="B2649" t="s">
        <v>3839</v>
      </c>
      <c r="C2649" t="s">
        <v>10</v>
      </c>
      <c r="D2649" t="s">
        <v>2506</v>
      </c>
    </row>
    <row r="2650" spans="1:4" hidden="1" outlineLevel="2" x14ac:dyDescent="0.3">
      <c r="A2650" t="s">
        <v>4195</v>
      </c>
      <c r="B2650" t="s">
        <v>3839</v>
      </c>
      <c r="C2650" t="s">
        <v>10</v>
      </c>
      <c r="D2650" t="s">
        <v>2508</v>
      </c>
    </row>
    <row r="2651" spans="1:4" hidden="1" outlineLevel="2" x14ac:dyDescent="0.3">
      <c r="A2651" t="s">
        <v>4196</v>
      </c>
      <c r="B2651" t="s">
        <v>3839</v>
      </c>
      <c r="C2651" t="s">
        <v>10</v>
      </c>
      <c r="D2651" t="s">
        <v>2510</v>
      </c>
    </row>
    <row r="2652" spans="1:4" hidden="1" outlineLevel="2" x14ac:dyDescent="0.3">
      <c r="A2652" t="s">
        <v>4197</v>
      </c>
      <c r="B2652" t="s">
        <v>3839</v>
      </c>
      <c r="C2652" t="s">
        <v>10</v>
      </c>
      <c r="D2652" t="s">
        <v>2512</v>
      </c>
    </row>
    <row r="2653" spans="1:4" hidden="1" outlineLevel="2" x14ac:dyDescent="0.3">
      <c r="A2653" t="s">
        <v>4198</v>
      </c>
      <c r="B2653" t="s">
        <v>3839</v>
      </c>
      <c r="C2653" t="s">
        <v>10</v>
      </c>
      <c r="D2653" t="s">
        <v>2514</v>
      </c>
    </row>
    <row r="2654" spans="1:4" hidden="1" outlineLevel="2" x14ac:dyDescent="0.3">
      <c r="A2654" t="s">
        <v>4199</v>
      </c>
      <c r="B2654" t="s">
        <v>3839</v>
      </c>
      <c r="C2654" t="s">
        <v>10</v>
      </c>
      <c r="D2654" t="s">
        <v>2516</v>
      </c>
    </row>
    <row r="2655" spans="1:4" hidden="1" outlineLevel="2" x14ac:dyDescent="0.3">
      <c r="A2655" t="s">
        <v>4200</v>
      </c>
      <c r="B2655" t="s">
        <v>3839</v>
      </c>
      <c r="C2655" t="s">
        <v>10</v>
      </c>
      <c r="D2655" t="s">
        <v>2518</v>
      </c>
    </row>
    <row r="2656" spans="1:4" hidden="1" outlineLevel="2" x14ac:dyDescent="0.3">
      <c r="A2656" t="s">
        <v>4201</v>
      </c>
      <c r="B2656" t="s">
        <v>3839</v>
      </c>
      <c r="C2656" t="s">
        <v>10</v>
      </c>
      <c r="D2656" t="s">
        <v>2617</v>
      </c>
    </row>
    <row r="2657" spans="1:4" hidden="1" outlineLevel="2" x14ac:dyDescent="0.3">
      <c r="A2657" t="s">
        <v>4202</v>
      </c>
      <c r="B2657" t="s">
        <v>3839</v>
      </c>
      <c r="C2657" t="s">
        <v>10</v>
      </c>
      <c r="D2657" t="s">
        <v>2619</v>
      </c>
    </row>
    <row r="2658" spans="1:4" hidden="1" outlineLevel="2" x14ac:dyDescent="0.3">
      <c r="A2658" t="s">
        <v>4203</v>
      </c>
      <c r="B2658" t="s">
        <v>3844</v>
      </c>
      <c r="C2658" t="s">
        <v>10</v>
      </c>
      <c r="D2658" t="s">
        <v>2440</v>
      </c>
    </row>
    <row r="2659" spans="1:4" hidden="1" outlineLevel="2" x14ac:dyDescent="0.3">
      <c r="A2659" t="s">
        <v>4204</v>
      </c>
      <c r="B2659" t="s">
        <v>3844</v>
      </c>
      <c r="C2659" t="s">
        <v>10</v>
      </c>
      <c r="D2659" t="s">
        <v>2446</v>
      </c>
    </row>
    <row r="2660" spans="1:4" hidden="1" outlineLevel="2" x14ac:dyDescent="0.3">
      <c r="A2660" t="s">
        <v>4205</v>
      </c>
      <c r="B2660" t="s">
        <v>3844</v>
      </c>
      <c r="C2660" t="s">
        <v>10</v>
      </c>
      <c r="D2660" t="s">
        <v>2452</v>
      </c>
    </row>
    <row r="2661" spans="1:4" hidden="1" outlineLevel="2" x14ac:dyDescent="0.3">
      <c r="A2661" t="s">
        <v>4206</v>
      </c>
      <c r="B2661" t="s">
        <v>3844</v>
      </c>
      <c r="C2661" t="s">
        <v>10</v>
      </c>
      <c r="D2661" t="s">
        <v>4181</v>
      </c>
    </row>
    <row r="2662" spans="1:4" hidden="1" outlineLevel="2" x14ac:dyDescent="0.3">
      <c r="A2662" t="s">
        <v>4207</v>
      </c>
      <c r="B2662" t="s">
        <v>3844</v>
      </c>
      <c r="C2662" t="s">
        <v>10</v>
      </c>
      <c r="D2662" t="s">
        <v>4208</v>
      </c>
    </row>
    <row r="2663" spans="1:4" hidden="1" outlineLevel="2" x14ac:dyDescent="0.3">
      <c r="A2663" t="s">
        <v>4209</v>
      </c>
      <c r="B2663" t="s">
        <v>3844</v>
      </c>
      <c r="C2663" t="s">
        <v>10</v>
      </c>
      <c r="D2663" t="s">
        <v>4210</v>
      </c>
    </row>
    <row r="2664" spans="1:4" hidden="1" outlineLevel="2" x14ac:dyDescent="0.3">
      <c r="A2664" t="s">
        <v>4211</v>
      </c>
      <c r="B2664" t="s">
        <v>3844</v>
      </c>
      <c r="C2664" t="s">
        <v>10</v>
      </c>
      <c r="D2664" t="s">
        <v>4212</v>
      </c>
    </row>
    <row r="2665" spans="1:4" hidden="1" outlineLevel="2" x14ac:dyDescent="0.3">
      <c r="A2665" t="s">
        <v>4213</v>
      </c>
      <c r="B2665" t="s">
        <v>3844</v>
      </c>
      <c r="C2665" t="s">
        <v>10</v>
      </c>
      <c r="D2665" t="s">
        <v>4170</v>
      </c>
    </row>
    <row r="2666" spans="1:4" hidden="1" outlineLevel="2" x14ac:dyDescent="0.3">
      <c r="A2666" t="s">
        <v>4214</v>
      </c>
      <c r="B2666" t="s">
        <v>3844</v>
      </c>
      <c r="C2666" t="s">
        <v>8</v>
      </c>
      <c r="D2666" t="s">
        <v>4177</v>
      </c>
    </row>
    <row r="2667" spans="1:4" hidden="1" outlineLevel="2" x14ac:dyDescent="0.3">
      <c r="A2667" t="s">
        <v>4215</v>
      </c>
      <c r="B2667" t="s">
        <v>3910</v>
      </c>
      <c r="C2667" t="s">
        <v>8</v>
      </c>
      <c r="D2667" t="s">
        <v>4216</v>
      </c>
    </row>
    <row r="2668" spans="1:4" hidden="1" outlineLevel="2" x14ac:dyDescent="0.3">
      <c r="A2668" t="s">
        <v>4217</v>
      </c>
      <c r="B2668" t="s">
        <v>3910</v>
      </c>
      <c r="C2668" t="s">
        <v>8</v>
      </c>
      <c r="D2668" t="s">
        <v>4218</v>
      </c>
    </row>
    <row r="2669" spans="1:4" hidden="1" outlineLevel="2" x14ac:dyDescent="0.3">
      <c r="A2669" t="s">
        <v>4219</v>
      </c>
      <c r="B2669" t="s">
        <v>3910</v>
      </c>
      <c r="C2669" t="s">
        <v>8</v>
      </c>
      <c r="D2669" t="s">
        <v>4220</v>
      </c>
    </row>
    <row r="2670" spans="1:4" hidden="1" outlineLevel="2" x14ac:dyDescent="0.3">
      <c r="A2670" t="s">
        <v>4221</v>
      </c>
      <c r="B2670" t="s">
        <v>3910</v>
      </c>
      <c r="C2670" t="s">
        <v>8</v>
      </c>
      <c r="D2670" t="s">
        <v>4222</v>
      </c>
    </row>
    <row r="2671" spans="1:4" hidden="1" outlineLevel="2" x14ac:dyDescent="0.3">
      <c r="A2671" t="s">
        <v>4223</v>
      </c>
      <c r="B2671" t="s">
        <v>3910</v>
      </c>
      <c r="C2671" t="s">
        <v>8</v>
      </c>
      <c r="D2671" t="s">
        <v>4224</v>
      </c>
    </row>
    <row r="2672" spans="1:4" hidden="1" outlineLevel="2" x14ac:dyDescent="0.3">
      <c r="A2672" t="s">
        <v>4225</v>
      </c>
      <c r="B2672" t="s">
        <v>269</v>
      </c>
      <c r="C2672" t="s">
        <v>8</v>
      </c>
      <c r="D2672" t="s">
        <v>4222</v>
      </c>
    </row>
    <row r="2673" spans="1:4" hidden="1" outlineLevel="2" x14ac:dyDescent="0.3">
      <c r="A2673" t="s">
        <v>4226</v>
      </c>
      <c r="B2673" t="s">
        <v>48</v>
      </c>
      <c r="C2673" t="s">
        <v>8</v>
      </c>
      <c r="D2673" t="s">
        <v>4227</v>
      </c>
    </row>
    <row r="2674" spans="1:4" hidden="1" outlineLevel="2" x14ac:dyDescent="0.3">
      <c r="A2674" t="s">
        <v>4228</v>
      </c>
      <c r="B2674" t="s">
        <v>3839</v>
      </c>
      <c r="C2674" t="s">
        <v>8</v>
      </c>
      <c r="D2674" t="s">
        <v>3084</v>
      </c>
    </row>
    <row r="2675" spans="1:4" hidden="1" outlineLevel="2" x14ac:dyDescent="0.3">
      <c r="A2675" t="s">
        <v>4229</v>
      </c>
      <c r="B2675" t="s">
        <v>3839</v>
      </c>
      <c r="C2675" t="s">
        <v>10</v>
      </c>
      <c r="D2675" t="s">
        <v>3086</v>
      </c>
    </row>
    <row r="2676" spans="1:4" hidden="1" outlineLevel="2" x14ac:dyDescent="0.3">
      <c r="A2676" t="s">
        <v>4230</v>
      </c>
      <c r="B2676" t="s">
        <v>3839</v>
      </c>
      <c r="C2676" t="s">
        <v>10</v>
      </c>
      <c r="D2676" t="s">
        <v>3088</v>
      </c>
    </row>
    <row r="2677" spans="1:4" hidden="1" outlineLevel="2" x14ac:dyDescent="0.3">
      <c r="A2677" t="s">
        <v>4231</v>
      </c>
      <c r="B2677" t="s">
        <v>3839</v>
      </c>
      <c r="C2677" t="s">
        <v>10</v>
      </c>
      <c r="D2677" t="s">
        <v>3090</v>
      </c>
    </row>
    <row r="2678" spans="1:4" hidden="1" outlineLevel="2" x14ac:dyDescent="0.3">
      <c r="A2678" t="s">
        <v>4232</v>
      </c>
      <c r="B2678" t="s">
        <v>3839</v>
      </c>
      <c r="C2678" t="s">
        <v>10</v>
      </c>
      <c r="D2678" t="s">
        <v>3092</v>
      </c>
    </row>
    <row r="2679" spans="1:4" hidden="1" outlineLevel="2" x14ac:dyDescent="0.3">
      <c r="A2679" t="s">
        <v>4233</v>
      </c>
      <c r="B2679" t="s">
        <v>3839</v>
      </c>
      <c r="C2679" t="s">
        <v>10</v>
      </c>
      <c r="D2679" t="s">
        <v>3094</v>
      </c>
    </row>
    <row r="2680" spans="1:4" hidden="1" outlineLevel="2" x14ac:dyDescent="0.3">
      <c r="A2680" t="s">
        <v>4234</v>
      </c>
      <c r="B2680" t="s">
        <v>3839</v>
      </c>
      <c r="C2680" t="s">
        <v>8</v>
      </c>
      <c r="D2680" t="s">
        <v>3096</v>
      </c>
    </row>
    <row r="2681" spans="1:4" hidden="1" outlineLevel="2" x14ac:dyDescent="0.3">
      <c r="A2681" t="s">
        <v>4235</v>
      </c>
      <c r="B2681" t="s">
        <v>3839</v>
      </c>
      <c r="C2681" t="s">
        <v>10</v>
      </c>
      <c r="D2681" t="s">
        <v>3098</v>
      </c>
    </row>
    <row r="2682" spans="1:4" hidden="1" outlineLevel="2" x14ac:dyDescent="0.3">
      <c r="A2682" t="s">
        <v>4236</v>
      </c>
      <c r="B2682" t="s">
        <v>3839</v>
      </c>
      <c r="C2682" t="s">
        <v>10</v>
      </c>
      <c r="D2682" t="s">
        <v>3102</v>
      </c>
    </row>
    <row r="2683" spans="1:4" hidden="1" outlineLevel="2" x14ac:dyDescent="0.3">
      <c r="A2683" t="s">
        <v>4237</v>
      </c>
      <c r="B2683" t="s">
        <v>3839</v>
      </c>
      <c r="C2683" t="s">
        <v>10</v>
      </c>
      <c r="D2683" t="s">
        <v>3104</v>
      </c>
    </row>
    <row r="2684" spans="1:4" hidden="1" outlineLevel="2" x14ac:dyDescent="0.3">
      <c r="A2684" t="s">
        <v>4238</v>
      </c>
      <c r="B2684" t="s">
        <v>3839</v>
      </c>
      <c r="C2684" t="s">
        <v>10</v>
      </c>
      <c r="D2684" t="s">
        <v>3106</v>
      </c>
    </row>
    <row r="2685" spans="1:4" hidden="1" outlineLevel="2" x14ac:dyDescent="0.3">
      <c r="A2685" t="s">
        <v>4239</v>
      </c>
      <c r="B2685" t="s">
        <v>3839</v>
      </c>
      <c r="C2685" t="s">
        <v>10</v>
      </c>
      <c r="D2685" t="s">
        <v>3108</v>
      </c>
    </row>
    <row r="2686" spans="1:4" hidden="1" outlineLevel="2" x14ac:dyDescent="0.3">
      <c r="A2686" t="s">
        <v>4240</v>
      </c>
      <c r="B2686" t="s">
        <v>3839</v>
      </c>
      <c r="C2686" t="s">
        <v>8</v>
      </c>
      <c r="D2686" t="s">
        <v>3110</v>
      </c>
    </row>
    <row r="2687" spans="1:4" hidden="1" outlineLevel="2" x14ac:dyDescent="0.3">
      <c r="A2687" t="s">
        <v>4241</v>
      </c>
      <c r="B2687" t="s">
        <v>3839</v>
      </c>
      <c r="C2687" t="s">
        <v>10</v>
      </c>
      <c r="D2687" t="s">
        <v>3112</v>
      </c>
    </row>
    <row r="2688" spans="1:4" hidden="1" outlineLevel="2" x14ac:dyDescent="0.3">
      <c r="A2688" t="s">
        <v>4242</v>
      </c>
      <c r="B2688" t="s">
        <v>3839</v>
      </c>
      <c r="C2688" t="s">
        <v>10</v>
      </c>
      <c r="D2688" t="s">
        <v>3114</v>
      </c>
    </row>
    <row r="2689" spans="1:4" hidden="1" outlineLevel="2" x14ac:dyDescent="0.3">
      <c r="A2689" t="s">
        <v>4243</v>
      </c>
      <c r="B2689" t="s">
        <v>3839</v>
      </c>
      <c r="C2689" t="s">
        <v>10</v>
      </c>
      <c r="D2689" t="s">
        <v>4244</v>
      </c>
    </row>
    <row r="2690" spans="1:4" hidden="1" outlineLevel="2" x14ac:dyDescent="0.3">
      <c r="A2690" t="s">
        <v>4245</v>
      </c>
      <c r="B2690" t="s">
        <v>3839</v>
      </c>
      <c r="C2690" t="s">
        <v>10</v>
      </c>
      <c r="D2690" t="s">
        <v>4244</v>
      </c>
    </row>
    <row r="2691" spans="1:4" hidden="1" outlineLevel="2" x14ac:dyDescent="0.3">
      <c r="A2691" t="s">
        <v>4246</v>
      </c>
      <c r="B2691" t="s">
        <v>3839</v>
      </c>
      <c r="C2691" t="s">
        <v>10</v>
      </c>
      <c r="D2691" t="s">
        <v>3119</v>
      </c>
    </row>
    <row r="2692" spans="1:4" hidden="1" outlineLevel="2" x14ac:dyDescent="0.3">
      <c r="A2692" t="s">
        <v>4247</v>
      </c>
      <c r="B2692" t="s">
        <v>3839</v>
      </c>
      <c r="C2692" t="s">
        <v>10</v>
      </c>
      <c r="D2692" t="s">
        <v>3119</v>
      </c>
    </row>
    <row r="2693" spans="1:4" hidden="1" outlineLevel="2" x14ac:dyDescent="0.3">
      <c r="A2693" t="s">
        <v>4248</v>
      </c>
      <c r="B2693" t="s">
        <v>3839</v>
      </c>
      <c r="C2693" t="s">
        <v>10</v>
      </c>
      <c r="D2693" t="s">
        <v>3122</v>
      </c>
    </row>
    <row r="2694" spans="1:4" hidden="1" outlineLevel="2" x14ac:dyDescent="0.3">
      <c r="A2694" t="s">
        <v>4249</v>
      </c>
      <c r="B2694" t="s">
        <v>3839</v>
      </c>
      <c r="C2694" t="s">
        <v>10</v>
      </c>
      <c r="D2694" t="s">
        <v>3122</v>
      </c>
    </row>
    <row r="2695" spans="1:4" hidden="1" outlineLevel="2" x14ac:dyDescent="0.3">
      <c r="A2695" t="s">
        <v>4250</v>
      </c>
      <c r="B2695" t="s">
        <v>3839</v>
      </c>
      <c r="C2695" t="s">
        <v>10</v>
      </c>
      <c r="D2695" t="s">
        <v>3125</v>
      </c>
    </row>
    <row r="2696" spans="1:4" hidden="1" outlineLevel="2" x14ac:dyDescent="0.3">
      <c r="A2696" t="s">
        <v>4251</v>
      </c>
      <c r="B2696" t="s">
        <v>3839</v>
      </c>
      <c r="C2696" t="s">
        <v>10</v>
      </c>
      <c r="D2696" t="s">
        <v>3127</v>
      </c>
    </row>
    <row r="2697" spans="1:4" hidden="1" outlineLevel="2" x14ac:dyDescent="0.3">
      <c r="A2697" t="s">
        <v>4252</v>
      </c>
      <c r="B2697" t="s">
        <v>3839</v>
      </c>
      <c r="C2697" t="s">
        <v>10</v>
      </c>
      <c r="D2697" t="s">
        <v>3129</v>
      </c>
    </row>
    <row r="2698" spans="1:4" hidden="1" outlineLevel="2" x14ac:dyDescent="0.3">
      <c r="A2698" t="s">
        <v>4253</v>
      </c>
      <c r="B2698" t="s">
        <v>3839</v>
      </c>
      <c r="C2698" t="s">
        <v>10</v>
      </c>
      <c r="D2698" t="s">
        <v>3131</v>
      </c>
    </row>
    <row r="2699" spans="1:4" hidden="1" outlineLevel="2" x14ac:dyDescent="0.3">
      <c r="A2699" t="s">
        <v>4254</v>
      </c>
      <c r="B2699" t="s">
        <v>3839</v>
      </c>
      <c r="C2699" t="s">
        <v>10</v>
      </c>
      <c r="D2699" t="s">
        <v>3133</v>
      </c>
    </row>
    <row r="2700" spans="1:4" hidden="1" outlineLevel="2" x14ac:dyDescent="0.3">
      <c r="A2700" t="s">
        <v>4255</v>
      </c>
      <c r="B2700" t="s">
        <v>3839</v>
      </c>
      <c r="C2700" t="s">
        <v>8</v>
      </c>
      <c r="D2700" t="s">
        <v>4256</v>
      </c>
    </row>
    <row r="2701" spans="1:4" hidden="1" outlineLevel="2" x14ac:dyDescent="0.3">
      <c r="A2701" t="s">
        <v>4257</v>
      </c>
      <c r="B2701" t="s">
        <v>3839</v>
      </c>
      <c r="C2701" t="s">
        <v>10</v>
      </c>
      <c r="D2701" t="s">
        <v>3141</v>
      </c>
    </row>
    <row r="2702" spans="1:4" hidden="1" outlineLevel="2" x14ac:dyDescent="0.3">
      <c r="A2702" t="s">
        <v>4258</v>
      </c>
      <c r="B2702" t="s">
        <v>3839</v>
      </c>
      <c r="C2702" t="s">
        <v>8</v>
      </c>
      <c r="D2702" t="s">
        <v>4259</v>
      </c>
    </row>
    <row r="2703" spans="1:4" hidden="1" outlineLevel="2" x14ac:dyDescent="0.3">
      <c r="A2703" t="s">
        <v>4260</v>
      </c>
      <c r="B2703" t="s">
        <v>3839</v>
      </c>
      <c r="C2703" t="s">
        <v>10</v>
      </c>
      <c r="D2703" t="s">
        <v>4261</v>
      </c>
    </row>
    <row r="2704" spans="1:4" hidden="1" outlineLevel="2" x14ac:dyDescent="0.3">
      <c r="A2704" t="s">
        <v>4262</v>
      </c>
      <c r="B2704" t="s">
        <v>3839</v>
      </c>
      <c r="C2704" t="s">
        <v>10</v>
      </c>
      <c r="D2704" t="s">
        <v>3079</v>
      </c>
    </row>
    <row r="2705" spans="1:4" hidden="1" outlineLevel="2" x14ac:dyDescent="0.3">
      <c r="A2705" t="s">
        <v>4263</v>
      </c>
      <c r="B2705" t="s">
        <v>3839</v>
      </c>
      <c r="C2705" t="s">
        <v>10</v>
      </c>
      <c r="D2705" t="s">
        <v>3079</v>
      </c>
    </row>
    <row r="2706" spans="1:4" hidden="1" outlineLevel="2" x14ac:dyDescent="0.3">
      <c r="A2706" t="s">
        <v>4264</v>
      </c>
      <c r="B2706" t="s">
        <v>3839</v>
      </c>
      <c r="C2706" t="s">
        <v>10</v>
      </c>
      <c r="D2706" t="s">
        <v>4265</v>
      </c>
    </row>
    <row r="2707" spans="1:4" hidden="1" outlineLevel="2" x14ac:dyDescent="0.3">
      <c r="A2707" t="s">
        <v>4266</v>
      </c>
      <c r="B2707" t="s">
        <v>3839</v>
      </c>
      <c r="C2707" t="s">
        <v>10</v>
      </c>
      <c r="D2707" t="s">
        <v>4267</v>
      </c>
    </row>
    <row r="2708" spans="1:4" hidden="1" outlineLevel="2" x14ac:dyDescent="0.3">
      <c r="A2708" t="s">
        <v>4268</v>
      </c>
      <c r="B2708" t="s">
        <v>3839</v>
      </c>
      <c r="C2708" t="s">
        <v>10</v>
      </c>
      <c r="D2708" t="s">
        <v>4269</v>
      </c>
    </row>
    <row r="2709" spans="1:4" hidden="1" outlineLevel="2" x14ac:dyDescent="0.3">
      <c r="A2709" t="s">
        <v>4270</v>
      </c>
      <c r="B2709" t="s">
        <v>3839</v>
      </c>
      <c r="C2709" t="s">
        <v>10</v>
      </c>
      <c r="D2709" t="s">
        <v>4271</v>
      </c>
    </row>
    <row r="2710" spans="1:4" hidden="1" outlineLevel="2" x14ac:dyDescent="0.3">
      <c r="A2710" t="s">
        <v>4272</v>
      </c>
      <c r="B2710" t="s">
        <v>3839</v>
      </c>
      <c r="C2710" t="s">
        <v>10</v>
      </c>
      <c r="D2710" t="s">
        <v>4273</v>
      </c>
    </row>
    <row r="2711" spans="1:4" hidden="1" outlineLevel="2" x14ac:dyDescent="0.3">
      <c r="A2711" t="s">
        <v>4274</v>
      </c>
      <c r="B2711" t="s">
        <v>3839</v>
      </c>
      <c r="C2711" t="s">
        <v>10</v>
      </c>
      <c r="D2711" t="s">
        <v>4275</v>
      </c>
    </row>
    <row r="2712" spans="1:4" hidden="1" outlineLevel="2" x14ac:dyDescent="0.3">
      <c r="A2712" t="s">
        <v>4276</v>
      </c>
      <c r="B2712" t="s">
        <v>3839</v>
      </c>
      <c r="C2712" t="s">
        <v>10</v>
      </c>
      <c r="D2712" t="s">
        <v>4277</v>
      </c>
    </row>
    <row r="2713" spans="1:4" hidden="1" outlineLevel="2" x14ac:dyDescent="0.3">
      <c r="A2713" t="s">
        <v>4278</v>
      </c>
      <c r="B2713" t="s">
        <v>3839</v>
      </c>
      <c r="C2713" t="s">
        <v>10</v>
      </c>
      <c r="D2713" t="s">
        <v>4279</v>
      </c>
    </row>
    <row r="2714" spans="1:4" hidden="1" outlineLevel="2" x14ac:dyDescent="0.3">
      <c r="A2714" t="s">
        <v>4280</v>
      </c>
      <c r="B2714" t="s">
        <v>3839</v>
      </c>
      <c r="C2714" t="s">
        <v>10</v>
      </c>
      <c r="D2714" t="s">
        <v>4281</v>
      </c>
    </row>
    <row r="2715" spans="1:4" hidden="1" outlineLevel="2" x14ac:dyDescent="0.3">
      <c r="A2715" t="s">
        <v>4282</v>
      </c>
      <c r="B2715" t="s">
        <v>3839</v>
      </c>
      <c r="C2715" t="s">
        <v>10</v>
      </c>
      <c r="D2715" t="s">
        <v>4283</v>
      </c>
    </row>
    <row r="2716" spans="1:4" hidden="1" outlineLevel="2" x14ac:dyDescent="0.3">
      <c r="A2716" t="s">
        <v>4284</v>
      </c>
      <c r="B2716" t="s">
        <v>3839</v>
      </c>
      <c r="C2716" t="s">
        <v>10</v>
      </c>
      <c r="D2716" t="s">
        <v>4285</v>
      </c>
    </row>
    <row r="2717" spans="1:4" hidden="1" outlineLevel="2" x14ac:dyDescent="0.3">
      <c r="A2717" t="s">
        <v>4286</v>
      </c>
      <c r="B2717" t="s">
        <v>3839</v>
      </c>
      <c r="C2717" t="s">
        <v>10</v>
      </c>
      <c r="D2717" t="s">
        <v>4287</v>
      </c>
    </row>
    <row r="2718" spans="1:4" hidden="1" outlineLevel="2" x14ac:dyDescent="0.3">
      <c r="A2718" t="s">
        <v>4288</v>
      </c>
      <c r="B2718" t="s">
        <v>3839</v>
      </c>
      <c r="C2718" t="s">
        <v>10</v>
      </c>
      <c r="D2718" t="s">
        <v>4289</v>
      </c>
    </row>
    <row r="2719" spans="1:4" hidden="1" outlineLevel="2" x14ac:dyDescent="0.3">
      <c r="A2719" t="s">
        <v>4290</v>
      </c>
      <c r="B2719" t="s">
        <v>3839</v>
      </c>
      <c r="C2719" t="s">
        <v>10</v>
      </c>
      <c r="D2719" t="s">
        <v>2540</v>
      </c>
    </row>
    <row r="2720" spans="1:4" hidden="1" outlineLevel="2" x14ac:dyDescent="0.3">
      <c r="A2720" t="s">
        <v>4291</v>
      </c>
      <c r="B2720" t="s">
        <v>3839</v>
      </c>
      <c r="C2720" t="s">
        <v>10</v>
      </c>
      <c r="D2720" t="s">
        <v>2542</v>
      </c>
    </row>
    <row r="2721" spans="1:4" hidden="1" outlineLevel="2" x14ac:dyDescent="0.3">
      <c r="A2721" t="s">
        <v>4292</v>
      </c>
      <c r="B2721" t="s">
        <v>3839</v>
      </c>
      <c r="C2721" t="s">
        <v>10</v>
      </c>
      <c r="D2721" t="s">
        <v>2546</v>
      </c>
    </row>
    <row r="2722" spans="1:4" hidden="1" outlineLevel="2" x14ac:dyDescent="0.3">
      <c r="A2722" t="s">
        <v>4293</v>
      </c>
      <c r="B2722" t="s">
        <v>3839</v>
      </c>
      <c r="C2722" t="s">
        <v>10</v>
      </c>
      <c r="D2722" t="s">
        <v>2548</v>
      </c>
    </row>
    <row r="2723" spans="1:4" hidden="1" outlineLevel="2" x14ac:dyDescent="0.3">
      <c r="A2723" t="s">
        <v>4294</v>
      </c>
      <c r="B2723" t="s">
        <v>3839</v>
      </c>
      <c r="C2723" t="s">
        <v>10</v>
      </c>
      <c r="D2723" t="s">
        <v>2552</v>
      </c>
    </row>
    <row r="2724" spans="1:4" hidden="1" outlineLevel="2" x14ac:dyDescent="0.3">
      <c r="A2724" t="s">
        <v>4295</v>
      </c>
      <c r="B2724" t="s">
        <v>3839</v>
      </c>
      <c r="C2724" t="s">
        <v>10</v>
      </c>
      <c r="D2724" t="s">
        <v>2554</v>
      </c>
    </row>
    <row r="2725" spans="1:4" hidden="1" outlineLevel="2" x14ac:dyDescent="0.3">
      <c r="A2725" t="s">
        <v>4296</v>
      </c>
      <c r="B2725" t="s">
        <v>3839</v>
      </c>
      <c r="C2725" t="s">
        <v>8</v>
      </c>
      <c r="D2725" t="s">
        <v>4297</v>
      </c>
    </row>
    <row r="2726" spans="1:4" hidden="1" outlineLevel="2" x14ac:dyDescent="0.3">
      <c r="A2726" t="s">
        <v>4298</v>
      </c>
      <c r="B2726" t="s">
        <v>3839</v>
      </c>
      <c r="C2726" t="s">
        <v>10</v>
      </c>
      <c r="D2726" t="s">
        <v>2560</v>
      </c>
    </row>
    <row r="2727" spans="1:4" hidden="1" outlineLevel="2" x14ac:dyDescent="0.3">
      <c r="A2727" t="s">
        <v>4299</v>
      </c>
      <c r="B2727" t="s">
        <v>3839</v>
      </c>
      <c r="C2727" t="s">
        <v>10</v>
      </c>
      <c r="D2727" t="s">
        <v>2562</v>
      </c>
    </row>
    <row r="2728" spans="1:4" hidden="1" outlineLevel="2" x14ac:dyDescent="0.3">
      <c r="A2728" t="s">
        <v>4300</v>
      </c>
      <c r="B2728" t="s">
        <v>3839</v>
      </c>
      <c r="C2728" t="s">
        <v>10</v>
      </c>
      <c r="D2728" t="s">
        <v>2564</v>
      </c>
    </row>
    <row r="2729" spans="1:4" hidden="1" outlineLevel="2" x14ac:dyDescent="0.3">
      <c r="A2729" t="s">
        <v>4301</v>
      </c>
      <c r="B2729" t="s">
        <v>3839</v>
      </c>
      <c r="C2729" t="s">
        <v>10</v>
      </c>
      <c r="D2729" t="s">
        <v>2566</v>
      </c>
    </row>
    <row r="2730" spans="1:4" hidden="1" outlineLevel="2" x14ac:dyDescent="0.3">
      <c r="A2730" t="s">
        <v>4302</v>
      </c>
      <c r="B2730" t="s">
        <v>3839</v>
      </c>
      <c r="C2730" t="s">
        <v>10</v>
      </c>
      <c r="D2730" t="s">
        <v>2568</v>
      </c>
    </row>
    <row r="2731" spans="1:4" hidden="1" outlineLevel="2" x14ac:dyDescent="0.3">
      <c r="A2731" t="s">
        <v>4303</v>
      </c>
      <c r="B2731" t="s">
        <v>3839</v>
      </c>
      <c r="C2731" t="s">
        <v>10</v>
      </c>
      <c r="D2731" t="s">
        <v>2570</v>
      </c>
    </row>
    <row r="2732" spans="1:4" hidden="1" outlineLevel="2" x14ac:dyDescent="0.3">
      <c r="A2732" t="s">
        <v>4304</v>
      </c>
      <c r="B2732" t="s">
        <v>3839</v>
      </c>
      <c r="C2732" t="s">
        <v>10</v>
      </c>
      <c r="D2732" t="s">
        <v>2575</v>
      </c>
    </row>
    <row r="2733" spans="1:4" hidden="1" outlineLevel="2" x14ac:dyDescent="0.3">
      <c r="A2733" t="s">
        <v>4305</v>
      </c>
      <c r="B2733" t="s">
        <v>3839</v>
      </c>
      <c r="C2733" t="s">
        <v>8</v>
      </c>
      <c r="D2733" t="s">
        <v>2577</v>
      </c>
    </row>
    <row r="2734" spans="1:4" hidden="1" outlineLevel="2" x14ac:dyDescent="0.3">
      <c r="A2734" t="s">
        <v>4306</v>
      </c>
      <c r="B2734" t="s">
        <v>3839</v>
      </c>
      <c r="C2734" t="s">
        <v>10</v>
      </c>
      <c r="D2734" t="s">
        <v>4307</v>
      </c>
    </row>
    <row r="2735" spans="1:4" hidden="1" outlineLevel="2" x14ac:dyDescent="0.3">
      <c r="A2735" t="s">
        <v>4308</v>
      </c>
      <c r="B2735" t="s">
        <v>3839</v>
      </c>
      <c r="C2735" t="s">
        <v>10</v>
      </c>
      <c r="D2735" t="s">
        <v>2581</v>
      </c>
    </row>
    <row r="2736" spans="1:4" hidden="1" outlineLevel="2" x14ac:dyDescent="0.3">
      <c r="A2736" t="s">
        <v>4309</v>
      </c>
      <c r="B2736" t="s">
        <v>3839</v>
      </c>
      <c r="C2736" t="s">
        <v>10</v>
      </c>
      <c r="D2736" t="s">
        <v>4310</v>
      </c>
    </row>
    <row r="2737" spans="1:4" hidden="1" outlineLevel="2" x14ac:dyDescent="0.3">
      <c r="A2737" t="s">
        <v>4311</v>
      </c>
      <c r="B2737" t="s">
        <v>3839</v>
      </c>
      <c r="C2737" t="s">
        <v>10</v>
      </c>
      <c r="D2737" t="s">
        <v>2621</v>
      </c>
    </row>
    <row r="2738" spans="1:4" hidden="1" outlineLevel="2" x14ac:dyDescent="0.3">
      <c r="A2738" t="s">
        <v>4312</v>
      </c>
      <c r="B2738" t="s">
        <v>3839</v>
      </c>
      <c r="C2738" t="s">
        <v>10</v>
      </c>
      <c r="D2738" t="s">
        <v>2623</v>
      </c>
    </row>
    <row r="2739" spans="1:4" hidden="1" outlineLevel="2" x14ac:dyDescent="0.3">
      <c r="A2739" t="s">
        <v>4313</v>
      </c>
      <c r="B2739" t="s">
        <v>3839</v>
      </c>
      <c r="C2739" t="s">
        <v>10</v>
      </c>
      <c r="D2739" t="s">
        <v>2625</v>
      </c>
    </row>
    <row r="2740" spans="1:4" hidden="1" outlineLevel="2" x14ac:dyDescent="0.3">
      <c r="A2740" t="s">
        <v>4314</v>
      </c>
      <c r="B2740" t="s">
        <v>3839</v>
      </c>
      <c r="C2740" t="s">
        <v>10</v>
      </c>
      <c r="D2740" t="s">
        <v>2627</v>
      </c>
    </row>
    <row r="2741" spans="1:4" hidden="1" outlineLevel="2" x14ac:dyDescent="0.3">
      <c r="A2741" t="s">
        <v>4315</v>
      </c>
      <c r="B2741" t="s">
        <v>3839</v>
      </c>
      <c r="C2741" t="s">
        <v>10</v>
      </c>
      <c r="D2741" t="s">
        <v>2629</v>
      </c>
    </row>
    <row r="2742" spans="1:4" hidden="1" outlineLevel="2" x14ac:dyDescent="0.3">
      <c r="A2742" t="s">
        <v>4316</v>
      </c>
      <c r="B2742" t="s">
        <v>3839</v>
      </c>
      <c r="C2742" t="s">
        <v>10</v>
      </c>
      <c r="D2742" t="s">
        <v>4317</v>
      </c>
    </row>
    <row r="2743" spans="1:4" hidden="1" outlineLevel="2" x14ac:dyDescent="0.3">
      <c r="A2743" t="s">
        <v>4318</v>
      </c>
      <c r="B2743" t="s">
        <v>3839</v>
      </c>
      <c r="C2743" t="s">
        <v>10</v>
      </c>
      <c r="D2743" t="s">
        <v>2633</v>
      </c>
    </row>
    <row r="2744" spans="1:4" hidden="1" outlineLevel="2" x14ac:dyDescent="0.3">
      <c r="A2744" t="s">
        <v>4319</v>
      </c>
      <c r="B2744" t="s">
        <v>3839</v>
      </c>
      <c r="C2744" t="s">
        <v>10</v>
      </c>
      <c r="D2744" t="s">
        <v>2635</v>
      </c>
    </row>
    <row r="2745" spans="1:4" hidden="1" outlineLevel="2" x14ac:dyDescent="0.3">
      <c r="A2745" t="s">
        <v>4320</v>
      </c>
      <c r="B2745" t="s">
        <v>3839</v>
      </c>
      <c r="C2745" t="s">
        <v>10</v>
      </c>
      <c r="D2745" t="s">
        <v>2637</v>
      </c>
    </row>
    <row r="2746" spans="1:4" hidden="1" outlineLevel="2" x14ac:dyDescent="0.3">
      <c r="A2746" t="s">
        <v>4321</v>
      </c>
      <c r="B2746" t="s">
        <v>3839</v>
      </c>
      <c r="C2746" t="s">
        <v>10</v>
      </c>
      <c r="D2746" t="s">
        <v>4322</v>
      </c>
    </row>
    <row r="2747" spans="1:4" hidden="1" outlineLevel="2" x14ac:dyDescent="0.3">
      <c r="A2747" t="s">
        <v>4323</v>
      </c>
      <c r="B2747" t="s">
        <v>3839</v>
      </c>
      <c r="C2747" t="s">
        <v>10</v>
      </c>
      <c r="D2747" t="s">
        <v>4324</v>
      </c>
    </row>
    <row r="2748" spans="1:4" hidden="1" outlineLevel="2" x14ac:dyDescent="0.3">
      <c r="A2748" t="s">
        <v>4325</v>
      </c>
      <c r="B2748" t="s">
        <v>3839</v>
      </c>
      <c r="C2748" t="s">
        <v>10</v>
      </c>
      <c r="D2748" t="s">
        <v>2643</v>
      </c>
    </row>
    <row r="2749" spans="1:4" hidden="1" outlineLevel="2" x14ac:dyDescent="0.3">
      <c r="A2749" t="s">
        <v>4326</v>
      </c>
      <c r="B2749" t="s">
        <v>3839</v>
      </c>
      <c r="C2749" t="s">
        <v>10</v>
      </c>
      <c r="D2749" t="s">
        <v>2645</v>
      </c>
    </row>
    <row r="2750" spans="1:4" hidden="1" outlineLevel="2" x14ac:dyDescent="0.3">
      <c r="A2750" t="s">
        <v>4327</v>
      </c>
      <c r="B2750" t="s">
        <v>3839</v>
      </c>
      <c r="C2750" t="s">
        <v>10</v>
      </c>
      <c r="D2750" t="s">
        <v>2647</v>
      </c>
    </row>
    <row r="2751" spans="1:4" hidden="1" outlineLevel="2" x14ac:dyDescent="0.3">
      <c r="A2751" t="s">
        <v>4328</v>
      </c>
      <c r="B2751" t="s">
        <v>3839</v>
      </c>
      <c r="C2751" t="s">
        <v>10</v>
      </c>
      <c r="D2751" t="s">
        <v>2649</v>
      </c>
    </row>
    <row r="2752" spans="1:4" hidden="1" outlineLevel="2" x14ac:dyDescent="0.3">
      <c r="A2752" t="s">
        <v>4329</v>
      </c>
      <c r="B2752" t="s">
        <v>3839</v>
      </c>
      <c r="C2752" t="s">
        <v>10</v>
      </c>
      <c r="D2752" t="s">
        <v>4330</v>
      </c>
    </row>
    <row r="2753" spans="1:4" hidden="1" outlineLevel="2" x14ac:dyDescent="0.3">
      <c r="A2753" t="s">
        <v>4331</v>
      </c>
      <c r="B2753" t="s">
        <v>3839</v>
      </c>
      <c r="C2753" t="s">
        <v>10</v>
      </c>
      <c r="D2753" t="s">
        <v>2653</v>
      </c>
    </row>
    <row r="2754" spans="1:4" hidden="1" outlineLevel="2" x14ac:dyDescent="0.3">
      <c r="A2754" t="s">
        <v>4332</v>
      </c>
      <c r="B2754" t="s">
        <v>3839</v>
      </c>
      <c r="C2754" t="s">
        <v>10</v>
      </c>
      <c r="D2754" t="s">
        <v>4333</v>
      </c>
    </row>
    <row r="2755" spans="1:4" hidden="1" outlineLevel="2" x14ac:dyDescent="0.3">
      <c r="A2755" t="s">
        <v>4334</v>
      </c>
      <c r="B2755" t="s">
        <v>3839</v>
      </c>
      <c r="C2755" t="s">
        <v>10</v>
      </c>
      <c r="D2755" t="s">
        <v>2657</v>
      </c>
    </row>
    <row r="2756" spans="1:4" hidden="1" outlineLevel="2" x14ac:dyDescent="0.3">
      <c r="A2756" t="s">
        <v>4335</v>
      </c>
      <c r="B2756" t="s">
        <v>3839</v>
      </c>
      <c r="C2756" t="s">
        <v>10</v>
      </c>
      <c r="D2756" t="s">
        <v>4336</v>
      </c>
    </row>
    <row r="2757" spans="1:4" hidden="1" outlineLevel="2" x14ac:dyDescent="0.3">
      <c r="A2757" t="s">
        <v>4337</v>
      </c>
      <c r="B2757" t="s">
        <v>3839</v>
      </c>
      <c r="C2757" t="s">
        <v>10</v>
      </c>
      <c r="D2757" t="s">
        <v>2544</v>
      </c>
    </row>
    <row r="2758" spans="1:4" hidden="1" outlineLevel="2" x14ac:dyDescent="0.3">
      <c r="A2758" t="s">
        <v>4338</v>
      </c>
      <c r="B2758" t="s">
        <v>3839</v>
      </c>
      <c r="C2758" t="s">
        <v>10</v>
      </c>
      <c r="D2758" t="s">
        <v>4339</v>
      </c>
    </row>
    <row r="2759" spans="1:4" hidden="1" outlineLevel="2" x14ac:dyDescent="0.3">
      <c r="A2759" t="s">
        <v>4340</v>
      </c>
      <c r="B2759" t="s">
        <v>3839</v>
      </c>
      <c r="C2759" t="s">
        <v>10</v>
      </c>
      <c r="D2759" t="s">
        <v>2550</v>
      </c>
    </row>
    <row r="2760" spans="1:4" hidden="1" outlineLevel="2" x14ac:dyDescent="0.3">
      <c r="A2760" t="s">
        <v>4341</v>
      </c>
      <c r="B2760" t="s">
        <v>3839</v>
      </c>
      <c r="C2760" t="s">
        <v>10</v>
      </c>
      <c r="D2760" t="s">
        <v>4342</v>
      </c>
    </row>
    <row r="2761" spans="1:4" hidden="1" outlineLevel="2" x14ac:dyDescent="0.3">
      <c r="A2761" t="s">
        <v>4343</v>
      </c>
      <c r="B2761" t="s">
        <v>3839</v>
      </c>
      <c r="C2761" t="s">
        <v>10</v>
      </c>
      <c r="D2761" t="s">
        <v>2556</v>
      </c>
    </row>
    <row r="2762" spans="1:4" hidden="1" outlineLevel="2" x14ac:dyDescent="0.3">
      <c r="A2762" t="s">
        <v>4344</v>
      </c>
      <c r="B2762" t="s">
        <v>3839</v>
      </c>
      <c r="C2762" t="s">
        <v>10</v>
      </c>
      <c r="D2762" t="s">
        <v>4345</v>
      </c>
    </row>
    <row r="2763" spans="1:4" hidden="1" outlineLevel="2" x14ac:dyDescent="0.3">
      <c r="A2763" t="s">
        <v>4346</v>
      </c>
      <c r="B2763" t="s">
        <v>3839</v>
      </c>
      <c r="C2763" t="s">
        <v>10</v>
      </c>
      <c r="D2763" t="s">
        <v>4347</v>
      </c>
    </row>
    <row r="2764" spans="1:4" hidden="1" outlineLevel="2" x14ac:dyDescent="0.3">
      <c r="A2764" t="s">
        <v>4348</v>
      </c>
      <c r="B2764" t="s">
        <v>3839</v>
      </c>
      <c r="C2764" t="s">
        <v>10</v>
      </c>
      <c r="D2764" t="s">
        <v>4349</v>
      </c>
    </row>
    <row r="2765" spans="1:4" hidden="1" outlineLevel="2" x14ac:dyDescent="0.3">
      <c r="A2765" t="s">
        <v>4350</v>
      </c>
      <c r="B2765" t="s">
        <v>3839</v>
      </c>
      <c r="C2765" t="s">
        <v>10</v>
      </c>
      <c r="D2765" t="s">
        <v>4351</v>
      </c>
    </row>
    <row r="2766" spans="1:4" hidden="1" outlineLevel="2" x14ac:dyDescent="0.3">
      <c r="A2766" t="s">
        <v>4352</v>
      </c>
      <c r="B2766" t="s">
        <v>3839</v>
      </c>
      <c r="C2766" t="s">
        <v>10</v>
      </c>
      <c r="D2766" t="s">
        <v>4353</v>
      </c>
    </row>
    <row r="2767" spans="1:4" hidden="1" outlineLevel="2" x14ac:dyDescent="0.3">
      <c r="A2767" t="s">
        <v>4354</v>
      </c>
      <c r="B2767" t="s">
        <v>3839</v>
      </c>
      <c r="C2767" t="s">
        <v>10</v>
      </c>
      <c r="D2767" t="s">
        <v>4355</v>
      </c>
    </row>
    <row r="2768" spans="1:4" hidden="1" outlineLevel="2" x14ac:dyDescent="0.3">
      <c r="A2768" t="s">
        <v>4356</v>
      </c>
      <c r="B2768" t="s">
        <v>3839</v>
      </c>
      <c r="C2768" t="s">
        <v>10</v>
      </c>
      <c r="D2768" t="s">
        <v>4357</v>
      </c>
    </row>
    <row r="2769" spans="1:4" hidden="1" outlineLevel="2" x14ac:dyDescent="0.3">
      <c r="A2769" t="s">
        <v>4358</v>
      </c>
      <c r="B2769" t="s">
        <v>3839</v>
      </c>
      <c r="C2769" t="s">
        <v>10</v>
      </c>
      <c r="D2769" t="s">
        <v>4359</v>
      </c>
    </row>
    <row r="2770" spans="1:4" hidden="1" outlineLevel="2" x14ac:dyDescent="0.3">
      <c r="A2770" t="s">
        <v>4360</v>
      </c>
      <c r="B2770" t="s">
        <v>3844</v>
      </c>
      <c r="C2770" t="s">
        <v>10</v>
      </c>
      <c r="D2770" t="s">
        <v>4339</v>
      </c>
    </row>
    <row r="2771" spans="1:4" hidden="1" outlineLevel="2" x14ac:dyDescent="0.3">
      <c r="A2771" t="s">
        <v>4361</v>
      </c>
      <c r="B2771" t="s">
        <v>3844</v>
      </c>
      <c r="C2771" t="s">
        <v>10</v>
      </c>
      <c r="D2771" t="s">
        <v>4342</v>
      </c>
    </row>
    <row r="2772" spans="1:4" hidden="1" outlineLevel="2" x14ac:dyDescent="0.3">
      <c r="A2772" t="s">
        <v>4362</v>
      </c>
      <c r="B2772" t="s">
        <v>3844</v>
      </c>
      <c r="C2772" t="s">
        <v>10</v>
      </c>
      <c r="D2772" t="s">
        <v>4363</v>
      </c>
    </row>
    <row r="2773" spans="1:4" hidden="1" outlineLevel="2" x14ac:dyDescent="0.3">
      <c r="A2773" t="s">
        <v>4364</v>
      </c>
      <c r="B2773" t="s">
        <v>3844</v>
      </c>
      <c r="C2773" t="s">
        <v>8</v>
      </c>
      <c r="D2773" t="s">
        <v>4365</v>
      </c>
    </row>
    <row r="2774" spans="1:4" hidden="1" outlineLevel="2" x14ac:dyDescent="0.3">
      <c r="A2774" t="s">
        <v>4366</v>
      </c>
      <c r="B2774" t="s">
        <v>3844</v>
      </c>
      <c r="C2774" t="s">
        <v>10</v>
      </c>
      <c r="D2774" t="s">
        <v>4367</v>
      </c>
    </row>
    <row r="2775" spans="1:4" hidden="1" outlineLevel="2" x14ac:dyDescent="0.3">
      <c r="A2775" t="s">
        <v>4368</v>
      </c>
      <c r="B2775" t="s">
        <v>3844</v>
      </c>
      <c r="C2775" t="s">
        <v>10</v>
      </c>
      <c r="D2775" t="s">
        <v>2631</v>
      </c>
    </row>
    <row r="2776" spans="1:4" hidden="1" outlineLevel="2" x14ac:dyDescent="0.3">
      <c r="A2776" t="s">
        <v>4369</v>
      </c>
      <c r="B2776" t="s">
        <v>3844</v>
      </c>
      <c r="C2776" t="s">
        <v>10</v>
      </c>
      <c r="D2776" t="s">
        <v>2641</v>
      </c>
    </row>
    <row r="2777" spans="1:4" hidden="1" outlineLevel="2" x14ac:dyDescent="0.3">
      <c r="A2777" t="s">
        <v>4370</v>
      </c>
      <c r="B2777" t="s">
        <v>3844</v>
      </c>
      <c r="C2777" t="s">
        <v>10</v>
      </c>
      <c r="D2777" t="s">
        <v>2651</v>
      </c>
    </row>
    <row r="2778" spans="1:4" hidden="1" outlineLevel="2" x14ac:dyDescent="0.3">
      <c r="A2778" t="s">
        <v>4371</v>
      </c>
      <c r="B2778" t="s">
        <v>3910</v>
      </c>
      <c r="C2778" t="s">
        <v>8</v>
      </c>
      <c r="D2778" t="s">
        <v>2522</v>
      </c>
    </row>
    <row r="2779" spans="1:4" hidden="1" outlineLevel="2" x14ac:dyDescent="0.3">
      <c r="A2779" t="s">
        <v>4372</v>
      </c>
      <c r="B2779" t="s">
        <v>3910</v>
      </c>
      <c r="C2779" t="s">
        <v>8</v>
      </c>
      <c r="D2779" t="s">
        <v>2522</v>
      </c>
    </row>
    <row r="2780" spans="1:4" hidden="1" outlineLevel="2" x14ac:dyDescent="0.3">
      <c r="A2780" t="s">
        <v>4373</v>
      </c>
      <c r="B2780" t="s">
        <v>3910</v>
      </c>
      <c r="C2780" t="s">
        <v>8</v>
      </c>
      <c r="D2780" t="s">
        <v>2522</v>
      </c>
    </row>
    <row r="2781" spans="1:4" hidden="1" outlineLevel="2" x14ac:dyDescent="0.3">
      <c r="A2781" t="s">
        <v>4374</v>
      </c>
      <c r="B2781" t="s">
        <v>3910</v>
      </c>
      <c r="C2781" t="s">
        <v>8</v>
      </c>
      <c r="D2781" t="s">
        <v>2522</v>
      </c>
    </row>
    <row r="2782" spans="1:4" hidden="1" outlineLevel="2" x14ac:dyDescent="0.3">
      <c r="A2782" t="s">
        <v>4375</v>
      </c>
      <c r="B2782" t="s">
        <v>3910</v>
      </c>
      <c r="C2782" t="s">
        <v>8</v>
      </c>
      <c r="D2782" t="s">
        <v>2522</v>
      </c>
    </row>
    <row r="2783" spans="1:4" hidden="1" outlineLevel="2" x14ac:dyDescent="0.3">
      <c r="A2783" t="s">
        <v>4376</v>
      </c>
      <c r="B2783" t="s">
        <v>3910</v>
      </c>
      <c r="C2783" t="s">
        <v>8</v>
      </c>
      <c r="D2783" t="s">
        <v>2522</v>
      </c>
    </row>
    <row r="2784" spans="1:4" hidden="1" outlineLevel="2" x14ac:dyDescent="0.3">
      <c r="A2784" t="s">
        <v>4377</v>
      </c>
      <c r="B2784" t="s">
        <v>3912</v>
      </c>
      <c r="C2784" t="s">
        <v>8</v>
      </c>
      <c r="D2784" s="15" t="s">
        <v>2531</v>
      </c>
    </row>
    <row r="2785" spans="1:4" hidden="1" outlineLevel="2" x14ac:dyDescent="0.3">
      <c r="A2785" t="s">
        <v>4378</v>
      </c>
      <c r="B2785" t="s">
        <v>3912</v>
      </c>
      <c r="C2785" t="s">
        <v>8</v>
      </c>
      <c r="D2785" t="s">
        <v>2531</v>
      </c>
    </row>
    <row r="2786" spans="1:4" hidden="1" outlineLevel="2" x14ac:dyDescent="0.3">
      <c r="A2786" t="s">
        <v>4379</v>
      </c>
      <c r="B2786" t="s">
        <v>3912</v>
      </c>
      <c r="C2786" t="s">
        <v>8</v>
      </c>
      <c r="D2786" t="s">
        <v>2533</v>
      </c>
    </row>
    <row r="2787" spans="1:4" hidden="1" outlineLevel="2" x14ac:dyDescent="0.3">
      <c r="A2787" t="s">
        <v>4380</v>
      </c>
      <c r="B2787" t="s">
        <v>3910</v>
      </c>
      <c r="C2787" t="s">
        <v>8</v>
      </c>
      <c r="D2787" t="s">
        <v>2535</v>
      </c>
    </row>
    <row r="2788" spans="1:4" hidden="1" outlineLevel="2" x14ac:dyDescent="0.3">
      <c r="A2788" t="s">
        <v>4381</v>
      </c>
      <c r="B2788" t="s">
        <v>3910</v>
      </c>
      <c r="C2788" t="s">
        <v>8</v>
      </c>
      <c r="D2788" t="s">
        <v>2535</v>
      </c>
    </row>
    <row r="2789" spans="1:4" hidden="1" outlineLevel="2" x14ac:dyDescent="0.3">
      <c r="A2789" t="s">
        <v>4382</v>
      </c>
      <c r="B2789" t="s">
        <v>3910</v>
      </c>
      <c r="C2789" t="s">
        <v>8</v>
      </c>
      <c r="D2789" t="s">
        <v>2535</v>
      </c>
    </row>
    <row r="2790" spans="1:4" hidden="1" outlineLevel="2" x14ac:dyDescent="0.3">
      <c r="A2790" t="s">
        <v>4383</v>
      </c>
      <c r="B2790" t="s">
        <v>3912</v>
      </c>
      <c r="C2790" t="s">
        <v>8</v>
      </c>
      <c r="D2790" t="s">
        <v>2535</v>
      </c>
    </row>
    <row r="2791" spans="1:4" hidden="1" outlineLevel="2" x14ac:dyDescent="0.3">
      <c r="A2791" t="s">
        <v>4384</v>
      </c>
      <c r="B2791" t="s">
        <v>3912</v>
      </c>
      <c r="C2791" t="s">
        <v>8</v>
      </c>
      <c r="D2791" t="s">
        <v>2535</v>
      </c>
    </row>
    <row r="2792" spans="1:4" hidden="1" outlineLevel="2" x14ac:dyDescent="0.3">
      <c r="A2792" t="s">
        <v>4385</v>
      </c>
      <c r="B2792" t="s">
        <v>3912</v>
      </c>
      <c r="C2792" t="s">
        <v>8</v>
      </c>
      <c r="D2792" t="s">
        <v>2587</v>
      </c>
    </row>
    <row r="2793" spans="1:4" hidden="1" outlineLevel="2" x14ac:dyDescent="0.3">
      <c r="A2793" t="s">
        <v>4386</v>
      </c>
      <c r="B2793" t="s">
        <v>3910</v>
      </c>
      <c r="C2793" t="s">
        <v>8</v>
      </c>
      <c r="D2793" t="s">
        <v>2589</v>
      </c>
    </row>
    <row r="2794" spans="1:4" hidden="1" outlineLevel="2" x14ac:dyDescent="0.3">
      <c r="A2794" t="s">
        <v>4387</v>
      </c>
      <c r="B2794" t="s">
        <v>3910</v>
      </c>
      <c r="C2794" t="s">
        <v>8</v>
      </c>
      <c r="D2794" t="s">
        <v>4388</v>
      </c>
    </row>
    <row r="2795" spans="1:4" hidden="1" outlineLevel="2" x14ac:dyDescent="0.3">
      <c r="A2795" t="s">
        <v>4389</v>
      </c>
      <c r="B2795" t="s">
        <v>48</v>
      </c>
      <c r="C2795" t="s">
        <v>10</v>
      </c>
      <c r="D2795" t="s">
        <v>3716</v>
      </c>
    </row>
    <row r="2796" spans="1:4" hidden="1" outlineLevel="2" x14ac:dyDescent="0.3">
      <c r="A2796" t="s">
        <v>4390</v>
      </c>
      <c r="B2796" t="s">
        <v>3839</v>
      </c>
      <c r="C2796" t="s">
        <v>10</v>
      </c>
      <c r="D2796" t="s">
        <v>4391</v>
      </c>
    </row>
    <row r="2797" spans="1:4" hidden="1" outlineLevel="2" x14ac:dyDescent="0.3">
      <c r="A2797" t="s">
        <v>4392</v>
      </c>
      <c r="B2797" t="s">
        <v>3839</v>
      </c>
      <c r="C2797" t="s">
        <v>10</v>
      </c>
      <c r="D2797" t="s">
        <v>2719</v>
      </c>
    </row>
    <row r="2798" spans="1:4" hidden="1" outlineLevel="2" x14ac:dyDescent="0.3">
      <c r="A2798" t="s">
        <v>4393</v>
      </c>
      <c r="B2798" t="s">
        <v>3839</v>
      </c>
      <c r="C2798" t="s">
        <v>10</v>
      </c>
      <c r="D2798" t="s">
        <v>2721</v>
      </c>
    </row>
    <row r="2799" spans="1:4" hidden="1" outlineLevel="2" x14ac:dyDescent="0.3">
      <c r="A2799" t="s">
        <v>4394</v>
      </c>
      <c r="B2799" t="s">
        <v>3839</v>
      </c>
      <c r="C2799" t="s">
        <v>10</v>
      </c>
      <c r="D2799" t="s">
        <v>2723</v>
      </c>
    </row>
    <row r="2800" spans="1:4" hidden="1" outlineLevel="2" x14ac:dyDescent="0.3">
      <c r="A2800" t="s">
        <v>4395</v>
      </c>
      <c r="B2800" t="s">
        <v>3839</v>
      </c>
      <c r="C2800" t="s">
        <v>10</v>
      </c>
      <c r="D2800" t="s">
        <v>2725</v>
      </c>
    </row>
    <row r="2801" spans="1:4" hidden="1" outlineLevel="2" x14ac:dyDescent="0.3">
      <c r="A2801" t="s">
        <v>4396</v>
      </c>
      <c r="B2801" t="s">
        <v>3839</v>
      </c>
      <c r="C2801" t="s">
        <v>10</v>
      </c>
      <c r="D2801" t="s">
        <v>2727</v>
      </c>
    </row>
    <row r="2802" spans="1:4" hidden="1" outlineLevel="2" x14ac:dyDescent="0.3">
      <c r="A2802" t="s">
        <v>4397</v>
      </c>
      <c r="B2802" t="s">
        <v>3839</v>
      </c>
      <c r="C2802" t="s">
        <v>10</v>
      </c>
      <c r="D2802" t="s">
        <v>2729</v>
      </c>
    </row>
    <row r="2803" spans="1:4" hidden="1" outlineLevel="2" x14ac:dyDescent="0.3">
      <c r="A2803" t="s">
        <v>4398</v>
      </c>
      <c r="B2803" t="s">
        <v>3839</v>
      </c>
      <c r="C2803" t="s">
        <v>10</v>
      </c>
      <c r="D2803" t="s">
        <v>2731</v>
      </c>
    </row>
    <row r="2804" spans="1:4" hidden="1" outlineLevel="2" x14ac:dyDescent="0.3">
      <c r="A2804" t="s">
        <v>4399</v>
      </c>
      <c r="B2804" t="s">
        <v>3839</v>
      </c>
      <c r="C2804" t="s">
        <v>10</v>
      </c>
      <c r="D2804" t="s">
        <v>2733</v>
      </c>
    </row>
    <row r="2805" spans="1:4" hidden="1" outlineLevel="2" x14ac:dyDescent="0.3">
      <c r="A2805" t="s">
        <v>4400</v>
      </c>
      <c r="B2805" t="s">
        <v>3839</v>
      </c>
      <c r="C2805" t="s">
        <v>10</v>
      </c>
      <c r="D2805" t="s">
        <v>2735</v>
      </c>
    </row>
    <row r="2806" spans="1:4" hidden="1" outlineLevel="2" x14ac:dyDescent="0.3">
      <c r="A2806" t="s">
        <v>4401</v>
      </c>
      <c r="B2806" t="s">
        <v>3839</v>
      </c>
      <c r="C2806" t="s">
        <v>10</v>
      </c>
      <c r="D2806" t="s">
        <v>2737</v>
      </c>
    </row>
    <row r="2807" spans="1:4" hidden="1" outlineLevel="2" x14ac:dyDescent="0.3">
      <c r="A2807" t="s">
        <v>4402</v>
      </c>
      <c r="B2807" t="s">
        <v>3839</v>
      </c>
      <c r="C2807" t="s">
        <v>10</v>
      </c>
      <c r="D2807" t="s">
        <v>2739</v>
      </c>
    </row>
    <row r="2808" spans="1:4" hidden="1" outlineLevel="2" x14ac:dyDescent="0.3">
      <c r="A2808" t="s">
        <v>4403</v>
      </c>
      <c r="B2808" t="s">
        <v>3839</v>
      </c>
      <c r="C2808" t="s">
        <v>10</v>
      </c>
      <c r="D2808" t="s">
        <v>2741</v>
      </c>
    </row>
    <row r="2809" spans="1:4" hidden="1" outlineLevel="2" x14ac:dyDescent="0.3">
      <c r="A2809" t="s">
        <v>4404</v>
      </c>
      <c r="B2809" t="s">
        <v>3839</v>
      </c>
      <c r="C2809" t="s">
        <v>10</v>
      </c>
      <c r="D2809" t="s">
        <v>2743</v>
      </c>
    </row>
    <row r="2810" spans="1:4" hidden="1" outlineLevel="2" x14ac:dyDescent="0.3">
      <c r="A2810" t="s">
        <v>4405</v>
      </c>
      <c r="B2810" t="s">
        <v>3839</v>
      </c>
      <c r="C2810" t="s">
        <v>8</v>
      </c>
      <c r="D2810" t="s">
        <v>2745</v>
      </c>
    </row>
    <row r="2811" spans="1:4" hidden="1" outlineLevel="2" x14ac:dyDescent="0.3">
      <c r="A2811" t="s">
        <v>4406</v>
      </c>
      <c r="B2811" t="s">
        <v>3839</v>
      </c>
      <c r="C2811" t="s">
        <v>8</v>
      </c>
      <c r="D2811" t="s">
        <v>2747</v>
      </c>
    </row>
    <row r="2812" spans="1:4" hidden="1" outlineLevel="2" x14ac:dyDescent="0.3">
      <c r="A2812" t="s">
        <v>4407</v>
      </c>
      <c r="B2812" t="s">
        <v>3839</v>
      </c>
      <c r="C2812" t="s">
        <v>10</v>
      </c>
      <c r="D2812" t="s">
        <v>2749</v>
      </c>
    </row>
    <row r="2813" spans="1:4" hidden="1" outlineLevel="2" x14ac:dyDescent="0.3">
      <c r="A2813" t="s">
        <v>4408</v>
      </c>
      <c r="B2813" t="s">
        <v>3839</v>
      </c>
      <c r="C2813" t="s">
        <v>8</v>
      </c>
      <c r="D2813" t="s">
        <v>2751</v>
      </c>
    </row>
    <row r="2814" spans="1:4" hidden="1" outlineLevel="2" x14ac:dyDescent="0.3">
      <c r="A2814" t="s">
        <v>4409</v>
      </c>
      <c r="B2814" t="s">
        <v>3839</v>
      </c>
      <c r="C2814" t="s">
        <v>8</v>
      </c>
      <c r="D2814" t="s">
        <v>2753</v>
      </c>
    </row>
    <row r="2815" spans="1:4" hidden="1" outlineLevel="2" x14ac:dyDescent="0.3">
      <c r="A2815" t="s">
        <v>4410</v>
      </c>
      <c r="B2815" t="s">
        <v>3839</v>
      </c>
      <c r="C2815" t="s">
        <v>10</v>
      </c>
      <c r="D2815" t="s">
        <v>2755</v>
      </c>
    </row>
    <row r="2816" spans="1:4" hidden="1" outlineLevel="2" x14ac:dyDescent="0.3">
      <c r="A2816" t="s">
        <v>4411</v>
      </c>
      <c r="B2816" t="s">
        <v>3839</v>
      </c>
      <c r="C2816" t="s">
        <v>10</v>
      </c>
      <c r="D2816" t="s">
        <v>2757</v>
      </c>
    </row>
    <row r="2817" spans="1:4" hidden="1" outlineLevel="2" x14ac:dyDescent="0.3">
      <c r="A2817" t="s">
        <v>4412</v>
      </c>
      <c r="B2817" t="s">
        <v>3839</v>
      </c>
      <c r="C2817" t="s">
        <v>10</v>
      </c>
      <c r="D2817" t="s">
        <v>2759</v>
      </c>
    </row>
    <row r="2818" spans="1:4" hidden="1" outlineLevel="2" x14ac:dyDescent="0.3">
      <c r="A2818" t="s">
        <v>4413</v>
      </c>
      <c r="B2818" t="s">
        <v>3839</v>
      </c>
      <c r="C2818" t="s">
        <v>10</v>
      </c>
      <c r="D2818" t="s">
        <v>2761</v>
      </c>
    </row>
    <row r="2819" spans="1:4" hidden="1" outlineLevel="2" x14ac:dyDescent="0.3">
      <c r="A2819" t="s">
        <v>4414</v>
      </c>
      <c r="B2819" t="s">
        <v>3839</v>
      </c>
      <c r="C2819" t="s">
        <v>10</v>
      </c>
      <c r="D2819" t="s">
        <v>2763</v>
      </c>
    </row>
    <row r="2820" spans="1:4" hidden="1" outlineLevel="2" x14ac:dyDescent="0.3">
      <c r="A2820" t="s">
        <v>4415</v>
      </c>
      <c r="B2820" t="s">
        <v>3839</v>
      </c>
      <c r="C2820" t="s">
        <v>10</v>
      </c>
      <c r="D2820" t="s">
        <v>2765</v>
      </c>
    </row>
    <row r="2821" spans="1:4" hidden="1" outlineLevel="2" x14ac:dyDescent="0.3">
      <c r="A2821" t="s">
        <v>4416</v>
      </c>
      <c r="B2821" t="s">
        <v>3839</v>
      </c>
      <c r="C2821" t="s">
        <v>10</v>
      </c>
      <c r="D2821" t="s">
        <v>2767</v>
      </c>
    </row>
    <row r="2822" spans="1:4" hidden="1" outlineLevel="2" x14ac:dyDescent="0.3">
      <c r="A2822" t="s">
        <v>4417</v>
      </c>
      <c r="B2822" t="s">
        <v>3839</v>
      </c>
      <c r="C2822" t="s">
        <v>10</v>
      </c>
      <c r="D2822" t="s">
        <v>2769</v>
      </c>
    </row>
    <row r="2823" spans="1:4" hidden="1" outlineLevel="2" x14ac:dyDescent="0.3">
      <c r="A2823" t="s">
        <v>4418</v>
      </c>
      <c r="B2823" t="s">
        <v>3839</v>
      </c>
      <c r="C2823" t="s">
        <v>10</v>
      </c>
      <c r="D2823" t="s">
        <v>2771</v>
      </c>
    </row>
    <row r="2824" spans="1:4" hidden="1" outlineLevel="2" x14ac:dyDescent="0.3">
      <c r="A2824" t="s">
        <v>4419</v>
      </c>
      <c r="B2824" t="s">
        <v>3839</v>
      </c>
      <c r="C2824" t="s">
        <v>10</v>
      </c>
      <c r="D2824" t="s">
        <v>2773</v>
      </c>
    </row>
    <row r="2825" spans="1:4" hidden="1" outlineLevel="2" x14ac:dyDescent="0.3">
      <c r="A2825" t="s">
        <v>4420</v>
      </c>
      <c r="B2825" t="s">
        <v>3839</v>
      </c>
      <c r="C2825" t="s">
        <v>10</v>
      </c>
      <c r="D2825" t="s">
        <v>4421</v>
      </c>
    </row>
    <row r="2826" spans="1:4" hidden="1" outlineLevel="2" x14ac:dyDescent="0.3">
      <c r="A2826" t="s">
        <v>4422</v>
      </c>
      <c r="B2826" t="s">
        <v>3839</v>
      </c>
      <c r="C2826" t="s">
        <v>10</v>
      </c>
      <c r="D2826" t="s">
        <v>2775</v>
      </c>
    </row>
    <row r="2827" spans="1:4" hidden="1" outlineLevel="2" x14ac:dyDescent="0.3">
      <c r="A2827" t="s">
        <v>4423</v>
      </c>
      <c r="B2827" t="s">
        <v>3839</v>
      </c>
      <c r="C2827" t="s">
        <v>8</v>
      </c>
      <c r="D2827" t="s">
        <v>4424</v>
      </c>
    </row>
    <row r="2828" spans="1:4" hidden="1" outlineLevel="2" x14ac:dyDescent="0.3">
      <c r="A2828" t="s">
        <v>4425</v>
      </c>
      <c r="B2828" t="s">
        <v>3839</v>
      </c>
      <c r="C2828" t="s">
        <v>10</v>
      </c>
      <c r="D2828" t="s">
        <v>2781</v>
      </c>
    </row>
    <row r="2829" spans="1:4" hidden="1" outlineLevel="2" x14ac:dyDescent="0.3">
      <c r="A2829" t="s">
        <v>4426</v>
      </c>
      <c r="B2829" t="s">
        <v>3839</v>
      </c>
      <c r="C2829" t="s">
        <v>10</v>
      </c>
      <c r="D2829" t="s">
        <v>2789</v>
      </c>
    </row>
    <row r="2830" spans="1:4" hidden="1" outlineLevel="2" x14ac:dyDescent="0.3">
      <c r="A2830" t="s">
        <v>4427</v>
      </c>
      <c r="B2830" t="s">
        <v>3839</v>
      </c>
      <c r="C2830" t="s">
        <v>10</v>
      </c>
      <c r="D2830" t="s">
        <v>2793</v>
      </c>
    </row>
    <row r="2831" spans="1:4" hidden="1" outlineLevel="2" x14ac:dyDescent="0.3">
      <c r="A2831" t="s">
        <v>4428</v>
      </c>
      <c r="B2831" t="s">
        <v>3839</v>
      </c>
      <c r="C2831" t="s">
        <v>10</v>
      </c>
      <c r="D2831" t="s">
        <v>2795</v>
      </c>
    </row>
    <row r="2832" spans="1:4" hidden="1" outlineLevel="2" x14ac:dyDescent="0.3">
      <c r="A2832" t="s">
        <v>4429</v>
      </c>
      <c r="B2832" t="s">
        <v>3839</v>
      </c>
      <c r="C2832" t="s">
        <v>10</v>
      </c>
      <c r="D2832" t="s">
        <v>2797</v>
      </c>
    </row>
    <row r="2833" spans="1:4" hidden="1" outlineLevel="2" x14ac:dyDescent="0.3">
      <c r="A2833" t="s">
        <v>4430</v>
      </c>
      <c r="B2833" t="s">
        <v>3839</v>
      </c>
      <c r="C2833" t="s">
        <v>10</v>
      </c>
      <c r="D2833" t="s">
        <v>2799</v>
      </c>
    </row>
    <row r="2834" spans="1:4" hidden="1" outlineLevel="2" x14ac:dyDescent="0.3">
      <c r="A2834" t="s">
        <v>4431</v>
      </c>
      <c r="B2834" t="s">
        <v>3839</v>
      </c>
      <c r="C2834" t="s">
        <v>10</v>
      </c>
      <c r="D2834" t="s">
        <v>2801</v>
      </c>
    </row>
    <row r="2835" spans="1:4" hidden="1" outlineLevel="2" x14ac:dyDescent="0.3">
      <c r="A2835" t="s">
        <v>4432</v>
      </c>
      <c r="B2835" t="s">
        <v>3839</v>
      </c>
      <c r="C2835" t="s">
        <v>10</v>
      </c>
      <c r="D2835" t="s">
        <v>2803</v>
      </c>
    </row>
    <row r="2836" spans="1:4" hidden="1" outlineLevel="2" x14ac:dyDescent="0.3">
      <c r="A2836" t="s">
        <v>4433</v>
      </c>
      <c r="B2836" t="s">
        <v>3839</v>
      </c>
      <c r="C2836" t="s">
        <v>10</v>
      </c>
      <c r="D2836" t="s">
        <v>2805</v>
      </c>
    </row>
    <row r="2837" spans="1:4" hidden="1" outlineLevel="2" x14ac:dyDescent="0.3">
      <c r="A2837" t="s">
        <v>4434</v>
      </c>
      <c r="B2837" t="s">
        <v>3839</v>
      </c>
      <c r="C2837" t="s">
        <v>10</v>
      </c>
      <c r="D2837" t="s">
        <v>2807</v>
      </c>
    </row>
    <row r="2838" spans="1:4" hidden="1" outlineLevel="2" x14ac:dyDescent="0.3">
      <c r="A2838" t="s">
        <v>4435</v>
      </c>
      <c r="B2838" t="s">
        <v>3839</v>
      </c>
      <c r="C2838" t="s">
        <v>10</v>
      </c>
      <c r="D2838" t="s">
        <v>2809</v>
      </c>
    </row>
    <row r="2839" spans="1:4" hidden="1" outlineLevel="2" x14ac:dyDescent="0.3">
      <c r="A2839" t="s">
        <v>4436</v>
      </c>
      <c r="B2839" t="s">
        <v>3839</v>
      </c>
      <c r="C2839" t="s">
        <v>10</v>
      </c>
      <c r="D2839" t="s">
        <v>2811</v>
      </c>
    </row>
    <row r="2840" spans="1:4" hidden="1" outlineLevel="2" x14ac:dyDescent="0.3">
      <c r="A2840" t="s">
        <v>4437</v>
      </c>
      <c r="B2840" t="s">
        <v>3839</v>
      </c>
      <c r="C2840" t="s">
        <v>10</v>
      </c>
      <c r="D2840" t="s">
        <v>2813</v>
      </c>
    </row>
    <row r="2841" spans="1:4" hidden="1" outlineLevel="2" x14ac:dyDescent="0.3">
      <c r="A2841" t="s">
        <v>4438</v>
      </c>
      <c r="B2841" t="s">
        <v>3839</v>
      </c>
      <c r="C2841" t="s">
        <v>10</v>
      </c>
      <c r="D2841" t="s">
        <v>2815</v>
      </c>
    </row>
    <row r="2842" spans="1:4" hidden="1" outlineLevel="2" x14ac:dyDescent="0.3">
      <c r="A2842" t="s">
        <v>4439</v>
      </c>
      <c r="B2842" t="s">
        <v>3839</v>
      </c>
      <c r="C2842" t="s">
        <v>10</v>
      </c>
      <c r="D2842" t="s">
        <v>2817</v>
      </c>
    </row>
    <row r="2843" spans="1:4" hidden="1" outlineLevel="2" x14ac:dyDescent="0.3">
      <c r="A2843" t="s">
        <v>4440</v>
      </c>
      <c r="B2843" t="s">
        <v>3839</v>
      </c>
      <c r="C2843" t="s">
        <v>10</v>
      </c>
      <c r="D2843" t="s">
        <v>2819</v>
      </c>
    </row>
    <row r="2844" spans="1:4" hidden="1" outlineLevel="2" x14ac:dyDescent="0.3">
      <c r="A2844" t="s">
        <v>4441</v>
      </c>
      <c r="B2844" t="s">
        <v>3839</v>
      </c>
      <c r="C2844" t="s">
        <v>10</v>
      </c>
      <c r="D2844" t="s">
        <v>2707</v>
      </c>
    </row>
    <row r="2845" spans="1:4" hidden="1" outlineLevel="2" x14ac:dyDescent="0.3">
      <c r="A2845" t="s">
        <v>4442</v>
      </c>
      <c r="B2845" t="s">
        <v>3839</v>
      </c>
      <c r="C2845" t="s">
        <v>10</v>
      </c>
      <c r="D2845" t="s">
        <v>3191</v>
      </c>
    </row>
    <row r="2846" spans="1:4" hidden="1" outlineLevel="2" x14ac:dyDescent="0.3">
      <c r="A2846" t="s">
        <v>4443</v>
      </c>
      <c r="B2846" t="s">
        <v>3839</v>
      </c>
      <c r="C2846" t="s">
        <v>10</v>
      </c>
      <c r="D2846" t="s">
        <v>3193</v>
      </c>
    </row>
    <row r="2847" spans="1:4" hidden="1" outlineLevel="2" x14ac:dyDescent="0.3">
      <c r="A2847" t="s">
        <v>4444</v>
      </c>
      <c r="B2847" t="s">
        <v>3839</v>
      </c>
      <c r="C2847" t="s">
        <v>10</v>
      </c>
      <c r="D2847" t="s">
        <v>3199</v>
      </c>
    </row>
    <row r="2848" spans="1:4" hidden="1" outlineLevel="2" x14ac:dyDescent="0.3">
      <c r="A2848" t="s">
        <v>4445</v>
      </c>
      <c r="B2848" t="s">
        <v>3839</v>
      </c>
      <c r="C2848" t="s">
        <v>10</v>
      </c>
      <c r="D2848" t="s">
        <v>3203</v>
      </c>
    </row>
    <row r="2849" spans="1:4" hidden="1" outlineLevel="2" x14ac:dyDescent="0.3">
      <c r="A2849" t="s">
        <v>4446</v>
      </c>
      <c r="B2849" t="s">
        <v>3839</v>
      </c>
      <c r="C2849" t="s">
        <v>10</v>
      </c>
      <c r="D2849" t="s">
        <v>3209</v>
      </c>
    </row>
    <row r="2850" spans="1:4" hidden="1" outlineLevel="2" x14ac:dyDescent="0.3">
      <c r="A2850" t="s">
        <v>4447</v>
      </c>
      <c r="B2850" t="s">
        <v>3839</v>
      </c>
      <c r="C2850" t="s">
        <v>10</v>
      </c>
      <c r="D2850" t="s">
        <v>3215</v>
      </c>
    </row>
    <row r="2851" spans="1:4" hidden="1" outlineLevel="2" x14ac:dyDescent="0.3">
      <c r="A2851" t="s">
        <v>4448</v>
      </c>
      <c r="B2851" t="s">
        <v>3839</v>
      </c>
      <c r="C2851" t="s">
        <v>10</v>
      </c>
      <c r="D2851" t="s">
        <v>3219</v>
      </c>
    </row>
    <row r="2852" spans="1:4" hidden="1" outlineLevel="2" x14ac:dyDescent="0.3">
      <c r="A2852" t="s">
        <v>4449</v>
      </c>
      <c r="B2852" t="s">
        <v>3839</v>
      </c>
      <c r="C2852" t="s">
        <v>10</v>
      </c>
      <c r="D2852" t="s">
        <v>3225</v>
      </c>
    </row>
    <row r="2853" spans="1:4" hidden="1" outlineLevel="2" x14ac:dyDescent="0.3">
      <c r="A2853" t="s">
        <v>4450</v>
      </c>
      <c r="B2853" t="s">
        <v>3844</v>
      </c>
      <c r="C2853" t="s">
        <v>8</v>
      </c>
      <c r="D2853" t="s">
        <v>3633</v>
      </c>
    </row>
    <row r="2854" spans="1:4" hidden="1" outlineLevel="2" x14ac:dyDescent="0.3">
      <c r="A2854" t="s">
        <v>4451</v>
      </c>
      <c r="B2854" t="s">
        <v>3899</v>
      </c>
      <c r="C2854" t="s">
        <v>10</v>
      </c>
      <c r="D2854" t="s">
        <v>4452</v>
      </c>
    </row>
    <row r="2855" spans="1:4" hidden="1" outlineLevel="2" x14ac:dyDescent="0.3">
      <c r="A2855" t="s">
        <v>4453</v>
      </c>
      <c r="B2855" t="s">
        <v>3844</v>
      </c>
      <c r="C2855" t="s">
        <v>10</v>
      </c>
      <c r="D2855" t="s">
        <v>4454</v>
      </c>
    </row>
    <row r="2856" spans="1:4" hidden="1" outlineLevel="2" x14ac:dyDescent="0.3">
      <c r="A2856" t="s">
        <v>4455</v>
      </c>
      <c r="B2856" t="s">
        <v>3844</v>
      </c>
      <c r="C2856" t="s">
        <v>10</v>
      </c>
      <c r="D2856" t="s">
        <v>4456</v>
      </c>
    </row>
    <row r="2857" spans="1:4" hidden="1" outlineLevel="2" x14ac:dyDescent="0.3">
      <c r="A2857" t="s">
        <v>4457</v>
      </c>
      <c r="B2857" t="s">
        <v>3844</v>
      </c>
      <c r="C2857" t="s">
        <v>10</v>
      </c>
      <c r="D2857" t="s">
        <v>4458</v>
      </c>
    </row>
    <row r="2858" spans="1:4" hidden="1" outlineLevel="2" x14ac:dyDescent="0.3">
      <c r="A2858" t="s">
        <v>4459</v>
      </c>
      <c r="B2858" t="s">
        <v>3844</v>
      </c>
      <c r="C2858" t="s">
        <v>10</v>
      </c>
      <c r="D2858" t="s">
        <v>4460</v>
      </c>
    </row>
    <row r="2859" spans="1:4" hidden="1" outlineLevel="2" x14ac:dyDescent="0.3">
      <c r="A2859" t="s">
        <v>4461</v>
      </c>
      <c r="B2859" t="s">
        <v>3910</v>
      </c>
      <c r="C2859" t="s">
        <v>8</v>
      </c>
      <c r="D2859" t="s">
        <v>3182</v>
      </c>
    </row>
    <row r="2860" spans="1:4" hidden="1" outlineLevel="2" x14ac:dyDescent="0.3">
      <c r="A2860" t="s">
        <v>4462</v>
      </c>
      <c r="B2860" t="s">
        <v>3912</v>
      </c>
      <c r="C2860" t="s">
        <v>8</v>
      </c>
      <c r="D2860" t="s">
        <v>3182</v>
      </c>
    </row>
    <row r="2861" spans="1:4" hidden="1" outlineLevel="2" x14ac:dyDescent="0.3">
      <c r="A2861" t="s">
        <v>4463</v>
      </c>
      <c r="B2861" t="s">
        <v>3912</v>
      </c>
      <c r="C2861" t="s">
        <v>8</v>
      </c>
      <c r="D2861" t="s">
        <v>3182</v>
      </c>
    </row>
    <row r="2862" spans="1:4" hidden="1" outlineLevel="2" x14ac:dyDescent="0.3">
      <c r="A2862" t="s">
        <v>4464</v>
      </c>
      <c r="B2862" t="s">
        <v>3912</v>
      </c>
      <c r="C2862" t="s">
        <v>8</v>
      </c>
      <c r="D2862" t="s">
        <v>3182</v>
      </c>
    </row>
    <row r="2863" spans="1:4" hidden="1" outlineLevel="2" x14ac:dyDescent="0.3">
      <c r="A2863" t="s">
        <v>4465</v>
      </c>
      <c r="B2863" t="s">
        <v>3912</v>
      </c>
      <c r="C2863" t="s">
        <v>8</v>
      </c>
      <c r="D2863" t="s">
        <v>3182</v>
      </c>
    </row>
    <row r="2864" spans="1:4" hidden="1" outlineLevel="2" x14ac:dyDescent="0.3">
      <c r="A2864" t="s">
        <v>4466</v>
      </c>
      <c r="B2864" t="s">
        <v>3912</v>
      </c>
      <c r="C2864" t="s">
        <v>8</v>
      </c>
      <c r="D2864" t="s">
        <v>3185</v>
      </c>
    </row>
    <row r="2865" spans="1:4" hidden="1" outlineLevel="2" x14ac:dyDescent="0.3">
      <c r="A2865" t="s">
        <v>4467</v>
      </c>
      <c r="B2865" t="s">
        <v>1947</v>
      </c>
      <c r="C2865" t="s">
        <v>8</v>
      </c>
      <c r="D2865" t="s">
        <v>3180</v>
      </c>
    </row>
    <row r="2866" spans="1:4" hidden="1" outlineLevel="2" x14ac:dyDescent="0.3">
      <c r="A2866" t="s">
        <v>4468</v>
      </c>
      <c r="B2866" t="s">
        <v>3910</v>
      </c>
      <c r="C2866" t="s">
        <v>8</v>
      </c>
      <c r="D2866" t="s">
        <v>3180</v>
      </c>
    </row>
    <row r="2867" spans="1:4" hidden="1" outlineLevel="2" x14ac:dyDescent="0.3">
      <c r="A2867" t="s">
        <v>4469</v>
      </c>
      <c r="B2867" t="s">
        <v>3910</v>
      </c>
      <c r="C2867" t="s">
        <v>8</v>
      </c>
      <c r="D2867" t="s">
        <v>3180</v>
      </c>
    </row>
    <row r="2868" spans="1:4" hidden="1" outlineLevel="2" x14ac:dyDescent="0.3">
      <c r="A2868" t="s">
        <v>4470</v>
      </c>
      <c r="B2868" t="s">
        <v>3910</v>
      </c>
      <c r="C2868" t="s">
        <v>8</v>
      </c>
      <c r="D2868" t="s">
        <v>3180</v>
      </c>
    </row>
    <row r="2869" spans="1:4" hidden="1" outlineLevel="2" x14ac:dyDescent="0.3">
      <c r="A2869" t="s">
        <v>4471</v>
      </c>
      <c r="B2869" t="s">
        <v>3910</v>
      </c>
      <c r="C2869" t="s">
        <v>8</v>
      </c>
      <c r="D2869" t="s">
        <v>3180</v>
      </c>
    </row>
    <row r="2870" spans="1:4" hidden="1" outlineLevel="2" x14ac:dyDescent="0.3">
      <c r="A2870" t="s">
        <v>4472</v>
      </c>
      <c r="B2870" t="s">
        <v>3912</v>
      </c>
      <c r="C2870" t="s">
        <v>8</v>
      </c>
      <c r="D2870" t="s">
        <v>3180</v>
      </c>
    </row>
    <row r="2871" spans="1:4" hidden="1" outlineLevel="2" x14ac:dyDescent="0.3">
      <c r="A2871" t="s">
        <v>4473</v>
      </c>
      <c r="B2871" t="s">
        <v>3912</v>
      </c>
      <c r="C2871" t="s">
        <v>8</v>
      </c>
      <c r="D2871" t="s">
        <v>3180</v>
      </c>
    </row>
    <row r="2872" spans="1:4" hidden="1" outlineLevel="2" x14ac:dyDescent="0.3">
      <c r="A2872" t="s">
        <v>4474</v>
      </c>
      <c r="B2872" t="s">
        <v>48</v>
      </c>
      <c r="C2872" t="s">
        <v>10</v>
      </c>
      <c r="D2872" t="s">
        <v>4452</v>
      </c>
    </row>
    <row r="2873" spans="1:4" hidden="1" outlineLevel="2" x14ac:dyDescent="0.3">
      <c r="A2873" t="s">
        <v>4475</v>
      </c>
      <c r="B2873" t="s">
        <v>3839</v>
      </c>
      <c r="C2873" t="s">
        <v>10</v>
      </c>
      <c r="D2873" t="s">
        <v>4476</v>
      </c>
    </row>
    <row r="2874" spans="1:4" hidden="1" outlineLevel="2" x14ac:dyDescent="0.3">
      <c r="A2874" t="s">
        <v>4477</v>
      </c>
      <c r="B2874" t="s">
        <v>3839</v>
      </c>
      <c r="C2874" t="s">
        <v>10</v>
      </c>
      <c r="D2874" t="s">
        <v>4478</v>
      </c>
    </row>
    <row r="2875" spans="1:4" hidden="1" outlineLevel="2" x14ac:dyDescent="0.3">
      <c r="A2875" t="s">
        <v>4479</v>
      </c>
      <c r="B2875" t="s">
        <v>3839</v>
      </c>
      <c r="C2875" t="s">
        <v>10</v>
      </c>
      <c r="D2875" t="s">
        <v>4480</v>
      </c>
    </row>
    <row r="2876" spans="1:4" hidden="1" outlineLevel="2" x14ac:dyDescent="0.3">
      <c r="A2876" t="s">
        <v>4481</v>
      </c>
      <c r="B2876" t="s">
        <v>3839</v>
      </c>
      <c r="C2876" t="s">
        <v>10</v>
      </c>
      <c r="D2876" t="s">
        <v>4482</v>
      </c>
    </row>
    <row r="2877" spans="1:4" hidden="1" outlineLevel="2" x14ac:dyDescent="0.3">
      <c r="A2877" t="s">
        <v>4483</v>
      </c>
      <c r="B2877" t="s">
        <v>3839</v>
      </c>
      <c r="C2877" t="s">
        <v>8</v>
      </c>
      <c r="D2877" t="s">
        <v>4484</v>
      </c>
    </row>
    <row r="2878" spans="1:4" hidden="1" outlineLevel="2" x14ac:dyDescent="0.3">
      <c r="A2878" t="s">
        <v>4485</v>
      </c>
      <c r="B2878" t="s">
        <v>3839</v>
      </c>
      <c r="C2878" t="s">
        <v>10</v>
      </c>
      <c r="D2878" t="s">
        <v>4391</v>
      </c>
    </row>
    <row r="2879" spans="1:4" hidden="1" outlineLevel="2" x14ac:dyDescent="0.3">
      <c r="A2879" t="s">
        <v>4486</v>
      </c>
      <c r="B2879" t="s">
        <v>3839</v>
      </c>
      <c r="C2879" t="s">
        <v>10</v>
      </c>
      <c r="D2879" t="s">
        <v>4487</v>
      </c>
    </row>
    <row r="2880" spans="1:4" hidden="1" outlineLevel="2" x14ac:dyDescent="0.3">
      <c r="A2880" t="s">
        <v>4488</v>
      </c>
      <c r="B2880" t="s">
        <v>3839</v>
      </c>
      <c r="C2880" t="s">
        <v>8</v>
      </c>
      <c r="D2880" t="s">
        <v>4489</v>
      </c>
    </row>
    <row r="2881" spans="1:4" hidden="1" outlineLevel="2" x14ac:dyDescent="0.3">
      <c r="A2881" t="s">
        <v>4490</v>
      </c>
      <c r="B2881" t="s">
        <v>3839</v>
      </c>
      <c r="C2881" t="s">
        <v>10</v>
      </c>
      <c r="D2881" t="s">
        <v>4491</v>
      </c>
    </row>
    <row r="2882" spans="1:4" hidden="1" outlineLevel="2" x14ac:dyDescent="0.3">
      <c r="A2882" t="s">
        <v>4492</v>
      </c>
      <c r="B2882" t="s">
        <v>3839</v>
      </c>
      <c r="C2882" t="s">
        <v>10</v>
      </c>
      <c r="D2882" t="s">
        <v>4493</v>
      </c>
    </row>
    <row r="2883" spans="1:4" hidden="1" outlineLevel="2" x14ac:dyDescent="0.3">
      <c r="A2883" t="s">
        <v>4494</v>
      </c>
      <c r="B2883" t="s">
        <v>3839</v>
      </c>
      <c r="C2883" t="s">
        <v>10</v>
      </c>
      <c r="D2883" t="s">
        <v>4495</v>
      </c>
    </row>
    <row r="2884" spans="1:4" hidden="1" outlineLevel="2" x14ac:dyDescent="0.3">
      <c r="A2884" t="s">
        <v>4496</v>
      </c>
      <c r="B2884" t="s">
        <v>3839</v>
      </c>
      <c r="C2884" t="s">
        <v>10</v>
      </c>
      <c r="D2884" t="s">
        <v>4497</v>
      </c>
    </row>
    <row r="2885" spans="1:4" hidden="1" outlineLevel="2" x14ac:dyDescent="0.3">
      <c r="A2885" t="s">
        <v>4498</v>
      </c>
      <c r="B2885" t="s">
        <v>3839</v>
      </c>
      <c r="C2885" t="s">
        <v>10</v>
      </c>
      <c r="D2885" t="s">
        <v>4499</v>
      </c>
    </row>
    <row r="2886" spans="1:4" hidden="1" outlineLevel="2" x14ac:dyDescent="0.3">
      <c r="A2886" t="s">
        <v>4500</v>
      </c>
      <c r="B2886" t="s">
        <v>3839</v>
      </c>
      <c r="C2886" t="s">
        <v>10</v>
      </c>
      <c r="D2886" t="s">
        <v>2661</v>
      </c>
    </row>
    <row r="2887" spans="1:4" hidden="1" outlineLevel="2" x14ac:dyDescent="0.3">
      <c r="A2887" t="s">
        <v>4501</v>
      </c>
      <c r="B2887" t="s">
        <v>3839</v>
      </c>
      <c r="C2887" t="s">
        <v>8</v>
      </c>
      <c r="D2887" t="s">
        <v>2663</v>
      </c>
    </row>
    <row r="2888" spans="1:4" hidden="1" outlineLevel="2" x14ac:dyDescent="0.3">
      <c r="A2888" t="s">
        <v>4502</v>
      </c>
      <c r="B2888" t="s">
        <v>3839</v>
      </c>
      <c r="C2888" t="s">
        <v>10</v>
      </c>
      <c r="D2888" t="s">
        <v>2665</v>
      </c>
    </row>
    <row r="2889" spans="1:4" hidden="1" outlineLevel="2" x14ac:dyDescent="0.3">
      <c r="A2889" t="s">
        <v>4503</v>
      </c>
      <c r="B2889" t="s">
        <v>3839</v>
      </c>
      <c r="C2889" t="s">
        <v>10</v>
      </c>
      <c r="D2889" t="s">
        <v>4504</v>
      </c>
    </row>
    <row r="2890" spans="1:4" hidden="1" outlineLevel="2" x14ac:dyDescent="0.3">
      <c r="A2890" t="s">
        <v>4505</v>
      </c>
      <c r="B2890" t="s">
        <v>3839</v>
      </c>
      <c r="C2890" t="s">
        <v>10</v>
      </c>
      <c r="D2890" t="s">
        <v>2669</v>
      </c>
    </row>
    <row r="2891" spans="1:4" hidden="1" outlineLevel="2" x14ac:dyDescent="0.3">
      <c r="A2891" t="s">
        <v>4506</v>
      </c>
      <c r="B2891" t="s">
        <v>3839</v>
      </c>
      <c r="C2891" t="s">
        <v>10</v>
      </c>
      <c r="D2891" t="s">
        <v>2671</v>
      </c>
    </row>
    <row r="2892" spans="1:4" hidden="1" outlineLevel="2" x14ac:dyDescent="0.3">
      <c r="A2892" t="s">
        <v>4507</v>
      </c>
      <c r="B2892" t="s">
        <v>3839</v>
      </c>
      <c r="C2892" t="s">
        <v>10</v>
      </c>
      <c r="D2892" t="s">
        <v>2673</v>
      </c>
    </row>
    <row r="2893" spans="1:4" hidden="1" outlineLevel="2" x14ac:dyDescent="0.3">
      <c r="A2893" t="s">
        <v>4508</v>
      </c>
      <c r="B2893" t="s">
        <v>3839</v>
      </c>
      <c r="C2893" t="s">
        <v>10</v>
      </c>
      <c r="D2893" t="s">
        <v>2675</v>
      </c>
    </row>
    <row r="2894" spans="1:4" hidden="1" outlineLevel="2" x14ac:dyDescent="0.3">
      <c r="A2894" t="s">
        <v>4509</v>
      </c>
      <c r="B2894" t="s">
        <v>3839</v>
      </c>
      <c r="C2894" t="s">
        <v>10</v>
      </c>
      <c r="D2894" t="s">
        <v>2677</v>
      </c>
    </row>
    <row r="2895" spans="1:4" hidden="1" outlineLevel="2" x14ac:dyDescent="0.3">
      <c r="A2895" t="s">
        <v>4510</v>
      </c>
      <c r="B2895" t="s">
        <v>3839</v>
      </c>
      <c r="C2895" t="s">
        <v>10</v>
      </c>
      <c r="D2895" t="s">
        <v>2679</v>
      </c>
    </row>
    <row r="2896" spans="1:4" hidden="1" outlineLevel="2" x14ac:dyDescent="0.3">
      <c r="A2896" t="s">
        <v>4511</v>
      </c>
      <c r="B2896" t="s">
        <v>3839</v>
      </c>
      <c r="C2896" t="s">
        <v>10</v>
      </c>
      <c r="D2896" t="s">
        <v>2681</v>
      </c>
    </row>
    <row r="2897" spans="1:4" hidden="1" outlineLevel="2" x14ac:dyDescent="0.3">
      <c r="A2897" t="s">
        <v>4512</v>
      </c>
      <c r="B2897" t="s">
        <v>3839</v>
      </c>
      <c r="C2897" t="s">
        <v>10</v>
      </c>
      <c r="D2897" t="s">
        <v>2683</v>
      </c>
    </row>
    <row r="2898" spans="1:4" hidden="1" outlineLevel="2" x14ac:dyDescent="0.3">
      <c r="A2898" t="s">
        <v>4513</v>
      </c>
      <c r="B2898" t="s">
        <v>3839</v>
      </c>
      <c r="C2898" t="s">
        <v>10</v>
      </c>
      <c r="D2898" t="s">
        <v>2685</v>
      </c>
    </row>
    <row r="2899" spans="1:4" hidden="1" outlineLevel="2" x14ac:dyDescent="0.3">
      <c r="A2899" t="s">
        <v>4514</v>
      </c>
      <c r="B2899" t="s">
        <v>3839</v>
      </c>
      <c r="C2899" t="s">
        <v>10</v>
      </c>
      <c r="D2899" t="s">
        <v>2687</v>
      </c>
    </row>
    <row r="2900" spans="1:4" hidden="1" outlineLevel="2" x14ac:dyDescent="0.3">
      <c r="A2900" t="s">
        <v>4515</v>
      </c>
      <c r="B2900" t="s">
        <v>3839</v>
      </c>
      <c r="C2900" t="s">
        <v>10</v>
      </c>
      <c r="D2900" t="s">
        <v>2689</v>
      </c>
    </row>
    <row r="2901" spans="1:4" hidden="1" outlineLevel="2" x14ac:dyDescent="0.3">
      <c r="A2901" t="s">
        <v>4516</v>
      </c>
      <c r="B2901" t="s">
        <v>3839</v>
      </c>
      <c r="C2901" t="s">
        <v>10</v>
      </c>
      <c r="D2901" t="s">
        <v>2691</v>
      </c>
    </row>
    <row r="2902" spans="1:4" hidden="1" outlineLevel="2" x14ac:dyDescent="0.3">
      <c r="A2902" t="s">
        <v>4517</v>
      </c>
      <c r="B2902" t="s">
        <v>3839</v>
      </c>
      <c r="C2902" t="s">
        <v>10</v>
      </c>
      <c r="D2902" t="s">
        <v>2693</v>
      </c>
    </row>
    <row r="2903" spans="1:4" hidden="1" outlineLevel="2" x14ac:dyDescent="0.3">
      <c r="A2903" t="s">
        <v>4518</v>
      </c>
      <c r="B2903" t="s">
        <v>3839</v>
      </c>
      <c r="C2903" t="s">
        <v>10</v>
      </c>
      <c r="D2903" t="s">
        <v>2695</v>
      </c>
    </row>
    <row r="2904" spans="1:4" hidden="1" outlineLevel="2" x14ac:dyDescent="0.3">
      <c r="A2904" t="s">
        <v>4519</v>
      </c>
      <c r="B2904" t="s">
        <v>3839</v>
      </c>
      <c r="C2904" t="s">
        <v>10</v>
      </c>
      <c r="D2904" t="s">
        <v>2697</v>
      </c>
    </row>
    <row r="2905" spans="1:4" hidden="1" outlineLevel="2" x14ac:dyDescent="0.3">
      <c r="A2905" t="s">
        <v>4520</v>
      </c>
      <c r="B2905" t="s">
        <v>3839</v>
      </c>
      <c r="C2905" t="s">
        <v>10</v>
      </c>
      <c r="D2905" t="s">
        <v>2699</v>
      </c>
    </row>
    <row r="2906" spans="1:4" hidden="1" outlineLevel="2" x14ac:dyDescent="0.3">
      <c r="A2906" t="s">
        <v>4521</v>
      </c>
      <c r="B2906" t="s">
        <v>3839</v>
      </c>
      <c r="C2906" t="s">
        <v>8</v>
      </c>
      <c r="D2906" t="s">
        <v>2701</v>
      </c>
    </row>
    <row r="2907" spans="1:4" hidden="1" outlineLevel="2" x14ac:dyDescent="0.3">
      <c r="A2907" t="s">
        <v>4522</v>
      </c>
      <c r="B2907" t="s">
        <v>3839</v>
      </c>
      <c r="C2907" t="s">
        <v>10</v>
      </c>
      <c r="D2907" t="s">
        <v>2703</v>
      </c>
    </row>
    <row r="2908" spans="1:4" hidden="1" outlineLevel="2" x14ac:dyDescent="0.3">
      <c r="A2908" t="s">
        <v>4523</v>
      </c>
      <c r="B2908" t="s">
        <v>3839</v>
      </c>
      <c r="C2908" t="s">
        <v>10</v>
      </c>
      <c r="D2908" t="s">
        <v>2705</v>
      </c>
    </row>
    <row r="2909" spans="1:4" hidden="1" outlineLevel="2" x14ac:dyDescent="0.3">
      <c r="A2909" t="s">
        <v>4524</v>
      </c>
      <c r="B2909" t="s">
        <v>3839</v>
      </c>
      <c r="C2909" t="s">
        <v>10</v>
      </c>
      <c r="D2909" t="s">
        <v>2709</v>
      </c>
    </row>
    <row r="2910" spans="1:4" hidden="1" outlineLevel="2" x14ac:dyDescent="0.3">
      <c r="A2910" t="s">
        <v>4525</v>
      </c>
      <c r="B2910" t="s">
        <v>3839</v>
      </c>
      <c r="C2910" t="s">
        <v>10</v>
      </c>
      <c r="D2910" t="s">
        <v>2711</v>
      </c>
    </row>
    <row r="2911" spans="1:4" hidden="1" outlineLevel="2" x14ac:dyDescent="0.3">
      <c r="A2911" t="s">
        <v>4526</v>
      </c>
      <c r="B2911" t="s">
        <v>3839</v>
      </c>
      <c r="C2911" t="s">
        <v>10</v>
      </c>
      <c r="D2911" t="s">
        <v>2713</v>
      </c>
    </row>
    <row r="2912" spans="1:4" hidden="1" outlineLevel="2" x14ac:dyDescent="0.3">
      <c r="A2912" t="s">
        <v>4527</v>
      </c>
      <c r="B2912" t="s">
        <v>3839</v>
      </c>
      <c r="C2912" t="s">
        <v>10</v>
      </c>
      <c r="D2912" t="s">
        <v>2715</v>
      </c>
    </row>
    <row r="2913" spans="1:4" hidden="1" outlineLevel="2" x14ac:dyDescent="0.3">
      <c r="A2913" t="s">
        <v>4528</v>
      </c>
      <c r="B2913" t="s">
        <v>3839</v>
      </c>
      <c r="C2913" t="s">
        <v>10</v>
      </c>
      <c r="D2913" t="s">
        <v>2717</v>
      </c>
    </row>
    <row r="2914" spans="1:4" hidden="1" outlineLevel="2" x14ac:dyDescent="0.3">
      <c r="A2914" t="s">
        <v>4529</v>
      </c>
      <c r="B2914" t="s">
        <v>3839</v>
      </c>
      <c r="C2914" t="s">
        <v>10</v>
      </c>
      <c r="D2914" t="s">
        <v>2777</v>
      </c>
    </row>
    <row r="2915" spans="1:4" hidden="1" outlineLevel="2" x14ac:dyDescent="0.3">
      <c r="A2915" t="s">
        <v>4530</v>
      </c>
      <c r="B2915" t="s">
        <v>3839</v>
      </c>
      <c r="C2915" t="s">
        <v>10</v>
      </c>
      <c r="D2915" t="s">
        <v>2779</v>
      </c>
    </row>
    <row r="2916" spans="1:4" hidden="1" outlineLevel="2" x14ac:dyDescent="0.3">
      <c r="A2916" t="s">
        <v>4531</v>
      </c>
      <c r="B2916" t="s">
        <v>3839</v>
      </c>
      <c r="C2916" t="s">
        <v>10</v>
      </c>
      <c r="D2916" t="s">
        <v>2783</v>
      </c>
    </row>
    <row r="2917" spans="1:4" hidden="1" outlineLevel="2" x14ac:dyDescent="0.3">
      <c r="A2917" t="s">
        <v>4532</v>
      </c>
      <c r="B2917" t="s">
        <v>3839</v>
      </c>
      <c r="C2917" t="s">
        <v>10</v>
      </c>
      <c r="D2917" t="s">
        <v>2785</v>
      </c>
    </row>
    <row r="2918" spans="1:4" hidden="1" outlineLevel="2" x14ac:dyDescent="0.3">
      <c r="A2918" t="s">
        <v>4533</v>
      </c>
      <c r="B2918" t="s">
        <v>3839</v>
      </c>
      <c r="C2918" t="s">
        <v>10</v>
      </c>
      <c r="D2918" t="s">
        <v>2787</v>
      </c>
    </row>
    <row r="2919" spans="1:4" hidden="1" outlineLevel="2" x14ac:dyDescent="0.3">
      <c r="A2919" t="s">
        <v>4534</v>
      </c>
      <c r="B2919" t="s">
        <v>3839</v>
      </c>
      <c r="C2919" t="s">
        <v>10</v>
      </c>
      <c r="D2919" t="s">
        <v>2791</v>
      </c>
    </row>
    <row r="2920" spans="1:4" hidden="1" outlineLevel="2" x14ac:dyDescent="0.3">
      <c r="A2920" t="s">
        <v>4535</v>
      </c>
      <c r="B2920" t="s">
        <v>3839</v>
      </c>
      <c r="C2920" t="s">
        <v>10</v>
      </c>
      <c r="D2920" t="s">
        <v>3266</v>
      </c>
    </row>
    <row r="2921" spans="1:4" hidden="1" outlineLevel="2" x14ac:dyDescent="0.3">
      <c r="A2921" t="s">
        <v>4536</v>
      </c>
      <c r="B2921" t="s">
        <v>3839</v>
      </c>
      <c r="C2921" t="s">
        <v>10</v>
      </c>
      <c r="D2921" t="s">
        <v>3268</v>
      </c>
    </row>
    <row r="2922" spans="1:4" hidden="1" outlineLevel="2" x14ac:dyDescent="0.3">
      <c r="A2922" t="s">
        <v>4537</v>
      </c>
      <c r="B2922" t="s">
        <v>3839</v>
      </c>
      <c r="C2922" t="s">
        <v>10</v>
      </c>
      <c r="D2922" t="s">
        <v>3270</v>
      </c>
    </row>
    <row r="2923" spans="1:4" hidden="1" outlineLevel="2" x14ac:dyDescent="0.3">
      <c r="A2923" t="s">
        <v>4538</v>
      </c>
      <c r="B2923" t="s">
        <v>3839</v>
      </c>
      <c r="C2923" t="s">
        <v>10</v>
      </c>
      <c r="D2923" t="s">
        <v>3272</v>
      </c>
    </row>
    <row r="2924" spans="1:4" hidden="1" outlineLevel="2" x14ac:dyDescent="0.3">
      <c r="A2924" t="s">
        <v>4539</v>
      </c>
      <c r="B2924" t="s">
        <v>3839</v>
      </c>
      <c r="C2924" t="s">
        <v>10</v>
      </c>
      <c r="D2924" t="s">
        <v>3274</v>
      </c>
    </row>
    <row r="2925" spans="1:4" hidden="1" outlineLevel="2" x14ac:dyDescent="0.3">
      <c r="A2925" t="s">
        <v>4540</v>
      </c>
      <c r="B2925" t="s">
        <v>3839</v>
      </c>
      <c r="C2925" t="s">
        <v>10</v>
      </c>
      <c r="D2925" t="s">
        <v>3276</v>
      </c>
    </row>
    <row r="2926" spans="1:4" hidden="1" outlineLevel="2" x14ac:dyDescent="0.3">
      <c r="A2926" t="s">
        <v>4541</v>
      </c>
      <c r="B2926" t="s">
        <v>3839</v>
      </c>
      <c r="C2926" t="s">
        <v>10</v>
      </c>
      <c r="D2926" t="s">
        <v>3278</v>
      </c>
    </row>
    <row r="2927" spans="1:4" hidden="1" outlineLevel="2" x14ac:dyDescent="0.3">
      <c r="A2927" t="s">
        <v>4542</v>
      </c>
      <c r="B2927" t="s">
        <v>3839</v>
      </c>
      <c r="C2927" t="s">
        <v>10</v>
      </c>
      <c r="D2927" t="s">
        <v>3280</v>
      </c>
    </row>
    <row r="2928" spans="1:4" hidden="1" outlineLevel="2" x14ac:dyDescent="0.3">
      <c r="A2928" t="s">
        <v>4543</v>
      </c>
      <c r="B2928" t="s">
        <v>3839</v>
      </c>
      <c r="C2928" t="s">
        <v>10</v>
      </c>
      <c r="D2928" t="s">
        <v>3282</v>
      </c>
    </row>
    <row r="2929" spans="1:4" hidden="1" outlineLevel="2" x14ac:dyDescent="0.3">
      <c r="A2929" t="s">
        <v>4544</v>
      </c>
      <c r="B2929" t="s">
        <v>3839</v>
      </c>
      <c r="C2929" t="s">
        <v>10</v>
      </c>
      <c r="D2929" t="s">
        <v>3284</v>
      </c>
    </row>
    <row r="2930" spans="1:4" hidden="1" outlineLevel="2" x14ac:dyDescent="0.3">
      <c r="A2930" t="s">
        <v>4545</v>
      </c>
      <c r="B2930" t="s">
        <v>3839</v>
      </c>
      <c r="C2930" t="s">
        <v>10</v>
      </c>
      <c r="D2930" t="s">
        <v>3286</v>
      </c>
    </row>
    <row r="2931" spans="1:4" hidden="1" outlineLevel="2" x14ac:dyDescent="0.3">
      <c r="A2931" t="s">
        <v>4546</v>
      </c>
      <c r="B2931" t="s">
        <v>3839</v>
      </c>
      <c r="C2931" t="s">
        <v>10</v>
      </c>
      <c r="D2931" t="s">
        <v>3288</v>
      </c>
    </row>
    <row r="2932" spans="1:4" hidden="1" outlineLevel="2" x14ac:dyDescent="0.3">
      <c r="A2932" t="s">
        <v>4547</v>
      </c>
      <c r="B2932" t="s">
        <v>3839</v>
      </c>
      <c r="C2932" t="s">
        <v>10</v>
      </c>
      <c r="D2932" t="s">
        <v>3290</v>
      </c>
    </row>
    <row r="2933" spans="1:4" hidden="1" outlineLevel="2" x14ac:dyDescent="0.3">
      <c r="A2933" t="s">
        <v>4548</v>
      </c>
      <c r="B2933" t="s">
        <v>3839</v>
      </c>
      <c r="C2933" t="s">
        <v>10</v>
      </c>
      <c r="D2933" t="s">
        <v>3292</v>
      </c>
    </row>
    <row r="2934" spans="1:4" hidden="1" outlineLevel="2" x14ac:dyDescent="0.3">
      <c r="A2934" t="s">
        <v>4549</v>
      </c>
      <c r="B2934" t="s">
        <v>3839</v>
      </c>
      <c r="C2934" t="s">
        <v>10</v>
      </c>
      <c r="D2934" t="s">
        <v>3294</v>
      </c>
    </row>
    <row r="2935" spans="1:4" hidden="1" outlineLevel="2" x14ac:dyDescent="0.3">
      <c r="A2935" t="s">
        <v>4550</v>
      </c>
      <c r="B2935" t="s">
        <v>3839</v>
      </c>
      <c r="C2935" t="s">
        <v>8</v>
      </c>
      <c r="D2935" t="s">
        <v>3296</v>
      </c>
    </row>
    <row r="2936" spans="1:4" hidden="1" outlineLevel="2" x14ac:dyDescent="0.3">
      <c r="A2936" t="s">
        <v>4551</v>
      </c>
      <c r="B2936" t="s">
        <v>3839</v>
      </c>
      <c r="C2936" t="s">
        <v>8</v>
      </c>
      <c r="D2936" t="s">
        <v>3298</v>
      </c>
    </row>
    <row r="2937" spans="1:4" hidden="1" outlineLevel="2" x14ac:dyDescent="0.3">
      <c r="A2937" t="s">
        <v>4552</v>
      </c>
      <c r="B2937" t="s">
        <v>3839</v>
      </c>
      <c r="C2937" t="s">
        <v>10</v>
      </c>
      <c r="D2937" t="s">
        <v>3300</v>
      </c>
    </row>
    <row r="2938" spans="1:4" hidden="1" outlineLevel="2" x14ac:dyDescent="0.3">
      <c r="A2938" t="s">
        <v>4553</v>
      </c>
      <c r="B2938" t="s">
        <v>3839</v>
      </c>
      <c r="C2938" t="s">
        <v>10</v>
      </c>
      <c r="D2938" t="s">
        <v>3302</v>
      </c>
    </row>
    <row r="2939" spans="1:4" hidden="1" outlineLevel="2" x14ac:dyDescent="0.3">
      <c r="A2939" t="s">
        <v>4554</v>
      </c>
      <c r="B2939" t="s">
        <v>3839</v>
      </c>
      <c r="C2939" t="s">
        <v>10</v>
      </c>
      <c r="D2939" t="s">
        <v>3319</v>
      </c>
    </row>
    <row r="2940" spans="1:4" hidden="1" outlineLevel="2" x14ac:dyDescent="0.3">
      <c r="A2940" t="s">
        <v>4555</v>
      </c>
      <c r="B2940" t="s">
        <v>3839</v>
      </c>
      <c r="C2940" t="s">
        <v>10</v>
      </c>
      <c r="D2940" t="s">
        <v>3321</v>
      </c>
    </row>
    <row r="2941" spans="1:4" hidden="1" outlineLevel="2" x14ac:dyDescent="0.3">
      <c r="A2941" t="s">
        <v>4556</v>
      </c>
      <c r="B2941" t="s">
        <v>3839</v>
      </c>
      <c r="C2941" t="s">
        <v>10</v>
      </c>
      <c r="D2941" t="s">
        <v>3329</v>
      </c>
    </row>
    <row r="2942" spans="1:4" hidden="1" outlineLevel="2" x14ac:dyDescent="0.3">
      <c r="A2942" t="s">
        <v>4557</v>
      </c>
      <c r="B2942" t="s">
        <v>3839</v>
      </c>
      <c r="C2942" t="s">
        <v>10</v>
      </c>
      <c r="D2942" t="s">
        <v>3331</v>
      </c>
    </row>
    <row r="2943" spans="1:4" hidden="1" outlineLevel="2" x14ac:dyDescent="0.3">
      <c r="A2943" t="s">
        <v>4558</v>
      </c>
      <c r="B2943" t="s">
        <v>3839</v>
      </c>
      <c r="C2943" t="s">
        <v>10</v>
      </c>
      <c r="D2943" t="s">
        <v>3333</v>
      </c>
    </row>
    <row r="2944" spans="1:4" hidden="1" outlineLevel="2" x14ac:dyDescent="0.3">
      <c r="A2944" t="s">
        <v>4559</v>
      </c>
      <c r="B2944" t="s">
        <v>3839</v>
      </c>
      <c r="C2944" t="s">
        <v>10</v>
      </c>
      <c r="D2944" t="s">
        <v>3335</v>
      </c>
    </row>
    <row r="2945" spans="1:4" hidden="1" outlineLevel="2" x14ac:dyDescent="0.3">
      <c r="A2945" t="s">
        <v>4560</v>
      </c>
      <c r="B2945" t="s">
        <v>3839</v>
      </c>
      <c r="C2945" t="s">
        <v>10</v>
      </c>
      <c r="D2945" t="s">
        <v>3337</v>
      </c>
    </row>
    <row r="2946" spans="1:4" hidden="1" outlineLevel="2" x14ac:dyDescent="0.3">
      <c r="A2946" t="s">
        <v>4561</v>
      </c>
      <c r="B2946" t="s">
        <v>3839</v>
      </c>
      <c r="C2946" t="s">
        <v>10</v>
      </c>
      <c r="D2946" t="s">
        <v>3339</v>
      </c>
    </row>
    <row r="2947" spans="1:4" hidden="1" outlineLevel="2" x14ac:dyDescent="0.3">
      <c r="A2947" t="s">
        <v>4562</v>
      </c>
      <c r="B2947" t="s">
        <v>3839</v>
      </c>
      <c r="C2947" t="s">
        <v>10</v>
      </c>
      <c r="D2947" t="s">
        <v>3341</v>
      </c>
    </row>
    <row r="2948" spans="1:4" hidden="1" outlineLevel="2" x14ac:dyDescent="0.3">
      <c r="A2948" t="s">
        <v>4563</v>
      </c>
      <c r="B2948" t="s">
        <v>3839</v>
      </c>
      <c r="C2948" t="s">
        <v>10</v>
      </c>
      <c r="D2948" t="s">
        <v>3343</v>
      </c>
    </row>
    <row r="2949" spans="1:4" hidden="1" outlineLevel="2" x14ac:dyDescent="0.3">
      <c r="A2949" t="s">
        <v>4564</v>
      </c>
      <c r="B2949" t="s">
        <v>3839</v>
      </c>
      <c r="C2949" t="s">
        <v>10</v>
      </c>
      <c r="D2949" t="s">
        <v>3345</v>
      </c>
    </row>
    <row r="2950" spans="1:4" hidden="1" outlineLevel="2" x14ac:dyDescent="0.3">
      <c r="A2950" t="s">
        <v>4565</v>
      </c>
      <c r="B2950" t="s">
        <v>3839</v>
      </c>
      <c r="C2950" t="s">
        <v>10</v>
      </c>
      <c r="D2950" t="s">
        <v>3347</v>
      </c>
    </row>
    <row r="2951" spans="1:4" hidden="1" outlineLevel="2" x14ac:dyDescent="0.3">
      <c r="A2951" t="s">
        <v>4566</v>
      </c>
      <c r="B2951" t="s">
        <v>3839</v>
      </c>
      <c r="C2951" t="s">
        <v>10</v>
      </c>
      <c r="D2951" t="s">
        <v>3349</v>
      </c>
    </row>
    <row r="2952" spans="1:4" hidden="1" outlineLevel="2" x14ac:dyDescent="0.3">
      <c r="A2952" t="s">
        <v>4567</v>
      </c>
      <c r="B2952" t="s">
        <v>3839</v>
      </c>
      <c r="C2952" t="s">
        <v>10</v>
      </c>
      <c r="D2952" t="s">
        <v>3351</v>
      </c>
    </row>
    <row r="2953" spans="1:4" hidden="1" outlineLevel="2" x14ac:dyDescent="0.3">
      <c r="A2953" t="s">
        <v>4568</v>
      </c>
      <c r="B2953" t="s">
        <v>3839</v>
      </c>
      <c r="C2953" t="s">
        <v>10</v>
      </c>
      <c r="D2953" t="s">
        <v>3353</v>
      </c>
    </row>
    <row r="2954" spans="1:4" hidden="1" outlineLevel="2" x14ac:dyDescent="0.3">
      <c r="A2954" t="s">
        <v>4569</v>
      </c>
      <c r="B2954" t="s">
        <v>3839</v>
      </c>
      <c r="C2954" t="s">
        <v>10</v>
      </c>
      <c r="D2954" t="s">
        <v>3355</v>
      </c>
    </row>
    <row r="2955" spans="1:4" hidden="1" outlineLevel="2" x14ac:dyDescent="0.3">
      <c r="A2955" t="s">
        <v>4570</v>
      </c>
      <c r="B2955" t="s">
        <v>3839</v>
      </c>
      <c r="C2955" t="s">
        <v>10</v>
      </c>
      <c r="D2955" t="s">
        <v>3357</v>
      </c>
    </row>
    <row r="2956" spans="1:4" hidden="1" outlineLevel="2" x14ac:dyDescent="0.3">
      <c r="A2956" t="s">
        <v>4571</v>
      </c>
      <c r="B2956" t="s">
        <v>3839</v>
      </c>
      <c r="C2956" t="s">
        <v>10</v>
      </c>
      <c r="D2956" t="s">
        <v>3361</v>
      </c>
    </row>
    <row r="2957" spans="1:4" hidden="1" outlineLevel="2" x14ac:dyDescent="0.3">
      <c r="A2957" t="s">
        <v>4572</v>
      </c>
      <c r="B2957" t="s">
        <v>3839</v>
      </c>
      <c r="C2957" t="s">
        <v>10</v>
      </c>
      <c r="D2957" t="s">
        <v>3363</v>
      </c>
    </row>
    <row r="2958" spans="1:4" hidden="1" outlineLevel="2" x14ac:dyDescent="0.3">
      <c r="A2958" t="s">
        <v>4573</v>
      </c>
      <c r="B2958" t="s">
        <v>3839</v>
      </c>
      <c r="C2958" t="s">
        <v>10</v>
      </c>
      <c r="D2958" t="s">
        <v>4574</v>
      </c>
    </row>
    <row r="2959" spans="1:4" hidden="1" outlineLevel="2" x14ac:dyDescent="0.3">
      <c r="A2959" t="s">
        <v>4575</v>
      </c>
      <c r="B2959" t="s">
        <v>3839</v>
      </c>
      <c r="C2959" t="s">
        <v>10</v>
      </c>
      <c r="D2959" t="s">
        <v>4576</v>
      </c>
    </row>
    <row r="2960" spans="1:4" hidden="1" outlineLevel="2" x14ac:dyDescent="0.3">
      <c r="A2960" t="s">
        <v>4577</v>
      </c>
      <c r="B2960" t="s">
        <v>3839</v>
      </c>
      <c r="C2960" t="s">
        <v>10</v>
      </c>
      <c r="D2960" t="s">
        <v>4578</v>
      </c>
    </row>
    <row r="2961" spans="1:4" hidden="1" outlineLevel="2" x14ac:dyDescent="0.3">
      <c r="A2961" t="s">
        <v>4579</v>
      </c>
      <c r="B2961" t="s">
        <v>3839</v>
      </c>
      <c r="C2961" t="s">
        <v>10</v>
      </c>
      <c r="D2961" t="s">
        <v>3189</v>
      </c>
    </row>
    <row r="2962" spans="1:4" hidden="1" outlineLevel="2" x14ac:dyDescent="0.3">
      <c r="A2962" t="s">
        <v>4580</v>
      </c>
      <c r="B2962" t="s">
        <v>3844</v>
      </c>
      <c r="C2962" t="s">
        <v>10</v>
      </c>
      <c r="D2962" t="s">
        <v>3280</v>
      </c>
    </row>
    <row r="2963" spans="1:4" hidden="1" outlineLevel="2" x14ac:dyDescent="0.3">
      <c r="A2963" t="s">
        <v>4581</v>
      </c>
      <c r="B2963" t="s">
        <v>3844</v>
      </c>
      <c r="C2963" t="s">
        <v>10</v>
      </c>
      <c r="D2963" t="s">
        <v>4574</v>
      </c>
    </row>
    <row r="2964" spans="1:4" hidden="1" outlineLevel="2" x14ac:dyDescent="0.3">
      <c r="A2964" t="s">
        <v>4582</v>
      </c>
      <c r="B2964" t="s">
        <v>3844</v>
      </c>
      <c r="C2964" t="s">
        <v>8</v>
      </c>
      <c r="D2964" t="s">
        <v>3638</v>
      </c>
    </row>
    <row r="2965" spans="1:4" hidden="1" outlineLevel="2" x14ac:dyDescent="0.3">
      <c r="A2965" t="s">
        <v>4583</v>
      </c>
      <c r="B2965" t="s">
        <v>3844</v>
      </c>
      <c r="C2965" t="s">
        <v>10</v>
      </c>
      <c r="D2965" t="s">
        <v>4578</v>
      </c>
    </row>
    <row r="2966" spans="1:4" hidden="1" outlineLevel="2" x14ac:dyDescent="0.3">
      <c r="A2966" t="s">
        <v>4584</v>
      </c>
      <c r="B2966" t="s">
        <v>3844</v>
      </c>
      <c r="C2966" t="s">
        <v>10</v>
      </c>
      <c r="D2966" t="s">
        <v>4585</v>
      </c>
    </row>
    <row r="2967" spans="1:4" hidden="1" outlineLevel="2" x14ac:dyDescent="0.3">
      <c r="A2967" t="s">
        <v>4586</v>
      </c>
      <c r="B2967" t="s">
        <v>3844</v>
      </c>
      <c r="C2967" t="s">
        <v>10</v>
      </c>
      <c r="D2967" t="s">
        <v>4587</v>
      </c>
    </row>
    <row r="2968" spans="1:4" hidden="1" outlineLevel="2" x14ac:dyDescent="0.3">
      <c r="A2968" t="s">
        <v>4588</v>
      </c>
      <c r="B2968" t="s">
        <v>3844</v>
      </c>
      <c r="C2968" t="s">
        <v>10</v>
      </c>
      <c r="D2968" t="s">
        <v>4589</v>
      </c>
    </row>
    <row r="2969" spans="1:4" hidden="1" outlineLevel="2" x14ac:dyDescent="0.3">
      <c r="A2969" t="s">
        <v>4590</v>
      </c>
      <c r="B2969" t="s">
        <v>3912</v>
      </c>
      <c r="C2969" t="s">
        <v>8</v>
      </c>
      <c r="D2969" t="s">
        <v>3261</v>
      </c>
    </row>
    <row r="2970" spans="1:4" hidden="1" outlineLevel="2" x14ac:dyDescent="0.3">
      <c r="A2970" t="s">
        <v>4591</v>
      </c>
      <c r="B2970" t="s">
        <v>3910</v>
      </c>
      <c r="C2970" t="s">
        <v>8</v>
      </c>
      <c r="D2970" t="s">
        <v>3250</v>
      </c>
    </row>
    <row r="2971" spans="1:4" hidden="1" outlineLevel="2" x14ac:dyDescent="0.3">
      <c r="A2971" t="s">
        <v>4592</v>
      </c>
      <c r="B2971" t="s">
        <v>3910</v>
      </c>
      <c r="C2971" t="s">
        <v>8</v>
      </c>
      <c r="D2971" t="s">
        <v>3250</v>
      </c>
    </row>
    <row r="2972" spans="1:4" hidden="1" outlineLevel="2" x14ac:dyDescent="0.3">
      <c r="A2972" t="s">
        <v>4593</v>
      </c>
      <c r="B2972" t="s">
        <v>3910</v>
      </c>
      <c r="C2972" t="s">
        <v>8</v>
      </c>
      <c r="D2972" t="s">
        <v>3250</v>
      </c>
    </row>
    <row r="2973" spans="1:4" hidden="1" outlineLevel="2" x14ac:dyDescent="0.3">
      <c r="A2973" t="s">
        <v>4594</v>
      </c>
      <c r="B2973" t="s">
        <v>3912</v>
      </c>
      <c r="C2973" t="s">
        <v>8</v>
      </c>
      <c r="D2973" t="s">
        <v>3250</v>
      </c>
    </row>
    <row r="2974" spans="1:4" hidden="1" outlineLevel="2" x14ac:dyDescent="0.3">
      <c r="A2974" t="s">
        <v>4595</v>
      </c>
      <c r="B2974" t="s">
        <v>3912</v>
      </c>
      <c r="C2974" t="s">
        <v>8</v>
      </c>
      <c r="D2974" t="s">
        <v>3250</v>
      </c>
    </row>
    <row r="2975" spans="1:4" hidden="1" outlineLevel="2" x14ac:dyDescent="0.3">
      <c r="A2975" t="s">
        <v>4596</v>
      </c>
      <c r="B2975" t="s">
        <v>3910</v>
      </c>
      <c r="C2975" t="s">
        <v>8</v>
      </c>
      <c r="D2975" t="s">
        <v>3255</v>
      </c>
    </row>
    <row r="2976" spans="1:4" hidden="1" outlineLevel="2" x14ac:dyDescent="0.3">
      <c r="A2976" t="s">
        <v>4597</v>
      </c>
      <c r="B2976" t="s">
        <v>3912</v>
      </c>
      <c r="C2976" t="s">
        <v>8</v>
      </c>
      <c r="D2976" t="s">
        <v>3304</v>
      </c>
    </row>
    <row r="2977" spans="1:4" hidden="1" outlineLevel="2" x14ac:dyDescent="0.3">
      <c r="A2977" t="s">
        <v>4598</v>
      </c>
      <c r="B2977" t="s">
        <v>3910</v>
      </c>
      <c r="C2977" t="s">
        <v>8</v>
      </c>
      <c r="D2977" t="s">
        <v>3308</v>
      </c>
    </row>
    <row r="2978" spans="1:4" hidden="1" outlineLevel="2" x14ac:dyDescent="0.3">
      <c r="A2978" t="s">
        <v>4599</v>
      </c>
      <c r="B2978" t="s">
        <v>3910</v>
      </c>
      <c r="C2978" t="s">
        <v>10</v>
      </c>
      <c r="D2978" t="s">
        <v>3312</v>
      </c>
    </row>
    <row r="2979" spans="1:4" hidden="1" outlineLevel="2" x14ac:dyDescent="0.3">
      <c r="A2979" t="s">
        <v>4600</v>
      </c>
      <c r="B2979" t="s">
        <v>3912</v>
      </c>
      <c r="C2979" t="s">
        <v>8</v>
      </c>
      <c r="D2979" t="s">
        <v>3308</v>
      </c>
    </row>
    <row r="2980" spans="1:4" hidden="1" outlineLevel="2" x14ac:dyDescent="0.3">
      <c r="A2980" t="s">
        <v>4601</v>
      </c>
      <c r="B2980" t="s">
        <v>3910</v>
      </c>
      <c r="C2980" t="s">
        <v>8</v>
      </c>
      <c r="D2980" t="s">
        <v>3316</v>
      </c>
    </row>
    <row r="2981" spans="1:4" hidden="1" outlineLevel="2" x14ac:dyDescent="0.3">
      <c r="A2981" t="s">
        <v>4602</v>
      </c>
      <c r="B2981" t="s">
        <v>3910</v>
      </c>
      <c r="C2981" t="s">
        <v>8</v>
      </c>
      <c r="D2981" t="s">
        <v>3316</v>
      </c>
    </row>
    <row r="2982" spans="1:4" hidden="1" outlineLevel="2" x14ac:dyDescent="0.3">
      <c r="A2982" t="s">
        <v>4603</v>
      </c>
      <c r="B2982" t="s">
        <v>3912</v>
      </c>
      <c r="C2982" t="s">
        <v>8</v>
      </c>
      <c r="D2982" t="s">
        <v>3316</v>
      </c>
    </row>
    <row r="2983" spans="1:4" hidden="1" outlineLevel="2" x14ac:dyDescent="0.3">
      <c r="A2983" t="s">
        <v>4604</v>
      </c>
      <c r="B2983" t="s">
        <v>3912</v>
      </c>
      <c r="C2983" t="s">
        <v>8</v>
      </c>
      <c r="D2983" t="s">
        <v>3316</v>
      </c>
    </row>
    <row r="2984" spans="1:4" hidden="1" outlineLevel="2" x14ac:dyDescent="0.3">
      <c r="A2984" t="s">
        <v>4605</v>
      </c>
      <c r="B2984" t="s">
        <v>3910</v>
      </c>
      <c r="C2984" t="s">
        <v>8</v>
      </c>
      <c r="D2984" t="s">
        <v>3316</v>
      </c>
    </row>
    <row r="2985" spans="1:4" hidden="1" outlineLevel="2" x14ac:dyDescent="0.3">
      <c r="A2985" t="s">
        <v>4606</v>
      </c>
      <c r="B2985" t="s">
        <v>3839</v>
      </c>
      <c r="C2985" t="s">
        <v>10</v>
      </c>
      <c r="D2985" t="s">
        <v>2821</v>
      </c>
    </row>
    <row r="2986" spans="1:4" hidden="1" outlineLevel="2" x14ac:dyDescent="0.3">
      <c r="A2986" t="s">
        <v>4607</v>
      </c>
      <c r="B2986" t="s">
        <v>3839</v>
      </c>
      <c r="C2986" t="s">
        <v>10</v>
      </c>
      <c r="D2986" t="s">
        <v>4608</v>
      </c>
    </row>
    <row r="2987" spans="1:4" hidden="1" outlineLevel="2" x14ac:dyDescent="0.3">
      <c r="A2987" t="s">
        <v>4609</v>
      </c>
      <c r="B2987" t="s">
        <v>3839</v>
      </c>
      <c r="C2987" t="s">
        <v>10</v>
      </c>
      <c r="D2987" t="s">
        <v>2823</v>
      </c>
    </row>
    <row r="2988" spans="1:4" hidden="1" outlineLevel="2" x14ac:dyDescent="0.3">
      <c r="A2988" t="s">
        <v>4610</v>
      </c>
      <c r="B2988" t="s">
        <v>3839</v>
      </c>
      <c r="C2988" t="s">
        <v>10</v>
      </c>
      <c r="D2988" t="s">
        <v>2823</v>
      </c>
    </row>
    <row r="2989" spans="1:4" hidden="1" outlineLevel="2" x14ac:dyDescent="0.3">
      <c r="A2989" t="s">
        <v>4611</v>
      </c>
      <c r="B2989" t="s">
        <v>3839</v>
      </c>
      <c r="C2989" t="s">
        <v>10</v>
      </c>
      <c r="D2989" t="s">
        <v>2823</v>
      </c>
    </row>
    <row r="2990" spans="1:4" hidden="1" outlineLevel="2" x14ac:dyDescent="0.3">
      <c r="A2990" t="s">
        <v>4612</v>
      </c>
      <c r="B2990" t="s">
        <v>3839</v>
      </c>
      <c r="C2990" t="s">
        <v>10</v>
      </c>
      <c r="D2990" t="s">
        <v>2823</v>
      </c>
    </row>
    <row r="2991" spans="1:4" hidden="1" outlineLevel="2" x14ac:dyDescent="0.3">
      <c r="A2991" t="s">
        <v>4613</v>
      </c>
      <c r="B2991" t="s">
        <v>3839</v>
      </c>
      <c r="C2991" t="s">
        <v>10</v>
      </c>
      <c r="D2991" t="s">
        <v>2823</v>
      </c>
    </row>
    <row r="2992" spans="1:4" hidden="1" outlineLevel="2" x14ac:dyDescent="0.3">
      <c r="A2992" t="s">
        <v>4614</v>
      </c>
      <c r="B2992" t="s">
        <v>3839</v>
      </c>
      <c r="C2992" t="s">
        <v>10</v>
      </c>
      <c r="D2992" t="s">
        <v>2829</v>
      </c>
    </row>
    <row r="2993" spans="1:4" hidden="1" outlineLevel="2" x14ac:dyDescent="0.3">
      <c r="A2993" t="s">
        <v>4615</v>
      </c>
      <c r="B2993" t="s">
        <v>3839</v>
      </c>
      <c r="C2993" t="s">
        <v>10</v>
      </c>
      <c r="D2993" t="s">
        <v>2831</v>
      </c>
    </row>
    <row r="2994" spans="1:4" hidden="1" outlineLevel="2" x14ac:dyDescent="0.3">
      <c r="A2994" t="s">
        <v>4616</v>
      </c>
      <c r="B2994" t="s">
        <v>3839</v>
      </c>
      <c r="C2994" t="s">
        <v>8</v>
      </c>
      <c r="D2994" t="s">
        <v>2833</v>
      </c>
    </row>
    <row r="2995" spans="1:4" hidden="1" outlineLevel="2" x14ac:dyDescent="0.3">
      <c r="A2995" t="s">
        <v>4617</v>
      </c>
      <c r="B2995" t="s">
        <v>3839</v>
      </c>
      <c r="C2995" t="s">
        <v>10</v>
      </c>
      <c r="D2995" t="s">
        <v>2835</v>
      </c>
    </row>
    <row r="2996" spans="1:4" hidden="1" outlineLevel="2" x14ac:dyDescent="0.3">
      <c r="A2996" t="s">
        <v>4618</v>
      </c>
      <c r="B2996" t="s">
        <v>3839</v>
      </c>
      <c r="C2996" t="s">
        <v>10</v>
      </c>
      <c r="D2996" t="s">
        <v>2837</v>
      </c>
    </row>
    <row r="2997" spans="1:4" hidden="1" outlineLevel="2" x14ac:dyDescent="0.3">
      <c r="A2997" t="s">
        <v>4619</v>
      </c>
      <c r="B2997" t="s">
        <v>3839</v>
      </c>
      <c r="C2997" t="s">
        <v>10</v>
      </c>
      <c r="D2997" t="s">
        <v>2839</v>
      </c>
    </row>
    <row r="2998" spans="1:4" hidden="1" outlineLevel="2" x14ac:dyDescent="0.3">
      <c r="A2998" t="s">
        <v>4620</v>
      </c>
      <c r="B2998" t="s">
        <v>3839</v>
      </c>
      <c r="C2998" t="s">
        <v>10</v>
      </c>
      <c r="D2998" t="s">
        <v>2841</v>
      </c>
    </row>
    <row r="2999" spans="1:4" hidden="1" outlineLevel="2" x14ac:dyDescent="0.3">
      <c r="A2999" t="s">
        <v>4621</v>
      </c>
      <c r="B2999" t="s">
        <v>3839</v>
      </c>
      <c r="C2999" t="s">
        <v>10</v>
      </c>
      <c r="D2999" t="s">
        <v>2843</v>
      </c>
    </row>
    <row r="3000" spans="1:4" hidden="1" outlineLevel="2" x14ac:dyDescent="0.3">
      <c r="A3000" t="s">
        <v>4622</v>
      </c>
      <c r="B3000" t="s">
        <v>3839</v>
      </c>
      <c r="C3000" t="s">
        <v>8</v>
      </c>
      <c r="D3000" t="s">
        <v>2845</v>
      </c>
    </row>
    <row r="3001" spans="1:4" hidden="1" outlineLevel="2" x14ac:dyDescent="0.3">
      <c r="A3001" t="s">
        <v>4623</v>
      </c>
      <c r="B3001" t="s">
        <v>3839</v>
      </c>
      <c r="C3001" t="s">
        <v>8</v>
      </c>
      <c r="D3001" t="s">
        <v>2847</v>
      </c>
    </row>
    <row r="3002" spans="1:4" hidden="1" outlineLevel="2" x14ac:dyDescent="0.3">
      <c r="A3002" t="s">
        <v>4624</v>
      </c>
      <c r="B3002" t="s">
        <v>3839</v>
      </c>
      <c r="C3002" t="s">
        <v>10</v>
      </c>
      <c r="D3002" t="s">
        <v>2849</v>
      </c>
    </row>
    <row r="3003" spans="1:4" hidden="1" outlineLevel="2" x14ac:dyDescent="0.3">
      <c r="A3003" t="s">
        <v>4625</v>
      </c>
      <c r="B3003" t="s">
        <v>3839</v>
      </c>
      <c r="C3003" t="s">
        <v>10</v>
      </c>
      <c r="D3003" t="s">
        <v>2851</v>
      </c>
    </row>
    <row r="3004" spans="1:4" hidden="1" outlineLevel="2" x14ac:dyDescent="0.3">
      <c r="A3004" t="s">
        <v>4626</v>
      </c>
      <c r="B3004" t="s">
        <v>3839</v>
      </c>
      <c r="C3004" t="s">
        <v>10</v>
      </c>
      <c r="D3004" t="s">
        <v>2853</v>
      </c>
    </row>
    <row r="3005" spans="1:4" hidden="1" outlineLevel="2" x14ac:dyDescent="0.3">
      <c r="A3005" t="s">
        <v>4627</v>
      </c>
      <c r="B3005" t="s">
        <v>3839</v>
      </c>
      <c r="C3005" t="s">
        <v>10</v>
      </c>
      <c r="D3005" t="s">
        <v>2855</v>
      </c>
    </row>
    <row r="3006" spans="1:4" hidden="1" outlineLevel="2" x14ac:dyDescent="0.3">
      <c r="A3006" t="s">
        <v>4628</v>
      </c>
      <c r="B3006" t="s">
        <v>3839</v>
      </c>
      <c r="C3006" t="s">
        <v>10</v>
      </c>
      <c r="D3006" t="s">
        <v>2857</v>
      </c>
    </row>
    <row r="3007" spans="1:4" hidden="1" outlineLevel="2" x14ac:dyDescent="0.3">
      <c r="A3007" t="s">
        <v>4629</v>
      </c>
      <c r="B3007" t="s">
        <v>3839</v>
      </c>
      <c r="C3007" t="s">
        <v>10</v>
      </c>
      <c r="D3007" t="s">
        <v>2859</v>
      </c>
    </row>
    <row r="3008" spans="1:4" hidden="1" outlineLevel="2" x14ac:dyDescent="0.3">
      <c r="A3008" t="s">
        <v>4630</v>
      </c>
      <c r="B3008" t="s">
        <v>3839</v>
      </c>
      <c r="C3008" t="s">
        <v>10</v>
      </c>
      <c r="D3008" t="s">
        <v>2861</v>
      </c>
    </row>
    <row r="3009" spans="1:4" hidden="1" outlineLevel="2" x14ac:dyDescent="0.3">
      <c r="A3009" t="s">
        <v>4631</v>
      </c>
      <c r="B3009" t="s">
        <v>3839</v>
      </c>
      <c r="C3009" t="s">
        <v>10</v>
      </c>
      <c r="D3009" t="s">
        <v>2863</v>
      </c>
    </row>
    <row r="3010" spans="1:4" hidden="1" outlineLevel="2" x14ac:dyDescent="0.3">
      <c r="A3010" t="s">
        <v>4632</v>
      </c>
      <c r="B3010" t="s">
        <v>3839</v>
      </c>
      <c r="C3010" t="s">
        <v>10</v>
      </c>
      <c r="D3010" t="s">
        <v>2865</v>
      </c>
    </row>
    <row r="3011" spans="1:4" hidden="1" outlineLevel="2" x14ac:dyDescent="0.3">
      <c r="A3011" t="s">
        <v>4633</v>
      </c>
      <c r="B3011" t="s">
        <v>3839</v>
      </c>
      <c r="C3011" t="s">
        <v>8</v>
      </c>
      <c r="D3011" t="s">
        <v>2867</v>
      </c>
    </row>
    <row r="3012" spans="1:4" hidden="1" outlineLevel="2" x14ac:dyDescent="0.3">
      <c r="A3012" t="s">
        <v>4634</v>
      </c>
      <c r="B3012" t="s">
        <v>3839</v>
      </c>
      <c r="C3012" t="s">
        <v>8</v>
      </c>
      <c r="D3012" t="s">
        <v>2869</v>
      </c>
    </row>
    <row r="3013" spans="1:4" hidden="1" outlineLevel="2" x14ac:dyDescent="0.3">
      <c r="A3013" t="s">
        <v>4635</v>
      </c>
      <c r="B3013" t="s">
        <v>3839</v>
      </c>
      <c r="C3013" t="s">
        <v>10</v>
      </c>
      <c r="D3013" t="s">
        <v>2871</v>
      </c>
    </row>
    <row r="3014" spans="1:4" hidden="1" outlineLevel="2" x14ac:dyDescent="0.3">
      <c r="A3014" t="s">
        <v>4636</v>
      </c>
      <c r="B3014" t="s">
        <v>3839</v>
      </c>
      <c r="C3014" t="s">
        <v>10</v>
      </c>
      <c r="D3014" t="s">
        <v>2873</v>
      </c>
    </row>
    <row r="3015" spans="1:4" hidden="1" outlineLevel="2" x14ac:dyDescent="0.3">
      <c r="A3015" t="s">
        <v>4637</v>
      </c>
      <c r="B3015" t="s">
        <v>3839</v>
      </c>
      <c r="C3015" t="s">
        <v>8</v>
      </c>
      <c r="D3015" t="s">
        <v>4638</v>
      </c>
    </row>
    <row r="3016" spans="1:4" hidden="1" outlineLevel="2" x14ac:dyDescent="0.3">
      <c r="A3016" t="s">
        <v>4639</v>
      </c>
      <c r="B3016" t="s">
        <v>3839</v>
      </c>
      <c r="C3016" t="s">
        <v>10</v>
      </c>
      <c r="D3016" t="s">
        <v>2877</v>
      </c>
    </row>
    <row r="3017" spans="1:4" hidden="1" outlineLevel="2" x14ac:dyDescent="0.3">
      <c r="A3017" t="s">
        <v>4640</v>
      </c>
      <c r="B3017" t="s">
        <v>3839</v>
      </c>
      <c r="C3017" t="s">
        <v>10</v>
      </c>
      <c r="D3017" t="s">
        <v>2879</v>
      </c>
    </row>
    <row r="3018" spans="1:4" hidden="1" outlineLevel="2" x14ac:dyDescent="0.3">
      <c r="A3018" t="s">
        <v>4641</v>
      </c>
      <c r="B3018" t="s">
        <v>3839</v>
      </c>
      <c r="C3018" t="s">
        <v>10</v>
      </c>
      <c r="D3018" t="s">
        <v>2881</v>
      </c>
    </row>
    <row r="3019" spans="1:4" hidden="1" outlineLevel="2" x14ac:dyDescent="0.3">
      <c r="A3019" t="s">
        <v>4642</v>
      </c>
      <c r="B3019" t="s">
        <v>3839</v>
      </c>
      <c r="C3019" t="s">
        <v>10</v>
      </c>
      <c r="D3019" t="s">
        <v>2883</v>
      </c>
    </row>
    <row r="3020" spans="1:4" hidden="1" outlineLevel="2" x14ac:dyDescent="0.3">
      <c r="A3020" t="s">
        <v>4643</v>
      </c>
      <c r="B3020" t="s">
        <v>3839</v>
      </c>
      <c r="C3020" t="s">
        <v>8</v>
      </c>
      <c r="D3020" t="s">
        <v>2885</v>
      </c>
    </row>
    <row r="3021" spans="1:4" hidden="1" outlineLevel="2" x14ac:dyDescent="0.3">
      <c r="A3021" t="s">
        <v>4644</v>
      </c>
      <c r="B3021" t="s">
        <v>3839</v>
      </c>
      <c r="C3021" t="s">
        <v>10</v>
      </c>
      <c r="D3021" t="s">
        <v>2887</v>
      </c>
    </row>
    <row r="3022" spans="1:4" hidden="1" outlineLevel="2" x14ac:dyDescent="0.3">
      <c r="A3022" t="s">
        <v>4645</v>
      </c>
      <c r="B3022" t="s">
        <v>3839</v>
      </c>
      <c r="C3022" t="s">
        <v>10</v>
      </c>
      <c r="D3022" t="s">
        <v>2889</v>
      </c>
    </row>
    <row r="3023" spans="1:4" hidden="1" outlineLevel="2" x14ac:dyDescent="0.3">
      <c r="A3023" t="s">
        <v>4646</v>
      </c>
      <c r="B3023" t="s">
        <v>3839</v>
      </c>
      <c r="C3023" t="s">
        <v>8</v>
      </c>
      <c r="D3023" t="s">
        <v>2891</v>
      </c>
    </row>
    <row r="3024" spans="1:4" hidden="1" outlineLevel="2" x14ac:dyDescent="0.3">
      <c r="A3024" t="s">
        <v>4647</v>
      </c>
      <c r="B3024" t="s">
        <v>3839</v>
      </c>
      <c r="C3024" t="s">
        <v>10</v>
      </c>
      <c r="D3024" t="s">
        <v>2893</v>
      </c>
    </row>
    <row r="3025" spans="1:4" hidden="1" outlineLevel="2" x14ac:dyDescent="0.3">
      <c r="A3025" t="s">
        <v>4648</v>
      </c>
      <c r="B3025" t="s">
        <v>3839</v>
      </c>
      <c r="C3025" t="s">
        <v>10</v>
      </c>
      <c r="D3025" t="s">
        <v>2895</v>
      </c>
    </row>
    <row r="3026" spans="1:4" hidden="1" outlineLevel="2" x14ac:dyDescent="0.3">
      <c r="A3026" t="s">
        <v>4649</v>
      </c>
      <c r="B3026" t="s">
        <v>3839</v>
      </c>
      <c r="C3026" t="s">
        <v>10</v>
      </c>
      <c r="D3026" t="s">
        <v>2897</v>
      </c>
    </row>
    <row r="3027" spans="1:4" hidden="1" outlineLevel="2" x14ac:dyDescent="0.3">
      <c r="A3027" t="s">
        <v>4650</v>
      </c>
      <c r="B3027" t="s">
        <v>3839</v>
      </c>
      <c r="C3027" t="s">
        <v>10</v>
      </c>
      <c r="D3027" t="s">
        <v>2899</v>
      </c>
    </row>
    <row r="3028" spans="1:4" hidden="1" outlineLevel="2" x14ac:dyDescent="0.3">
      <c r="A3028" t="s">
        <v>4651</v>
      </c>
      <c r="B3028" t="s">
        <v>3839</v>
      </c>
      <c r="C3028" t="s">
        <v>10</v>
      </c>
      <c r="D3028" t="s">
        <v>2901</v>
      </c>
    </row>
    <row r="3029" spans="1:4" hidden="1" outlineLevel="2" x14ac:dyDescent="0.3">
      <c r="A3029" t="s">
        <v>4652</v>
      </c>
      <c r="B3029" t="s">
        <v>3839</v>
      </c>
      <c r="C3029" t="s">
        <v>10</v>
      </c>
      <c r="D3029" t="s">
        <v>2903</v>
      </c>
    </row>
    <row r="3030" spans="1:4" hidden="1" outlineLevel="2" x14ac:dyDescent="0.3">
      <c r="A3030" t="s">
        <v>4653</v>
      </c>
      <c r="B3030" t="s">
        <v>3839</v>
      </c>
      <c r="C3030" t="s">
        <v>10</v>
      </c>
      <c r="D3030" t="s">
        <v>2905</v>
      </c>
    </row>
    <row r="3031" spans="1:4" hidden="1" outlineLevel="2" x14ac:dyDescent="0.3">
      <c r="A3031" t="s">
        <v>4654</v>
      </c>
      <c r="B3031" t="s">
        <v>3839</v>
      </c>
      <c r="C3031" t="s">
        <v>10</v>
      </c>
      <c r="D3031" t="s">
        <v>2907</v>
      </c>
    </row>
    <row r="3032" spans="1:4" hidden="1" outlineLevel="2" x14ac:dyDescent="0.3">
      <c r="A3032" t="s">
        <v>4655</v>
      </c>
      <c r="B3032" t="s">
        <v>3839</v>
      </c>
      <c r="C3032" t="s">
        <v>10</v>
      </c>
      <c r="D3032" t="s">
        <v>2909</v>
      </c>
    </row>
    <row r="3033" spans="1:4" hidden="1" outlineLevel="2" x14ac:dyDescent="0.3">
      <c r="A3033" t="s">
        <v>4656</v>
      </c>
      <c r="B3033" t="s">
        <v>3839</v>
      </c>
      <c r="C3033" t="s">
        <v>10</v>
      </c>
      <c r="D3033" t="s">
        <v>2911</v>
      </c>
    </row>
    <row r="3034" spans="1:4" hidden="1" outlineLevel="2" x14ac:dyDescent="0.3">
      <c r="A3034" t="s">
        <v>4657</v>
      </c>
      <c r="B3034" t="s">
        <v>3839</v>
      </c>
      <c r="C3034" t="s">
        <v>10</v>
      </c>
      <c r="D3034" t="s">
        <v>2913</v>
      </c>
    </row>
    <row r="3035" spans="1:4" hidden="1" outlineLevel="2" x14ac:dyDescent="0.3">
      <c r="A3035" t="s">
        <v>4658</v>
      </c>
      <c r="B3035" t="s">
        <v>3839</v>
      </c>
      <c r="C3035" t="s">
        <v>10</v>
      </c>
      <c r="D3035" t="s">
        <v>2915</v>
      </c>
    </row>
    <row r="3036" spans="1:4" hidden="1" outlineLevel="2" x14ac:dyDescent="0.3">
      <c r="A3036" t="s">
        <v>4659</v>
      </c>
      <c r="B3036" t="s">
        <v>3839</v>
      </c>
      <c r="C3036" t="s">
        <v>10</v>
      </c>
      <c r="D3036" t="s">
        <v>2917</v>
      </c>
    </row>
    <row r="3037" spans="1:4" hidden="1" outlineLevel="2" x14ac:dyDescent="0.3">
      <c r="A3037" t="s">
        <v>4660</v>
      </c>
      <c r="B3037" t="s">
        <v>3839</v>
      </c>
      <c r="C3037" t="s">
        <v>10</v>
      </c>
      <c r="D3037" t="s">
        <v>2283</v>
      </c>
    </row>
    <row r="3038" spans="1:4" hidden="1" outlineLevel="2" x14ac:dyDescent="0.3">
      <c r="A3038" t="s">
        <v>4661</v>
      </c>
      <c r="B3038" t="s">
        <v>3839</v>
      </c>
      <c r="C3038" t="s">
        <v>10</v>
      </c>
      <c r="D3038" t="s">
        <v>3397</v>
      </c>
    </row>
    <row r="3039" spans="1:4" hidden="1" outlineLevel="2" x14ac:dyDescent="0.3">
      <c r="A3039" t="s">
        <v>4662</v>
      </c>
      <c r="B3039" t="s">
        <v>3839</v>
      </c>
      <c r="C3039" t="s">
        <v>10</v>
      </c>
      <c r="D3039" t="s">
        <v>3399</v>
      </c>
    </row>
    <row r="3040" spans="1:4" hidden="1" outlineLevel="2" x14ac:dyDescent="0.3">
      <c r="A3040" t="s">
        <v>4663</v>
      </c>
      <c r="B3040" t="s">
        <v>3839</v>
      </c>
      <c r="C3040" t="s">
        <v>10</v>
      </c>
      <c r="D3040" t="s">
        <v>3401</v>
      </c>
    </row>
    <row r="3041" spans="1:4" hidden="1" outlineLevel="2" x14ac:dyDescent="0.3">
      <c r="A3041" t="s">
        <v>4664</v>
      </c>
      <c r="B3041" t="s">
        <v>3839</v>
      </c>
      <c r="C3041" t="s">
        <v>10</v>
      </c>
      <c r="D3041" t="s">
        <v>3403</v>
      </c>
    </row>
    <row r="3042" spans="1:4" hidden="1" outlineLevel="2" x14ac:dyDescent="0.3">
      <c r="A3042" t="s">
        <v>4665</v>
      </c>
      <c r="B3042" t="s">
        <v>3839</v>
      </c>
      <c r="C3042" t="s">
        <v>10</v>
      </c>
      <c r="D3042" t="s">
        <v>3405</v>
      </c>
    </row>
    <row r="3043" spans="1:4" hidden="1" outlineLevel="2" x14ac:dyDescent="0.3">
      <c r="A3043" t="s">
        <v>4666</v>
      </c>
      <c r="B3043" t="s">
        <v>3839</v>
      </c>
      <c r="C3043" t="s">
        <v>10</v>
      </c>
      <c r="D3043" t="s">
        <v>3407</v>
      </c>
    </row>
    <row r="3044" spans="1:4" hidden="1" outlineLevel="2" x14ac:dyDescent="0.3">
      <c r="A3044" t="s">
        <v>4667</v>
      </c>
      <c r="B3044" t="s">
        <v>3839</v>
      </c>
      <c r="C3044" t="s">
        <v>10</v>
      </c>
      <c r="D3044" t="s">
        <v>3409</v>
      </c>
    </row>
    <row r="3045" spans="1:4" hidden="1" outlineLevel="2" x14ac:dyDescent="0.3">
      <c r="A3045" t="s">
        <v>4668</v>
      </c>
      <c r="B3045" t="s">
        <v>3839</v>
      </c>
      <c r="C3045" t="s">
        <v>10</v>
      </c>
      <c r="D3045" t="s">
        <v>3411</v>
      </c>
    </row>
    <row r="3046" spans="1:4" hidden="1" outlineLevel="2" x14ac:dyDescent="0.3">
      <c r="A3046" t="s">
        <v>4669</v>
      </c>
      <c r="B3046" t="s">
        <v>3839</v>
      </c>
      <c r="C3046" t="s">
        <v>10</v>
      </c>
      <c r="D3046" t="s">
        <v>3413</v>
      </c>
    </row>
    <row r="3047" spans="1:4" hidden="1" outlineLevel="2" x14ac:dyDescent="0.3">
      <c r="A3047" t="s">
        <v>4670</v>
      </c>
      <c r="B3047" t="s">
        <v>3839</v>
      </c>
      <c r="C3047" t="s">
        <v>10</v>
      </c>
      <c r="D3047" t="s">
        <v>3415</v>
      </c>
    </row>
    <row r="3048" spans="1:4" hidden="1" outlineLevel="2" x14ac:dyDescent="0.3">
      <c r="A3048" t="s">
        <v>4671</v>
      </c>
      <c r="B3048" t="s">
        <v>3839</v>
      </c>
      <c r="C3048" t="s">
        <v>8</v>
      </c>
      <c r="D3048" t="s">
        <v>3417</v>
      </c>
    </row>
    <row r="3049" spans="1:4" hidden="1" outlineLevel="2" x14ac:dyDescent="0.3">
      <c r="A3049" t="s">
        <v>4672</v>
      </c>
      <c r="B3049" t="s">
        <v>3839</v>
      </c>
      <c r="C3049" t="s">
        <v>10</v>
      </c>
      <c r="D3049" t="s">
        <v>3419</v>
      </c>
    </row>
    <row r="3050" spans="1:4" hidden="1" outlineLevel="2" x14ac:dyDescent="0.3">
      <c r="A3050" t="s">
        <v>4673</v>
      </c>
      <c r="B3050" t="s">
        <v>3839</v>
      </c>
      <c r="C3050" t="s">
        <v>10</v>
      </c>
      <c r="D3050" t="s">
        <v>3421</v>
      </c>
    </row>
    <row r="3051" spans="1:4" hidden="1" outlineLevel="2" x14ac:dyDescent="0.3">
      <c r="A3051" t="s">
        <v>4674</v>
      </c>
      <c r="B3051" t="s">
        <v>3839</v>
      </c>
      <c r="C3051" t="s">
        <v>10</v>
      </c>
      <c r="D3051" t="s">
        <v>3423</v>
      </c>
    </row>
    <row r="3052" spans="1:4" hidden="1" outlineLevel="2" x14ac:dyDescent="0.3">
      <c r="A3052" t="s">
        <v>4675</v>
      </c>
      <c r="B3052" t="s">
        <v>3839</v>
      </c>
      <c r="C3052" t="s">
        <v>10</v>
      </c>
      <c r="D3052" t="s">
        <v>3425</v>
      </c>
    </row>
    <row r="3053" spans="1:4" hidden="1" outlineLevel="2" x14ac:dyDescent="0.3">
      <c r="A3053" t="s">
        <v>4676</v>
      </c>
      <c r="B3053" t="s">
        <v>3839</v>
      </c>
      <c r="C3053" t="s">
        <v>8</v>
      </c>
      <c r="D3053" t="s">
        <v>3427</v>
      </c>
    </row>
    <row r="3054" spans="1:4" hidden="1" outlineLevel="2" x14ac:dyDescent="0.3">
      <c r="A3054" t="s">
        <v>4677</v>
      </c>
      <c r="B3054" t="s">
        <v>3839</v>
      </c>
      <c r="C3054" t="s">
        <v>10</v>
      </c>
      <c r="D3054" t="s">
        <v>4678</v>
      </c>
    </row>
    <row r="3055" spans="1:4" hidden="1" outlineLevel="2" x14ac:dyDescent="0.3">
      <c r="A3055" t="s">
        <v>4679</v>
      </c>
      <c r="B3055" t="s">
        <v>3839</v>
      </c>
      <c r="C3055" t="s">
        <v>10</v>
      </c>
      <c r="D3055" s="16" t="s">
        <v>4680</v>
      </c>
    </row>
    <row r="3056" spans="1:4" hidden="1" outlineLevel="2" x14ac:dyDescent="0.3">
      <c r="A3056" t="s">
        <v>4681</v>
      </c>
      <c r="B3056" t="s">
        <v>3839</v>
      </c>
      <c r="C3056" t="s">
        <v>10</v>
      </c>
      <c r="D3056" t="s">
        <v>3457</v>
      </c>
    </row>
    <row r="3057" spans="1:4" hidden="1" outlineLevel="2" x14ac:dyDescent="0.3">
      <c r="A3057" t="s">
        <v>4682</v>
      </c>
      <c r="B3057" t="s">
        <v>3839</v>
      </c>
      <c r="C3057" t="s">
        <v>10</v>
      </c>
      <c r="D3057" t="s">
        <v>3459</v>
      </c>
    </row>
    <row r="3058" spans="1:4" hidden="1" outlineLevel="2" x14ac:dyDescent="0.3">
      <c r="A3058" t="s">
        <v>4683</v>
      </c>
      <c r="B3058" t="s">
        <v>3839</v>
      </c>
      <c r="C3058" t="s">
        <v>10</v>
      </c>
      <c r="D3058" t="s">
        <v>3461</v>
      </c>
    </row>
    <row r="3059" spans="1:4" hidden="1" outlineLevel="2" x14ac:dyDescent="0.3">
      <c r="A3059" t="s">
        <v>4684</v>
      </c>
      <c r="B3059" t="s">
        <v>3839</v>
      </c>
      <c r="C3059" t="s">
        <v>10</v>
      </c>
      <c r="D3059" t="s">
        <v>3463</v>
      </c>
    </row>
    <row r="3060" spans="1:4" hidden="1" outlineLevel="2" x14ac:dyDescent="0.3">
      <c r="A3060" t="s">
        <v>4685</v>
      </c>
      <c r="B3060" t="s">
        <v>3839</v>
      </c>
      <c r="C3060" t="s">
        <v>10</v>
      </c>
      <c r="D3060" t="s">
        <v>3465</v>
      </c>
    </row>
    <row r="3061" spans="1:4" hidden="1" outlineLevel="2" x14ac:dyDescent="0.3">
      <c r="A3061" t="s">
        <v>4686</v>
      </c>
      <c r="B3061" t="s">
        <v>3839</v>
      </c>
      <c r="C3061" t="s">
        <v>10</v>
      </c>
      <c r="D3061" t="s">
        <v>3467</v>
      </c>
    </row>
    <row r="3062" spans="1:4" hidden="1" outlineLevel="2" x14ac:dyDescent="0.3">
      <c r="A3062" t="s">
        <v>4687</v>
      </c>
      <c r="B3062" t="s">
        <v>3839</v>
      </c>
      <c r="C3062" t="s">
        <v>10</v>
      </c>
      <c r="D3062" t="s">
        <v>3469</v>
      </c>
    </row>
    <row r="3063" spans="1:4" hidden="1" outlineLevel="2" x14ac:dyDescent="0.3">
      <c r="A3063" t="s">
        <v>4688</v>
      </c>
      <c r="B3063" t="s">
        <v>3839</v>
      </c>
      <c r="C3063" t="s">
        <v>10</v>
      </c>
      <c r="D3063" t="s">
        <v>3471</v>
      </c>
    </row>
    <row r="3064" spans="1:4" hidden="1" outlineLevel="2" x14ac:dyDescent="0.3">
      <c r="A3064" t="s">
        <v>4689</v>
      </c>
      <c r="B3064" t="s">
        <v>3839</v>
      </c>
      <c r="C3064" t="s">
        <v>10</v>
      </c>
      <c r="D3064" t="s">
        <v>3473</v>
      </c>
    </row>
    <row r="3065" spans="1:4" hidden="1" outlineLevel="2" x14ac:dyDescent="0.3">
      <c r="A3065" t="s">
        <v>4690</v>
      </c>
      <c r="B3065" t="s">
        <v>3839</v>
      </c>
      <c r="C3065" t="s">
        <v>10</v>
      </c>
      <c r="D3065" t="s">
        <v>3475</v>
      </c>
    </row>
    <row r="3066" spans="1:4" hidden="1" outlineLevel="2" x14ac:dyDescent="0.3">
      <c r="A3066" t="s">
        <v>4691</v>
      </c>
      <c r="B3066" t="s">
        <v>3839</v>
      </c>
      <c r="C3066" t="s">
        <v>10</v>
      </c>
      <c r="D3066" t="s">
        <v>3477</v>
      </c>
    </row>
    <row r="3067" spans="1:4" hidden="1" outlineLevel="2" x14ac:dyDescent="0.3">
      <c r="A3067" t="s">
        <v>4692</v>
      </c>
      <c r="B3067" t="s">
        <v>3839</v>
      </c>
      <c r="C3067" t="s">
        <v>10</v>
      </c>
      <c r="D3067" t="s">
        <v>3479</v>
      </c>
    </row>
    <row r="3068" spans="1:4" hidden="1" outlineLevel="2" x14ac:dyDescent="0.3">
      <c r="A3068" t="s">
        <v>4693</v>
      </c>
      <c r="B3068" t="s">
        <v>3839</v>
      </c>
      <c r="C3068" t="s">
        <v>10</v>
      </c>
      <c r="D3068" t="s">
        <v>3481</v>
      </c>
    </row>
    <row r="3069" spans="1:4" hidden="1" outlineLevel="2" x14ac:dyDescent="0.3">
      <c r="A3069" t="s">
        <v>4694</v>
      </c>
      <c r="B3069" t="s">
        <v>3839</v>
      </c>
      <c r="C3069" t="s">
        <v>10</v>
      </c>
      <c r="D3069" t="s">
        <v>3483</v>
      </c>
    </row>
    <row r="3070" spans="1:4" hidden="1" outlineLevel="2" x14ac:dyDescent="0.3">
      <c r="A3070" t="s">
        <v>4695</v>
      </c>
      <c r="B3070" t="s">
        <v>3839</v>
      </c>
      <c r="C3070" t="s">
        <v>10</v>
      </c>
      <c r="D3070" t="s">
        <v>3485</v>
      </c>
    </row>
    <row r="3071" spans="1:4" hidden="1" outlineLevel="2" x14ac:dyDescent="0.3">
      <c r="A3071" t="s">
        <v>4696</v>
      </c>
      <c r="B3071" t="s">
        <v>3839</v>
      </c>
      <c r="C3071" t="s">
        <v>10</v>
      </c>
      <c r="D3071" t="s">
        <v>3487</v>
      </c>
    </row>
    <row r="3072" spans="1:4" hidden="1" outlineLevel="2" x14ac:dyDescent="0.3">
      <c r="A3072" t="s">
        <v>4697</v>
      </c>
      <c r="B3072" t="s">
        <v>3839</v>
      </c>
      <c r="C3072" t="s">
        <v>10</v>
      </c>
      <c r="D3072" t="s">
        <v>3489</v>
      </c>
    </row>
    <row r="3073" spans="1:4" hidden="1" outlineLevel="2" x14ac:dyDescent="0.3">
      <c r="A3073" t="s">
        <v>4698</v>
      </c>
      <c r="B3073" t="s">
        <v>3839</v>
      </c>
      <c r="C3073" t="s">
        <v>10</v>
      </c>
      <c r="D3073" t="s">
        <v>3585</v>
      </c>
    </row>
    <row r="3074" spans="1:4" hidden="1" outlineLevel="2" x14ac:dyDescent="0.3">
      <c r="A3074" t="s">
        <v>4699</v>
      </c>
      <c r="B3074" t="s">
        <v>3839</v>
      </c>
      <c r="C3074" t="s">
        <v>10</v>
      </c>
      <c r="D3074" t="s">
        <v>3491</v>
      </c>
    </row>
    <row r="3075" spans="1:4" hidden="1" outlineLevel="2" x14ac:dyDescent="0.3">
      <c r="A3075" t="s">
        <v>4700</v>
      </c>
      <c r="B3075" t="s">
        <v>3839</v>
      </c>
      <c r="C3075" t="s">
        <v>10</v>
      </c>
      <c r="D3075" t="s">
        <v>3493</v>
      </c>
    </row>
    <row r="3076" spans="1:4" hidden="1" outlineLevel="2" x14ac:dyDescent="0.3">
      <c r="A3076" t="s">
        <v>4701</v>
      </c>
      <c r="B3076" t="s">
        <v>3839</v>
      </c>
      <c r="C3076" t="s">
        <v>10</v>
      </c>
      <c r="D3076" t="s">
        <v>3495</v>
      </c>
    </row>
    <row r="3077" spans="1:4" hidden="1" outlineLevel="2" x14ac:dyDescent="0.3">
      <c r="A3077" t="s">
        <v>4702</v>
      </c>
      <c r="B3077" t="s">
        <v>3839</v>
      </c>
      <c r="C3077" t="s">
        <v>10</v>
      </c>
      <c r="D3077" t="s">
        <v>3497</v>
      </c>
    </row>
    <row r="3078" spans="1:4" hidden="1" outlineLevel="2" x14ac:dyDescent="0.3">
      <c r="A3078" t="s">
        <v>4703</v>
      </c>
      <c r="B3078" t="s">
        <v>3844</v>
      </c>
      <c r="C3078" t="s">
        <v>10</v>
      </c>
      <c r="D3078" t="s">
        <v>3401</v>
      </c>
    </row>
    <row r="3079" spans="1:4" hidden="1" outlineLevel="2" x14ac:dyDescent="0.3">
      <c r="A3079" t="s">
        <v>4704</v>
      </c>
      <c r="B3079" t="s">
        <v>3844</v>
      </c>
      <c r="C3079" t="s">
        <v>10</v>
      </c>
      <c r="D3079" t="s">
        <v>3407</v>
      </c>
    </row>
    <row r="3080" spans="1:4" hidden="1" outlineLevel="2" x14ac:dyDescent="0.3">
      <c r="A3080" t="s">
        <v>4705</v>
      </c>
      <c r="B3080" t="s">
        <v>3844</v>
      </c>
      <c r="C3080" t="s">
        <v>10</v>
      </c>
      <c r="D3080" t="s">
        <v>3413</v>
      </c>
    </row>
    <row r="3081" spans="1:4" hidden="1" outlineLevel="2" x14ac:dyDescent="0.3">
      <c r="A3081" t="s">
        <v>4706</v>
      </c>
      <c r="B3081" t="s">
        <v>3844</v>
      </c>
      <c r="C3081" t="s">
        <v>10</v>
      </c>
      <c r="D3081" t="s">
        <v>4678</v>
      </c>
    </row>
    <row r="3082" spans="1:4" hidden="1" outlineLevel="2" x14ac:dyDescent="0.3">
      <c r="A3082" t="s">
        <v>4707</v>
      </c>
      <c r="B3082" t="s">
        <v>3844</v>
      </c>
      <c r="C3082" t="s">
        <v>10</v>
      </c>
      <c r="D3082" t="s">
        <v>4680</v>
      </c>
    </row>
    <row r="3083" spans="1:4" hidden="1" outlineLevel="2" x14ac:dyDescent="0.3">
      <c r="A3083" t="s">
        <v>4708</v>
      </c>
      <c r="B3083" t="s">
        <v>3844</v>
      </c>
      <c r="C3083" t="s">
        <v>10</v>
      </c>
      <c r="D3083" t="s">
        <v>3471</v>
      </c>
    </row>
    <row r="3084" spans="1:4" hidden="1" outlineLevel="2" x14ac:dyDescent="0.3">
      <c r="A3084" t="s">
        <v>4709</v>
      </c>
      <c r="B3084" t="s">
        <v>3844</v>
      </c>
      <c r="C3084" t="s">
        <v>10</v>
      </c>
      <c r="D3084" t="s">
        <v>3481</v>
      </c>
    </row>
    <row r="3085" spans="1:4" hidden="1" outlineLevel="2" x14ac:dyDescent="0.3">
      <c r="A3085" t="s">
        <v>4710</v>
      </c>
      <c r="B3085" t="s">
        <v>3844</v>
      </c>
      <c r="C3085" t="s">
        <v>10</v>
      </c>
      <c r="D3085" t="s">
        <v>3487</v>
      </c>
    </row>
    <row r="3086" spans="1:4" hidden="1" outlineLevel="2" x14ac:dyDescent="0.3">
      <c r="A3086" t="s">
        <v>4711</v>
      </c>
      <c r="B3086" t="s">
        <v>3910</v>
      </c>
      <c r="C3086" t="s">
        <v>8</v>
      </c>
      <c r="D3086" t="s">
        <v>4712</v>
      </c>
    </row>
    <row r="3087" spans="1:4" hidden="1" outlineLevel="2" x14ac:dyDescent="0.3">
      <c r="A3087" t="s">
        <v>4713</v>
      </c>
      <c r="B3087" t="s">
        <v>3910</v>
      </c>
      <c r="C3087" t="s">
        <v>8</v>
      </c>
      <c r="D3087" t="s">
        <v>3377</v>
      </c>
    </row>
    <row r="3088" spans="1:4" hidden="1" outlineLevel="2" x14ac:dyDescent="0.3">
      <c r="A3088" t="s">
        <v>4714</v>
      </c>
      <c r="B3088" t="s">
        <v>3910</v>
      </c>
      <c r="C3088" t="s">
        <v>8</v>
      </c>
      <c r="D3088" t="s">
        <v>3377</v>
      </c>
    </row>
    <row r="3089" spans="1:4" hidden="1" outlineLevel="2" x14ac:dyDescent="0.3">
      <c r="A3089" t="s">
        <v>4715</v>
      </c>
      <c r="B3089" t="s">
        <v>3912</v>
      </c>
      <c r="C3089" t="s">
        <v>8</v>
      </c>
      <c r="D3089" t="s">
        <v>3377</v>
      </c>
    </row>
    <row r="3090" spans="1:4" hidden="1" outlineLevel="2" x14ac:dyDescent="0.3">
      <c r="A3090" t="s">
        <v>4716</v>
      </c>
      <c r="B3090" t="s">
        <v>3912</v>
      </c>
      <c r="C3090" t="s">
        <v>8</v>
      </c>
      <c r="D3090" t="s">
        <v>3377</v>
      </c>
    </row>
    <row r="3091" spans="1:4" hidden="1" outlineLevel="2" x14ac:dyDescent="0.3">
      <c r="A3091" t="s">
        <v>4717</v>
      </c>
      <c r="B3091" t="s">
        <v>3899</v>
      </c>
      <c r="C3091" t="s">
        <v>8</v>
      </c>
      <c r="D3091" t="s">
        <v>4718</v>
      </c>
    </row>
    <row r="3092" spans="1:4" hidden="1" outlineLevel="2" x14ac:dyDescent="0.3">
      <c r="A3092" t="s">
        <v>4719</v>
      </c>
      <c r="B3092" t="s">
        <v>3912</v>
      </c>
      <c r="C3092" t="s">
        <v>8</v>
      </c>
      <c r="D3092" t="s">
        <v>3386</v>
      </c>
    </row>
    <row r="3093" spans="1:4" hidden="1" outlineLevel="2" x14ac:dyDescent="0.3">
      <c r="A3093" t="s">
        <v>4720</v>
      </c>
      <c r="B3093" t="s">
        <v>3912</v>
      </c>
      <c r="C3093" t="s">
        <v>8</v>
      </c>
      <c r="D3093" t="s">
        <v>3392</v>
      </c>
    </row>
    <row r="3094" spans="1:4" hidden="1" outlineLevel="2" x14ac:dyDescent="0.3">
      <c r="A3094" t="s">
        <v>4721</v>
      </c>
      <c r="B3094" t="s">
        <v>3912</v>
      </c>
      <c r="C3094" t="s">
        <v>8</v>
      </c>
      <c r="D3094" t="s">
        <v>3392</v>
      </c>
    </row>
    <row r="3095" spans="1:4" hidden="1" outlineLevel="2" x14ac:dyDescent="0.3">
      <c r="A3095" t="s">
        <v>4722</v>
      </c>
      <c r="B3095" t="s">
        <v>3912</v>
      </c>
      <c r="C3095" t="s">
        <v>8</v>
      </c>
      <c r="D3095" t="s">
        <v>3392</v>
      </c>
    </row>
    <row r="3096" spans="1:4" hidden="1" outlineLevel="2" x14ac:dyDescent="0.3">
      <c r="A3096" t="s">
        <v>4723</v>
      </c>
      <c r="B3096" t="s">
        <v>3912</v>
      </c>
      <c r="C3096" t="s">
        <v>8</v>
      </c>
      <c r="D3096" t="s">
        <v>3392</v>
      </c>
    </row>
    <row r="3097" spans="1:4" hidden="1" outlineLevel="2" x14ac:dyDescent="0.3">
      <c r="A3097" t="s">
        <v>4724</v>
      </c>
      <c r="B3097" t="s">
        <v>3912</v>
      </c>
      <c r="C3097" t="s">
        <v>8</v>
      </c>
      <c r="D3097" t="s">
        <v>3392</v>
      </c>
    </row>
    <row r="3098" spans="1:4" hidden="1" outlineLevel="2" x14ac:dyDescent="0.3">
      <c r="A3098" t="s">
        <v>4725</v>
      </c>
      <c r="B3098" t="s">
        <v>3912</v>
      </c>
      <c r="C3098" t="s">
        <v>8</v>
      </c>
      <c r="D3098" t="s">
        <v>3392</v>
      </c>
    </row>
    <row r="3099" spans="1:4" hidden="1" outlineLevel="2" x14ac:dyDescent="0.3">
      <c r="A3099" t="s">
        <v>4726</v>
      </c>
      <c r="B3099" t="s">
        <v>3912</v>
      </c>
      <c r="C3099" t="s">
        <v>8</v>
      </c>
      <c r="D3099" t="s">
        <v>3392</v>
      </c>
    </row>
    <row r="3100" spans="1:4" hidden="1" outlineLevel="2" x14ac:dyDescent="0.3">
      <c r="A3100" t="s">
        <v>4727</v>
      </c>
      <c r="B3100" t="s">
        <v>3912</v>
      </c>
      <c r="C3100" t="s">
        <v>8</v>
      </c>
      <c r="D3100" t="s">
        <v>3392</v>
      </c>
    </row>
    <row r="3101" spans="1:4" hidden="1" outlineLevel="2" x14ac:dyDescent="0.3">
      <c r="A3101" t="s">
        <v>4728</v>
      </c>
      <c r="B3101" t="s">
        <v>3912</v>
      </c>
      <c r="C3101" t="s">
        <v>10</v>
      </c>
      <c r="D3101" t="s">
        <v>4729</v>
      </c>
    </row>
    <row r="3102" spans="1:4" hidden="1" outlineLevel="2" x14ac:dyDescent="0.3">
      <c r="A3102" t="s">
        <v>4730</v>
      </c>
      <c r="B3102" t="s">
        <v>3910</v>
      </c>
      <c r="C3102" t="s">
        <v>8</v>
      </c>
      <c r="D3102" t="s">
        <v>4731</v>
      </c>
    </row>
    <row r="3103" spans="1:4" hidden="1" outlineLevel="2" x14ac:dyDescent="0.3">
      <c r="A3103" t="s">
        <v>4732</v>
      </c>
      <c r="B3103" t="s">
        <v>3910</v>
      </c>
      <c r="C3103" t="s">
        <v>8</v>
      </c>
      <c r="D3103" t="s">
        <v>4733</v>
      </c>
    </row>
    <row r="3104" spans="1:4" hidden="1" outlineLevel="2" x14ac:dyDescent="0.3">
      <c r="A3104" t="s">
        <v>4734</v>
      </c>
      <c r="B3104" t="s">
        <v>3910</v>
      </c>
      <c r="C3104" t="s">
        <v>8</v>
      </c>
      <c r="D3104" t="s">
        <v>4733</v>
      </c>
    </row>
    <row r="3105" spans="1:4" hidden="1" outlineLevel="2" x14ac:dyDescent="0.3">
      <c r="A3105" t="s">
        <v>4735</v>
      </c>
      <c r="B3105" t="s">
        <v>3912</v>
      </c>
      <c r="C3105" t="s">
        <v>8</v>
      </c>
      <c r="D3105" t="s">
        <v>4733</v>
      </c>
    </row>
    <row r="3106" spans="1:4" hidden="1" outlineLevel="2" x14ac:dyDescent="0.3">
      <c r="A3106" t="s">
        <v>4736</v>
      </c>
      <c r="B3106" t="s">
        <v>3912</v>
      </c>
      <c r="C3106" t="s">
        <v>8</v>
      </c>
      <c r="D3106" t="s">
        <v>4733</v>
      </c>
    </row>
    <row r="3107" spans="1:4" hidden="1" outlineLevel="2" x14ac:dyDescent="0.3">
      <c r="A3107" t="s">
        <v>4737</v>
      </c>
      <c r="B3107" t="s">
        <v>3912</v>
      </c>
      <c r="C3107" t="s">
        <v>8</v>
      </c>
      <c r="D3107" t="s">
        <v>4733</v>
      </c>
    </row>
    <row r="3108" spans="1:4" hidden="1" outlineLevel="2" x14ac:dyDescent="0.3">
      <c r="A3108" t="s">
        <v>4738</v>
      </c>
      <c r="B3108" t="s">
        <v>3899</v>
      </c>
      <c r="C3108" t="s">
        <v>8</v>
      </c>
      <c r="D3108" t="s">
        <v>4739</v>
      </c>
    </row>
    <row r="3109" spans="1:4" hidden="1" outlineLevel="2" x14ac:dyDescent="0.3">
      <c r="A3109" t="s">
        <v>4740</v>
      </c>
      <c r="B3109" t="s">
        <v>3912</v>
      </c>
      <c r="C3109" t="s">
        <v>8</v>
      </c>
      <c r="D3109" t="s">
        <v>3444</v>
      </c>
    </row>
    <row r="3110" spans="1:4" hidden="1" outlineLevel="2" x14ac:dyDescent="0.3">
      <c r="A3110" t="s">
        <v>4741</v>
      </c>
      <c r="B3110" t="s">
        <v>3912</v>
      </c>
      <c r="C3110" t="s">
        <v>8</v>
      </c>
      <c r="D3110" t="s">
        <v>3444</v>
      </c>
    </row>
    <row r="3111" spans="1:4" hidden="1" outlineLevel="2" x14ac:dyDescent="0.3">
      <c r="A3111" t="s">
        <v>4742</v>
      </c>
      <c r="B3111" t="s">
        <v>3912</v>
      </c>
      <c r="C3111" t="s">
        <v>8</v>
      </c>
      <c r="D3111" t="s">
        <v>3444</v>
      </c>
    </row>
    <row r="3112" spans="1:4" hidden="1" outlineLevel="2" x14ac:dyDescent="0.3">
      <c r="A3112" t="s">
        <v>4743</v>
      </c>
      <c r="B3112" t="s">
        <v>3912</v>
      </c>
      <c r="C3112" t="s">
        <v>8</v>
      </c>
      <c r="D3112" t="s">
        <v>3444</v>
      </c>
    </row>
    <row r="3113" spans="1:4" hidden="1" outlineLevel="2" x14ac:dyDescent="0.3">
      <c r="A3113" t="s">
        <v>4744</v>
      </c>
      <c r="B3113" t="s">
        <v>3912</v>
      </c>
      <c r="C3113" t="s">
        <v>8</v>
      </c>
      <c r="D3113" t="s">
        <v>3444</v>
      </c>
    </row>
    <row r="3114" spans="1:4" hidden="1" outlineLevel="2" x14ac:dyDescent="0.3">
      <c r="A3114" t="s">
        <v>4745</v>
      </c>
      <c r="B3114" t="s">
        <v>3912</v>
      </c>
      <c r="C3114" t="s">
        <v>8</v>
      </c>
      <c r="D3114" t="s">
        <v>3444</v>
      </c>
    </row>
    <row r="3115" spans="1:4" hidden="1" outlineLevel="2" x14ac:dyDescent="0.3">
      <c r="A3115" t="s">
        <v>4746</v>
      </c>
      <c r="B3115" t="s">
        <v>3912</v>
      </c>
      <c r="C3115" t="s">
        <v>8</v>
      </c>
      <c r="D3115" t="s">
        <v>3444</v>
      </c>
    </row>
    <row r="3116" spans="1:4" hidden="1" outlineLevel="2" x14ac:dyDescent="0.3">
      <c r="A3116" t="s">
        <v>4747</v>
      </c>
      <c r="B3116" t="s">
        <v>3912</v>
      </c>
      <c r="C3116" t="s">
        <v>8</v>
      </c>
      <c r="D3116" t="s">
        <v>3444</v>
      </c>
    </row>
    <row r="3117" spans="1:4" hidden="1" outlineLevel="2" x14ac:dyDescent="0.3">
      <c r="A3117" t="s">
        <v>4748</v>
      </c>
      <c r="B3117" t="s">
        <v>3839</v>
      </c>
      <c r="C3117" t="s">
        <v>10</v>
      </c>
      <c r="D3117" t="s">
        <v>3079</v>
      </c>
    </row>
    <row r="3118" spans="1:4" hidden="1" outlineLevel="2" x14ac:dyDescent="0.3">
      <c r="A3118" t="s">
        <v>4749</v>
      </c>
      <c r="B3118" t="s">
        <v>3839</v>
      </c>
      <c r="C3118" t="s">
        <v>10</v>
      </c>
      <c r="D3118" t="s">
        <v>3079</v>
      </c>
    </row>
    <row r="3119" spans="1:4" hidden="1" outlineLevel="2" x14ac:dyDescent="0.3">
      <c r="A3119" t="s">
        <v>4750</v>
      </c>
      <c r="B3119" t="s">
        <v>3839</v>
      </c>
      <c r="C3119" t="s">
        <v>10</v>
      </c>
      <c r="D3119" t="s">
        <v>4751</v>
      </c>
    </row>
    <row r="3120" spans="1:4" hidden="1" outlineLevel="2" x14ac:dyDescent="0.3">
      <c r="A3120" t="s">
        <v>4752</v>
      </c>
      <c r="B3120" t="s">
        <v>3839</v>
      </c>
      <c r="C3120" t="s">
        <v>10</v>
      </c>
      <c r="D3120" t="s">
        <v>2919</v>
      </c>
    </row>
    <row r="3121" spans="1:4" hidden="1" outlineLevel="2" x14ac:dyDescent="0.3">
      <c r="A3121" t="s">
        <v>4753</v>
      </c>
      <c r="B3121" t="s">
        <v>3839</v>
      </c>
      <c r="C3121" t="s">
        <v>10</v>
      </c>
      <c r="D3121" t="s">
        <v>2919</v>
      </c>
    </row>
    <row r="3122" spans="1:4" hidden="1" outlineLevel="2" x14ac:dyDescent="0.3">
      <c r="A3122" t="s">
        <v>4754</v>
      </c>
      <c r="B3122" t="s">
        <v>3839</v>
      </c>
      <c r="C3122" t="s">
        <v>10</v>
      </c>
      <c r="D3122" t="s">
        <v>2922</v>
      </c>
    </row>
    <row r="3123" spans="1:4" hidden="1" outlineLevel="2" x14ac:dyDescent="0.3">
      <c r="A3123" t="s">
        <v>4755</v>
      </c>
      <c r="B3123" t="s">
        <v>3839</v>
      </c>
      <c r="C3123" t="s">
        <v>10</v>
      </c>
      <c r="D3123" t="s">
        <v>2924</v>
      </c>
    </row>
    <row r="3124" spans="1:4" hidden="1" outlineLevel="2" x14ac:dyDescent="0.3">
      <c r="A3124" t="s">
        <v>4756</v>
      </c>
      <c r="B3124" t="s">
        <v>3839</v>
      </c>
      <c r="C3124" t="s">
        <v>10</v>
      </c>
      <c r="D3124" t="s">
        <v>2926</v>
      </c>
    </row>
    <row r="3125" spans="1:4" hidden="1" outlineLevel="2" x14ac:dyDescent="0.3">
      <c r="A3125" t="s">
        <v>4757</v>
      </c>
      <c r="B3125" t="s">
        <v>3839</v>
      </c>
      <c r="C3125" t="s">
        <v>8</v>
      </c>
      <c r="D3125" t="s">
        <v>2928</v>
      </c>
    </row>
    <row r="3126" spans="1:4" hidden="1" outlineLevel="2" x14ac:dyDescent="0.3">
      <c r="A3126" t="s">
        <v>4758</v>
      </c>
      <c r="B3126" t="s">
        <v>3839</v>
      </c>
      <c r="C3126" t="s">
        <v>8</v>
      </c>
      <c r="D3126" t="s">
        <v>2930</v>
      </c>
    </row>
    <row r="3127" spans="1:4" hidden="1" outlineLevel="2" x14ac:dyDescent="0.3">
      <c r="A3127" t="s">
        <v>4759</v>
      </c>
      <c r="B3127" t="s">
        <v>3839</v>
      </c>
      <c r="C3127" t="s">
        <v>10</v>
      </c>
      <c r="D3127" t="s">
        <v>4760</v>
      </c>
    </row>
    <row r="3128" spans="1:4" hidden="1" outlineLevel="2" x14ac:dyDescent="0.3">
      <c r="A3128" t="s">
        <v>4761</v>
      </c>
      <c r="B3128" t="s">
        <v>3839</v>
      </c>
      <c r="C3128" t="s">
        <v>10</v>
      </c>
      <c r="D3128" t="s">
        <v>2934</v>
      </c>
    </row>
    <row r="3129" spans="1:4" hidden="1" outlineLevel="2" x14ac:dyDescent="0.3">
      <c r="A3129" t="s">
        <v>4762</v>
      </c>
      <c r="B3129" t="s">
        <v>3839</v>
      </c>
      <c r="C3129" t="s">
        <v>10</v>
      </c>
      <c r="D3129" t="s">
        <v>2936</v>
      </c>
    </row>
    <row r="3130" spans="1:4" hidden="1" outlineLevel="2" x14ac:dyDescent="0.3">
      <c r="A3130" t="s">
        <v>4763</v>
      </c>
      <c r="B3130" t="s">
        <v>3839</v>
      </c>
      <c r="C3130" t="s">
        <v>10</v>
      </c>
      <c r="D3130" t="s">
        <v>2938</v>
      </c>
    </row>
    <row r="3131" spans="1:4" hidden="1" outlineLevel="2" x14ac:dyDescent="0.3">
      <c r="A3131" t="s">
        <v>4764</v>
      </c>
      <c r="B3131" t="s">
        <v>3839</v>
      </c>
      <c r="C3131" t="s">
        <v>8</v>
      </c>
      <c r="D3131" t="s">
        <v>2940</v>
      </c>
    </row>
    <row r="3132" spans="1:4" hidden="1" outlineLevel="2" x14ac:dyDescent="0.3">
      <c r="A3132" t="s">
        <v>4765</v>
      </c>
      <c r="B3132" t="s">
        <v>3839</v>
      </c>
      <c r="C3132" t="s">
        <v>10</v>
      </c>
      <c r="D3132" t="s">
        <v>2942</v>
      </c>
    </row>
    <row r="3133" spans="1:4" hidden="1" outlineLevel="2" x14ac:dyDescent="0.3">
      <c r="A3133" t="s">
        <v>4766</v>
      </c>
      <c r="B3133" t="s">
        <v>3839</v>
      </c>
      <c r="C3133" t="s">
        <v>10</v>
      </c>
      <c r="D3133" t="s">
        <v>2944</v>
      </c>
    </row>
    <row r="3134" spans="1:4" hidden="1" outlineLevel="2" x14ac:dyDescent="0.3">
      <c r="A3134" t="s">
        <v>4767</v>
      </c>
      <c r="B3134" t="s">
        <v>3839</v>
      </c>
      <c r="C3134" t="s">
        <v>10</v>
      </c>
      <c r="D3134" t="s">
        <v>2946</v>
      </c>
    </row>
    <row r="3135" spans="1:4" hidden="1" outlineLevel="2" x14ac:dyDescent="0.3">
      <c r="A3135" t="s">
        <v>4768</v>
      </c>
      <c r="B3135" t="s">
        <v>3839</v>
      </c>
      <c r="C3135" t="s">
        <v>10</v>
      </c>
      <c r="D3135" t="s">
        <v>2950</v>
      </c>
    </row>
    <row r="3136" spans="1:4" hidden="1" outlineLevel="2" x14ac:dyDescent="0.3">
      <c r="A3136" t="s">
        <v>4769</v>
      </c>
      <c r="B3136" t="s">
        <v>3839</v>
      </c>
      <c r="C3136" t="s">
        <v>10</v>
      </c>
      <c r="D3136" t="s">
        <v>2952</v>
      </c>
    </row>
    <row r="3137" spans="1:4" hidden="1" outlineLevel="2" x14ac:dyDescent="0.3">
      <c r="A3137" t="s">
        <v>4770</v>
      </c>
      <c r="B3137" t="s">
        <v>3839</v>
      </c>
      <c r="C3137" t="s">
        <v>10</v>
      </c>
      <c r="D3137" t="s">
        <v>2954</v>
      </c>
    </row>
    <row r="3138" spans="1:4" hidden="1" outlineLevel="2" x14ac:dyDescent="0.3">
      <c r="A3138" t="s">
        <v>4771</v>
      </c>
      <c r="B3138" t="s">
        <v>3839</v>
      </c>
      <c r="C3138" t="s">
        <v>10</v>
      </c>
      <c r="D3138" t="s">
        <v>2956</v>
      </c>
    </row>
    <row r="3139" spans="1:4" hidden="1" outlineLevel="2" x14ac:dyDescent="0.3">
      <c r="A3139" t="s">
        <v>4772</v>
      </c>
      <c r="B3139" t="s">
        <v>3839</v>
      </c>
      <c r="C3139" t="s">
        <v>8</v>
      </c>
      <c r="D3139" t="s">
        <v>2958</v>
      </c>
    </row>
    <row r="3140" spans="1:4" hidden="1" outlineLevel="2" x14ac:dyDescent="0.3">
      <c r="A3140" t="s">
        <v>4773</v>
      </c>
      <c r="B3140" t="s">
        <v>3839</v>
      </c>
      <c r="C3140" t="s">
        <v>10</v>
      </c>
      <c r="D3140" t="s">
        <v>4774</v>
      </c>
    </row>
    <row r="3141" spans="1:4" hidden="1" outlineLevel="2" x14ac:dyDescent="0.3">
      <c r="A3141" t="s">
        <v>4775</v>
      </c>
      <c r="B3141" t="s">
        <v>3839</v>
      </c>
      <c r="C3141" t="s">
        <v>10</v>
      </c>
      <c r="D3141" t="s">
        <v>2948</v>
      </c>
    </row>
    <row r="3142" spans="1:4" hidden="1" outlineLevel="2" x14ac:dyDescent="0.3">
      <c r="A3142" t="s">
        <v>4776</v>
      </c>
      <c r="B3142" t="s">
        <v>3839</v>
      </c>
      <c r="C3142" t="s">
        <v>8</v>
      </c>
      <c r="D3142" t="s">
        <v>2930</v>
      </c>
    </row>
    <row r="3143" spans="1:4" hidden="1" outlineLevel="2" x14ac:dyDescent="0.3">
      <c r="A3143" t="s">
        <v>4777</v>
      </c>
      <c r="B3143" t="s">
        <v>3839</v>
      </c>
      <c r="C3143" t="s">
        <v>10</v>
      </c>
      <c r="D3143" t="s">
        <v>2919</v>
      </c>
    </row>
    <row r="3144" spans="1:4" hidden="1" outlineLevel="2" x14ac:dyDescent="0.3">
      <c r="A3144" t="s">
        <v>4778</v>
      </c>
      <c r="B3144" t="s">
        <v>3839</v>
      </c>
      <c r="C3144" t="s">
        <v>8</v>
      </c>
      <c r="D3144" t="s">
        <v>2930</v>
      </c>
    </row>
    <row r="3145" spans="1:4" hidden="1" outlineLevel="2" x14ac:dyDescent="0.3">
      <c r="A3145" t="s">
        <v>4779</v>
      </c>
      <c r="B3145" t="s">
        <v>3839</v>
      </c>
      <c r="C3145" t="s">
        <v>10</v>
      </c>
      <c r="D3145" t="s">
        <v>3520</v>
      </c>
    </row>
    <row r="3146" spans="1:4" hidden="1" outlineLevel="2" x14ac:dyDescent="0.3">
      <c r="A3146" t="s">
        <v>4780</v>
      </c>
      <c r="B3146" t="s">
        <v>3839</v>
      </c>
      <c r="C3146" t="s">
        <v>10</v>
      </c>
      <c r="D3146" t="s">
        <v>3522</v>
      </c>
    </row>
    <row r="3147" spans="1:4" hidden="1" outlineLevel="2" x14ac:dyDescent="0.3">
      <c r="A3147" t="s">
        <v>4781</v>
      </c>
      <c r="B3147" t="s">
        <v>3839</v>
      </c>
      <c r="C3147" t="s">
        <v>10</v>
      </c>
      <c r="D3147" t="s">
        <v>3524</v>
      </c>
    </row>
    <row r="3148" spans="1:4" hidden="1" outlineLevel="2" x14ac:dyDescent="0.3">
      <c r="A3148" t="s">
        <v>4782</v>
      </c>
      <c r="B3148" t="s">
        <v>3839</v>
      </c>
      <c r="C3148" t="s">
        <v>10</v>
      </c>
      <c r="D3148" t="s">
        <v>3526</v>
      </c>
    </row>
    <row r="3149" spans="1:4" hidden="1" outlineLevel="2" x14ac:dyDescent="0.3">
      <c r="A3149" t="s">
        <v>4783</v>
      </c>
      <c r="B3149" t="s">
        <v>3839</v>
      </c>
      <c r="C3149" t="s">
        <v>10</v>
      </c>
      <c r="D3149" t="s">
        <v>3528</v>
      </c>
    </row>
    <row r="3150" spans="1:4" hidden="1" outlineLevel="2" x14ac:dyDescent="0.3">
      <c r="A3150" t="s">
        <v>4784</v>
      </c>
      <c r="B3150" t="s">
        <v>3839</v>
      </c>
      <c r="C3150" t="s">
        <v>10</v>
      </c>
      <c r="D3150" t="s">
        <v>3530</v>
      </c>
    </row>
    <row r="3151" spans="1:4" hidden="1" outlineLevel="2" x14ac:dyDescent="0.3">
      <c r="A3151" t="s">
        <v>4785</v>
      </c>
      <c r="B3151" t="s">
        <v>3839</v>
      </c>
      <c r="C3151" t="s">
        <v>10</v>
      </c>
      <c r="D3151" t="s">
        <v>3532</v>
      </c>
    </row>
    <row r="3152" spans="1:4" hidden="1" outlineLevel="2" x14ac:dyDescent="0.3">
      <c r="A3152" t="s">
        <v>4786</v>
      </c>
      <c r="B3152" t="s">
        <v>3839</v>
      </c>
      <c r="C3152" t="s">
        <v>10</v>
      </c>
      <c r="D3152" t="s">
        <v>3534</v>
      </c>
    </row>
    <row r="3153" spans="1:4" hidden="1" outlineLevel="2" x14ac:dyDescent="0.3">
      <c r="A3153" t="s">
        <v>4787</v>
      </c>
      <c r="B3153" t="s">
        <v>3839</v>
      </c>
      <c r="C3153" t="s">
        <v>10</v>
      </c>
      <c r="D3153" t="s">
        <v>3536</v>
      </c>
    </row>
    <row r="3154" spans="1:4" hidden="1" outlineLevel="2" x14ac:dyDescent="0.3">
      <c r="A3154" t="s">
        <v>4788</v>
      </c>
      <c r="B3154" t="s">
        <v>3839</v>
      </c>
      <c r="C3154" t="s">
        <v>8</v>
      </c>
      <c r="D3154" t="s">
        <v>3538</v>
      </c>
    </row>
    <row r="3155" spans="1:4" hidden="1" outlineLevel="2" x14ac:dyDescent="0.3">
      <c r="A3155" t="s">
        <v>4789</v>
      </c>
      <c r="B3155" t="s">
        <v>3839</v>
      </c>
      <c r="C3155" t="s">
        <v>10</v>
      </c>
      <c r="D3155" t="s">
        <v>3540</v>
      </c>
    </row>
    <row r="3156" spans="1:4" hidden="1" outlineLevel="2" x14ac:dyDescent="0.3">
      <c r="A3156" t="s">
        <v>4790</v>
      </c>
      <c r="B3156" t="s">
        <v>3839</v>
      </c>
      <c r="C3156" t="s">
        <v>10</v>
      </c>
      <c r="D3156" t="s">
        <v>3542</v>
      </c>
    </row>
    <row r="3157" spans="1:4" hidden="1" outlineLevel="2" x14ac:dyDescent="0.3">
      <c r="A3157" t="s">
        <v>4791</v>
      </c>
      <c r="B3157" t="s">
        <v>3839</v>
      </c>
      <c r="C3157" t="s">
        <v>10</v>
      </c>
      <c r="D3157" t="s">
        <v>3544</v>
      </c>
    </row>
    <row r="3158" spans="1:4" hidden="1" outlineLevel="2" x14ac:dyDescent="0.3">
      <c r="A3158" t="s">
        <v>4792</v>
      </c>
      <c r="B3158" t="s">
        <v>3839</v>
      </c>
      <c r="C3158" t="s">
        <v>10</v>
      </c>
      <c r="D3158" t="s">
        <v>3546</v>
      </c>
    </row>
    <row r="3159" spans="1:4" hidden="1" outlineLevel="2" x14ac:dyDescent="0.3">
      <c r="A3159" t="s">
        <v>4793</v>
      </c>
      <c r="B3159" t="s">
        <v>3839</v>
      </c>
      <c r="C3159" t="s">
        <v>10</v>
      </c>
      <c r="D3159" t="s">
        <v>3548</v>
      </c>
    </row>
    <row r="3160" spans="1:4" hidden="1" outlineLevel="2" x14ac:dyDescent="0.3">
      <c r="A3160" t="s">
        <v>4794</v>
      </c>
      <c r="B3160" t="s">
        <v>3839</v>
      </c>
      <c r="C3160" t="s">
        <v>10</v>
      </c>
      <c r="D3160" t="s">
        <v>3550</v>
      </c>
    </row>
    <row r="3161" spans="1:4" hidden="1" outlineLevel="2" x14ac:dyDescent="0.3">
      <c r="A3161" t="s">
        <v>4795</v>
      </c>
      <c r="B3161" t="s">
        <v>3839</v>
      </c>
      <c r="C3161" t="s">
        <v>8</v>
      </c>
      <c r="D3161" t="s">
        <v>3552</v>
      </c>
    </row>
    <row r="3162" spans="1:4" hidden="1" outlineLevel="2" x14ac:dyDescent="0.3">
      <c r="A3162" t="s">
        <v>4796</v>
      </c>
      <c r="B3162" t="s">
        <v>3839</v>
      </c>
      <c r="C3162" t="s">
        <v>10</v>
      </c>
      <c r="D3162" t="s">
        <v>4797</v>
      </c>
    </row>
    <row r="3163" spans="1:4" hidden="1" outlineLevel="2" x14ac:dyDescent="0.3">
      <c r="A3163" t="s">
        <v>4798</v>
      </c>
      <c r="B3163" t="s">
        <v>3839</v>
      </c>
      <c r="C3163" t="s">
        <v>10</v>
      </c>
      <c r="D3163" t="s">
        <v>3554</v>
      </c>
    </row>
    <row r="3164" spans="1:4" hidden="1" outlineLevel="2" x14ac:dyDescent="0.3">
      <c r="A3164" t="s">
        <v>4799</v>
      </c>
      <c r="B3164" t="s">
        <v>3839</v>
      </c>
      <c r="C3164" t="s">
        <v>10</v>
      </c>
      <c r="D3164" t="s">
        <v>3577</v>
      </c>
    </row>
    <row r="3165" spans="1:4" hidden="1" outlineLevel="2" x14ac:dyDescent="0.3">
      <c r="A3165" t="s">
        <v>4800</v>
      </c>
      <c r="B3165" t="s">
        <v>3839</v>
      </c>
      <c r="C3165" t="s">
        <v>10</v>
      </c>
      <c r="D3165" t="s">
        <v>3579</v>
      </c>
    </row>
    <row r="3166" spans="1:4" hidden="1" outlineLevel="2" x14ac:dyDescent="0.3">
      <c r="A3166" t="s">
        <v>4801</v>
      </c>
      <c r="B3166" t="s">
        <v>3839</v>
      </c>
      <c r="C3166" t="s">
        <v>10</v>
      </c>
      <c r="D3166" t="s">
        <v>3581</v>
      </c>
    </row>
    <row r="3167" spans="1:4" hidden="1" outlineLevel="2" x14ac:dyDescent="0.3">
      <c r="A3167" t="s">
        <v>4802</v>
      </c>
      <c r="B3167" t="s">
        <v>3839</v>
      </c>
      <c r="C3167" t="s">
        <v>10</v>
      </c>
      <c r="D3167" t="s">
        <v>3583</v>
      </c>
    </row>
    <row r="3168" spans="1:4" hidden="1" outlineLevel="2" x14ac:dyDescent="0.3">
      <c r="A3168" t="s">
        <v>4803</v>
      </c>
      <c r="B3168" t="s">
        <v>3839</v>
      </c>
      <c r="C3168" t="s">
        <v>10</v>
      </c>
      <c r="D3168" t="s">
        <v>3587</v>
      </c>
    </row>
    <row r="3169" spans="1:4" hidden="1" outlineLevel="2" x14ac:dyDescent="0.3">
      <c r="A3169" t="s">
        <v>4804</v>
      </c>
      <c r="B3169" t="s">
        <v>3839</v>
      </c>
      <c r="C3169" t="s">
        <v>10</v>
      </c>
      <c r="D3169" t="s">
        <v>3589</v>
      </c>
    </row>
    <row r="3170" spans="1:4" hidden="1" outlineLevel="2" x14ac:dyDescent="0.3">
      <c r="A3170" t="s">
        <v>4805</v>
      </c>
      <c r="B3170" t="s">
        <v>3839</v>
      </c>
      <c r="C3170" t="s">
        <v>10</v>
      </c>
      <c r="D3170" t="s">
        <v>3591</v>
      </c>
    </row>
    <row r="3171" spans="1:4" hidden="1" outlineLevel="2" x14ac:dyDescent="0.3">
      <c r="A3171" t="s">
        <v>4806</v>
      </c>
      <c r="B3171" t="s">
        <v>3839</v>
      </c>
      <c r="C3171" t="s">
        <v>10</v>
      </c>
      <c r="D3171" t="s">
        <v>3593</v>
      </c>
    </row>
    <row r="3172" spans="1:4" hidden="1" outlineLevel="2" x14ac:dyDescent="0.3">
      <c r="A3172" t="s">
        <v>4807</v>
      </c>
      <c r="B3172" t="s">
        <v>3839</v>
      </c>
      <c r="C3172" t="s">
        <v>10</v>
      </c>
      <c r="D3172" t="s">
        <v>3595</v>
      </c>
    </row>
    <row r="3173" spans="1:4" hidden="1" outlineLevel="2" x14ac:dyDescent="0.3">
      <c r="A3173" t="s">
        <v>4808</v>
      </c>
      <c r="B3173" t="s">
        <v>3839</v>
      </c>
      <c r="C3173" t="s">
        <v>10</v>
      </c>
      <c r="D3173" t="s">
        <v>3597</v>
      </c>
    </row>
    <row r="3174" spans="1:4" hidden="1" outlineLevel="2" x14ac:dyDescent="0.3">
      <c r="A3174" t="s">
        <v>4809</v>
      </c>
      <c r="B3174" t="s">
        <v>3839</v>
      </c>
      <c r="C3174" t="s">
        <v>10</v>
      </c>
      <c r="D3174" t="s">
        <v>3599</v>
      </c>
    </row>
    <row r="3175" spans="1:4" hidden="1" outlineLevel="2" x14ac:dyDescent="0.3">
      <c r="A3175" t="s">
        <v>4810</v>
      </c>
      <c r="B3175" t="s">
        <v>3839</v>
      </c>
      <c r="C3175" t="s">
        <v>10</v>
      </c>
      <c r="D3175" t="s">
        <v>3601</v>
      </c>
    </row>
    <row r="3176" spans="1:4" hidden="1" outlineLevel="2" x14ac:dyDescent="0.3">
      <c r="A3176" t="s">
        <v>4811</v>
      </c>
      <c r="B3176" t="s">
        <v>3839</v>
      </c>
      <c r="C3176" t="s">
        <v>10</v>
      </c>
      <c r="D3176" t="s">
        <v>3603</v>
      </c>
    </row>
    <row r="3177" spans="1:4" hidden="1" outlineLevel="2" x14ac:dyDescent="0.3">
      <c r="A3177" t="s">
        <v>4812</v>
      </c>
      <c r="B3177" t="s">
        <v>3839</v>
      </c>
      <c r="C3177" t="s">
        <v>10</v>
      </c>
      <c r="D3177" t="s">
        <v>3605</v>
      </c>
    </row>
    <row r="3178" spans="1:4" hidden="1" outlineLevel="2" x14ac:dyDescent="0.3">
      <c r="A3178" t="s">
        <v>4813</v>
      </c>
      <c r="B3178" t="s">
        <v>3839</v>
      </c>
      <c r="C3178" t="s">
        <v>10</v>
      </c>
      <c r="D3178" t="s">
        <v>3607</v>
      </c>
    </row>
    <row r="3179" spans="1:4" hidden="1" outlineLevel="2" x14ac:dyDescent="0.3">
      <c r="A3179" t="s">
        <v>4814</v>
      </c>
      <c r="B3179" t="s">
        <v>3839</v>
      </c>
      <c r="C3179" t="s">
        <v>10</v>
      </c>
      <c r="D3179" t="s">
        <v>3609</v>
      </c>
    </row>
    <row r="3180" spans="1:4" hidden="1" outlineLevel="2" x14ac:dyDescent="0.3">
      <c r="A3180" t="s">
        <v>4815</v>
      </c>
      <c r="B3180" t="s">
        <v>3839</v>
      </c>
      <c r="C3180" t="s">
        <v>10</v>
      </c>
      <c r="D3180" t="s">
        <v>3611</v>
      </c>
    </row>
    <row r="3181" spans="1:4" hidden="1" outlineLevel="2" x14ac:dyDescent="0.3">
      <c r="A3181" t="s">
        <v>4816</v>
      </c>
      <c r="B3181" t="s">
        <v>3839</v>
      </c>
      <c r="C3181" t="s">
        <v>10</v>
      </c>
      <c r="D3181" t="s">
        <v>3613</v>
      </c>
    </row>
    <row r="3182" spans="1:4" hidden="1" outlineLevel="2" x14ac:dyDescent="0.3">
      <c r="A3182" t="s">
        <v>4817</v>
      </c>
      <c r="B3182" t="s">
        <v>3839</v>
      </c>
      <c r="C3182" t="s">
        <v>10</v>
      </c>
      <c r="D3182" t="s">
        <v>3615</v>
      </c>
    </row>
    <row r="3183" spans="1:4" hidden="1" outlineLevel="2" x14ac:dyDescent="0.3">
      <c r="A3183" t="s">
        <v>4818</v>
      </c>
      <c r="B3183" t="s">
        <v>3839</v>
      </c>
      <c r="C3183" t="s">
        <v>10</v>
      </c>
      <c r="D3183" t="s">
        <v>3617</v>
      </c>
    </row>
    <row r="3184" spans="1:4" hidden="1" outlineLevel="2" x14ac:dyDescent="0.3">
      <c r="A3184" t="s">
        <v>4819</v>
      </c>
      <c r="B3184" t="s">
        <v>3839</v>
      </c>
      <c r="C3184" t="s">
        <v>10</v>
      </c>
      <c r="D3184" t="s">
        <v>3619</v>
      </c>
    </row>
    <row r="3185" spans="1:4" hidden="1" outlineLevel="2" x14ac:dyDescent="0.3">
      <c r="A3185" t="s">
        <v>4820</v>
      </c>
      <c r="B3185" t="s">
        <v>3839</v>
      </c>
      <c r="C3185" t="s">
        <v>10</v>
      </c>
      <c r="D3185" t="s">
        <v>3621</v>
      </c>
    </row>
    <row r="3186" spans="1:4" hidden="1" outlineLevel="2" x14ac:dyDescent="0.3">
      <c r="A3186" t="s">
        <v>4821</v>
      </c>
      <c r="B3186" t="s">
        <v>3839</v>
      </c>
      <c r="C3186" t="s">
        <v>10</v>
      </c>
      <c r="D3186" t="s">
        <v>3623</v>
      </c>
    </row>
    <row r="3187" spans="1:4" hidden="1" outlineLevel="2" x14ac:dyDescent="0.3">
      <c r="A3187" t="s">
        <v>4822</v>
      </c>
      <c r="B3187" t="s">
        <v>3844</v>
      </c>
      <c r="C3187" t="s">
        <v>10</v>
      </c>
      <c r="D3187" t="s">
        <v>3524</v>
      </c>
    </row>
    <row r="3188" spans="1:4" hidden="1" outlineLevel="2" x14ac:dyDescent="0.3">
      <c r="A3188" t="s">
        <v>4823</v>
      </c>
      <c r="B3188" t="s">
        <v>3844</v>
      </c>
      <c r="C3188" t="s">
        <v>10</v>
      </c>
      <c r="D3188" t="s">
        <v>3530</v>
      </c>
    </row>
    <row r="3189" spans="1:4" hidden="1" outlineLevel="2" x14ac:dyDescent="0.3">
      <c r="A3189" t="s">
        <v>4824</v>
      </c>
      <c r="B3189" t="s">
        <v>3844</v>
      </c>
      <c r="C3189" t="s">
        <v>10</v>
      </c>
      <c r="D3189" t="s">
        <v>3536</v>
      </c>
    </row>
    <row r="3190" spans="1:4" hidden="1" outlineLevel="2" x14ac:dyDescent="0.3">
      <c r="A3190" t="s">
        <v>4825</v>
      </c>
      <c r="B3190" t="s">
        <v>3844</v>
      </c>
      <c r="C3190" t="s">
        <v>8</v>
      </c>
      <c r="D3190" t="s">
        <v>3661</v>
      </c>
    </row>
    <row r="3191" spans="1:4" hidden="1" outlineLevel="2" x14ac:dyDescent="0.3">
      <c r="A3191" t="s">
        <v>4826</v>
      </c>
      <c r="B3191" t="s">
        <v>3844</v>
      </c>
      <c r="C3191" t="s">
        <v>10</v>
      </c>
      <c r="D3191" t="s">
        <v>3556</v>
      </c>
    </row>
    <row r="3192" spans="1:4" hidden="1" outlineLevel="2" x14ac:dyDescent="0.3">
      <c r="A3192" t="s">
        <v>4827</v>
      </c>
      <c r="B3192" t="s">
        <v>3844</v>
      </c>
      <c r="C3192" t="s">
        <v>10</v>
      </c>
      <c r="D3192" t="s">
        <v>3556</v>
      </c>
    </row>
    <row r="3193" spans="1:4" hidden="1" outlineLevel="2" x14ac:dyDescent="0.3">
      <c r="A3193" t="s">
        <v>4828</v>
      </c>
      <c r="B3193" t="s">
        <v>3844</v>
      </c>
      <c r="C3193" t="s">
        <v>10</v>
      </c>
      <c r="D3193" t="s">
        <v>4829</v>
      </c>
    </row>
    <row r="3194" spans="1:4" hidden="1" outlineLevel="2" x14ac:dyDescent="0.3">
      <c r="A3194" t="s">
        <v>4830</v>
      </c>
      <c r="B3194" t="s">
        <v>3844</v>
      </c>
      <c r="C3194" t="s">
        <v>10</v>
      </c>
      <c r="D3194" t="s">
        <v>4831</v>
      </c>
    </row>
    <row r="3195" spans="1:4" hidden="1" outlineLevel="2" x14ac:dyDescent="0.3">
      <c r="A3195" t="s">
        <v>4832</v>
      </c>
      <c r="B3195" t="s">
        <v>3899</v>
      </c>
      <c r="C3195" t="s">
        <v>8</v>
      </c>
      <c r="D3195" t="s">
        <v>4833</v>
      </c>
    </row>
    <row r="3196" spans="1:4" hidden="1" outlineLevel="2" x14ac:dyDescent="0.3">
      <c r="A3196" t="s">
        <v>4834</v>
      </c>
      <c r="B3196" t="s">
        <v>3912</v>
      </c>
      <c r="C3196" t="s">
        <v>8</v>
      </c>
      <c r="D3196" t="s">
        <v>4833</v>
      </c>
    </row>
    <row r="3197" spans="1:4" hidden="1" outlineLevel="2" x14ac:dyDescent="0.3">
      <c r="A3197" t="s">
        <v>4835</v>
      </c>
      <c r="B3197" t="s">
        <v>3899</v>
      </c>
      <c r="C3197" t="s">
        <v>8</v>
      </c>
      <c r="D3197" t="s">
        <v>4836</v>
      </c>
    </row>
    <row r="3198" spans="1:4" hidden="1" outlineLevel="2" x14ac:dyDescent="0.3">
      <c r="A3198" t="s">
        <v>4837</v>
      </c>
      <c r="B3198" t="s">
        <v>3899</v>
      </c>
      <c r="C3198" t="s">
        <v>8</v>
      </c>
      <c r="D3198" t="s">
        <v>3516</v>
      </c>
    </row>
    <row r="3199" spans="1:4" hidden="1" outlineLevel="2" x14ac:dyDescent="0.3">
      <c r="A3199" t="s">
        <v>4838</v>
      </c>
      <c r="B3199" t="s">
        <v>3912</v>
      </c>
      <c r="C3199" t="s">
        <v>8</v>
      </c>
      <c r="D3199" t="s">
        <v>4839</v>
      </c>
    </row>
    <row r="3200" spans="1:4" hidden="1" outlineLevel="2" x14ac:dyDescent="0.3">
      <c r="A3200" t="s">
        <v>4840</v>
      </c>
      <c r="B3200" t="s">
        <v>3899</v>
      </c>
      <c r="C3200" t="s">
        <v>8</v>
      </c>
      <c r="D3200" t="s">
        <v>4841</v>
      </c>
    </row>
    <row r="3201" spans="1:4" hidden="1" outlineLevel="2" x14ac:dyDescent="0.3">
      <c r="A3201" t="s">
        <v>4842</v>
      </c>
      <c r="B3201" t="s">
        <v>3899</v>
      </c>
      <c r="C3201" t="s">
        <v>8</v>
      </c>
      <c r="D3201" t="s">
        <v>4843</v>
      </c>
    </row>
    <row r="3202" spans="1:4" hidden="1" outlineLevel="2" x14ac:dyDescent="0.3">
      <c r="A3202" t="s">
        <v>4844</v>
      </c>
      <c r="B3202" t="s">
        <v>3899</v>
      </c>
      <c r="C3202" t="s">
        <v>8</v>
      </c>
      <c r="D3202" t="s">
        <v>4845</v>
      </c>
    </row>
    <row r="3203" spans="1:4" hidden="1" outlineLevel="2" x14ac:dyDescent="0.3">
      <c r="A3203" t="s">
        <v>4846</v>
      </c>
      <c r="B3203" t="s">
        <v>3899</v>
      </c>
      <c r="C3203" t="s">
        <v>8</v>
      </c>
      <c r="D3203" t="s">
        <v>4847</v>
      </c>
    </row>
    <row r="3204" spans="1:4" hidden="1" outlineLevel="2" x14ac:dyDescent="0.3">
      <c r="A3204" t="s">
        <v>4848</v>
      </c>
      <c r="B3204" t="s">
        <v>3912</v>
      </c>
      <c r="C3204" t="s">
        <v>8</v>
      </c>
      <c r="D3204" t="s">
        <v>3572</v>
      </c>
    </row>
    <row r="3205" spans="1:4" hidden="1" outlineLevel="2" x14ac:dyDescent="0.3">
      <c r="A3205" t="s">
        <v>4849</v>
      </c>
      <c r="B3205" t="s">
        <v>3839</v>
      </c>
      <c r="C3205" t="s">
        <v>8</v>
      </c>
      <c r="D3205" t="s">
        <v>3227</v>
      </c>
    </row>
    <row r="3206" spans="1:4" hidden="1" outlineLevel="2" x14ac:dyDescent="0.3">
      <c r="A3206" t="s">
        <v>4850</v>
      </c>
      <c r="B3206" t="s">
        <v>3839</v>
      </c>
      <c r="C3206" t="s">
        <v>8</v>
      </c>
      <c r="D3206" t="s">
        <v>3229</v>
      </c>
    </row>
    <row r="3207" spans="1:4" hidden="1" outlineLevel="2" x14ac:dyDescent="0.3">
      <c r="A3207" t="s">
        <v>4851</v>
      </c>
      <c r="B3207" t="s">
        <v>3844</v>
      </c>
      <c r="C3207" t="s">
        <v>8</v>
      </c>
      <c r="D3207" t="s">
        <v>3669</v>
      </c>
    </row>
    <row r="3208" spans="1:4" hidden="1" outlineLevel="2" x14ac:dyDescent="0.3">
      <c r="A3208" t="s">
        <v>4852</v>
      </c>
      <c r="B3208" t="s">
        <v>3839</v>
      </c>
      <c r="C3208" t="s">
        <v>10</v>
      </c>
      <c r="D3208" t="s">
        <v>4853</v>
      </c>
    </row>
    <row r="3209" spans="1:4" hidden="1" outlineLevel="2" x14ac:dyDescent="0.3">
      <c r="A3209" t="s">
        <v>4854</v>
      </c>
      <c r="B3209" t="s">
        <v>3839</v>
      </c>
      <c r="C3209" t="s">
        <v>10</v>
      </c>
      <c r="D3209" t="s">
        <v>4589</v>
      </c>
    </row>
    <row r="3210" spans="1:4" hidden="1" outlineLevel="2" x14ac:dyDescent="0.3">
      <c r="A3210" t="s">
        <v>4855</v>
      </c>
      <c r="B3210" t="s">
        <v>3839</v>
      </c>
      <c r="C3210" t="s">
        <v>8</v>
      </c>
      <c r="D3210" t="s">
        <v>3499</v>
      </c>
    </row>
    <row r="3211" spans="1:4" hidden="1" outlineLevel="2" x14ac:dyDescent="0.3">
      <c r="A3211" t="s">
        <v>4856</v>
      </c>
      <c r="B3211" t="s">
        <v>3839</v>
      </c>
      <c r="C3211" t="s">
        <v>8</v>
      </c>
      <c r="D3211" t="s">
        <v>3501</v>
      </c>
    </row>
    <row r="3212" spans="1:4" hidden="1" outlineLevel="2" x14ac:dyDescent="0.3">
      <c r="A3212" t="s">
        <v>4857</v>
      </c>
      <c r="B3212" t="s">
        <v>3844</v>
      </c>
      <c r="C3212" t="s">
        <v>8</v>
      </c>
      <c r="D3212" t="s">
        <v>3681</v>
      </c>
    </row>
    <row r="3213" spans="1:4" hidden="1" outlineLevel="2" x14ac:dyDescent="0.3">
      <c r="A3213" t="s">
        <v>4858</v>
      </c>
      <c r="B3213" t="s">
        <v>3839</v>
      </c>
      <c r="C3213" t="s">
        <v>8</v>
      </c>
      <c r="D3213" t="s">
        <v>3625</v>
      </c>
    </row>
    <row r="3214" spans="1:4" hidden="1" outlineLevel="2" x14ac:dyDescent="0.3">
      <c r="A3214" t="s">
        <v>4859</v>
      </c>
      <c r="B3214" t="s">
        <v>3839</v>
      </c>
      <c r="C3214" t="s">
        <v>8</v>
      </c>
      <c r="D3214" t="s">
        <v>3627</v>
      </c>
    </row>
    <row r="3215" spans="1:4" collapsed="1" x14ac:dyDescent="0.3"/>
  </sheetData>
  <autoFilter ref="A2:C2364" xr:uid="{00000000-0009-0000-0000-000005000000}"/>
  <mergeCells count="3">
    <mergeCell ref="A1:D1"/>
    <mergeCell ref="A778:D778"/>
    <mergeCell ref="A3:D3"/>
  </mergeCells>
  <phoneticPr fontId="15" type="noConversion"/>
  <pageMargins left="0.75" right="0.75" top="1" bottom="1" header="0.511811023622047" footer="0.511811023622047"/>
  <pageSetup paperSize="9" orientation="portrait" horizontalDpi="300" verticalDpi="300"/>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60"/>
  <sheetViews>
    <sheetView workbookViewId="0">
      <selection activeCell="D2" sqref="D2"/>
    </sheetView>
  </sheetViews>
  <sheetFormatPr defaultRowHeight="14.4" x14ac:dyDescent="0.3"/>
  <cols>
    <col min="1" max="1" width="30.88671875" customWidth="1"/>
    <col min="2" max="2" width="14.5546875" customWidth="1"/>
    <col min="3" max="3" width="49.5546875" bestFit="1" customWidth="1"/>
    <col min="4" max="4" width="22.77734375" customWidth="1"/>
    <col min="5" max="59" width="8.88671875" customWidth="1"/>
  </cols>
  <sheetData>
    <row r="1" spans="1:5" x14ac:dyDescent="0.3">
      <c r="A1" s="17" t="s">
        <v>5797</v>
      </c>
      <c r="B1" s="18" t="s">
        <v>5798</v>
      </c>
      <c r="C1" s="18" t="s">
        <v>5799</v>
      </c>
      <c r="D1" s="21" t="s">
        <v>5800</v>
      </c>
    </row>
    <row r="2" spans="1:5" x14ac:dyDescent="0.3">
      <c r="A2" s="19" t="s">
        <v>5801</v>
      </c>
      <c r="B2" s="20" t="s">
        <v>5802</v>
      </c>
      <c r="C2" s="20" t="s">
        <v>2024</v>
      </c>
      <c r="D2" t="str">
        <f t="array" ref="D2:E2">TRANSPOSE(_xlfn._xlws.FILTER('Controllable Asset Registry'!$A$1331:$A$1454,IFERROR('Controllable Asset Registry'!$E$1331:$E$1454=C2,FALSE),"No Equipment in entity"))</f>
        <v>AHUB_0002</v>
      </c>
      <c r="E2" t="str">
        <v>AHUB_0003</v>
      </c>
    </row>
    <row r="3" spans="1:5" x14ac:dyDescent="0.3">
      <c r="A3" s="19" t="s">
        <v>5803</v>
      </c>
      <c r="B3" s="20" t="s">
        <v>5804</v>
      </c>
      <c r="C3" s="20" t="s">
        <v>2022</v>
      </c>
      <c r="D3" t="str">
        <f t="array" ref="D3:E3">TRANSPOSE(_xlfn._xlws.FILTER('Controllable Asset Registry'!$A$1331:$A$1454,IFERROR('Controllable Asset Registry'!$E$1331:$E$1454=C3,FALSE),"No Equipment in entity"))</f>
        <v>AHUB_0001</v>
      </c>
      <c r="E3" t="str">
        <v>AHUB_0005</v>
      </c>
    </row>
    <row r="4" spans="1:5" x14ac:dyDescent="0.3">
      <c r="A4" s="19" t="s">
        <v>5805</v>
      </c>
      <c r="B4" s="20" t="s">
        <v>5806</v>
      </c>
      <c r="C4" s="20" t="s">
        <v>5807</v>
      </c>
      <c r="D4" t="str">
        <f t="array" ref="D4">TRANSPOSE(_xlfn._xlws.FILTER('Controllable Asset Registry'!$A$1331:$A$1454,IFERROR('Controllable Asset Registry'!$E$1331:$E$1454=C4,FALSE),"No Equipment in entity"))</f>
        <v>No Equipment in entity</v>
      </c>
    </row>
    <row r="5" spans="1:5" x14ac:dyDescent="0.3">
      <c r="A5" s="19" t="s">
        <v>5808</v>
      </c>
      <c r="B5" s="20" t="s">
        <v>5809</v>
      </c>
      <c r="C5" s="20" t="s">
        <v>5810</v>
      </c>
      <c r="D5" t="str">
        <f t="array" ref="D5">TRANSPOSE(_xlfn._xlws.FILTER('Controllable Asset Registry'!$A$1331:$A$1454,IFERROR('Controllable Asset Registry'!$E$1331:$E$1454=C5,FALSE),"No Equipment in entity"))</f>
        <v>No Equipment in entity</v>
      </c>
    </row>
    <row r="6" spans="1:5" x14ac:dyDescent="0.3">
      <c r="A6" s="19" t="s">
        <v>5811</v>
      </c>
      <c r="B6" s="20" t="s">
        <v>5812</v>
      </c>
      <c r="C6" s="20" t="s">
        <v>2046</v>
      </c>
      <c r="D6" t="str">
        <f t="array" ref="D6">TRANSPOSE(_xlfn._xlws.FILTER('Controllable Asset Registry'!$A$1331:$A$1454,IFERROR('Controllable Asset Registry'!$E$1331:$E$1454=C6,FALSE),"No Equipment in entity"))</f>
        <v>VAV0001</v>
      </c>
    </row>
    <row r="7" spans="1:5" x14ac:dyDescent="0.3">
      <c r="A7" s="19" t="s">
        <v>5813</v>
      </c>
      <c r="B7" s="20" t="s">
        <v>5814</v>
      </c>
      <c r="C7" s="20" t="s">
        <v>5815</v>
      </c>
      <c r="D7" t="str">
        <f t="array" ref="D7">TRANSPOSE(_xlfn._xlws.FILTER('Controllable Asset Registry'!$A$1331:$A$1454,IFERROR('Controllable Asset Registry'!$E$1331:$E$1454=C7,FALSE),"No Equipment in entity"))</f>
        <v>No Equipment in entity</v>
      </c>
    </row>
    <row r="8" spans="1:5" x14ac:dyDescent="0.3">
      <c r="A8" s="19" t="s">
        <v>5813</v>
      </c>
      <c r="B8" s="20" t="s">
        <v>5816</v>
      </c>
      <c r="C8" s="20" t="s">
        <v>5817</v>
      </c>
      <c r="D8" t="str">
        <f t="array" ref="D8">TRANSPOSE(_xlfn._xlws.FILTER('Controllable Asset Registry'!$A$1331:$A$1454,IFERROR('Controllable Asset Registry'!$E$1331:$E$1454=C8,FALSE),"No Equipment in entity"))</f>
        <v>No Equipment in entity</v>
      </c>
    </row>
    <row r="9" spans="1:5" x14ac:dyDescent="0.3">
      <c r="A9" s="19" t="s">
        <v>5818</v>
      </c>
      <c r="B9" s="20" t="s">
        <v>5819</v>
      </c>
      <c r="C9" s="20" t="s">
        <v>2028</v>
      </c>
      <c r="D9" t="str">
        <f t="array" ref="D9">TRANSPOSE(_xlfn._xlws.FILTER('Controllable Asset Registry'!$A$1331:$A$1454,IFERROR('Controllable Asset Registry'!$E$1331:$E$1454=C9,FALSE),"No Equipment in entity"))</f>
        <v>FCU0001</v>
      </c>
    </row>
    <row r="10" spans="1:5" x14ac:dyDescent="0.3">
      <c r="A10" s="19" t="s">
        <v>5820</v>
      </c>
      <c r="B10" s="20" t="s">
        <v>5821</v>
      </c>
      <c r="C10" s="20" t="s">
        <v>5822</v>
      </c>
      <c r="D10" t="str">
        <f t="array" ref="D10">TRANSPOSE(_xlfn._xlws.FILTER('Controllable Asset Registry'!$A$1331:$A$1454,IFERROR('Controllable Asset Registry'!$E$1331:$E$1454=C10,FALSE),"No Equipment in entity"))</f>
        <v>No Equipment in entity</v>
      </c>
    </row>
    <row r="11" spans="1:5" x14ac:dyDescent="0.3">
      <c r="A11" s="19" t="s">
        <v>5823</v>
      </c>
      <c r="B11" s="20" t="s">
        <v>5824</v>
      </c>
      <c r="C11" s="20" t="s">
        <v>5825</v>
      </c>
      <c r="D11" t="str">
        <f t="array" ref="D11">TRANSPOSE(_xlfn._xlws.FILTER('Controllable Asset Registry'!$A$1331:$A$1454,IFERROR('Controllable Asset Registry'!$E$1331:$E$1454=C11,FALSE),"No Equipment in entity"))</f>
        <v>No Equipment in entity</v>
      </c>
    </row>
    <row r="12" spans="1:5" x14ac:dyDescent="0.3">
      <c r="A12" s="19" t="s">
        <v>5826</v>
      </c>
      <c r="B12" s="20" t="s">
        <v>5827</v>
      </c>
      <c r="C12" s="20" t="s">
        <v>5828</v>
      </c>
      <c r="D12" t="str">
        <f t="array" ref="D12">TRANSPOSE(_xlfn._xlws.FILTER('Controllable Asset Registry'!$A$1331:$A$1454,IFERROR('Controllable Asset Registry'!$E$1331:$E$1454=C12,FALSE),"No Equipment in entity"))</f>
        <v>No Equipment in entity</v>
      </c>
    </row>
    <row r="13" spans="1:5" x14ac:dyDescent="0.3">
      <c r="A13" s="19" t="s">
        <v>5829</v>
      </c>
      <c r="B13" s="20" t="s">
        <v>5830</v>
      </c>
      <c r="C13" s="20" t="s">
        <v>5831</v>
      </c>
      <c r="D13" t="str">
        <f t="array" ref="D13">TRANSPOSE(_xlfn._xlws.FILTER('Controllable Asset Registry'!$A$1331:$A$1454,IFERROR('Controllable Asset Registry'!$E$1331:$E$1454=C13,FALSE),"No Equipment in entity"))</f>
        <v>No Equipment in entity</v>
      </c>
    </row>
    <row r="14" spans="1:5" x14ac:dyDescent="0.3">
      <c r="A14" s="19" t="s">
        <v>5832</v>
      </c>
      <c r="B14" s="20" t="s">
        <v>5833</v>
      </c>
      <c r="C14" s="20" t="s">
        <v>5834</v>
      </c>
      <c r="D14" t="str">
        <f t="array" ref="D14">TRANSPOSE(_xlfn._xlws.FILTER('Controllable Asset Registry'!$A$1331:$A$1454,IFERROR('Controllable Asset Registry'!$E$1331:$E$1454=C14,FALSE),"No Equipment in entity"))</f>
        <v>No Equipment in entity</v>
      </c>
    </row>
    <row r="15" spans="1:5" x14ac:dyDescent="0.3">
      <c r="A15" s="19" t="s">
        <v>5835</v>
      </c>
      <c r="B15" s="20" t="s">
        <v>5836</v>
      </c>
      <c r="C15" s="20" t="s">
        <v>5837</v>
      </c>
      <c r="D15" t="str">
        <f t="array" ref="D15">TRANSPOSE(_xlfn._xlws.FILTER('Controllable Asset Registry'!$A$1331:$A$1454,IFERROR('Controllable Asset Registry'!$E$1331:$E$1454=C15,FALSE),"No Equipment in entity"))</f>
        <v>No Equipment in entity</v>
      </c>
    </row>
    <row r="16" spans="1:5" x14ac:dyDescent="0.3">
      <c r="A16" s="19" t="s">
        <v>5835</v>
      </c>
      <c r="B16" s="20" t="s">
        <v>5838</v>
      </c>
      <c r="C16" s="20" t="s">
        <v>5839</v>
      </c>
      <c r="D16" t="str">
        <f t="array" ref="D16">TRANSPOSE(_xlfn._xlws.FILTER('Controllable Asset Registry'!$A$1331:$A$1454,IFERROR('Controllable Asset Registry'!$E$1331:$E$1454=C16,FALSE),"No Equipment in entity"))</f>
        <v>No Equipment in entity</v>
      </c>
    </row>
    <row r="17" spans="1:4" x14ac:dyDescent="0.3">
      <c r="A17" s="19" t="s">
        <v>5835</v>
      </c>
      <c r="B17" s="20" t="s">
        <v>5840</v>
      </c>
      <c r="C17" s="20" t="s">
        <v>5841</v>
      </c>
      <c r="D17" t="str">
        <f t="array" ref="D17">TRANSPOSE(_xlfn._xlws.FILTER('Controllable Asset Registry'!$A$1331:$A$1454,IFERROR('Controllable Asset Registry'!$E$1331:$E$1454=C17,FALSE),"No Equipment in entity"))</f>
        <v>No Equipment in entity</v>
      </c>
    </row>
    <row r="18" spans="1:4" x14ac:dyDescent="0.3">
      <c r="A18" s="19" t="s">
        <v>5835</v>
      </c>
      <c r="B18" s="20" t="s">
        <v>5842</v>
      </c>
      <c r="C18" s="20" t="s">
        <v>5843</v>
      </c>
      <c r="D18" t="str">
        <f t="array" ref="D18">TRANSPOSE(_xlfn._xlws.FILTER('Controllable Asset Registry'!$A$1331:$A$1454,IFERROR('Controllable Asset Registry'!$E$1331:$E$1454=C18,FALSE),"No Equipment in entity"))</f>
        <v>No Equipment in entity</v>
      </c>
    </row>
    <row r="19" spans="1:4" x14ac:dyDescent="0.3">
      <c r="A19" s="19" t="s">
        <v>5835</v>
      </c>
      <c r="B19" s="20" t="s">
        <v>5844</v>
      </c>
      <c r="C19" s="20" t="s">
        <v>5845</v>
      </c>
      <c r="D19" t="str">
        <f t="array" ref="D19">TRANSPOSE(_xlfn._xlws.FILTER('Controllable Asset Registry'!$A$1331:$A$1454,IFERROR('Controllable Asset Registry'!$E$1331:$E$1454=C19,FALSE),"No Equipment in entity"))</f>
        <v>No Equipment in entity</v>
      </c>
    </row>
    <row r="20" spans="1:4" x14ac:dyDescent="0.3">
      <c r="A20" s="19" t="s">
        <v>5835</v>
      </c>
      <c r="B20" s="20" t="s">
        <v>5846</v>
      </c>
      <c r="C20" s="20" t="s">
        <v>5847</v>
      </c>
      <c r="D20" t="str">
        <f t="array" ref="D20">TRANSPOSE(_xlfn._xlws.FILTER('Controllable Asset Registry'!$A$1331:$A$1454,IFERROR('Controllable Asset Registry'!$E$1331:$E$1454=C20,FALSE),"No Equipment in entity"))</f>
        <v>No Equipment in entity</v>
      </c>
    </row>
    <row r="21" spans="1:4" x14ac:dyDescent="0.3">
      <c r="A21" s="19" t="s">
        <v>5801</v>
      </c>
      <c r="B21" s="20" t="s">
        <v>5848</v>
      </c>
      <c r="C21" s="20" t="s">
        <v>2026</v>
      </c>
      <c r="D21" t="str">
        <f t="array" ref="D21">TRANSPOSE(_xlfn._xlws.FILTER('Controllable Asset Registry'!$A$1331:$A$1454,IFERROR('Controllable Asset Registry'!$E$1331:$E$1454=C21,FALSE),"No Equipment in entity"))</f>
        <v>AHUB_0004</v>
      </c>
    </row>
    <row r="22" spans="1:4" x14ac:dyDescent="0.3">
      <c r="A22" s="19" t="s">
        <v>5849</v>
      </c>
      <c r="B22" s="20" t="s">
        <v>5850</v>
      </c>
      <c r="C22" s="20" t="s">
        <v>5851</v>
      </c>
      <c r="D22" t="str">
        <f t="array" ref="D22">TRANSPOSE(_xlfn._xlws.FILTER('Controllable Asset Registry'!$A$1331:$A$1454,IFERROR('Controllable Asset Registry'!$E$1331:$E$1454=C22,FALSE),"No Equipment in entity"))</f>
        <v>No Equipment in entity</v>
      </c>
    </row>
    <row r="23" spans="1:4" x14ac:dyDescent="0.3">
      <c r="A23" s="19" t="s">
        <v>5852</v>
      </c>
      <c r="B23" s="20" t="s">
        <v>5853</v>
      </c>
      <c r="C23" s="20" t="s">
        <v>5854</v>
      </c>
      <c r="D23" t="str">
        <f t="array" ref="D23">TRANSPOSE(_xlfn._xlws.FILTER('Controllable Asset Registry'!$A$1331:$A$1454,IFERROR('Controllable Asset Registry'!$E$1331:$E$1454=C23,FALSE),"No Equipment in entity"))</f>
        <v>No Equipment in entity</v>
      </c>
    </row>
    <row r="24" spans="1:4" x14ac:dyDescent="0.3">
      <c r="A24" s="19" t="s">
        <v>5855</v>
      </c>
      <c r="B24" s="20" t="s">
        <v>5856</v>
      </c>
      <c r="C24" s="20" t="s">
        <v>5857</v>
      </c>
      <c r="D24" t="str">
        <f t="array" ref="D24">TRANSPOSE(_xlfn._xlws.FILTER('Controllable Asset Registry'!$A$1331:$A$1454,IFERROR('Controllable Asset Registry'!$E$1331:$E$1454=C24,FALSE),"No Equipment in entity"))</f>
        <v>No Equipment in entity</v>
      </c>
    </row>
    <row r="25" spans="1:4" x14ac:dyDescent="0.3">
      <c r="A25" s="19" t="s">
        <v>5858</v>
      </c>
      <c r="B25" s="20" t="s">
        <v>5859</v>
      </c>
      <c r="C25" s="20" t="s">
        <v>5860</v>
      </c>
      <c r="D25" t="str">
        <f t="array" ref="D25">TRANSPOSE(_xlfn._xlws.FILTER('Controllable Asset Registry'!$A$1331:$A$1454,IFERROR('Controllable Asset Registry'!$E$1331:$E$1454=C25,FALSE),"No Equipment in entity"))</f>
        <v>No Equipment in entity</v>
      </c>
    </row>
    <row r="26" spans="1:4" x14ac:dyDescent="0.3">
      <c r="A26" s="19" t="s">
        <v>5861</v>
      </c>
      <c r="B26" s="20" t="s">
        <v>5862</v>
      </c>
      <c r="C26" s="20" t="s">
        <v>5863</v>
      </c>
      <c r="D26" t="str">
        <f t="array" ref="D26">TRANSPOSE(_xlfn._xlws.FILTER('Controllable Asset Registry'!$A$1331:$A$1454,IFERROR('Controllable Asset Registry'!$E$1331:$E$1454=C26,FALSE),"No Equipment in entity"))</f>
        <v>No Equipment in entity</v>
      </c>
    </row>
    <row r="27" spans="1:4" x14ac:dyDescent="0.3">
      <c r="A27" s="19" t="s">
        <v>5864</v>
      </c>
      <c r="B27" s="20" t="s">
        <v>5865</v>
      </c>
      <c r="C27" s="20" t="s">
        <v>5866</v>
      </c>
      <c r="D27" t="str">
        <f t="array" ref="D27">TRANSPOSE(_xlfn._xlws.FILTER('Controllable Asset Registry'!$A$1331:$A$1454,IFERROR('Controllable Asset Registry'!$E$1331:$E$1454=C27,FALSE),"No Equipment in entity"))</f>
        <v>No Equipment in entity</v>
      </c>
    </row>
    <row r="28" spans="1:4" x14ac:dyDescent="0.3">
      <c r="A28" s="19" t="s">
        <v>5867</v>
      </c>
      <c r="B28" s="20" t="s">
        <v>5868</v>
      </c>
      <c r="C28" s="20" t="s">
        <v>5869</v>
      </c>
      <c r="D28" t="str">
        <f t="array" ref="D28">TRANSPOSE(_xlfn._xlws.FILTER('Controllable Asset Registry'!$A$1331:$A$1454,IFERROR('Controllable Asset Registry'!$E$1331:$E$1454=C28,FALSE),"No Equipment in entity"))</f>
        <v>No Equipment in entity</v>
      </c>
    </row>
    <row r="29" spans="1:4" x14ac:dyDescent="0.3">
      <c r="A29" s="19" t="s">
        <v>5870</v>
      </c>
      <c r="B29" s="20" t="s">
        <v>5871</v>
      </c>
      <c r="C29" s="20" t="s">
        <v>5872</v>
      </c>
      <c r="D29" t="str">
        <f t="array" ref="D29">TRANSPOSE(_xlfn._xlws.FILTER('Controllable Asset Registry'!$A$1331:$A$1454,IFERROR('Controllable Asset Registry'!$E$1331:$E$1454=C29,FALSE),"No Equipment in entity"))</f>
        <v>No Equipment in entity</v>
      </c>
    </row>
    <row r="30" spans="1:4" x14ac:dyDescent="0.3">
      <c r="A30" s="19" t="s">
        <v>5873</v>
      </c>
      <c r="B30" s="20" t="s">
        <v>5874</v>
      </c>
      <c r="C30" s="20" t="s">
        <v>5875</v>
      </c>
      <c r="D30" t="str">
        <f t="array" ref="D30">TRANSPOSE(_xlfn._xlws.FILTER('Controllable Asset Registry'!$A$1331:$A$1454,IFERROR('Controllable Asset Registry'!$E$1331:$E$1454=C30,FALSE),"No Equipment in entity"))</f>
        <v>No Equipment in entity</v>
      </c>
    </row>
    <row r="31" spans="1:4" x14ac:dyDescent="0.3">
      <c r="A31" s="19" t="s">
        <v>5876</v>
      </c>
      <c r="B31" s="20" t="s">
        <v>5877</v>
      </c>
      <c r="C31" s="20" t="s">
        <v>5878</v>
      </c>
      <c r="D31" t="str">
        <f t="array" ref="D31">TRANSPOSE(_xlfn._xlws.FILTER('Controllable Asset Registry'!$A$1331:$A$1454,IFERROR('Controllable Asset Registry'!$E$1331:$E$1454=C31,FALSE),"No Equipment in entity"))</f>
        <v>No Equipment in entity</v>
      </c>
    </row>
    <row r="32" spans="1:4" x14ac:dyDescent="0.3">
      <c r="A32" s="19" t="s">
        <v>5879</v>
      </c>
      <c r="B32" s="20" t="s">
        <v>5880</v>
      </c>
      <c r="C32" s="20" t="s">
        <v>5881</v>
      </c>
      <c r="D32" t="str">
        <f t="array" ref="D32">TRANSPOSE(_xlfn._xlws.FILTER('Controllable Asset Registry'!$A$1331:$A$1454,IFERROR('Controllable Asset Registry'!$E$1331:$E$1454=C32,FALSE),"No Equipment in entity"))</f>
        <v>No Equipment in entity</v>
      </c>
    </row>
    <row r="33" spans="1:6" x14ac:dyDescent="0.3">
      <c r="A33" s="19" t="s">
        <v>5882</v>
      </c>
      <c r="B33" s="20" t="s">
        <v>5883</v>
      </c>
      <c r="C33" s="20" t="s">
        <v>5884</v>
      </c>
      <c r="D33" t="str">
        <f t="array" ref="D33">TRANSPOSE(_xlfn._xlws.FILTER('Controllable Asset Registry'!$A$1331:$A$1454,IFERROR('Controllable Asset Registry'!$E$1331:$E$1454=C33,FALSE),"No Equipment in entity"))</f>
        <v>No Equipment in entity</v>
      </c>
    </row>
    <row r="34" spans="1:6" x14ac:dyDescent="0.3">
      <c r="A34" s="19" t="s">
        <v>5885</v>
      </c>
      <c r="B34" s="20" t="s">
        <v>5886</v>
      </c>
      <c r="C34" s="20" t="s">
        <v>5887</v>
      </c>
      <c r="D34" t="str">
        <f t="array" ref="D34">TRANSPOSE(_xlfn._xlws.FILTER('Controllable Asset Registry'!$A$1331:$A$1454,IFERROR('Controllable Asset Registry'!$E$1331:$E$1454=C34,FALSE),"No Equipment in entity"))</f>
        <v>No Equipment in entity</v>
      </c>
    </row>
    <row r="35" spans="1:6" x14ac:dyDescent="0.3">
      <c r="A35" s="19" t="s">
        <v>5888</v>
      </c>
      <c r="B35" s="20" t="s">
        <v>5889</v>
      </c>
      <c r="C35" s="20" t="s">
        <v>2032</v>
      </c>
      <c r="D35" t="str">
        <f t="array" ref="D35">TRANSPOSE(_xlfn._xlws.FILTER('Controllable Asset Registry'!$A$1331:$A$1454,IFERROR('Controllable Asset Registry'!$E$1331:$E$1454=C35,FALSE),"No Equipment in entity"))</f>
        <v>FCU0003</v>
      </c>
    </row>
    <row r="36" spans="1:6" x14ac:dyDescent="0.3">
      <c r="A36" s="19" t="s">
        <v>5826</v>
      </c>
      <c r="B36" s="20" t="s">
        <v>5890</v>
      </c>
      <c r="C36" s="20" t="s">
        <v>5891</v>
      </c>
      <c r="D36" t="str">
        <f t="array" ref="D36">TRANSPOSE(_xlfn._xlws.FILTER('Controllable Asset Registry'!$A$1331:$A$1454,IFERROR('Controllable Asset Registry'!$E$1331:$E$1454=C36,FALSE),"No Equipment in entity"))</f>
        <v>No Equipment in entity</v>
      </c>
    </row>
    <row r="37" spans="1:6" x14ac:dyDescent="0.3">
      <c r="A37" s="19" t="s">
        <v>5835</v>
      </c>
      <c r="B37" s="20" t="s">
        <v>5892</v>
      </c>
      <c r="C37" s="20" t="s">
        <v>5893</v>
      </c>
      <c r="D37" t="str">
        <f t="array" ref="D37">TRANSPOSE(_xlfn._xlws.FILTER('Controllable Asset Registry'!$A$1331:$A$1454,IFERROR('Controllable Asset Registry'!$E$1331:$E$1454=C37,FALSE),"No Equipment in entity"))</f>
        <v>No Equipment in entity</v>
      </c>
    </row>
    <row r="38" spans="1:6" x14ac:dyDescent="0.3">
      <c r="A38" s="19" t="s">
        <v>5826</v>
      </c>
      <c r="B38" s="20" t="s">
        <v>5894</v>
      </c>
      <c r="C38" s="20" t="s">
        <v>5895</v>
      </c>
      <c r="D38" t="str">
        <f t="array" ref="D38">TRANSPOSE(_xlfn._xlws.FILTER('Controllable Asset Registry'!$A$1331:$A$1454,IFERROR('Controllable Asset Registry'!$E$1331:$E$1454=C38,FALSE),"No Equipment in entity"))</f>
        <v>No Equipment in entity</v>
      </c>
    </row>
    <row r="39" spans="1:6" x14ac:dyDescent="0.3">
      <c r="A39" s="19" t="s">
        <v>5826</v>
      </c>
      <c r="B39" s="20" t="s">
        <v>5896</v>
      </c>
      <c r="C39" s="20" t="s">
        <v>5897</v>
      </c>
      <c r="D39" t="str">
        <f t="array" ref="D39">TRANSPOSE(_xlfn._xlws.FILTER('Controllable Asset Registry'!$A$1331:$A$1454,IFERROR('Controllable Asset Registry'!$E$1331:$E$1454=C39,FALSE),"No Equipment in entity"))</f>
        <v>No Equipment in entity</v>
      </c>
    </row>
    <row r="40" spans="1:6" x14ac:dyDescent="0.3">
      <c r="A40" s="19" t="s">
        <v>5898</v>
      </c>
      <c r="B40" s="20" t="s">
        <v>5899</v>
      </c>
      <c r="C40" s="20" t="s">
        <v>5900</v>
      </c>
      <c r="D40" t="str">
        <f t="array" ref="D40">TRANSPOSE(_xlfn._xlws.FILTER('Controllable Asset Registry'!$A$1331:$A$1454,IFERROR('Controllable Asset Registry'!$E$1331:$E$1454=C40,FALSE),"No Equipment in entity"))</f>
        <v>No Equipment in entity</v>
      </c>
    </row>
    <row r="41" spans="1:6" x14ac:dyDescent="0.3">
      <c r="A41" s="19" t="s">
        <v>5901</v>
      </c>
      <c r="B41" s="20" t="s">
        <v>5902</v>
      </c>
      <c r="C41" s="20" t="s">
        <v>5903</v>
      </c>
      <c r="D41" t="str">
        <f t="array" ref="D41">TRANSPOSE(_xlfn._xlws.FILTER('Controllable Asset Registry'!$A$1331:$A$1454,IFERROR('Controllable Asset Registry'!$E$1331:$E$1454=C41,FALSE),"No Equipment in entity"))</f>
        <v>No Equipment in entity</v>
      </c>
    </row>
    <row r="42" spans="1:6" x14ac:dyDescent="0.3">
      <c r="A42" s="19" t="s">
        <v>5904</v>
      </c>
      <c r="B42" s="20" t="s">
        <v>5905</v>
      </c>
      <c r="C42" s="20" t="s">
        <v>5906</v>
      </c>
      <c r="D42" t="str">
        <f t="array" ref="D42">TRANSPOSE(_xlfn._xlws.FILTER('Controllable Asset Registry'!$A$1331:$A$1454,IFERROR('Controllable Asset Registry'!$E$1331:$E$1454=C42,FALSE),"No Equipment in entity"))</f>
        <v>No Equipment in entity</v>
      </c>
    </row>
    <row r="43" spans="1:6" x14ac:dyDescent="0.3">
      <c r="A43" s="19" t="s">
        <v>5907</v>
      </c>
      <c r="B43" s="20" t="s">
        <v>5908</v>
      </c>
      <c r="C43" s="20" t="s">
        <v>5909</v>
      </c>
      <c r="D43" t="str">
        <f t="array" ref="D43">TRANSPOSE(_xlfn._xlws.FILTER('Controllable Asset Registry'!$A$1331:$A$1454,IFERROR('Controllable Asset Registry'!$E$1331:$E$1454=C43,FALSE),"No Equipment in entity"))</f>
        <v>No Equipment in entity</v>
      </c>
    </row>
    <row r="44" spans="1:6" x14ac:dyDescent="0.3">
      <c r="A44" s="19" t="s">
        <v>5910</v>
      </c>
      <c r="B44" s="20">
        <v>1.0369999999999999</v>
      </c>
      <c r="C44" s="20" t="s">
        <v>5911</v>
      </c>
      <c r="D44" t="str">
        <f t="array" ref="D44">TRANSPOSE(_xlfn._xlws.FILTER('Controllable Asset Registry'!$A$1331:$A$1454,IFERROR('Controllable Asset Registry'!$E$1331:$E$1454=C44,FALSE),"No Equipment in entity"))</f>
        <v>No Equipment in entity</v>
      </c>
    </row>
    <row r="45" spans="1:6" x14ac:dyDescent="0.3">
      <c r="A45" s="19" t="s">
        <v>5912</v>
      </c>
      <c r="B45" s="20">
        <v>1.014</v>
      </c>
      <c r="C45" s="20" t="s">
        <v>2048</v>
      </c>
      <c r="D45" t="str">
        <f t="array" ref="D45:F45">TRANSPOSE(_xlfn._xlws.FILTER('Controllable Asset Registry'!$A$1331:$A$1454,IFERROR('Controllable Asset Registry'!$E$1331:$E$1454=C45,FALSE),"No Equipment in entity"))</f>
        <v>VAV0002</v>
      </c>
      <c r="E45" t="str">
        <v>VAV0003</v>
      </c>
      <c r="F45" t="str">
        <v>VAV0004</v>
      </c>
    </row>
    <row r="46" spans="1:6" x14ac:dyDescent="0.3">
      <c r="A46" s="19" t="s">
        <v>5913</v>
      </c>
      <c r="B46" s="20" t="s">
        <v>5914</v>
      </c>
      <c r="C46" s="20" t="s">
        <v>5915</v>
      </c>
      <c r="D46" t="str">
        <f t="array" ref="D46">TRANSPOSE(_xlfn._xlws.FILTER('Controllable Asset Registry'!$A$1331:$A$1454,IFERROR('Controllable Asset Registry'!$E$1331:$E$1454=C46,FALSE),"No Equipment in entity"))</f>
        <v>No Equipment in entity</v>
      </c>
    </row>
    <row r="47" spans="1:6" x14ac:dyDescent="0.3">
      <c r="A47" s="19" t="s">
        <v>5912</v>
      </c>
      <c r="B47" s="20">
        <v>1.0149999999999999</v>
      </c>
      <c r="C47" s="20" t="s">
        <v>2050</v>
      </c>
      <c r="D47" t="str">
        <f t="array" ref="D47:F47">TRANSPOSE(_xlfn._xlws.FILTER('Controllable Asset Registry'!$A$1331:$A$1454,IFERROR('Controllable Asset Registry'!$E$1331:$E$1454=C47,FALSE),"No Equipment in entity"))</f>
        <v>VAV0005</v>
      </c>
      <c r="E47" t="str">
        <v>VAV0006</v>
      </c>
      <c r="F47" t="str">
        <v>VAV0007</v>
      </c>
    </row>
    <row r="48" spans="1:6" x14ac:dyDescent="0.3">
      <c r="A48" s="19" t="s">
        <v>5916</v>
      </c>
      <c r="B48" s="20" t="s">
        <v>5917</v>
      </c>
      <c r="C48" s="20" t="s">
        <v>5918</v>
      </c>
      <c r="D48" t="str">
        <f t="array" ref="D48">TRANSPOSE(_xlfn._xlws.FILTER('Controllable Asset Registry'!$A$1331:$A$1454,IFERROR('Controllable Asset Registry'!$E$1331:$E$1454=C48,FALSE),"No Equipment in entity"))</f>
        <v>No Equipment in entity</v>
      </c>
    </row>
    <row r="49" spans="1:9" x14ac:dyDescent="0.3">
      <c r="A49" s="19" t="s">
        <v>5912</v>
      </c>
      <c r="B49" s="20">
        <v>1.016</v>
      </c>
      <c r="C49" s="20" t="s">
        <v>2071</v>
      </c>
      <c r="D49" t="str">
        <f t="array" ref="D49">TRANSPOSE(_xlfn._xlws.FILTER('Controllable Asset Registry'!$A$1331:$A$1454,IFERROR('Controllable Asset Registry'!$E$1331:$E$1454=C49,FALSE),"No Equipment in entity"))</f>
        <v>VAV0030</v>
      </c>
    </row>
    <row r="50" spans="1:9" x14ac:dyDescent="0.3">
      <c r="A50" s="19" t="s">
        <v>5852</v>
      </c>
      <c r="B50" s="20">
        <v>1.0409999999999999</v>
      </c>
      <c r="C50" s="20" t="s">
        <v>5919</v>
      </c>
      <c r="D50" t="str">
        <f t="array" ref="D50">TRANSPOSE(_xlfn._xlws.FILTER('Controllable Asset Registry'!$A$1331:$A$1454,IFERROR('Controllable Asset Registry'!$E$1331:$E$1454=C50,FALSE),"No Equipment in entity"))</f>
        <v>No Equipment in entity</v>
      </c>
    </row>
    <row r="51" spans="1:9" x14ac:dyDescent="0.3">
      <c r="A51" s="19" t="s">
        <v>5920</v>
      </c>
      <c r="B51" s="20">
        <v>1.0169999999999999</v>
      </c>
      <c r="C51" s="20" t="s">
        <v>5921</v>
      </c>
      <c r="D51" t="str">
        <f t="array" ref="D51">TRANSPOSE(_xlfn._xlws.FILTER('Controllable Asset Registry'!$A$1331:$A$1454,IFERROR('Controllable Asset Registry'!$E$1331:$E$1454=C51,FALSE),"No Equipment in entity"))</f>
        <v>No Equipment in entity</v>
      </c>
    </row>
    <row r="52" spans="1:9" x14ac:dyDescent="0.3">
      <c r="A52" s="19" t="s">
        <v>5835</v>
      </c>
      <c r="B52" s="20">
        <v>1.018</v>
      </c>
      <c r="C52" s="20" t="s">
        <v>2073</v>
      </c>
      <c r="D52" t="str">
        <f t="array" ref="D52">TRANSPOSE(_xlfn._xlws.FILTER('Controllable Asset Registry'!$A$1331:$A$1454,IFERROR('Controllable Asset Registry'!$E$1331:$E$1454=C52,FALSE),"No Equipment in entity"))</f>
        <v>VAV0032</v>
      </c>
    </row>
    <row r="53" spans="1:9" x14ac:dyDescent="0.3">
      <c r="A53" s="19" t="s">
        <v>5912</v>
      </c>
      <c r="B53" s="20">
        <v>1.002</v>
      </c>
      <c r="C53" s="20" t="s">
        <v>2069</v>
      </c>
      <c r="D53" t="str">
        <f t="array" ref="D53:G53">TRANSPOSE(_xlfn._xlws.FILTER('Controllable Asset Registry'!$A$1331:$A$1454,IFERROR('Controllable Asset Registry'!$E$1331:$E$1454=C53,FALSE),"No Equipment in entity"))</f>
        <v>VAV0025</v>
      </c>
      <c r="E53" t="str">
        <v>VAV0026</v>
      </c>
      <c r="F53" t="str">
        <v>VAV0027</v>
      </c>
      <c r="G53" t="str">
        <v>VAV0028</v>
      </c>
    </row>
    <row r="54" spans="1:9" x14ac:dyDescent="0.3">
      <c r="A54" s="19" t="s">
        <v>5922</v>
      </c>
      <c r="B54" s="20">
        <v>1.022</v>
      </c>
      <c r="C54" s="20" t="s">
        <v>2077</v>
      </c>
      <c r="D54" t="str">
        <f t="array" ref="D54">TRANSPOSE(_xlfn._xlws.FILTER('Controllable Asset Registry'!$A$1331:$A$1454,IFERROR('Controllable Asset Registry'!$E$1331:$E$1454=C54,FALSE),"No Equipment in entity"))</f>
        <v>VAV0036</v>
      </c>
    </row>
    <row r="55" spans="1:9" x14ac:dyDescent="0.3">
      <c r="A55" s="19" t="s">
        <v>5922</v>
      </c>
      <c r="B55" s="20">
        <v>1.0209999999999999</v>
      </c>
      <c r="C55" s="20" t="s">
        <v>5923</v>
      </c>
      <c r="D55" t="str">
        <f t="array" ref="D55">TRANSPOSE(_xlfn._xlws.FILTER('Controllable Asset Registry'!$A$1331:$A$1454,IFERROR('Controllable Asset Registry'!$E$1331:$E$1454=C55,FALSE),"No Equipment in entity"))</f>
        <v>No Equipment in entity</v>
      </c>
    </row>
    <row r="56" spans="1:9" x14ac:dyDescent="0.3">
      <c r="A56" s="19" t="s">
        <v>5835</v>
      </c>
      <c r="B56" s="20">
        <v>1.0229999999999999</v>
      </c>
      <c r="C56" s="20" t="s">
        <v>5924</v>
      </c>
      <c r="D56" t="str">
        <f t="array" ref="D56">TRANSPOSE(_xlfn._xlws.FILTER('Controllable Asset Registry'!$A$1331:$A$1454,IFERROR('Controllable Asset Registry'!$E$1331:$E$1454=C56,FALSE),"No Equipment in entity"))</f>
        <v>No Equipment in entity</v>
      </c>
    </row>
    <row r="57" spans="1:9" x14ac:dyDescent="0.3">
      <c r="A57" s="19" t="s">
        <v>5835</v>
      </c>
      <c r="B57" s="20">
        <v>1.02</v>
      </c>
      <c r="C57" s="20" t="s">
        <v>5925</v>
      </c>
      <c r="D57" t="str">
        <f t="array" ref="D57">TRANSPOSE(_xlfn._xlws.FILTER('Controllable Asset Registry'!$A$1331:$A$1454,IFERROR('Controllable Asset Registry'!$E$1331:$E$1454=C57,FALSE),"No Equipment in entity"))</f>
        <v>No Equipment in entity</v>
      </c>
    </row>
    <row r="58" spans="1:9" x14ac:dyDescent="0.3">
      <c r="A58" s="19" t="s">
        <v>5835</v>
      </c>
      <c r="B58" s="20">
        <v>1.024</v>
      </c>
      <c r="C58" s="20" t="s">
        <v>2052</v>
      </c>
      <c r="D58" t="str">
        <f t="array" ref="D58">TRANSPOSE(_xlfn._xlws.FILTER('Controllable Asset Registry'!$A$1331:$A$1454,IFERROR('Controllable Asset Registry'!$E$1331:$E$1454=C58,FALSE),"No Equipment in entity"))</f>
        <v>VAV0008</v>
      </c>
    </row>
    <row r="59" spans="1:9" x14ac:dyDescent="0.3">
      <c r="A59" s="19" t="s">
        <v>5926</v>
      </c>
      <c r="B59" s="20">
        <v>1.0389999999999999</v>
      </c>
      <c r="C59" s="20" t="s">
        <v>2038</v>
      </c>
      <c r="D59" t="str">
        <f t="array" ref="D59:E59">TRANSPOSE(_xlfn._xlws.FILTER('Controllable Asset Registry'!$A$1331:$A$1454,IFERROR('Controllable Asset Registry'!$E$1331:$E$1454=C59,FALSE),"No Equipment in entity"))</f>
        <v>FCU0007</v>
      </c>
      <c r="E59" t="str">
        <v>FCU0008</v>
      </c>
    </row>
    <row r="60" spans="1:9" x14ac:dyDescent="0.3">
      <c r="A60" s="19" t="s">
        <v>5927</v>
      </c>
      <c r="B60" s="20">
        <v>1.0269999999999999</v>
      </c>
      <c r="C60" s="20" t="s">
        <v>2036</v>
      </c>
      <c r="D60" t="str">
        <f t="array" ref="D60:E60">TRANSPOSE(_xlfn._xlws.FILTER('Controllable Asset Registry'!$A$1331:$A$1454,IFERROR('Controllable Asset Registry'!$E$1331:$E$1454=C60,FALSE),"No Equipment in entity"))</f>
        <v>FCU0005</v>
      </c>
      <c r="E60" t="str">
        <v>FCU0006</v>
      </c>
    </row>
    <row r="61" spans="1:9" x14ac:dyDescent="0.3">
      <c r="A61" s="19" t="s">
        <v>5928</v>
      </c>
      <c r="B61" s="20">
        <v>1.026</v>
      </c>
      <c r="C61" s="20" t="s">
        <v>5929</v>
      </c>
      <c r="D61" t="str">
        <f t="array" ref="D61">TRANSPOSE(_xlfn._xlws.FILTER('Controllable Asset Registry'!$A$1331:$A$1454,IFERROR('Controllable Asset Registry'!$E$1331:$E$1454=C61,FALSE),"No Equipment in entity"))</f>
        <v>No Equipment in entity</v>
      </c>
    </row>
    <row r="62" spans="1:9" x14ac:dyDescent="0.3">
      <c r="A62" s="19" t="s">
        <v>5930</v>
      </c>
      <c r="B62" s="20">
        <v>1.0249999999999999</v>
      </c>
      <c r="C62" s="20" t="s">
        <v>5931</v>
      </c>
      <c r="D62" t="str">
        <f t="array" ref="D62">TRANSPOSE(_xlfn._xlws.FILTER('Controllable Asset Registry'!$A$1331:$A$1454,IFERROR('Controllable Asset Registry'!$E$1331:$E$1454=C62,FALSE),"No Equipment in entity"))</f>
        <v>No Equipment in entity</v>
      </c>
    </row>
    <row r="63" spans="1:9" x14ac:dyDescent="0.3">
      <c r="A63" s="19" t="s">
        <v>5932</v>
      </c>
      <c r="B63" s="20">
        <v>1.0189999999999999</v>
      </c>
      <c r="C63" s="20" t="s">
        <v>2054</v>
      </c>
      <c r="D63" t="str">
        <f t="array" ref="D63:I63">TRANSPOSE(_xlfn._xlws.FILTER('Controllable Asset Registry'!$A$1331:$A$1454,IFERROR('Controllable Asset Registry'!$E$1331:$E$1454=C63,FALSE),"No Equipment in entity"))</f>
        <v>VAV0009</v>
      </c>
      <c r="E63" t="str">
        <v>VAV0010</v>
      </c>
      <c r="F63" t="str">
        <v>VAV0011</v>
      </c>
      <c r="G63" t="str">
        <v>VAV0012</v>
      </c>
      <c r="H63" t="str">
        <v>VAV0013</v>
      </c>
      <c r="I63" t="str">
        <v>VAV0014</v>
      </c>
    </row>
    <row r="64" spans="1:9" x14ac:dyDescent="0.3">
      <c r="A64" s="19" t="s">
        <v>5835</v>
      </c>
      <c r="B64" s="20">
        <v>1.0009999999999999</v>
      </c>
      <c r="C64" s="20" t="s">
        <v>2067</v>
      </c>
      <c r="D64" t="str">
        <f t="array" ref="D64:F64">TRANSPOSE(_xlfn._xlws.FILTER('Controllable Asset Registry'!$A$1331:$A$1454,IFERROR('Controllable Asset Registry'!$E$1331:$E$1454=C64,FALSE),"No Equipment in entity"))</f>
        <v>VAV0024</v>
      </c>
      <c r="E64" t="str">
        <v>VAV0029</v>
      </c>
      <c r="F64" t="str">
        <v>VAV0031</v>
      </c>
    </row>
    <row r="65" spans="1:7" x14ac:dyDescent="0.3">
      <c r="A65" s="19" t="s">
        <v>5933</v>
      </c>
      <c r="B65" s="20">
        <v>1.0029999999999999</v>
      </c>
      <c r="C65" s="20" t="s">
        <v>2065</v>
      </c>
      <c r="D65" t="str">
        <f t="array" ref="D65:G65">TRANSPOSE(_xlfn._xlws.FILTER('Controllable Asset Registry'!$A$1331:$A$1454,IFERROR('Controllable Asset Registry'!$E$1331:$E$1454=C65,FALSE),"No Equipment in entity"))</f>
        <v>VAV0022</v>
      </c>
      <c r="E65" t="str">
        <v>VAV0023</v>
      </c>
      <c r="F65" t="str">
        <v>VAV0034</v>
      </c>
      <c r="G65" t="str">
        <v>VAV0039</v>
      </c>
    </row>
    <row r="66" spans="1:7" x14ac:dyDescent="0.3">
      <c r="A66" s="19" t="s">
        <v>5912</v>
      </c>
      <c r="B66" s="20">
        <v>1.0289999999999999</v>
      </c>
      <c r="C66" s="20" t="s">
        <v>2057</v>
      </c>
      <c r="D66" t="str">
        <f t="array" ref="D66:F66">TRANSPOSE(_xlfn._xlws.FILTER('Controllable Asset Registry'!$A$1331:$A$1454,IFERROR('Controllable Asset Registry'!$E$1331:$E$1454=C66,FALSE),"No Equipment in entity"))</f>
        <v>VAV0015</v>
      </c>
      <c r="E66" t="str">
        <v>VAV0016</v>
      </c>
      <c r="F66" t="str">
        <v>VAV0017</v>
      </c>
    </row>
    <row r="67" spans="1:7" x14ac:dyDescent="0.3">
      <c r="A67" s="19" t="s">
        <v>5852</v>
      </c>
      <c r="B67" s="20">
        <v>1.012</v>
      </c>
      <c r="C67" s="20" t="s">
        <v>5934</v>
      </c>
      <c r="D67" t="str">
        <f t="array" ref="D67">TRANSPOSE(_xlfn._xlws.FILTER('Controllable Asset Registry'!$A$1331:$A$1454,IFERROR('Controllable Asset Registry'!$E$1331:$E$1454=C67,FALSE),"No Equipment in entity"))</f>
        <v>No Equipment in entity</v>
      </c>
    </row>
    <row r="68" spans="1:7" x14ac:dyDescent="0.3">
      <c r="A68" s="19" t="s">
        <v>5813</v>
      </c>
      <c r="B68" s="20" t="s">
        <v>5935</v>
      </c>
      <c r="C68" s="20" t="s">
        <v>5936</v>
      </c>
      <c r="D68" t="str">
        <f t="array" ref="D68">TRANSPOSE(_xlfn._xlws.FILTER('Controllable Asset Registry'!$A$1331:$A$1454,IFERROR('Controllable Asset Registry'!$E$1331:$E$1454=C68,FALSE),"No Equipment in entity"))</f>
        <v>No Equipment in entity</v>
      </c>
    </row>
    <row r="69" spans="1:7" x14ac:dyDescent="0.3">
      <c r="A69" s="19" t="s">
        <v>5813</v>
      </c>
      <c r="B69" s="20" t="s">
        <v>5937</v>
      </c>
      <c r="C69" s="20" t="s">
        <v>5938</v>
      </c>
      <c r="D69" t="str">
        <f t="array" ref="D69">TRANSPOSE(_xlfn._xlws.FILTER('Controllable Asset Registry'!$A$1331:$A$1454,IFERROR('Controllable Asset Registry'!$E$1331:$E$1454=C69,FALSE),"No Equipment in entity"))</f>
        <v>No Equipment in entity</v>
      </c>
    </row>
    <row r="70" spans="1:7" x14ac:dyDescent="0.3">
      <c r="A70" s="19" t="s">
        <v>5835</v>
      </c>
      <c r="B70" s="20">
        <v>1.0129999999999999</v>
      </c>
      <c r="C70" s="20" t="s">
        <v>2063</v>
      </c>
      <c r="D70" t="str">
        <f t="array" ref="D70">TRANSPOSE(_xlfn._xlws.FILTER('Controllable Asset Registry'!$A$1331:$A$1454,IFERROR('Controllable Asset Registry'!$E$1331:$E$1454=C70,FALSE),"No Equipment in entity"))</f>
        <v>VAV0021</v>
      </c>
    </row>
    <row r="71" spans="1:7" x14ac:dyDescent="0.3">
      <c r="A71" s="19" t="s">
        <v>5808</v>
      </c>
      <c r="B71" s="20" t="s">
        <v>5939</v>
      </c>
      <c r="C71" s="20" t="s">
        <v>5940</v>
      </c>
      <c r="D71" t="str">
        <f t="array" ref="D71">TRANSPOSE(_xlfn._xlws.FILTER('Controllable Asset Registry'!$A$1331:$A$1454,IFERROR('Controllable Asset Registry'!$E$1331:$E$1454=C71,FALSE),"No Equipment in entity"))</f>
        <v>No Equipment in entity</v>
      </c>
    </row>
    <row r="72" spans="1:7" x14ac:dyDescent="0.3">
      <c r="A72" s="19" t="s">
        <v>5941</v>
      </c>
      <c r="B72" s="20">
        <v>1.0089999999999999</v>
      </c>
      <c r="C72" s="20" t="s">
        <v>5942</v>
      </c>
      <c r="D72" t="str">
        <f t="array" ref="D72">TRANSPOSE(_xlfn._xlws.FILTER('Controllable Asset Registry'!$A$1331:$A$1454,IFERROR('Controllable Asset Registry'!$E$1331:$E$1454=C72,FALSE),"No Equipment in entity"))</f>
        <v>No Equipment in entity</v>
      </c>
    </row>
    <row r="73" spans="1:7" x14ac:dyDescent="0.3">
      <c r="A73" s="19" t="s">
        <v>5943</v>
      </c>
      <c r="B73" s="20">
        <v>1.038</v>
      </c>
      <c r="C73" s="20" t="s">
        <v>5944</v>
      </c>
      <c r="D73" t="str">
        <f t="array" ref="D73">TRANSPOSE(_xlfn._xlws.FILTER('Controllable Asset Registry'!$A$1331:$A$1454,IFERROR('Controllable Asset Registry'!$E$1331:$E$1454=C73,FALSE),"No Equipment in entity"))</f>
        <v>No Equipment in entity</v>
      </c>
    </row>
    <row r="74" spans="1:7" x14ac:dyDescent="0.3">
      <c r="A74" s="19" t="s">
        <v>5945</v>
      </c>
      <c r="B74" s="20">
        <v>1.008</v>
      </c>
      <c r="C74" s="20" t="s">
        <v>2034</v>
      </c>
      <c r="D74" t="str">
        <f t="array" ref="D74:E74">TRANSPOSE(_xlfn._xlws.FILTER('Controllable Asset Registry'!$A$1331:$A$1454,IFERROR('Controllable Asset Registry'!$E$1331:$E$1454=C74,FALSE),"No Equipment in entity"))</f>
        <v>FCU0004</v>
      </c>
      <c r="E74" t="str">
        <v>VAV0037</v>
      </c>
    </row>
    <row r="75" spans="1:7" x14ac:dyDescent="0.3">
      <c r="A75" s="19" t="s">
        <v>5920</v>
      </c>
      <c r="B75" s="20">
        <v>1.0069999999999999</v>
      </c>
      <c r="C75" s="20" t="s">
        <v>5946</v>
      </c>
      <c r="D75" t="str">
        <f t="array" ref="D75">TRANSPOSE(_xlfn._xlws.FILTER('Controllable Asset Registry'!$A$1331:$A$1454,IFERROR('Controllable Asset Registry'!$E$1331:$E$1454=C75,FALSE),"No Equipment in entity"))</f>
        <v>No Equipment in entity</v>
      </c>
    </row>
    <row r="76" spans="1:7" x14ac:dyDescent="0.3">
      <c r="A76" s="19" t="s">
        <v>5930</v>
      </c>
      <c r="B76" s="20">
        <v>1.006</v>
      </c>
      <c r="C76" s="20" t="s">
        <v>5947</v>
      </c>
      <c r="D76" t="str">
        <f t="array" ref="D76">TRANSPOSE(_xlfn._xlws.FILTER('Controllable Asset Registry'!$A$1331:$A$1454,IFERROR('Controllable Asset Registry'!$E$1331:$E$1454=C76,FALSE),"No Equipment in entity"))</f>
        <v>No Equipment in entity</v>
      </c>
    </row>
    <row r="77" spans="1:7" x14ac:dyDescent="0.3">
      <c r="A77" s="19" t="s">
        <v>5948</v>
      </c>
      <c r="B77" s="20">
        <v>1.0049999999999999</v>
      </c>
      <c r="C77" s="20" t="s">
        <v>5949</v>
      </c>
      <c r="D77" t="str">
        <f t="array" ref="D77">TRANSPOSE(_xlfn._xlws.FILTER('Controllable Asset Registry'!$A$1331:$A$1454,IFERROR('Controllable Asset Registry'!$E$1331:$E$1454=C77,FALSE),"No Equipment in entity"))</f>
        <v>No Equipment in entity</v>
      </c>
    </row>
    <row r="78" spans="1:7" x14ac:dyDescent="0.3">
      <c r="A78" s="19" t="s">
        <v>5835</v>
      </c>
      <c r="B78" s="20">
        <v>1.004</v>
      </c>
      <c r="C78" s="20" t="s">
        <v>5950</v>
      </c>
      <c r="D78" t="str">
        <f t="array" ref="D78">TRANSPOSE(_xlfn._xlws.FILTER('Controllable Asset Registry'!$A$1331:$A$1454,IFERROR('Controllable Asset Registry'!$E$1331:$E$1454=C78,FALSE),"No Equipment in entity"))</f>
        <v>No Equipment in entity</v>
      </c>
    </row>
    <row r="79" spans="1:7" x14ac:dyDescent="0.3">
      <c r="A79" s="19" t="s">
        <v>5951</v>
      </c>
      <c r="B79" s="20" t="s">
        <v>5952</v>
      </c>
      <c r="C79" s="20" t="s">
        <v>2079</v>
      </c>
      <c r="D79" t="str">
        <f t="array" ref="D79">TRANSPOSE(_xlfn._xlws.FILTER('Controllable Asset Registry'!$A$1331:$A$1454,IFERROR('Controllable Asset Registry'!$E$1331:$E$1454=C79,FALSE),"No Equipment in entity"))</f>
        <v>VAV0038</v>
      </c>
    </row>
    <row r="80" spans="1:7" x14ac:dyDescent="0.3">
      <c r="A80" s="19" t="s">
        <v>5953</v>
      </c>
      <c r="B80" s="20">
        <v>1.0109999999999999</v>
      </c>
      <c r="C80" s="20" t="s">
        <v>5954</v>
      </c>
      <c r="D80" t="str">
        <f t="array" ref="D80">TRANSPOSE(_xlfn._xlws.FILTER('Controllable Asset Registry'!$A$1331:$A$1454,IFERROR('Controllable Asset Registry'!$E$1331:$E$1454=C80,FALSE),"No Equipment in entity"))</f>
        <v>No Equipment in entity</v>
      </c>
    </row>
    <row r="81" spans="1:5" x14ac:dyDescent="0.3">
      <c r="A81" s="19" t="s">
        <v>5835</v>
      </c>
      <c r="B81" s="20">
        <v>1.01</v>
      </c>
      <c r="C81" s="20" t="s">
        <v>2042</v>
      </c>
      <c r="D81" t="str">
        <f t="array" ref="D81:E81">TRANSPOSE(_xlfn._xlws.FILTER('Controllable Asset Registry'!$A$1331:$A$1454,IFERROR('Controllable Asset Registry'!$E$1331:$E$1454=C81,FALSE),"No Equipment in entity"))</f>
        <v>FCU0010</v>
      </c>
      <c r="E81" t="str">
        <v>VAV0035</v>
      </c>
    </row>
    <row r="82" spans="1:5" x14ac:dyDescent="0.3">
      <c r="A82" s="19" t="s">
        <v>5955</v>
      </c>
      <c r="B82" s="20" t="s">
        <v>5956</v>
      </c>
      <c r="C82" s="20" t="s">
        <v>5957</v>
      </c>
      <c r="D82" t="str">
        <f t="array" ref="D82">TRANSPOSE(_xlfn._xlws.FILTER('Controllable Asset Registry'!$A$1331:$A$1454,IFERROR('Controllable Asset Registry'!$E$1331:$E$1454=C82,FALSE),"No Equipment in entity"))</f>
        <v>No Equipment in entity</v>
      </c>
    </row>
    <row r="83" spans="1:5" x14ac:dyDescent="0.3">
      <c r="A83" s="19" t="s">
        <v>5852</v>
      </c>
      <c r="B83" s="20">
        <v>1.03</v>
      </c>
      <c r="C83" s="20" t="s">
        <v>5958</v>
      </c>
      <c r="D83" t="str">
        <f t="array" ref="D83">TRANSPOSE(_xlfn._xlws.FILTER('Controllable Asset Registry'!$A$1331:$A$1454,IFERROR('Controllable Asset Registry'!$E$1331:$E$1454=C83,FALSE),"No Equipment in entity"))</f>
        <v>No Equipment in entity</v>
      </c>
    </row>
    <row r="84" spans="1:5" x14ac:dyDescent="0.3">
      <c r="A84" s="19" t="s">
        <v>5861</v>
      </c>
      <c r="B84" s="20">
        <v>1.0309999999999999</v>
      </c>
      <c r="C84" s="20" t="s">
        <v>5959</v>
      </c>
      <c r="D84" t="str">
        <f t="array" ref="D84">TRANSPOSE(_xlfn._xlws.FILTER('Controllable Asset Registry'!$A$1331:$A$1454,IFERROR('Controllable Asset Registry'!$E$1331:$E$1454=C84,FALSE),"No Equipment in entity"))</f>
        <v>No Equipment in entity</v>
      </c>
    </row>
    <row r="85" spans="1:5" x14ac:dyDescent="0.3">
      <c r="A85" s="19" t="s">
        <v>5858</v>
      </c>
      <c r="B85" s="20">
        <v>1.032</v>
      </c>
      <c r="C85" s="20" t="s">
        <v>5960</v>
      </c>
      <c r="D85" t="str">
        <f t="array" ref="D85">TRANSPOSE(_xlfn._xlws.FILTER('Controllable Asset Registry'!$A$1331:$A$1454,IFERROR('Controllable Asset Registry'!$E$1331:$E$1454=C85,FALSE),"No Equipment in entity"))</f>
        <v>No Equipment in entity</v>
      </c>
    </row>
    <row r="86" spans="1:5" x14ac:dyDescent="0.3">
      <c r="A86" s="19" t="s">
        <v>5855</v>
      </c>
      <c r="B86" s="20">
        <v>1.0329999999999999</v>
      </c>
      <c r="C86" s="20" t="s">
        <v>5961</v>
      </c>
      <c r="D86" t="str">
        <f t="array" ref="D86">TRANSPOSE(_xlfn._xlws.FILTER('Controllable Asset Registry'!$A$1331:$A$1454,IFERROR('Controllable Asset Registry'!$E$1331:$E$1454=C86,FALSE),"No Equipment in entity"))</f>
        <v>No Equipment in entity</v>
      </c>
    </row>
    <row r="87" spans="1:5" x14ac:dyDescent="0.3">
      <c r="A87" s="19" t="s">
        <v>5835</v>
      </c>
      <c r="B87" s="20">
        <v>1.0349999999999999</v>
      </c>
      <c r="C87" s="20" t="s">
        <v>5962</v>
      </c>
      <c r="D87" t="str">
        <f t="array" ref="D87">TRANSPOSE(_xlfn._xlws.FILTER('Controllable Asset Registry'!$A$1331:$A$1454,IFERROR('Controllable Asset Registry'!$E$1331:$E$1454=C87,FALSE),"No Equipment in entity"))</f>
        <v>No Equipment in entity</v>
      </c>
    </row>
    <row r="88" spans="1:5" x14ac:dyDescent="0.3">
      <c r="A88" s="19" t="s">
        <v>5953</v>
      </c>
      <c r="B88" s="20">
        <v>1.034</v>
      </c>
      <c r="C88" s="20" t="s">
        <v>5963</v>
      </c>
      <c r="D88" t="str">
        <f t="array" ref="D88">TRANSPOSE(_xlfn._xlws.FILTER('Controllable Asset Registry'!$A$1331:$A$1454,IFERROR('Controllable Asset Registry'!$E$1331:$E$1454=C88,FALSE),"No Equipment in entity"))</f>
        <v>No Equipment in entity</v>
      </c>
    </row>
    <row r="89" spans="1:5" x14ac:dyDescent="0.3">
      <c r="A89" s="19" t="s">
        <v>5964</v>
      </c>
      <c r="B89" s="20" t="s">
        <v>5965</v>
      </c>
      <c r="C89" s="20" t="s">
        <v>5966</v>
      </c>
      <c r="D89" t="str">
        <f t="array" ref="D89">TRANSPOSE(_xlfn._xlws.FILTER('Controllable Asset Registry'!$A$1331:$A$1454,IFERROR('Controllable Asset Registry'!$E$1331:$E$1454=C89,FALSE),"No Equipment in entity"))</f>
        <v>No Equipment in entity</v>
      </c>
    </row>
    <row r="90" spans="1:5" x14ac:dyDescent="0.3">
      <c r="A90" s="19" t="s">
        <v>5910</v>
      </c>
      <c r="B90" s="20">
        <v>1.036</v>
      </c>
      <c r="C90" s="20" t="s">
        <v>5967</v>
      </c>
      <c r="D90" t="str">
        <f t="array" ref="D90">TRANSPOSE(_xlfn._xlws.FILTER('Controllable Asset Registry'!$A$1331:$A$1454,IFERROR('Controllable Asset Registry'!$E$1331:$E$1454=C90,FALSE),"No Equipment in entity"))</f>
        <v>No Equipment in entity</v>
      </c>
    </row>
    <row r="91" spans="1:5" x14ac:dyDescent="0.3">
      <c r="A91" s="19" t="s">
        <v>5849</v>
      </c>
      <c r="B91" s="20" t="s">
        <v>5968</v>
      </c>
      <c r="C91" s="20" t="s">
        <v>5969</v>
      </c>
      <c r="D91" t="str">
        <f t="array" ref="D91">TRANSPOSE(_xlfn._xlws.FILTER('Controllable Asset Registry'!$A$1331:$A$1454,IFERROR('Controllable Asset Registry'!$E$1331:$E$1454=C91,FALSE),"No Equipment in entity"))</f>
        <v>No Equipment in entity</v>
      </c>
    </row>
    <row r="92" spans="1:5" x14ac:dyDescent="0.3">
      <c r="A92" s="19" t="s">
        <v>5835</v>
      </c>
      <c r="B92" s="20">
        <v>1.028</v>
      </c>
      <c r="C92" s="20" t="s">
        <v>2040</v>
      </c>
      <c r="D92" t="str">
        <f t="array" ref="D92:E92">TRANSPOSE(_xlfn._xlws.FILTER('Controllable Asset Registry'!$A$1331:$A$1454,IFERROR('Controllable Asset Registry'!$E$1331:$E$1454=C92,FALSE),"No Equipment in entity"))</f>
        <v>FCU0009</v>
      </c>
      <c r="E92" t="str">
        <v>VAV0033</v>
      </c>
    </row>
    <row r="93" spans="1:5" x14ac:dyDescent="0.3">
      <c r="A93" s="19" t="s">
        <v>5970</v>
      </c>
      <c r="B93" s="20">
        <v>3.0150000000000001</v>
      </c>
      <c r="C93" s="20" t="s">
        <v>2093</v>
      </c>
      <c r="D93" t="str">
        <f t="array" ref="D93">TRANSPOSE(_xlfn._xlws.FILTER('Controllable Asset Registry'!$A$1331:$A$1454,IFERROR('Controllable Asset Registry'!$E$1331:$E$1454=C93,FALSE),"No Equipment in entity"))</f>
        <v>VAV0053</v>
      </c>
    </row>
    <row r="94" spans="1:5" x14ac:dyDescent="0.3">
      <c r="A94" s="19" t="s">
        <v>5971</v>
      </c>
      <c r="B94" s="20">
        <v>3.0139999999999998</v>
      </c>
      <c r="C94" s="20" t="s">
        <v>2096</v>
      </c>
      <c r="D94" t="str">
        <f t="array" ref="D94">TRANSPOSE(_xlfn._xlws.FILTER('Controllable Asset Registry'!$A$1331:$A$1454,IFERROR('Controllable Asset Registry'!$E$1331:$E$1454=C94,FALSE),"No Equipment in entity"))</f>
        <v>VAV0054</v>
      </c>
    </row>
    <row r="95" spans="1:5" x14ac:dyDescent="0.3">
      <c r="A95" s="19" t="s">
        <v>5970</v>
      </c>
      <c r="B95" s="20">
        <v>3.0129999999999999</v>
      </c>
      <c r="C95" s="20" t="s">
        <v>2098</v>
      </c>
      <c r="D95" t="str">
        <f t="array" ref="D95">TRANSPOSE(_xlfn._xlws.FILTER('Controllable Asset Registry'!$A$1331:$A$1454,IFERROR('Controllable Asset Registry'!$E$1331:$E$1454=C95,FALSE),"No Equipment in entity"))</f>
        <v>VAV0055</v>
      </c>
    </row>
    <row r="96" spans="1:5" x14ac:dyDescent="0.3">
      <c r="A96" s="19" t="s">
        <v>5970</v>
      </c>
      <c r="B96" s="20">
        <v>3.012</v>
      </c>
      <c r="C96" s="20" t="s">
        <v>2100</v>
      </c>
      <c r="D96" t="str">
        <f t="array" ref="D96">TRANSPOSE(_xlfn._xlws.FILTER('Controllable Asset Registry'!$A$1331:$A$1454,IFERROR('Controllable Asset Registry'!$E$1331:$E$1454=C96,FALSE),"No Equipment in entity"))</f>
        <v>VAV0056</v>
      </c>
    </row>
    <row r="97" spans="1:14" x14ac:dyDescent="0.3">
      <c r="A97" s="19" t="s">
        <v>5971</v>
      </c>
      <c r="B97" s="20">
        <v>3.0110000000000001</v>
      </c>
      <c r="C97" s="20" t="s">
        <v>2102</v>
      </c>
      <c r="D97" t="str">
        <f t="array" ref="D97">TRANSPOSE(_xlfn._xlws.FILTER('Controllable Asset Registry'!$A$1331:$A$1454,IFERROR('Controllable Asset Registry'!$E$1331:$E$1454=C97,FALSE),"No Equipment in entity"))</f>
        <v>VAV0057</v>
      </c>
    </row>
    <row r="98" spans="1:14" x14ac:dyDescent="0.3">
      <c r="A98" s="19" t="s">
        <v>5970</v>
      </c>
      <c r="B98" s="20">
        <v>3.01</v>
      </c>
      <c r="C98" s="20" t="s">
        <v>2104</v>
      </c>
      <c r="D98" t="str">
        <f t="array" ref="D98">TRANSPOSE(_xlfn._xlws.FILTER('Controllable Asset Registry'!$A$1331:$A$1454,IFERROR('Controllable Asset Registry'!$E$1331:$E$1454=C98,FALSE),"No Equipment in entity"))</f>
        <v>VAV0058</v>
      </c>
    </row>
    <row r="99" spans="1:14" x14ac:dyDescent="0.3">
      <c r="A99" s="19" t="s">
        <v>5970</v>
      </c>
      <c r="B99" s="20">
        <v>3.0089999999999999</v>
      </c>
      <c r="C99" s="20" t="s">
        <v>2106</v>
      </c>
      <c r="D99" t="str">
        <f t="array" ref="D99">TRANSPOSE(_xlfn._xlws.FILTER('Controllable Asset Registry'!$A$1331:$A$1454,IFERROR('Controllable Asset Registry'!$E$1331:$E$1454=C99,FALSE),"No Equipment in entity"))</f>
        <v>VAV0059</v>
      </c>
    </row>
    <row r="100" spans="1:14" x14ac:dyDescent="0.3">
      <c r="A100" s="19" t="s">
        <v>5971</v>
      </c>
      <c r="B100" s="20">
        <v>3.008</v>
      </c>
      <c r="C100" s="20" t="s">
        <v>2108</v>
      </c>
      <c r="D100" t="str">
        <f t="array" ref="D100">TRANSPOSE(_xlfn._xlws.FILTER('Controllable Asset Registry'!$A$1331:$A$1454,IFERROR('Controllable Asset Registry'!$E$1331:$E$1454=C100,FALSE),"No Equipment in entity"))</f>
        <v>VAV0060</v>
      </c>
    </row>
    <row r="101" spans="1:14" x14ac:dyDescent="0.3">
      <c r="A101" s="19" t="s">
        <v>5972</v>
      </c>
      <c r="B101" s="20">
        <v>3.0070000000000001</v>
      </c>
      <c r="C101" s="20" t="s">
        <v>2110</v>
      </c>
      <c r="D101" t="str">
        <f t="array" ref="D101">TRANSPOSE(_xlfn._xlws.FILTER('Controllable Asset Registry'!$A$1331:$A$1454,IFERROR('Controllable Asset Registry'!$E$1331:$E$1454=C101,FALSE),"No Equipment in entity"))</f>
        <v>VAV0061</v>
      </c>
    </row>
    <row r="102" spans="1:14" x14ac:dyDescent="0.3">
      <c r="A102" s="19" t="s">
        <v>5973</v>
      </c>
      <c r="B102" s="20">
        <v>3.0059999999999998</v>
      </c>
      <c r="C102" s="20" t="s">
        <v>2112</v>
      </c>
      <c r="D102" t="str">
        <f t="array" ref="D102:E102">TRANSPOSE(_xlfn._xlws.FILTER('Controllable Asset Registry'!$A$1331:$A$1454,IFERROR('Controllable Asset Registry'!$E$1331:$E$1454=C102,FALSE),"No Equipment in entity"))</f>
        <v>VAV0062</v>
      </c>
      <c r="E102" t="str">
        <v>VAV0064</v>
      </c>
    </row>
    <row r="103" spans="1:14" x14ac:dyDescent="0.3">
      <c r="A103" s="19" t="s">
        <v>5970</v>
      </c>
      <c r="B103" s="20">
        <v>3.0049999999999999</v>
      </c>
      <c r="C103" s="20" t="s">
        <v>2116</v>
      </c>
      <c r="D103" t="str">
        <f t="array" ref="D103">TRANSPOSE(_xlfn._xlws.FILTER('Controllable Asset Registry'!$A$1331:$A$1454,IFERROR('Controllable Asset Registry'!$E$1331:$E$1454=C103,FALSE),"No Equipment in entity"))</f>
        <v>VAV0065</v>
      </c>
    </row>
    <row r="104" spans="1:14" x14ac:dyDescent="0.3">
      <c r="A104" s="19" t="s">
        <v>5971</v>
      </c>
      <c r="B104" s="20">
        <v>3.004</v>
      </c>
      <c r="C104" s="20" t="s">
        <v>2118</v>
      </c>
      <c r="D104" t="str">
        <f t="array" ref="D104">TRANSPOSE(_xlfn._xlws.FILTER('Controllable Asset Registry'!$A$1331:$A$1454,IFERROR('Controllable Asset Registry'!$E$1331:$E$1454=C104,FALSE),"No Equipment in entity"))</f>
        <v>VAV0066</v>
      </c>
    </row>
    <row r="105" spans="1:14" x14ac:dyDescent="0.3">
      <c r="A105" s="19" t="s">
        <v>5970</v>
      </c>
      <c r="B105" s="20">
        <v>3.0030000000000001</v>
      </c>
      <c r="C105" s="20" t="s">
        <v>2120</v>
      </c>
      <c r="D105" t="str">
        <f t="array" ref="D105">TRANSPOSE(_xlfn._xlws.FILTER('Controllable Asset Registry'!$A$1331:$A$1454,IFERROR('Controllable Asset Registry'!$E$1331:$E$1454=C105,FALSE),"No Equipment in entity"))</f>
        <v>VAV0067</v>
      </c>
    </row>
    <row r="106" spans="1:14" x14ac:dyDescent="0.3">
      <c r="A106" s="19" t="s">
        <v>5974</v>
      </c>
      <c r="B106" s="20">
        <v>3.0019999999999998</v>
      </c>
      <c r="C106" s="20" t="s">
        <v>2122</v>
      </c>
      <c r="D106" t="str">
        <f t="array" ref="D106:N106">TRANSPOSE(_xlfn._xlws.FILTER('Controllable Asset Registry'!$A$1331:$A$1454,IFERROR('Controllable Asset Registry'!$E$1331:$E$1454=C106,FALSE),"No Equipment in entity"))</f>
        <v>VAV0068</v>
      </c>
      <c r="E106" t="str">
        <v>VAV0069</v>
      </c>
      <c r="F106" t="str">
        <v>VAV0071</v>
      </c>
      <c r="G106" t="str">
        <v>VAV0072</v>
      </c>
      <c r="H106" t="str">
        <v>VAV0073</v>
      </c>
      <c r="I106" t="str">
        <v>VAV0074</v>
      </c>
      <c r="J106" t="str">
        <v>VAV0075</v>
      </c>
      <c r="K106" t="str">
        <v>VAV0076</v>
      </c>
      <c r="L106" t="str">
        <v>VAV0077</v>
      </c>
      <c r="M106" t="str">
        <v>VAV0107</v>
      </c>
      <c r="N106" t="str">
        <v>VAV0108</v>
      </c>
    </row>
    <row r="107" spans="1:14" x14ac:dyDescent="0.3">
      <c r="A107" s="19" t="s">
        <v>5975</v>
      </c>
      <c r="B107" s="20">
        <v>3.0009999999999999</v>
      </c>
      <c r="C107" s="20" t="s">
        <v>2124</v>
      </c>
      <c r="D107" t="str">
        <f t="array" ref="D107">TRANSPOSE(_xlfn._xlws.FILTER('Controllable Asset Registry'!$A$1331:$A$1454,IFERROR('Controllable Asset Registry'!$E$1331:$E$1454=C107,FALSE),"No Equipment in entity"))</f>
        <v>VAV0070</v>
      </c>
    </row>
    <row r="108" spans="1:14" x14ac:dyDescent="0.3">
      <c r="A108" s="19" t="s">
        <v>5970</v>
      </c>
      <c r="B108" s="20">
        <v>3.0169999999999999</v>
      </c>
      <c r="C108" s="20" t="s">
        <v>2155</v>
      </c>
      <c r="D108" t="str">
        <f t="array" ref="D108">TRANSPOSE(_xlfn._xlws.FILTER('Controllable Asset Registry'!$A$1331:$A$1454,IFERROR('Controllable Asset Registry'!$E$1331:$E$1454=C108,FALSE),"No Equipment in entity"))</f>
        <v>VAV0095</v>
      </c>
    </row>
    <row r="109" spans="1:14" x14ac:dyDescent="0.3">
      <c r="A109" s="19" t="s">
        <v>5971</v>
      </c>
      <c r="B109" s="20">
        <v>3.0179999999999998</v>
      </c>
      <c r="C109" s="20" t="s">
        <v>2153</v>
      </c>
      <c r="D109" t="str">
        <f t="array" ref="D109">TRANSPOSE(_xlfn._xlws.FILTER('Controllable Asset Registry'!$A$1331:$A$1454,IFERROR('Controllable Asset Registry'!$E$1331:$E$1454=C109,FALSE),"No Equipment in entity"))</f>
        <v>VAV0094</v>
      </c>
    </row>
    <row r="110" spans="1:14" x14ac:dyDescent="0.3">
      <c r="A110" s="19" t="s">
        <v>5976</v>
      </c>
      <c r="B110" s="20">
        <v>3.0190000000000001</v>
      </c>
      <c r="C110" s="20" t="s">
        <v>2151</v>
      </c>
      <c r="D110" t="str">
        <f t="array" ref="D110">TRANSPOSE(_xlfn._xlws.FILTER('Controllable Asset Registry'!$A$1331:$A$1454,IFERROR('Controllable Asset Registry'!$E$1331:$E$1454=C110,FALSE),"No Equipment in entity"))</f>
        <v>VAV0093</v>
      </c>
    </row>
    <row r="111" spans="1:14" x14ac:dyDescent="0.3">
      <c r="A111" s="19" t="s">
        <v>5970</v>
      </c>
      <c r="B111" s="20">
        <v>3.02</v>
      </c>
      <c r="C111" s="20" t="s">
        <v>2149</v>
      </c>
      <c r="D111" t="str">
        <f t="array" ref="D111">TRANSPOSE(_xlfn._xlws.FILTER('Controllable Asset Registry'!$A$1331:$A$1454,IFERROR('Controllable Asset Registry'!$E$1331:$E$1454=C111,FALSE),"No Equipment in entity"))</f>
        <v>VAV0092</v>
      </c>
    </row>
    <row r="112" spans="1:14" x14ac:dyDescent="0.3">
      <c r="A112" s="19" t="s">
        <v>5971</v>
      </c>
      <c r="B112" s="20">
        <v>3.0209999999999999</v>
      </c>
      <c r="C112" s="20" t="s">
        <v>2147</v>
      </c>
      <c r="D112" t="str">
        <f t="array" ref="D112">TRANSPOSE(_xlfn._xlws.FILTER('Controllable Asset Registry'!$A$1331:$A$1454,IFERROR('Controllable Asset Registry'!$E$1331:$E$1454=C112,FALSE),"No Equipment in entity"))</f>
        <v>VAV0091</v>
      </c>
    </row>
    <row r="113" spans="1:6" x14ac:dyDescent="0.3">
      <c r="A113" s="19" t="s">
        <v>5970</v>
      </c>
      <c r="B113" s="20">
        <v>3.0219999999999998</v>
      </c>
      <c r="C113" s="20" t="s">
        <v>2145</v>
      </c>
      <c r="D113" t="str">
        <f t="array" ref="D113">TRANSPOSE(_xlfn._xlws.FILTER('Controllable Asset Registry'!$A$1331:$A$1454,IFERROR('Controllable Asset Registry'!$E$1331:$E$1454=C113,FALSE),"No Equipment in entity"))</f>
        <v>VAV0090</v>
      </c>
    </row>
    <row r="114" spans="1:6" x14ac:dyDescent="0.3">
      <c r="A114" s="19" t="s">
        <v>5970</v>
      </c>
      <c r="B114" s="20">
        <v>3.0230000000000001</v>
      </c>
      <c r="C114" s="20" t="s">
        <v>2143</v>
      </c>
      <c r="D114" t="str">
        <f t="array" ref="D114">TRANSPOSE(_xlfn._xlws.FILTER('Controllable Asset Registry'!$A$1331:$A$1454,IFERROR('Controllable Asset Registry'!$E$1331:$E$1454=C114,FALSE),"No Equipment in entity"))</f>
        <v>VAV0089</v>
      </c>
    </row>
    <row r="115" spans="1:6" x14ac:dyDescent="0.3">
      <c r="A115" s="19" t="s">
        <v>5971</v>
      </c>
      <c r="B115" s="20">
        <v>3.024</v>
      </c>
      <c r="C115" s="20" t="s">
        <v>2141</v>
      </c>
      <c r="D115" t="str">
        <f t="array" ref="D115">TRANSPOSE(_xlfn._xlws.FILTER('Controllable Asset Registry'!$A$1331:$A$1454,IFERROR('Controllable Asset Registry'!$E$1331:$E$1454=C115,FALSE),"No Equipment in entity"))</f>
        <v>VAV0088</v>
      </c>
    </row>
    <row r="116" spans="1:6" x14ac:dyDescent="0.3">
      <c r="A116" s="19" t="s">
        <v>5977</v>
      </c>
      <c r="B116" s="20">
        <v>3.0249999999999999</v>
      </c>
      <c r="C116" s="20" t="s">
        <v>2139</v>
      </c>
      <c r="D116" t="str">
        <f t="array" ref="D116">TRANSPOSE(_xlfn._xlws.FILTER('Controllable Asset Registry'!$A$1331:$A$1454,IFERROR('Controllable Asset Registry'!$E$1331:$E$1454=C116,FALSE),"No Equipment in entity"))</f>
        <v>VAV0087</v>
      </c>
    </row>
    <row r="117" spans="1:6" x14ac:dyDescent="0.3">
      <c r="A117" s="19" t="s">
        <v>5973</v>
      </c>
      <c r="B117" s="20">
        <v>3.0259999999999998</v>
      </c>
      <c r="C117" s="20" t="s">
        <v>2137</v>
      </c>
      <c r="D117" t="str">
        <f t="array" ref="D117:F117">TRANSPOSE(_xlfn._xlws.FILTER('Controllable Asset Registry'!$A$1331:$A$1454,IFERROR('Controllable Asset Registry'!$E$1331:$E$1454=C117,FALSE),"No Equipment in entity"))</f>
        <v>VAV0084</v>
      </c>
      <c r="E117" t="str">
        <v>VAV0085</v>
      </c>
      <c r="F117" t="str">
        <v>VAV0086</v>
      </c>
    </row>
    <row r="118" spans="1:6" x14ac:dyDescent="0.3">
      <c r="A118" s="19" t="s">
        <v>5970</v>
      </c>
      <c r="B118" s="20">
        <v>3.0270000000000001</v>
      </c>
      <c r="C118" s="20" t="s">
        <v>2135</v>
      </c>
      <c r="D118" t="str">
        <f t="array" ref="D118">TRANSPOSE(_xlfn._xlws.FILTER('Controllable Asset Registry'!$A$1331:$A$1454,IFERROR('Controllable Asset Registry'!$E$1331:$E$1454=C118,FALSE),"No Equipment in entity"))</f>
        <v>VAV0083</v>
      </c>
    </row>
    <row r="119" spans="1:6" x14ac:dyDescent="0.3">
      <c r="A119" s="19" t="s">
        <v>5971</v>
      </c>
      <c r="B119" s="20">
        <v>3.028</v>
      </c>
      <c r="C119" s="20" t="s">
        <v>2133</v>
      </c>
      <c r="D119" t="str">
        <f t="array" ref="D119">TRANSPOSE(_xlfn._xlws.FILTER('Controllable Asset Registry'!$A$1331:$A$1454,IFERROR('Controllable Asset Registry'!$E$1331:$E$1454=C119,FALSE),"No Equipment in entity"))</f>
        <v>VAV0082</v>
      </c>
    </row>
    <row r="120" spans="1:6" x14ac:dyDescent="0.3">
      <c r="A120" s="19" t="s">
        <v>5970</v>
      </c>
      <c r="B120" s="20">
        <v>3.0289999999999999</v>
      </c>
      <c r="C120" s="20" t="s">
        <v>2131</v>
      </c>
      <c r="D120" t="str">
        <f t="array" ref="D120">TRANSPOSE(_xlfn._xlws.FILTER('Controllable Asset Registry'!$A$1331:$A$1454,IFERROR('Controllable Asset Registry'!$E$1331:$E$1454=C120,FALSE),"No Equipment in entity"))</f>
        <v>VAV0081</v>
      </c>
    </row>
    <row r="121" spans="1:6" x14ac:dyDescent="0.3">
      <c r="A121" s="19" t="s">
        <v>5978</v>
      </c>
      <c r="B121" s="20">
        <v>3.03</v>
      </c>
      <c r="C121" s="20" t="s">
        <v>5979</v>
      </c>
      <c r="D121" t="str">
        <f t="array" ref="D121">TRANSPOSE(_xlfn._xlws.FILTER('Controllable Asset Registry'!$A$1331:$A$1454,IFERROR('Controllable Asset Registry'!$E$1331:$E$1454=C121,FALSE),"No Equipment in entity"))</f>
        <v>No Equipment in entity</v>
      </c>
    </row>
    <row r="122" spans="1:6" x14ac:dyDescent="0.3">
      <c r="A122" s="19" t="s">
        <v>5980</v>
      </c>
      <c r="B122" s="20">
        <v>3.0310000000000001</v>
      </c>
      <c r="C122" s="20" t="s">
        <v>5981</v>
      </c>
      <c r="D122" t="str">
        <f t="array" ref="D122">TRANSPOSE(_xlfn._xlws.FILTER('Controllable Asset Registry'!$A$1331:$A$1454,IFERROR('Controllable Asset Registry'!$E$1331:$E$1454=C122,FALSE),"No Equipment in entity"))</f>
        <v>No Equipment in entity</v>
      </c>
    </row>
    <row r="123" spans="1:6" x14ac:dyDescent="0.3">
      <c r="A123" s="19" t="s">
        <v>5982</v>
      </c>
      <c r="B123" s="20">
        <v>3.032</v>
      </c>
      <c r="C123" s="20" t="s">
        <v>5983</v>
      </c>
      <c r="D123" t="str">
        <f t="array" ref="D123">TRANSPOSE(_xlfn._xlws.FILTER('Controllable Asset Registry'!$A$1331:$A$1454,IFERROR('Controllable Asset Registry'!$E$1331:$E$1454=C123,FALSE),"No Equipment in entity"))</f>
        <v>No Equipment in entity</v>
      </c>
    </row>
    <row r="124" spans="1:6" x14ac:dyDescent="0.3">
      <c r="A124" s="19" t="s">
        <v>5984</v>
      </c>
      <c r="B124" s="20">
        <v>3.0329999999999999</v>
      </c>
      <c r="C124" s="20" t="s">
        <v>2044</v>
      </c>
      <c r="D124" t="str">
        <f t="array" ref="D124">TRANSPOSE(_xlfn._xlws.FILTER('Controllable Asset Registry'!$A$1331:$A$1454,IFERROR('Controllable Asset Registry'!$E$1331:$E$1454=C124,FALSE),"No Equipment in entity"))</f>
        <v>FCU0011</v>
      </c>
    </row>
    <row r="125" spans="1:6" x14ac:dyDescent="0.3">
      <c r="A125" s="19" t="s">
        <v>5849</v>
      </c>
      <c r="B125" s="20" t="s">
        <v>5985</v>
      </c>
      <c r="C125" s="20" t="s">
        <v>5986</v>
      </c>
      <c r="D125" t="str">
        <f t="array" ref="D125">TRANSPOSE(_xlfn._xlws.FILTER('Controllable Asset Registry'!$A$1331:$A$1454,IFERROR('Controllable Asset Registry'!$E$1331:$E$1454=C125,FALSE),"No Equipment in entity"))</f>
        <v>No Equipment in entity</v>
      </c>
    </row>
    <row r="126" spans="1:6" x14ac:dyDescent="0.3">
      <c r="A126" s="19" t="s">
        <v>5852</v>
      </c>
      <c r="B126" s="20">
        <v>3.0459999999999998</v>
      </c>
      <c r="C126" s="20" t="s">
        <v>5987</v>
      </c>
      <c r="D126" t="str">
        <f t="array" ref="D126">TRANSPOSE(_xlfn._xlws.FILTER('Controllable Asset Registry'!$A$1331:$A$1454,IFERROR('Controllable Asset Registry'!$E$1331:$E$1454=C126,FALSE),"No Equipment in entity"))</f>
        <v>No Equipment in entity</v>
      </c>
    </row>
    <row r="127" spans="1:6" x14ac:dyDescent="0.3">
      <c r="A127" s="19" t="s">
        <v>5988</v>
      </c>
      <c r="B127" s="20">
        <v>3.0449999999999999</v>
      </c>
      <c r="C127" s="20" t="s">
        <v>5989</v>
      </c>
      <c r="D127" t="str">
        <f t="array" ref="D127">TRANSPOSE(_xlfn._xlws.FILTER('Controllable Asset Registry'!$A$1331:$A$1454,IFERROR('Controllable Asset Registry'!$E$1331:$E$1454=C127,FALSE),"No Equipment in entity"))</f>
        <v>No Equipment in entity</v>
      </c>
    </row>
    <row r="128" spans="1:6" x14ac:dyDescent="0.3">
      <c r="A128" s="19" t="s">
        <v>5990</v>
      </c>
      <c r="B128" s="20">
        <v>3.0470000000000002</v>
      </c>
      <c r="C128" s="20" t="s">
        <v>5991</v>
      </c>
      <c r="D128" t="str">
        <f t="array" ref="D128">TRANSPOSE(_xlfn._xlws.FILTER('Controllable Asset Registry'!$A$1331:$A$1454,IFERROR('Controllable Asset Registry'!$E$1331:$E$1454=C128,FALSE),"No Equipment in entity"))</f>
        <v>No Equipment in entity</v>
      </c>
    </row>
    <row r="129" spans="1:7" x14ac:dyDescent="0.3">
      <c r="A129" s="19" t="s">
        <v>5992</v>
      </c>
      <c r="B129" s="20">
        <v>3.016</v>
      </c>
      <c r="C129" s="20" t="s">
        <v>2157</v>
      </c>
      <c r="D129" t="str">
        <f t="array" ref="D129:E129">TRANSPOSE(_xlfn._xlws.FILTER('Controllable Asset Registry'!$A$1331:$A$1454,IFERROR('Controllable Asset Registry'!$E$1331:$E$1454=C129,FALSE),"No Equipment in entity"))</f>
        <v>VAV0096</v>
      </c>
      <c r="E129" t="str">
        <v>VAV0097</v>
      </c>
    </row>
    <row r="130" spans="1:7" x14ac:dyDescent="0.3">
      <c r="A130" s="19" t="s">
        <v>5993</v>
      </c>
      <c r="B130" s="20">
        <v>3.0379999999999998</v>
      </c>
      <c r="C130" s="20" t="s">
        <v>5994</v>
      </c>
      <c r="D130" t="str">
        <f t="array" ref="D130">TRANSPOSE(_xlfn._xlws.FILTER('Controllable Asset Registry'!$A$1331:$A$1454,IFERROR('Controllable Asset Registry'!$E$1331:$E$1454=C130,FALSE),"No Equipment in entity"))</f>
        <v>No Equipment in entity</v>
      </c>
    </row>
    <row r="131" spans="1:7" x14ac:dyDescent="0.3">
      <c r="A131" s="19" t="s">
        <v>5995</v>
      </c>
      <c r="B131" s="20">
        <v>3.0489999999999999</v>
      </c>
      <c r="C131" s="20" t="s">
        <v>2159</v>
      </c>
      <c r="D131" t="str">
        <f t="array" ref="D131">TRANSPOSE(_xlfn._xlws.FILTER('Controllable Asset Registry'!$A$1331:$A$1454,IFERROR('Controllable Asset Registry'!$E$1331:$E$1454=C131,FALSE),"No Equipment in entity"))</f>
        <v>VAV0098</v>
      </c>
    </row>
    <row r="132" spans="1:7" x14ac:dyDescent="0.3">
      <c r="A132" s="19" t="s">
        <v>5920</v>
      </c>
      <c r="B132" s="20">
        <v>3.0390000000000001</v>
      </c>
      <c r="C132" s="20" t="s">
        <v>5996</v>
      </c>
      <c r="D132" t="str">
        <f t="array" ref="D132">TRANSPOSE(_xlfn._xlws.FILTER('Controllable Asset Registry'!$A$1331:$A$1454,IFERROR('Controllable Asset Registry'!$E$1331:$E$1454=C132,FALSE),"No Equipment in entity"))</f>
        <v>No Equipment in entity</v>
      </c>
    </row>
    <row r="133" spans="1:7" x14ac:dyDescent="0.3">
      <c r="A133" s="19" t="s">
        <v>5930</v>
      </c>
      <c r="B133" s="20">
        <v>3.0369999999999999</v>
      </c>
      <c r="C133" s="20" t="s">
        <v>5997</v>
      </c>
      <c r="D133" t="str">
        <f t="array" ref="D133">TRANSPOSE(_xlfn._xlws.FILTER('Controllable Asset Registry'!$A$1331:$A$1454,IFERROR('Controllable Asset Registry'!$E$1331:$E$1454=C133,FALSE),"No Equipment in entity"))</f>
        <v>No Equipment in entity</v>
      </c>
    </row>
    <row r="134" spans="1:7" x14ac:dyDescent="0.3">
      <c r="A134" s="19" t="s">
        <v>5948</v>
      </c>
      <c r="B134" s="20">
        <v>3.036</v>
      </c>
      <c r="C134" s="20" t="s">
        <v>5998</v>
      </c>
      <c r="D134" t="str">
        <f t="array" ref="D134">TRANSPOSE(_xlfn._xlws.FILTER('Controllable Asset Registry'!$A$1331:$A$1454,IFERROR('Controllable Asset Registry'!$E$1331:$E$1454=C134,FALSE),"No Equipment in entity"))</f>
        <v>No Equipment in entity</v>
      </c>
    </row>
    <row r="135" spans="1:7" x14ac:dyDescent="0.3">
      <c r="A135" s="19" t="s">
        <v>5808</v>
      </c>
      <c r="B135" s="20" t="s">
        <v>5999</v>
      </c>
      <c r="C135" s="20" t="s">
        <v>6000</v>
      </c>
      <c r="D135" t="str">
        <f t="array" ref="D135">TRANSPOSE(_xlfn._xlws.FILTER('Controllable Asset Registry'!$A$1331:$A$1454,IFERROR('Controllable Asset Registry'!$E$1331:$E$1454=C135,FALSE),"No Equipment in entity"))</f>
        <v>No Equipment in entity</v>
      </c>
    </row>
    <row r="136" spans="1:7" x14ac:dyDescent="0.3">
      <c r="A136" s="19" t="s">
        <v>5813</v>
      </c>
      <c r="B136" s="20" t="s">
        <v>6001</v>
      </c>
      <c r="C136" s="20" t="s">
        <v>6002</v>
      </c>
      <c r="D136" t="str">
        <f t="array" ref="D136">TRANSPOSE(_xlfn._xlws.FILTER('Controllable Asset Registry'!$A$1331:$A$1454,IFERROR('Controllable Asset Registry'!$E$1331:$E$1454=C136,FALSE),"No Equipment in entity"))</f>
        <v>No Equipment in entity</v>
      </c>
    </row>
    <row r="137" spans="1:7" x14ac:dyDescent="0.3">
      <c r="A137" s="19" t="s">
        <v>5813</v>
      </c>
      <c r="B137" s="20" t="s">
        <v>6003</v>
      </c>
      <c r="C137" s="20" t="s">
        <v>6004</v>
      </c>
      <c r="D137" t="str">
        <f t="array" ref="D137">TRANSPOSE(_xlfn._xlws.FILTER('Controllable Asset Registry'!$A$1331:$A$1454,IFERROR('Controllable Asset Registry'!$E$1331:$E$1454=C137,FALSE),"No Equipment in entity"))</f>
        <v>No Equipment in entity</v>
      </c>
    </row>
    <row r="138" spans="1:7" x14ac:dyDescent="0.3">
      <c r="A138" s="19" t="s">
        <v>5835</v>
      </c>
      <c r="B138" s="20">
        <v>3.04</v>
      </c>
      <c r="C138" s="20" t="s">
        <v>6005</v>
      </c>
      <c r="D138" t="str">
        <f t="array" ref="D138">TRANSPOSE(_xlfn._xlws.FILTER('Controllable Asset Registry'!$A$1331:$A$1454,IFERROR('Controllable Asset Registry'!$E$1331:$E$1454=C138,FALSE),"No Equipment in entity"))</f>
        <v>No Equipment in entity</v>
      </c>
    </row>
    <row r="139" spans="1:7" x14ac:dyDescent="0.3">
      <c r="A139" s="19" t="s">
        <v>5835</v>
      </c>
      <c r="B139" s="20">
        <v>3.0409999999999999</v>
      </c>
      <c r="C139" s="20" t="s">
        <v>2163</v>
      </c>
      <c r="D139" t="str">
        <f t="array" ref="D139">TRANSPOSE(_xlfn._xlws.FILTER('Controllable Asset Registry'!$A$1331:$A$1454,IFERROR('Controllable Asset Registry'!$E$1331:$E$1454=C139,FALSE),"No Equipment in entity"))</f>
        <v>VAV0100</v>
      </c>
    </row>
    <row r="140" spans="1:7" x14ac:dyDescent="0.3">
      <c r="A140" s="19" t="s">
        <v>5835</v>
      </c>
      <c r="B140" s="20">
        <v>3.0339999999999998</v>
      </c>
      <c r="C140" s="20" t="s">
        <v>2167</v>
      </c>
      <c r="D140" t="str">
        <f t="array" ref="D140:G140">TRANSPOSE(_xlfn._xlws.FILTER('Controllable Asset Registry'!$A$1331:$A$1454,IFERROR('Controllable Asset Registry'!$E$1331:$E$1454=C140,FALSE),"No Equipment in entity"))</f>
        <v>VAV0102</v>
      </c>
      <c r="E140" t="str">
        <v>VAV0103</v>
      </c>
      <c r="F140" t="str">
        <v>VAV0104</v>
      </c>
      <c r="G140" t="str">
        <v>VAV0105</v>
      </c>
    </row>
    <row r="141" spans="1:7" x14ac:dyDescent="0.3">
      <c r="A141" s="19" t="s">
        <v>5835</v>
      </c>
      <c r="B141" s="20">
        <v>3.0419999999999998</v>
      </c>
      <c r="C141" s="20" t="s">
        <v>2161</v>
      </c>
      <c r="D141" t="str">
        <f t="array" ref="D141:E141">TRANSPOSE(_xlfn._xlws.FILTER('Controllable Asset Registry'!$A$1331:$A$1454,IFERROR('Controllable Asset Registry'!$E$1331:$E$1454=C141,FALSE),"No Equipment in entity"))</f>
        <v>VAV0099</v>
      </c>
      <c r="E141" t="str">
        <v>VAV0106</v>
      </c>
    </row>
    <row r="142" spans="1:7" x14ac:dyDescent="0.3">
      <c r="A142" s="19" t="s">
        <v>6006</v>
      </c>
      <c r="B142" s="20">
        <v>3.0350000000000001</v>
      </c>
      <c r="C142" s="20" t="s">
        <v>6007</v>
      </c>
      <c r="D142" t="str">
        <f t="array" ref="D142">TRANSPOSE(_xlfn._xlws.FILTER('Controllable Asset Registry'!$A$1331:$A$1454,IFERROR('Controllable Asset Registry'!$E$1331:$E$1454=C142,FALSE),"No Equipment in entity"))</f>
        <v>No Equipment in entity</v>
      </c>
    </row>
    <row r="143" spans="1:7" x14ac:dyDescent="0.3">
      <c r="A143" s="19" t="s">
        <v>5835</v>
      </c>
      <c r="B143" s="20">
        <v>3.044</v>
      </c>
      <c r="C143" s="20" t="s">
        <v>2165</v>
      </c>
      <c r="D143" t="str">
        <f t="array" ref="D143">TRANSPOSE(_xlfn._xlws.FILTER('Controllable Asset Registry'!$A$1331:$A$1454,IFERROR('Controllable Asset Registry'!$E$1331:$E$1454=C143,FALSE),"No Equipment in entity"))</f>
        <v>VAV0101</v>
      </c>
    </row>
    <row r="144" spans="1:7" x14ac:dyDescent="0.3">
      <c r="A144" s="19" t="s">
        <v>6008</v>
      </c>
      <c r="B144" s="20">
        <v>3.0430000000000001</v>
      </c>
      <c r="C144" s="20" t="s">
        <v>6009</v>
      </c>
      <c r="D144" t="str">
        <f t="array" ref="D144">TRANSPOSE(_xlfn._xlws.FILTER('Controllable Asset Registry'!$A$1331:$A$1454,IFERROR('Controllable Asset Registry'!$E$1331:$E$1454=C144,FALSE),"No Equipment in entity"))</f>
        <v>No Equipment in entity</v>
      </c>
    </row>
    <row r="145" spans="1:7" x14ac:dyDescent="0.3">
      <c r="A145" s="19" t="s">
        <v>5990</v>
      </c>
      <c r="B145" s="20">
        <v>3.048</v>
      </c>
      <c r="C145" s="20" t="s">
        <v>6010</v>
      </c>
      <c r="D145" t="str">
        <f t="array" ref="D145">TRANSPOSE(_xlfn._xlws.FILTER('Controllable Asset Registry'!$A$1331:$A$1454,IFERROR('Controllable Asset Registry'!$E$1331:$E$1454=C145,FALSE),"No Equipment in entity"))</f>
        <v>No Equipment in entity</v>
      </c>
    </row>
    <row r="146" spans="1:7" x14ac:dyDescent="0.3">
      <c r="A146" s="19" t="s">
        <v>6011</v>
      </c>
      <c r="B146" s="20" t="s">
        <v>6012</v>
      </c>
      <c r="C146" s="20" t="s">
        <v>6013</v>
      </c>
      <c r="D146" t="str">
        <f t="array" ref="D146">TRANSPOSE(_xlfn._xlws.FILTER('Controllable Asset Registry'!$A$1331:$A$1454,IFERROR('Controllable Asset Registry'!$E$1331:$E$1454=C146,FALSE),"No Equipment in entity"))</f>
        <v>No Equipment in entity</v>
      </c>
    </row>
    <row r="147" spans="1:7" x14ac:dyDescent="0.3">
      <c r="A147" s="19" t="s">
        <v>6014</v>
      </c>
      <c r="B147" s="20">
        <v>2.0049999999999999</v>
      </c>
      <c r="C147" s="20" t="s">
        <v>2083</v>
      </c>
      <c r="D147" t="str">
        <f t="array" ref="D147:F147">TRANSPOSE(_xlfn._xlws.FILTER('Controllable Asset Registry'!$A$1331:$A$1454,IFERROR('Controllable Asset Registry'!$E$1331:$E$1454=C147,FALSE),"No Equipment in entity"))</f>
        <v>VAV0041</v>
      </c>
      <c r="E147" t="str">
        <v>VAV0042</v>
      </c>
      <c r="F147" t="str">
        <v>VAV0051</v>
      </c>
    </row>
    <row r="148" spans="1:7" x14ac:dyDescent="0.3">
      <c r="A148" s="19" t="s">
        <v>6015</v>
      </c>
      <c r="B148" s="20">
        <v>2.0059999999999998</v>
      </c>
      <c r="C148" s="20" t="s">
        <v>2081</v>
      </c>
      <c r="D148" t="str">
        <f t="array" ref="D148:E148">TRANSPOSE(_xlfn._xlws.FILTER('Controllable Asset Registry'!$A$1331:$A$1454,IFERROR('Controllable Asset Registry'!$E$1331:$E$1454=C148,FALSE),"No Equipment in entity"))</f>
        <v>VAV0040</v>
      </c>
      <c r="E148" t="str">
        <v>VAV0052</v>
      </c>
    </row>
    <row r="149" spans="1:7" x14ac:dyDescent="0.3">
      <c r="A149" s="19" t="s">
        <v>5813</v>
      </c>
      <c r="B149" s="20" t="s">
        <v>6016</v>
      </c>
      <c r="C149" s="20" t="s">
        <v>6017</v>
      </c>
      <c r="D149" t="str">
        <f t="array" ref="D149">TRANSPOSE(_xlfn._xlws.FILTER('Controllable Asset Registry'!$A$1331:$A$1454,IFERROR('Controllable Asset Registry'!$E$1331:$E$1454=C149,FALSE),"No Equipment in entity"))</f>
        <v>No Equipment in entity</v>
      </c>
    </row>
    <row r="150" spans="1:7" x14ac:dyDescent="0.3">
      <c r="A150" s="19" t="s">
        <v>5813</v>
      </c>
      <c r="B150" s="20" t="s">
        <v>6018</v>
      </c>
      <c r="C150" s="20" t="s">
        <v>6019</v>
      </c>
      <c r="D150" t="str">
        <f t="array" ref="D150">TRANSPOSE(_xlfn._xlws.FILTER('Controllable Asset Registry'!$A$1331:$A$1454,IFERROR('Controllable Asset Registry'!$E$1331:$E$1454=C150,FALSE),"No Equipment in entity"))</f>
        <v>No Equipment in entity</v>
      </c>
    </row>
    <row r="151" spans="1:7" x14ac:dyDescent="0.3">
      <c r="A151" s="19" t="s">
        <v>6020</v>
      </c>
      <c r="B151" s="20">
        <v>2.0070000000000001</v>
      </c>
      <c r="C151" s="20" t="s">
        <v>6021</v>
      </c>
      <c r="D151" t="str">
        <f t="array" ref="D151">TRANSPOSE(_xlfn._xlws.FILTER('Controllable Asset Registry'!$A$1331:$A$1454,IFERROR('Controllable Asset Registry'!$E$1331:$E$1454=C151,FALSE),"No Equipment in entity"))</f>
        <v>No Equipment in entity</v>
      </c>
    </row>
    <row r="152" spans="1:7" x14ac:dyDescent="0.3">
      <c r="A152" s="19" t="s">
        <v>5861</v>
      </c>
      <c r="B152" s="20">
        <v>2.008</v>
      </c>
      <c r="C152" s="20" t="s">
        <v>6022</v>
      </c>
      <c r="D152" t="str">
        <f t="array" ref="D152">TRANSPOSE(_xlfn._xlws.FILTER('Controllable Asset Registry'!$A$1331:$A$1454,IFERROR('Controllable Asset Registry'!$E$1331:$E$1454=C152,FALSE),"No Equipment in entity"))</f>
        <v>No Equipment in entity</v>
      </c>
    </row>
    <row r="153" spans="1:7" x14ac:dyDescent="0.3">
      <c r="A153" s="19" t="s">
        <v>5858</v>
      </c>
      <c r="B153" s="20">
        <v>2.0099999999999998</v>
      </c>
      <c r="C153" s="20" t="s">
        <v>6023</v>
      </c>
      <c r="D153" t="str">
        <f t="array" ref="D153">TRANSPOSE(_xlfn._xlws.FILTER('Controllable Asset Registry'!$A$1331:$A$1454,IFERROR('Controllable Asset Registry'!$E$1331:$E$1454=C153,FALSE),"No Equipment in entity"))</f>
        <v>No Equipment in entity</v>
      </c>
    </row>
    <row r="154" spans="1:7" x14ac:dyDescent="0.3">
      <c r="A154" s="19" t="s">
        <v>5849</v>
      </c>
      <c r="B154" s="20" t="s">
        <v>6024</v>
      </c>
      <c r="C154" s="20" t="s">
        <v>6025</v>
      </c>
      <c r="D154" t="str">
        <f t="array" ref="D154">TRANSPOSE(_xlfn._xlws.FILTER('Controllable Asset Registry'!$A$1331:$A$1454,IFERROR('Controllable Asset Registry'!$E$1331:$E$1454=C154,FALSE),"No Equipment in entity"))</f>
        <v>No Equipment in entity</v>
      </c>
    </row>
    <row r="155" spans="1:7" x14ac:dyDescent="0.3">
      <c r="A155" s="19" t="s">
        <v>6026</v>
      </c>
      <c r="B155" s="20">
        <v>2.0019999999999998</v>
      </c>
      <c r="C155" s="20" t="s">
        <v>2089</v>
      </c>
      <c r="D155" t="str">
        <f t="array" ref="D155:G155">TRANSPOSE(_xlfn._xlws.FILTER('Controllable Asset Registry'!$A$1331:$A$1454,IFERROR('Controllable Asset Registry'!$E$1331:$E$1454=C155,FALSE),"No Equipment in entity"))</f>
        <v>VAV0046</v>
      </c>
      <c r="E155" t="str">
        <v>VAV0047</v>
      </c>
      <c r="F155" t="str">
        <v>VAV0048</v>
      </c>
      <c r="G155" t="str">
        <v>VAV0049</v>
      </c>
    </row>
    <row r="156" spans="1:7" x14ac:dyDescent="0.3">
      <c r="A156" s="19" t="s">
        <v>6027</v>
      </c>
      <c r="B156" s="20">
        <v>2.0009999999999999</v>
      </c>
      <c r="C156" s="20" t="s">
        <v>2087</v>
      </c>
      <c r="D156" t="str">
        <f t="array" ref="D156:E156">TRANSPOSE(_xlfn._xlws.FILTER('Controllable Asset Registry'!$A$1331:$A$1454,IFERROR('Controllable Asset Registry'!$E$1331:$E$1454=C156,FALSE),"No Equipment in entity"))</f>
        <v>VAV0044</v>
      </c>
      <c r="E156" t="str">
        <v>VAV0045</v>
      </c>
    </row>
    <row r="157" spans="1:7" x14ac:dyDescent="0.3">
      <c r="A157" s="19" t="s">
        <v>5835</v>
      </c>
      <c r="B157" s="20">
        <v>2.004</v>
      </c>
      <c r="C157" s="20" t="s">
        <v>2085</v>
      </c>
      <c r="D157" t="str">
        <f t="array" ref="D157">TRANSPOSE(_xlfn._xlws.FILTER('Controllable Asset Registry'!$A$1331:$A$1454,IFERROR('Controllable Asset Registry'!$E$1331:$E$1454=C157,FALSE),"No Equipment in entity"))</f>
        <v>VAV0043</v>
      </c>
    </row>
    <row r="158" spans="1:7" x14ac:dyDescent="0.3">
      <c r="A158" s="19" t="s">
        <v>5835</v>
      </c>
      <c r="B158" s="20">
        <v>2.0030000000000001</v>
      </c>
      <c r="C158" s="20" t="s">
        <v>2091</v>
      </c>
      <c r="D158" t="str">
        <f t="array" ref="D158">TRANSPOSE(_xlfn._xlws.FILTER('Controllable Asset Registry'!$A$1331:$A$1454,IFERROR('Controllable Asset Registry'!$E$1331:$E$1454=C158,FALSE),"No Equipment in entity"))</f>
        <v>VAV0050</v>
      </c>
    </row>
    <row r="159" spans="1:7" x14ac:dyDescent="0.3">
      <c r="A159" s="19" t="s">
        <v>5808</v>
      </c>
      <c r="B159" s="20" t="s">
        <v>6028</v>
      </c>
      <c r="C159" s="20" t="s">
        <v>6029</v>
      </c>
      <c r="D159" t="str">
        <f t="array" ref="D159">TRANSPOSE(_xlfn._xlws.FILTER('Controllable Asset Registry'!$A$1331:$A$1454,IFERROR('Controllable Asset Registry'!$E$1331:$E$1454=C159,FALSE),"No Equipment in entity"))</f>
        <v>No Equipment in entity</v>
      </c>
    </row>
    <row r="160" spans="1:7" x14ac:dyDescent="0.3">
      <c r="A160" s="19" t="s">
        <v>5916</v>
      </c>
      <c r="B160" s="20" t="s">
        <v>6030</v>
      </c>
      <c r="C160" s="20" t="s">
        <v>6031</v>
      </c>
      <c r="D160" t="str">
        <f t="array" ref="D160">TRANSPOSE(_xlfn._xlws.FILTER('Controllable Asset Registry'!$A$1331:$A$1454,IFERROR('Controllable Asset Registry'!$E$1331:$E$1454=C160,FALSE),"No Equipment in entity"))</f>
        <v>No Equipment in entity</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3A863-148F-4FA2-B036-F07D9D75B34C}">
  <dimension ref="A1:O1041"/>
  <sheetViews>
    <sheetView topLeftCell="A18" zoomScale="70" zoomScaleNormal="70" workbookViewId="0">
      <selection activeCell="A61" sqref="A61"/>
    </sheetView>
  </sheetViews>
  <sheetFormatPr defaultRowHeight="14.4" x14ac:dyDescent="0.3"/>
  <cols>
    <col min="1" max="1" width="57.44140625" bestFit="1" customWidth="1"/>
    <col min="3" max="3" width="41.6640625" bestFit="1" customWidth="1"/>
    <col min="4" max="4" width="19.77734375" bestFit="1" customWidth="1"/>
    <col min="5" max="6" width="11.6640625" bestFit="1" customWidth="1"/>
    <col min="14" max="14" width="26.88671875" bestFit="1" customWidth="1"/>
    <col min="15" max="15" width="21.109375" bestFit="1" customWidth="1"/>
    <col min="16" max="23" width="12.33203125" bestFit="1" customWidth="1"/>
    <col min="24" max="24" width="2.21875" bestFit="1" customWidth="1"/>
    <col min="25" max="25" width="26.88671875" bestFit="1" customWidth="1"/>
  </cols>
  <sheetData>
    <row r="1" spans="1:15" ht="15.6" x14ac:dyDescent="0.3">
      <c r="A1" t="s">
        <v>6629</v>
      </c>
      <c r="B1" t="s">
        <v>6630</v>
      </c>
      <c r="C1" t="s">
        <v>6631</v>
      </c>
      <c r="N1" s="28" t="s">
        <v>7476</v>
      </c>
    </row>
    <row r="2" spans="1:15" x14ac:dyDescent="0.3">
      <c r="A2" t="s">
        <v>6632</v>
      </c>
      <c r="B2" t="s">
        <v>6633</v>
      </c>
      <c r="C2" t="s">
        <v>6634</v>
      </c>
      <c r="D2" t="str" cm="1">
        <f t="array" ref="D2">TRANSPOSE(_xlfn._xlws.FILTER('Controllable Asset Registry'!$A$4:$A$777,IFERROR('Controllable Asset Registry'!$E$4:$E$777=A2,FALSE),"No Equipment in entity"))</f>
        <v>No Equipment in entity</v>
      </c>
      <c r="N2" t="s">
        <v>7477</v>
      </c>
      <c r="O2">
        <f>COUNTA(A2:A1042)</f>
        <v>1040</v>
      </c>
    </row>
    <row r="3" spans="1:15" x14ac:dyDescent="0.3">
      <c r="A3" t="s">
        <v>6051</v>
      </c>
      <c r="B3" t="s">
        <v>5896</v>
      </c>
      <c r="C3" t="s">
        <v>6635</v>
      </c>
      <c r="D3" t="str" cm="1">
        <f t="array" ref="D3:F3">TRANSPOSE(_xlfn._xlws.FILTER('Controllable Asset Registry'!$A$4:$A$777,IFERROR('Controllable Asset Registry'!$E$4:$E$777=A3,FALSE),"No Equipment in entity"))</f>
        <v>AHUB_0001</v>
      </c>
      <c r="E3" t="str">
        <v>AHUB_0002</v>
      </c>
      <c r="F3" t="str">
        <v>AHUB_0008</v>
      </c>
      <c r="N3" t="s">
        <v>7478</v>
      </c>
      <c r="O3">
        <f>COUNTA(D2:L1042)-COUNTIF(D2:L1042,"No Equipment in entity")</f>
        <v>772</v>
      </c>
    </row>
    <row r="4" spans="1:15" x14ac:dyDescent="0.3">
      <c r="A4" t="s">
        <v>6636</v>
      </c>
      <c r="B4" t="s">
        <v>5899</v>
      </c>
      <c r="C4" t="s">
        <v>6637</v>
      </c>
      <c r="D4" t="str" cm="1">
        <f t="array" ref="D4">TRANSPOSE(_xlfn._xlws.FILTER('Controllable Asset Registry'!$A$4:$A$777,IFERROR('Controllable Asset Registry'!$E$4:$E$777=A4,FALSE),"No Equipment in entity"))</f>
        <v>No Equipment in entity</v>
      </c>
      <c r="N4" t="s">
        <v>7479</v>
      </c>
      <c r="O4">
        <f>COUNTIF(D2:L1042,"No Equipment in entity")</f>
        <v>433</v>
      </c>
    </row>
    <row r="5" spans="1:15" x14ac:dyDescent="0.3">
      <c r="A5" t="s">
        <v>6057</v>
      </c>
      <c r="B5" t="s">
        <v>5902</v>
      </c>
      <c r="C5" t="s">
        <v>6638</v>
      </c>
      <c r="D5" t="str" cm="1">
        <f t="array" ref="D5">TRANSPOSE(_xlfn._xlws.FILTER('Controllable Asset Registry'!$A$4:$A$777,IFERROR('Controllable Asset Registry'!$E$4:$E$777=A5,FALSE),"No Equipment in entity"))</f>
        <v>FCU0002</v>
      </c>
      <c r="N5" t="s">
        <v>7480</v>
      </c>
      <c r="O5">
        <f>COUNTA('Controllable Asset Registry'!A4:A777)</f>
        <v>774</v>
      </c>
    </row>
    <row r="6" spans="1:15" x14ac:dyDescent="0.3">
      <c r="A6" t="s">
        <v>6639</v>
      </c>
      <c r="B6" t="s">
        <v>5868</v>
      </c>
      <c r="C6" t="s">
        <v>6640</v>
      </c>
      <c r="D6" t="str" cm="1">
        <f t="array" ref="D6">TRANSPOSE(_xlfn._xlws.FILTER('Controllable Asset Registry'!$A$4:$A$777,IFERROR('Controllable Asset Registry'!$E$4:$E$777=A6,FALSE),"No Equipment in entity"))</f>
        <v>No Equipment in entity</v>
      </c>
      <c r="N6" t="s">
        <v>8465</v>
      </c>
      <c r="O6" cm="1">
        <f t="array" ref="O6">SUM(--(_xlfn.UNIQUE(_xlfn.TOCOL(D2:L1042,3))&lt;&gt;"No Equipment in entity"))</f>
        <v>772</v>
      </c>
    </row>
    <row r="7" spans="1:15" x14ac:dyDescent="0.3">
      <c r="A7" t="s">
        <v>6052</v>
      </c>
      <c r="B7" t="s">
        <v>5871</v>
      </c>
      <c r="C7" t="s">
        <v>6641</v>
      </c>
      <c r="D7" t="str" cm="1">
        <f t="array" ref="D7:E7">TRANSPOSE(_xlfn._xlws.FILTER('Controllable Asset Registry'!$A$4:$A$777,IFERROR('Controllable Asset Registry'!$E$4:$E$777=A7,FALSE),"No Equipment in entity"))</f>
        <v>AHUB_0003</v>
      </c>
      <c r="E7" t="str">
        <v>AHUB_0004</v>
      </c>
      <c r="N7" t="s">
        <v>8463</v>
      </c>
      <c r="O7" cm="1">
        <f t="array" ref="O7">SUMPRODUCT((A2:A1042&lt;&gt;"")*(COUNTIF(A2:A1042,A2:A1042)&gt;1))</f>
        <v>0</v>
      </c>
    </row>
    <row r="8" spans="1:15" x14ac:dyDescent="0.3">
      <c r="A8" t="s">
        <v>6642</v>
      </c>
      <c r="B8" t="s">
        <v>5865</v>
      </c>
      <c r="C8" t="s">
        <v>6643</v>
      </c>
      <c r="D8" t="str" cm="1">
        <f t="array" ref="D8">TRANSPOSE(_xlfn._xlws.FILTER('Controllable Asset Registry'!$A$4:$A$777,IFERROR('Controllable Asset Registry'!$E$4:$E$777=A8,FALSE),"No Equipment in entity"))</f>
        <v>No Equipment in entity</v>
      </c>
      <c r="N8" t="s">
        <v>8464</v>
      </c>
      <c r="O8" cm="1">
        <f t="array" ref="O8">SUMPRODUCT((D2:L1042&lt;&gt;"")*(D2:L1042&lt;&gt;"No Equipment in entity")*(COUNTIF(D2:L1042,D2:L1042)&gt;1))</f>
        <v>0</v>
      </c>
    </row>
    <row r="9" spans="1:15" x14ac:dyDescent="0.3">
      <c r="A9" t="s">
        <v>6644</v>
      </c>
      <c r="B9" t="s">
        <v>5848</v>
      </c>
      <c r="C9" t="s">
        <v>6645</v>
      </c>
      <c r="D9" t="str" cm="1">
        <f t="array" ref="D9">TRANSPOSE(_xlfn._xlws.FILTER('Controllable Asset Registry'!$A$4:$A$777,IFERROR('Controllable Asset Registry'!$E$4:$E$777=A9,FALSE),"No Equipment in entity"))</f>
        <v>No Equipment in entity</v>
      </c>
      <c r="N9" t="s">
        <v>8466</v>
      </c>
      <c r="O9">
        <f>O5-O6</f>
        <v>2</v>
      </c>
    </row>
    <row r="10" spans="1:15" x14ac:dyDescent="0.3">
      <c r="A10" t="s">
        <v>6646</v>
      </c>
      <c r="B10" t="s">
        <v>5862</v>
      </c>
      <c r="C10" t="s">
        <v>6647</v>
      </c>
      <c r="D10" t="str" cm="1">
        <f t="array" ref="D10">TRANSPOSE(_xlfn._xlws.FILTER('Controllable Asset Registry'!$A$4:$A$777,IFERROR('Controllable Asset Registry'!$E$4:$E$777=A10,FALSE),"No Equipment in entity"))</f>
        <v>No Equipment in entity</v>
      </c>
    </row>
    <row r="11" spans="1:15" x14ac:dyDescent="0.3">
      <c r="A11" t="s">
        <v>6648</v>
      </c>
      <c r="B11" t="s">
        <v>5859</v>
      </c>
      <c r="C11" t="s">
        <v>6649</v>
      </c>
      <c r="D11" t="str" cm="1">
        <f t="array" ref="D11">TRANSPOSE(_xlfn._xlws.FILTER('Controllable Asset Registry'!$A$4:$A$777,IFERROR('Controllable Asset Registry'!$E$4:$E$777=A11,FALSE),"No Equipment in entity"))</f>
        <v>No Equipment in entity</v>
      </c>
    </row>
    <row r="12" spans="1:15" x14ac:dyDescent="0.3">
      <c r="A12" t="s">
        <v>6650</v>
      </c>
      <c r="B12" t="s">
        <v>5856</v>
      </c>
      <c r="C12" t="s">
        <v>6651</v>
      </c>
      <c r="D12" t="str" cm="1">
        <f t="array" ref="D12">TRANSPOSE(_xlfn._xlws.FILTER('Controllable Asset Registry'!$A$4:$A$777,IFERROR('Controllable Asset Registry'!$E$4:$E$777=A12,FALSE),"No Equipment in entity"))</f>
        <v>No Equipment in entity</v>
      </c>
    </row>
    <row r="13" spans="1:15" x14ac:dyDescent="0.3">
      <c r="A13" t="s">
        <v>6652</v>
      </c>
      <c r="B13" t="s">
        <v>5806</v>
      </c>
      <c r="C13" t="s">
        <v>5805</v>
      </c>
      <c r="D13" t="str" cm="1">
        <f t="array" ref="D13">TRANSPOSE(_xlfn._xlws.FILTER('Controllable Asset Registry'!$A$4:$A$777,IFERROR('Controllable Asset Registry'!$E$4:$E$777=A13,FALSE),"No Equipment in entity"))</f>
        <v>No Equipment in entity</v>
      </c>
    </row>
    <row r="14" spans="1:15" x14ac:dyDescent="0.3">
      <c r="A14" t="s">
        <v>6653</v>
      </c>
      <c r="B14" t="s">
        <v>5804</v>
      </c>
      <c r="C14" t="s">
        <v>6654</v>
      </c>
      <c r="D14" t="str" cm="1">
        <f t="array" ref="D14">TRANSPOSE(_xlfn._xlws.FILTER('Controllable Asset Registry'!$A$4:$A$777,IFERROR('Controllable Asset Registry'!$E$4:$E$777=A14,FALSE),"No Equipment in entity"))</f>
        <v>No Equipment in entity</v>
      </c>
    </row>
    <row r="15" spans="1:15" x14ac:dyDescent="0.3">
      <c r="A15" t="s">
        <v>6063</v>
      </c>
      <c r="B15" t="s">
        <v>5802</v>
      </c>
      <c r="C15" t="s">
        <v>6655</v>
      </c>
      <c r="D15" t="str" cm="1">
        <f t="array" ref="D15:E15">TRANSPOSE(_xlfn._xlws.FILTER('Controllable Asset Registry'!$A$4:$A$777,IFERROR('Controllable Asset Registry'!$E$4:$E$777=A15,FALSE),"No Equipment in entity"))</f>
        <v>FCU0008</v>
      </c>
      <c r="E15" t="str">
        <v>FCU0009</v>
      </c>
    </row>
    <row r="16" spans="1:15" x14ac:dyDescent="0.3">
      <c r="A16" t="s">
        <v>6064</v>
      </c>
      <c r="B16" t="s">
        <v>5812</v>
      </c>
      <c r="C16" t="s">
        <v>6656</v>
      </c>
      <c r="D16" t="str" cm="1">
        <f t="array" ref="D16">TRANSPOSE(_xlfn._xlws.FILTER('Controllable Asset Registry'!$A$4:$A$777,IFERROR('Controllable Asset Registry'!$E$4:$E$777=A16,FALSE),"No Equipment in entity"))</f>
        <v>FCU0010</v>
      </c>
    </row>
    <row r="17" spans="1:6" x14ac:dyDescent="0.3">
      <c r="A17" t="s">
        <v>6053</v>
      </c>
      <c r="B17" t="s">
        <v>5819</v>
      </c>
      <c r="C17" t="s">
        <v>6657</v>
      </c>
      <c r="D17" t="str" cm="1">
        <f t="array" ref="D17:E17">TRANSPOSE(_xlfn._xlws.FILTER('Controllable Asset Registry'!$A$4:$A$777,IFERROR('Controllable Asset Registry'!$E$4:$E$777=A17,FALSE),"No Equipment in entity"))</f>
        <v>AHUB_0005</v>
      </c>
      <c r="E17" t="str">
        <v>AHUB_0006</v>
      </c>
    </row>
    <row r="18" spans="1:6" x14ac:dyDescent="0.3">
      <c r="A18" t="s">
        <v>6658</v>
      </c>
      <c r="B18" t="s">
        <v>5824</v>
      </c>
      <c r="C18" t="s">
        <v>6659</v>
      </c>
      <c r="D18" t="str" cm="1">
        <f t="array" ref="D18">TRANSPOSE(_xlfn._xlws.FILTER('Controllable Asset Registry'!$A$4:$A$777,IFERROR('Controllable Asset Registry'!$E$4:$E$777=A18,FALSE),"No Equipment in entity"))</f>
        <v>No Equipment in entity</v>
      </c>
    </row>
    <row r="19" spans="1:6" x14ac:dyDescent="0.3">
      <c r="A19" t="s">
        <v>6660</v>
      </c>
      <c r="B19" t="s">
        <v>5830</v>
      </c>
      <c r="C19" t="s">
        <v>6661</v>
      </c>
      <c r="D19" t="str" cm="1">
        <f t="array" ref="D19">TRANSPOSE(_xlfn._xlws.FILTER('Controllable Asset Registry'!$A$4:$A$777,IFERROR('Controllable Asset Registry'!$E$4:$E$777=A19,FALSE),"No Equipment in entity"))</f>
        <v>No Equipment in entity</v>
      </c>
    </row>
    <row r="20" spans="1:6" x14ac:dyDescent="0.3">
      <c r="A20" t="s">
        <v>6055</v>
      </c>
      <c r="B20" t="s">
        <v>5827</v>
      </c>
      <c r="C20" t="s">
        <v>7</v>
      </c>
      <c r="D20" t="str" cm="1">
        <f t="array" ref="D20:F20">TRANSPOSE(_xlfn._xlws.FILTER('Controllable Asset Registry'!$A$4:$A$777,IFERROR('Controllable Asset Registry'!$E$4:$E$777=A20,FALSE),"No Equipment in entity"))</f>
        <v>AHUB_0009</v>
      </c>
      <c r="E20" t="str">
        <v>AHUB_0010</v>
      </c>
      <c r="F20" t="str">
        <v>AHUB_0011</v>
      </c>
    </row>
    <row r="21" spans="1:6" x14ac:dyDescent="0.3">
      <c r="A21" t="s">
        <v>6662</v>
      </c>
      <c r="B21" t="s">
        <v>5894</v>
      </c>
      <c r="C21" t="s">
        <v>6663</v>
      </c>
      <c r="D21" t="str" cm="1">
        <f t="array" ref="D21">TRANSPOSE(_xlfn._xlws.FILTER('Controllable Asset Registry'!$A$4:$A$777,IFERROR('Controllable Asset Registry'!$E$4:$E$777=A21,FALSE),"No Equipment in entity"))</f>
        <v>No Equipment in entity</v>
      </c>
    </row>
    <row r="22" spans="1:6" x14ac:dyDescent="0.3">
      <c r="A22" t="s">
        <v>6664</v>
      </c>
      <c r="B22" t="s">
        <v>5890</v>
      </c>
      <c r="C22" t="s">
        <v>6665</v>
      </c>
      <c r="D22" t="str" cm="1">
        <f t="array" ref="D22">TRANSPOSE(_xlfn._xlws.FILTER('Controllable Asset Registry'!$A$4:$A$777,IFERROR('Controllable Asset Registry'!$E$4:$E$777=A22,FALSE),"No Equipment in entity"))</f>
        <v>No Equipment in entity</v>
      </c>
    </row>
    <row r="23" spans="1:6" x14ac:dyDescent="0.3">
      <c r="A23" t="s">
        <v>6054</v>
      </c>
      <c r="B23" t="s">
        <v>5877</v>
      </c>
      <c r="C23" t="s">
        <v>6666</v>
      </c>
      <c r="D23" t="str" cm="1">
        <f t="array" ref="D23">TRANSPOSE(_xlfn._xlws.FILTER('Controllable Asset Registry'!$A$4:$A$777,IFERROR('Controllable Asset Registry'!$E$4:$E$777=A23,FALSE),"No Equipment in entity"))</f>
        <v>AHUB_0007</v>
      </c>
    </row>
    <row r="24" spans="1:6" x14ac:dyDescent="0.3">
      <c r="A24" t="s">
        <v>6667</v>
      </c>
      <c r="B24" t="s">
        <v>5880</v>
      </c>
      <c r="C24" t="s">
        <v>6668</v>
      </c>
      <c r="D24" t="str" cm="1">
        <f t="array" ref="D24">TRANSPOSE(_xlfn._xlws.FILTER('Controllable Asset Registry'!$A$4:$A$777,IFERROR('Controllable Asset Registry'!$E$4:$E$777=A24,FALSE),"No Equipment in entity"))</f>
        <v>No Equipment in entity</v>
      </c>
    </row>
    <row r="25" spans="1:6" x14ac:dyDescent="0.3">
      <c r="A25" t="s">
        <v>6669</v>
      </c>
      <c r="B25" t="s">
        <v>5886</v>
      </c>
      <c r="C25" t="s">
        <v>6670</v>
      </c>
      <c r="D25" t="str" cm="1">
        <f t="array" ref="D25">TRANSPOSE(_xlfn._xlws.FILTER('Controllable Asset Registry'!$A$4:$A$777,IFERROR('Controllable Asset Registry'!$E$4:$E$777=A25,FALSE),"No Equipment in entity"))</f>
        <v>No Equipment in entity</v>
      </c>
    </row>
    <row r="26" spans="1:6" x14ac:dyDescent="0.3">
      <c r="A26" t="s">
        <v>6671</v>
      </c>
      <c r="B26" t="s">
        <v>5874</v>
      </c>
      <c r="C26" t="s">
        <v>6672</v>
      </c>
      <c r="D26" t="str" cm="1">
        <f t="array" ref="D26">TRANSPOSE(_xlfn._xlws.FILTER('Controllable Asset Registry'!$A$4:$A$777,IFERROR('Controllable Asset Registry'!$E$4:$E$777=A26,FALSE),"No Equipment in entity"))</f>
        <v>No Equipment in entity</v>
      </c>
    </row>
    <row r="27" spans="1:6" x14ac:dyDescent="0.3">
      <c r="A27" t="s">
        <v>6673</v>
      </c>
      <c r="B27" t="s">
        <v>5883</v>
      </c>
      <c r="C27" t="s">
        <v>6674</v>
      </c>
      <c r="D27" t="str" cm="1">
        <f t="array" ref="D27">TRANSPOSE(_xlfn._xlws.FILTER('Controllable Asset Registry'!$A$4:$A$777,IFERROR('Controllable Asset Registry'!$E$4:$E$777=A27,FALSE),"No Equipment in entity"))</f>
        <v>No Equipment in entity</v>
      </c>
    </row>
    <row r="28" spans="1:6" x14ac:dyDescent="0.3">
      <c r="A28" t="s">
        <v>6675</v>
      </c>
      <c r="B28" t="s">
        <v>6676</v>
      </c>
      <c r="C28" t="s">
        <v>6677</v>
      </c>
      <c r="D28" t="str" cm="1">
        <f t="array" ref="D28">TRANSPOSE(_xlfn._xlws.FILTER('Controllable Asset Registry'!$A$4:$A$777,IFERROR('Controllable Asset Registry'!$E$4:$E$777=A28,FALSE),"No Equipment in entity"))</f>
        <v>No Equipment in entity</v>
      </c>
    </row>
    <row r="29" spans="1:6" x14ac:dyDescent="0.3">
      <c r="A29" t="s">
        <v>6678</v>
      </c>
      <c r="B29" t="s">
        <v>6679</v>
      </c>
      <c r="C29" t="s">
        <v>6680</v>
      </c>
      <c r="D29" t="str" cm="1">
        <f t="array" ref="D29">TRANSPOSE(_xlfn._xlws.FILTER('Controllable Asset Registry'!$A$4:$A$777,IFERROR('Controllable Asset Registry'!$E$4:$E$777=A29,FALSE),"No Equipment in entity"))</f>
        <v>No Equipment in entity</v>
      </c>
    </row>
    <row r="30" spans="1:6" x14ac:dyDescent="0.3">
      <c r="A30" t="s">
        <v>6141</v>
      </c>
      <c r="B30" t="s">
        <v>6681</v>
      </c>
      <c r="C30" t="s">
        <v>6682</v>
      </c>
      <c r="D30" t="str" cm="1">
        <f t="array" ref="D30:E30">TRANSPOSE(_xlfn._xlws.FILTER('Controllable Asset Registry'!$A$4:$A$777,IFERROR('Controllable Asset Registry'!$E$4:$E$777=A30,FALSE),"No Equipment in entity"))</f>
        <v>VAV0002</v>
      </c>
      <c r="E30" t="str">
        <v>VAV0003</v>
      </c>
    </row>
    <row r="31" spans="1:6" x14ac:dyDescent="0.3">
      <c r="A31" t="s">
        <v>6683</v>
      </c>
      <c r="B31" t="s">
        <v>6684</v>
      </c>
      <c r="C31" t="s">
        <v>6685</v>
      </c>
      <c r="D31" t="str" cm="1">
        <f t="array" ref="D31">TRANSPOSE(_xlfn._xlws.FILTER('Controllable Asset Registry'!$A$4:$A$777,IFERROR('Controllable Asset Registry'!$E$4:$E$777=A31,FALSE),"No Equipment in entity"))</f>
        <v>No Equipment in entity</v>
      </c>
    </row>
    <row r="32" spans="1:6" x14ac:dyDescent="0.3">
      <c r="A32" t="s">
        <v>6058</v>
      </c>
      <c r="B32" t="s">
        <v>6686</v>
      </c>
      <c r="C32" t="s">
        <v>6687</v>
      </c>
      <c r="D32" t="str" cm="1">
        <f t="array" ref="D32">TRANSPOSE(_xlfn._xlws.FILTER('Controllable Asset Registry'!$A$4:$A$777,IFERROR('Controllable Asset Registry'!$E$4:$E$777=A32,FALSE),"No Equipment in entity"))</f>
        <v>FCU0003</v>
      </c>
    </row>
    <row r="33" spans="1:5" x14ac:dyDescent="0.3">
      <c r="A33" t="s">
        <v>6688</v>
      </c>
      <c r="B33" t="s">
        <v>6689</v>
      </c>
      <c r="C33" t="s">
        <v>6690</v>
      </c>
      <c r="D33" t="str" cm="1">
        <f t="array" ref="D33">TRANSPOSE(_xlfn._xlws.FILTER('Controllable Asset Registry'!$A$4:$A$777,IFERROR('Controllable Asset Registry'!$E$4:$E$777=A33,FALSE),"No Equipment in entity"))</f>
        <v>No Equipment in entity</v>
      </c>
    </row>
    <row r="34" spans="1:5" x14ac:dyDescent="0.3">
      <c r="A34" t="s">
        <v>6142</v>
      </c>
      <c r="B34" t="s">
        <v>6691</v>
      </c>
      <c r="C34" t="s">
        <v>6692</v>
      </c>
      <c r="D34" t="str" cm="1">
        <f t="array" ref="D34">TRANSPOSE(_xlfn._xlws.FILTER('Controllable Asset Registry'!$A$4:$A$777,IFERROR('Controllable Asset Registry'!$E$4:$E$777=A34,FALSE),"No Equipment in entity"))</f>
        <v>VAV0004</v>
      </c>
    </row>
    <row r="35" spans="1:5" x14ac:dyDescent="0.3">
      <c r="A35" t="s">
        <v>6693</v>
      </c>
      <c r="B35" t="s">
        <v>6694</v>
      </c>
      <c r="C35" t="s">
        <v>6695</v>
      </c>
      <c r="D35" t="str" cm="1">
        <f t="array" ref="D35">TRANSPOSE(_xlfn._xlws.FILTER('Controllable Asset Registry'!$A$4:$A$777,IFERROR('Controllable Asset Registry'!$E$4:$E$777=A35,FALSE),"No Equipment in entity"))</f>
        <v>No Equipment in entity</v>
      </c>
    </row>
    <row r="36" spans="1:5" x14ac:dyDescent="0.3">
      <c r="A36" t="s">
        <v>6696</v>
      </c>
      <c r="B36" t="s">
        <v>6697</v>
      </c>
      <c r="C36" t="s">
        <v>6695</v>
      </c>
      <c r="D36" t="str" cm="1">
        <f t="array" ref="D36">TRANSPOSE(_xlfn._xlws.FILTER('Controllable Asset Registry'!$A$4:$A$777,IFERROR('Controllable Asset Registry'!$E$4:$E$777=A36,FALSE),"No Equipment in entity"))</f>
        <v>No Equipment in entity</v>
      </c>
    </row>
    <row r="37" spans="1:5" x14ac:dyDescent="0.3">
      <c r="A37" t="s">
        <v>6059</v>
      </c>
      <c r="B37" t="s">
        <v>6698</v>
      </c>
      <c r="C37" t="s">
        <v>6699</v>
      </c>
      <c r="D37" t="str" cm="1">
        <f t="array" ref="D37">TRANSPOSE(_xlfn._xlws.FILTER('Controllable Asset Registry'!$A$4:$A$777,IFERROR('Controllable Asset Registry'!$E$4:$E$777=A37,FALSE),"No Equipment in entity"))</f>
        <v>FCU0004</v>
      </c>
    </row>
    <row r="38" spans="1:5" x14ac:dyDescent="0.3">
      <c r="A38" t="s">
        <v>6700</v>
      </c>
      <c r="B38" t="s">
        <v>6701</v>
      </c>
      <c r="C38" t="s">
        <v>6665</v>
      </c>
      <c r="D38" t="str" cm="1">
        <f t="array" ref="D38">TRANSPOSE(_xlfn._xlws.FILTER('Controllable Asset Registry'!$A$4:$A$777,IFERROR('Controllable Asset Registry'!$E$4:$E$777=A38,FALSE),"No Equipment in entity"))</f>
        <v>No Equipment in entity</v>
      </c>
    </row>
    <row r="39" spans="1:5" x14ac:dyDescent="0.3">
      <c r="A39" t="s">
        <v>6702</v>
      </c>
      <c r="B39" t="s">
        <v>6703</v>
      </c>
      <c r="C39" t="s">
        <v>6704</v>
      </c>
      <c r="D39" t="str" cm="1">
        <f t="array" ref="D39">TRANSPOSE(_xlfn._xlws.FILTER('Controllable Asset Registry'!$A$4:$A$777,IFERROR('Controllable Asset Registry'!$E$4:$E$777=A39,FALSE),"No Equipment in entity"))</f>
        <v>No Equipment in entity</v>
      </c>
    </row>
    <row r="40" spans="1:5" x14ac:dyDescent="0.3">
      <c r="A40" t="s">
        <v>6143</v>
      </c>
      <c r="B40" t="s">
        <v>6705</v>
      </c>
      <c r="C40" t="s">
        <v>6706</v>
      </c>
      <c r="D40" t="str" cm="1">
        <f t="array" ref="D40:E40">TRANSPOSE(_xlfn._xlws.FILTER('Controllable Asset Registry'!$A$4:$A$777,IFERROR('Controllable Asset Registry'!$E$4:$E$777=A40,FALSE),"No Equipment in entity"))</f>
        <v>VAV0005</v>
      </c>
      <c r="E40" t="str">
        <v>VAV0006</v>
      </c>
    </row>
    <row r="41" spans="1:5" x14ac:dyDescent="0.3">
      <c r="A41" t="s">
        <v>6065</v>
      </c>
      <c r="B41" t="s">
        <v>6707</v>
      </c>
      <c r="C41" t="s">
        <v>6708</v>
      </c>
      <c r="D41" t="str" cm="1">
        <f t="array" ref="D41">TRANSPOSE(_xlfn._xlws.FILTER('Controllable Asset Registry'!$A$4:$A$777,IFERROR('Controllable Asset Registry'!$E$4:$E$777=A41,FALSE),"No Equipment in entity"))</f>
        <v>FCU0011</v>
      </c>
    </row>
    <row r="42" spans="1:5" x14ac:dyDescent="0.3">
      <c r="A42" t="s">
        <v>6709</v>
      </c>
      <c r="B42" t="s">
        <v>6710</v>
      </c>
      <c r="C42" t="s">
        <v>6711</v>
      </c>
      <c r="D42" t="str" cm="1">
        <f t="array" ref="D42">TRANSPOSE(_xlfn._xlws.FILTER('Controllable Asset Registry'!$A$4:$A$777,IFERROR('Controllable Asset Registry'!$E$4:$E$777=A42,FALSE),"No Equipment in entity"))</f>
        <v>No Equipment in entity</v>
      </c>
    </row>
    <row r="43" spans="1:5" x14ac:dyDescent="0.3">
      <c r="A43" t="s">
        <v>6712</v>
      </c>
      <c r="B43" t="s">
        <v>6713</v>
      </c>
      <c r="C43" t="s">
        <v>6714</v>
      </c>
      <c r="D43" t="str" cm="1">
        <f t="array" ref="D43">TRANSPOSE(_xlfn._xlws.FILTER('Controllable Asset Registry'!$A$4:$A$777,IFERROR('Controllable Asset Registry'!$E$4:$E$777=A43,FALSE),"No Equipment in entity"))</f>
        <v>No Equipment in entity</v>
      </c>
    </row>
    <row r="44" spans="1:5" x14ac:dyDescent="0.3">
      <c r="A44" t="s">
        <v>6715</v>
      </c>
      <c r="B44" t="s">
        <v>6716</v>
      </c>
      <c r="C44" t="s">
        <v>6717</v>
      </c>
      <c r="D44" t="str" cm="1">
        <f t="array" ref="D44">TRANSPOSE(_xlfn._xlws.FILTER('Controllable Asset Registry'!$A$4:$A$777,IFERROR('Controllable Asset Registry'!$E$4:$E$777=A44,FALSE),"No Equipment in entity"))</f>
        <v>No Equipment in entity</v>
      </c>
    </row>
    <row r="45" spans="1:5" x14ac:dyDescent="0.3">
      <c r="A45" t="s">
        <v>6718</v>
      </c>
      <c r="B45" t="s">
        <v>6719</v>
      </c>
      <c r="C45" t="s">
        <v>6720</v>
      </c>
      <c r="D45" t="str" cm="1">
        <f t="array" ref="D45">TRANSPOSE(_xlfn._xlws.FILTER('Controllable Asset Registry'!$A$4:$A$777,IFERROR('Controllable Asset Registry'!$E$4:$E$777=A45,FALSE),"No Equipment in entity"))</f>
        <v>No Equipment in entity</v>
      </c>
    </row>
    <row r="46" spans="1:5" x14ac:dyDescent="0.3">
      <c r="A46" t="s">
        <v>6061</v>
      </c>
      <c r="B46" t="s">
        <v>6721</v>
      </c>
      <c r="C46" t="s">
        <v>6722</v>
      </c>
      <c r="D46" t="str" cm="1">
        <f t="array" ref="D46">TRANSPOSE(_xlfn._xlws.FILTER('Controllable Asset Registry'!$A$4:$A$777,IFERROR('Controllable Asset Registry'!$E$4:$E$777=A46,FALSE),"No Equipment in entity"))</f>
        <v>FCU0006</v>
      </c>
    </row>
    <row r="47" spans="1:5" x14ac:dyDescent="0.3">
      <c r="A47" t="s">
        <v>6062</v>
      </c>
      <c r="B47" t="s">
        <v>6723</v>
      </c>
      <c r="C47" t="s">
        <v>6722</v>
      </c>
      <c r="D47" t="str" cm="1">
        <f t="array" ref="D47">TRANSPOSE(_xlfn._xlws.FILTER('Controllable Asset Registry'!$A$4:$A$777,IFERROR('Controllable Asset Registry'!$E$4:$E$777=A47,FALSE),"No Equipment in entity"))</f>
        <v>FCU0007</v>
      </c>
    </row>
    <row r="48" spans="1:5" x14ac:dyDescent="0.3">
      <c r="A48" t="s">
        <v>6060</v>
      </c>
      <c r="B48" t="s">
        <v>6724</v>
      </c>
      <c r="C48" t="s">
        <v>6725</v>
      </c>
      <c r="D48" t="str" cm="1">
        <f t="array" ref="D48">TRANSPOSE(_xlfn._xlws.FILTER('Controllable Asset Registry'!$A$4:$A$777,IFERROR('Controllable Asset Registry'!$E$4:$E$777=A48,FALSE),"No Equipment in entity"))</f>
        <v>FCU0005</v>
      </c>
    </row>
    <row r="49" spans="1:4" x14ac:dyDescent="0.3">
      <c r="A49" t="s">
        <v>6726</v>
      </c>
      <c r="B49" t="s">
        <v>6727</v>
      </c>
      <c r="C49" t="s">
        <v>6728</v>
      </c>
      <c r="D49" t="str" cm="1">
        <f t="array" ref="D49">TRANSPOSE(_xlfn._xlws.FILTER('Controllable Asset Registry'!$A$4:$A$777,IFERROR('Controllable Asset Registry'!$E$4:$E$777=A49,FALSE),"No Equipment in entity"))</f>
        <v>No Equipment in entity</v>
      </c>
    </row>
    <row r="50" spans="1:4" x14ac:dyDescent="0.3">
      <c r="A50" t="s">
        <v>6729</v>
      </c>
      <c r="B50" t="s">
        <v>6730</v>
      </c>
      <c r="C50" t="s">
        <v>5861</v>
      </c>
      <c r="D50" t="str" cm="1">
        <f t="array" ref="D50">TRANSPOSE(_xlfn._xlws.FILTER('Controllable Asset Registry'!$A$4:$A$777,IFERROR('Controllable Asset Registry'!$E$4:$E$777=A50,FALSE),"No Equipment in entity"))</f>
        <v>No Equipment in entity</v>
      </c>
    </row>
    <row r="51" spans="1:4" x14ac:dyDescent="0.3">
      <c r="A51" t="s">
        <v>6731</v>
      </c>
      <c r="B51" t="s">
        <v>6732</v>
      </c>
      <c r="C51" t="s">
        <v>5858</v>
      </c>
      <c r="D51" t="str" cm="1">
        <f t="array" ref="D51">TRANSPOSE(_xlfn._xlws.FILTER('Controllable Asset Registry'!$A$4:$A$777,IFERROR('Controllable Asset Registry'!$E$4:$E$777=A51,FALSE),"No Equipment in entity"))</f>
        <v>No Equipment in entity</v>
      </c>
    </row>
    <row r="52" spans="1:4" x14ac:dyDescent="0.3">
      <c r="A52" t="s">
        <v>6056</v>
      </c>
      <c r="B52" t="s">
        <v>6733</v>
      </c>
      <c r="C52" t="s">
        <v>6734</v>
      </c>
      <c r="D52" t="str" cm="1">
        <f t="array" ref="D52">TRANSPOSE(_xlfn._xlws.FILTER('Controllable Asset Registry'!$A$4:$A$777,IFERROR('Controllable Asset Registry'!$E$4:$E$777=A52,FALSE),"No Equipment in entity"))</f>
        <v>FCU0001</v>
      </c>
    </row>
    <row r="53" spans="1:4" x14ac:dyDescent="0.3">
      <c r="A53" t="s">
        <v>6735</v>
      </c>
      <c r="B53" t="s">
        <v>6736</v>
      </c>
      <c r="C53" t="s">
        <v>5858</v>
      </c>
      <c r="D53" t="str" cm="1">
        <f t="array" ref="D53">TRANSPOSE(_xlfn._xlws.FILTER('Controllable Asset Registry'!$A$4:$A$777,IFERROR('Controllable Asset Registry'!$E$4:$E$777=A53,FALSE),"No Equipment in entity"))</f>
        <v>No Equipment in entity</v>
      </c>
    </row>
    <row r="54" spans="1:4" x14ac:dyDescent="0.3">
      <c r="A54" t="s">
        <v>6737</v>
      </c>
      <c r="B54" t="s">
        <v>6738</v>
      </c>
      <c r="C54" t="s">
        <v>5858</v>
      </c>
      <c r="D54" t="str" cm="1">
        <f t="array" ref="D54">TRANSPOSE(_xlfn._xlws.FILTER('Controllable Asset Registry'!$A$4:$A$777,IFERROR('Controllable Asset Registry'!$E$4:$E$777=A54,FALSE),"No Equipment in entity"))</f>
        <v>No Equipment in entity</v>
      </c>
    </row>
    <row r="55" spans="1:4" x14ac:dyDescent="0.3">
      <c r="A55" t="s">
        <v>6739</v>
      </c>
      <c r="B55" t="s">
        <v>6740</v>
      </c>
      <c r="C55" t="s">
        <v>5858</v>
      </c>
      <c r="D55" t="str" cm="1">
        <f t="array" ref="D55">TRANSPOSE(_xlfn._xlws.FILTER('Controllable Asset Registry'!$A$4:$A$777,IFERROR('Controllable Asset Registry'!$E$4:$E$777=A55,FALSE),"No Equipment in entity"))</f>
        <v>No Equipment in entity</v>
      </c>
    </row>
    <row r="56" spans="1:4" x14ac:dyDescent="0.3">
      <c r="A56" t="s">
        <v>6741</v>
      </c>
      <c r="B56" t="s">
        <v>6742</v>
      </c>
      <c r="C56" t="s">
        <v>6743</v>
      </c>
      <c r="D56" t="str" cm="1">
        <f t="array" ref="D56">TRANSPOSE(_xlfn._xlws.FILTER('Controllable Asset Registry'!$A$4:$A$777,IFERROR('Controllable Asset Registry'!$E$4:$E$777=A56,FALSE),"No Equipment in entity"))</f>
        <v>No Equipment in entity</v>
      </c>
    </row>
    <row r="57" spans="1:4" x14ac:dyDescent="0.3">
      <c r="A57" t="s">
        <v>6744</v>
      </c>
      <c r="B57" t="s">
        <v>6745</v>
      </c>
      <c r="C57" t="s">
        <v>5835</v>
      </c>
      <c r="D57" t="str" cm="1">
        <f t="array" ref="D57">TRANSPOSE(_xlfn._xlws.FILTER('Controllable Asset Registry'!$A$4:$A$777,IFERROR('Controllable Asset Registry'!$E$4:$E$777=A57,FALSE),"No Equipment in entity"))</f>
        <v>No Equipment in entity</v>
      </c>
    </row>
    <row r="58" spans="1:4" x14ac:dyDescent="0.3">
      <c r="A58" t="s">
        <v>6746</v>
      </c>
      <c r="B58" t="s">
        <v>6747</v>
      </c>
      <c r="C58" t="s">
        <v>5835</v>
      </c>
      <c r="D58" t="str" cm="1">
        <f t="array" ref="D58">TRANSPOSE(_xlfn._xlws.FILTER('Controllable Asset Registry'!$A$4:$A$777,IFERROR('Controllable Asset Registry'!$E$4:$E$777=A58,FALSE),"No Equipment in entity"))</f>
        <v>No Equipment in entity</v>
      </c>
    </row>
    <row r="59" spans="1:4" x14ac:dyDescent="0.3">
      <c r="A59" t="s">
        <v>6748</v>
      </c>
      <c r="B59" t="s">
        <v>6749</v>
      </c>
      <c r="C59" t="s">
        <v>5835</v>
      </c>
      <c r="D59" t="str" cm="1">
        <f t="array" ref="D59">TRANSPOSE(_xlfn._xlws.FILTER('Controllable Asset Registry'!$A$4:$A$777,IFERROR('Controllable Asset Registry'!$E$4:$E$777=A59,FALSE),"No Equipment in entity"))</f>
        <v>No Equipment in entity</v>
      </c>
    </row>
    <row r="60" spans="1:4" x14ac:dyDescent="0.3">
      <c r="A60" t="s">
        <v>6750</v>
      </c>
      <c r="B60" t="s">
        <v>6751</v>
      </c>
      <c r="C60" t="s">
        <v>5835</v>
      </c>
      <c r="D60" t="str" cm="1">
        <f t="array" ref="D60">TRANSPOSE(_xlfn._xlws.FILTER('Controllable Asset Registry'!$A$4:$A$777,IFERROR('Controllable Asset Registry'!$E$4:$E$777=A60,FALSE),"No Equipment in entity"))</f>
        <v>No Equipment in entity</v>
      </c>
    </row>
    <row r="61" spans="1:4" x14ac:dyDescent="0.3">
      <c r="A61" t="s">
        <v>6752</v>
      </c>
      <c r="B61" t="s">
        <v>6753</v>
      </c>
      <c r="C61" t="s">
        <v>6754</v>
      </c>
      <c r="D61" t="str" cm="1">
        <f t="array" ref="D61">TRANSPOSE(_xlfn._xlws.FILTER('Controllable Asset Registry'!$A$4:$A$777,IFERROR('Controllable Asset Registry'!$E$4:$E$777=A61,FALSE),"No Equipment in entity"))</f>
        <v>No Equipment in entity</v>
      </c>
    </row>
    <row r="62" spans="1:4" x14ac:dyDescent="0.3">
      <c r="A62" t="s">
        <v>6755</v>
      </c>
      <c r="B62" t="s">
        <v>6756</v>
      </c>
      <c r="C62" t="s">
        <v>6757</v>
      </c>
      <c r="D62" t="str" cm="1">
        <f t="array" ref="D62">TRANSPOSE(_xlfn._xlws.FILTER('Controllable Asset Registry'!$A$4:$A$777,IFERROR('Controllable Asset Registry'!$E$4:$E$777=A62,FALSE),"No Equipment in entity"))</f>
        <v>No Equipment in entity</v>
      </c>
    </row>
    <row r="63" spans="1:4" x14ac:dyDescent="0.3">
      <c r="A63" t="s">
        <v>6758</v>
      </c>
      <c r="B63" t="s">
        <v>6759</v>
      </c>
      <c r="C63" t="s">
        <v>6760</v>
      </c>
      <c r="D63" t="str" cm="1">
        <f t="array" ref="D63">TRANSPOSE(_xlfn._xlws.FILTER('Controllable Asset Registry'!$A$4:$A$777,IFERROR('Controllable Asset Registry'!$E$4:$E$777=A63,FALSE),"No Equipment in entity"))</f>
        <v>No Equipment in entity</v>
      </c>
    </row>
    <row r="64" spans="1:4" x14ac:dyDescent="0.3">
      <c r="A64" t="s">
        <v>6761</v>
      </c>
      <c r="B64" t="s">
        <v>6762</v>
      </c>
      <c r="C64" t="s">
        <v>6763</v>
      </c>
      <c r="D64" t="str" cm="1">
        <f t="array" ref="D64">TRANSPOSE(_xlfn._xlws.FILTER('Controllable Asset Registry'!$A$4:$A$777,IFERROR('Controllable Asset Registry'!$E$4:$E$777=A64,FALSE),"No Equipment in entity"))</f>
        <v>No Equipment in entity</v>
      </c>
    </row>
    <row r="65" spans="1:4" x14ac:dyDescent="0.3">
      <c r="A65" t="s">
        <v>6764</v>
      </c>
      <c r="B65" t="s">
        <v>6765</v>
      </c>
      <c r="C65" t="s">
        <v>6766</v>
      </c>
      <c r="D65" t="str" cm="1">
        <f t="array" ref="D65">TRANSPOSE(_xlfn._xlws.FILTER('Controllable Asset Registry'!$A$4:$A$777,IFERROR('Controllable Asset Registry'!$E$4:$E$777=A65,FALSE),"No Equipment in entity"))</f>
        <v>No Equipment in entity</v>
      </c>
    </row>
    <row r="66" spans="1:4" x14ac:dyDescent="0.3">
      <c r="A66" t="s">
        <v>6767</v>
      </c>
      <c r="B66" t="s">
        <v>6768</v>
      </c>
      <c r="C66" t="s">
        <v>6769</v>
      </c>
      <c r="D66" t="str" cm="1">
        <f t="array" ref="D66">TRANSPOSE(_xlfn._xlws.FILTER('Controllable Asset Registry'!$A$4:$A$777,IFERROR('Controllable Asset Registry'!$E$4:$E$777=A66,FALSE),"No Equipment in entity"))</f>
        <v>No Equipment in entity</v>
      </c>
    </row>
    <row r="67" spans="1:4" x14ac:dyDescent="0.3">
      <c r="A67" t="s">
        <v>6770</v>
      </c>
      <c r="B67" t="s">
        <v>6771</v>
      </c>
      <c r="C67" t="s">
        <v>6772</v>
      </c>
      <c r="D67" t="str" cm="1">
        <f t="array" ref="D67">TRANSPOSE(_xlfn._xlws.FILTER('Controllable Asset Registry'!$A$4:$A$777,IFERROR('Controllable Asset Registry'!$E$4:$E$777=A67,FALSE),"No Equipment in entity"))</f>
        <v>No Equipment in entity</v>
      </c>
    </row>
    <row r="68" spans="1:4" x14ac:dyDescent="0.3">
      <c r="A68" t="s">
        <v>6773</v>
      </c>
      <c r="B68" t="s">
        <v>5809</v>
      </c>
      <c r="C68" t="s">
        <v>6774</v>
      </c>
      <c r="D68" t="str" cm="1">
        <f t="array" ref="D68">TRANSPOSE(_xlfn._xlws.FILTER('Controllable Asset Registry'!$A$4:$A$777,IFERROR('Controllable Asset Registry'!$E$4:$E$777=A68,FALSE),"No Equipment in entity"))</f>
        <v>No Equipment in entity</v>
      </c>
    </row>
    <row r="69" spans="1:4" x14ac:dyDescent="0.3">
      <c r="A69" t="s">
        <v>6775</v>
      </c>
      <c r="B69" t="s">
        <v>5850</v>
      </c>
      <c r="C69" t="s">
        <v>6776</v>
      </c>
      <c r="D69" t="str" cm="1">
        <f t="array" ref="D69">TRANSPOSE(_xlfn._xlws.FILTER('Controllable Asset Registry'!$A$4:$A$777,IFERROR('Controllable Asset Registry'!$E$4:$E$777=A69,FALSE),"No Equipment in entity"))</f>
        <v>No Equipment in entity</v>
      </c>
    </row>
    <row r="70" spans="1:4" x14ac:dyDescent="0.3">
      <c r="A70" t="s">
        <v>6777</v>
      </c>
      <c r="B70" t="s">
        <v>6778</v>
      </c>
      <c r="C70" t="s">
        <v>6779</v>
      </c>
      <c r="D70" t="str" cm="1">
        <f t="array" ref="D70">TRANSPOSE(_xlfn._xlws.FILTER('Controllable Asset Registry'!$A$4:$A$777,IFERROR('Controllable Asset Registry'!$E$4:$E$777=A70,FALSE),"No Equipment in entity"))</f>
        <v>No Equipment in entity</v>
      </c>
    </row>
    <row r="71" spans="1:4" x14ac:dyDescent="0.3">
      <c r="A71" t="s">
        <v>6780</v>
      </c>
      <c r="B71" t="s">
        <v>6781</v>
      </c>
      <c r="C71" t="s">
        <v>6782</v>
      </c>
      <c r="D71" t="str" cm="1">
        <f t="array" ref="D71">TRANSPOSE(_xlfn._xlws.FILTER('Controllable Asset Registry'!$A$4:$A$777,IFERROR('Controllable Asset Registry'!$E$4:$E$777=A71,FALSE),"No Equipment in entity"))</f>
        <v>No Equipment in entity</v>
      </c>
    </row>
    <row r="72" spans="1:4" x14ac:dyDescent="0.3">
      <c r="A72" t="s">
        <v>6163</v>
      </c>
      <c r="B72" t="s">
        <v>6783</v>
      </c>
      <c r="C72" t="s">
        <v>6784</v>
      </c>
      <c r="D72" t="str" cm="1">
        <f t="array" ref="D72">TRANSPOSE(_xlfn._xlws.FILTER('Controllable Asset Registry'!$A$4:$A$777,IFERROR('Controllable Asset Registry'!$E$4:$E$777=A72,FALSE),"No Equipment in entity"))</f>
        <v>VAV0029</v>
      </c>
    </row>
    <row r="73" spans="1:4" x14ac:dyDescent="0.3">
      <c r="A73" t="s">
        <v>6162</v>
      </c>
      <c r="B73" t="s">
        <v>6785</v>
      </c>
      <c r="C73" t="s">
        <v>6784</v>
      </c>
      <c r="D73" t="str" cm="1">
        <f t="array" ref="D73">TRANSPOSE(_xlfn._xlws.FILTER('Controllable Asset Registry'!$A$4:$A$777,IFERROR('Controllable Asset Registry'!$E$4:$E$777=A73,FALSE),"No Equipment in entity"))</f>
        <v>VAV0028</v>
      </c>
    </row>
    <row r="74" spans="1:4" x14ac:dyDescent="0.3">
      <c r="A74" t="s">
        <v>6161</v>
      </c>
      <c r="B74" t="s">
        <v>6786</v>
      </c>
      <c r="C74" t="s">
        <v>6784</v>
      </c>
      <c r="D74" t="str" cm="1">
        <f t="array" ref="D74">TRANSPOSE(_xlfn._xlws.FILTER('Controllable Asset Registry'!$A$4:$A$777,IFERROR('Controllable Asset Registry'!$E$4:$E$777=A74,FALSE),"No Equipment in entity"))</f>
        <v>VAV0027</v>
      </c>
    </row>
    <row r="75" spans="1:4" x14ac:dyDescent="0.3">
      <c r="A75" t="s">
        <v>6070</v>
      </c>
      <c r="B75" t="s">
        <v>6787</v>
      </c>
      <c r="C75" t="s">
        <v>6788</v>
      </c>
      <c r="D75" t="str" cm="1">
        <f t="array" ref="D75">TRANSPOSE(_xlfn._xlws.FILTER('Controllable Asset Registry'!$A$4:$A$777,IFERROR('Controllable Asset Registry'!$E$4:$E$777=A75,FALSE),"No Equipment in entity"))</f>
        <v>FCU0017</v>
      </c>
    </row>
    <row r="76" spans="1:4" x14ac:dyDescent="0.3">
      <c r="A76" t="s">
        <v>6789</v>
      </c>
      <c r="B76" t="s">
        <v>6790</v>
      </c>
      <c r="C76" t="s">
        <v>6791</v>
      </c>
      <c r="D76" t="str" cm="1">
        <f t="array" ref="D76">TRANSPOSE(_xlfn._xlws.FILTER('Controllable Asset Registry'!$A$4:$A$777,IFERROR('Controllable Asset Registry'!$E$4:$E$777=A76,FALSE),"No Equipment in entity"))</f>
        <v>No Equipment in entity</v>
      </c>
    </row>
    <row r="77" spans="1:4" x14ac:dyDescent="0.3">
      <c r="A77" t="s">
        <v>6792</v>
      </c>
      <c r="B77" t="s">
        <v>6793</v>
      </c>
      <c r="C77" t="s">
        <v>6794</v>
      </c>
      <c r="D77" t="str" cm="1">
        <f t="array" ref="D77">TRANSPOSE(_xlfn._xlws.FILTER('Controllable Asset Registry'!$A$4:$A$777,IFERROR('Controllable Asset Registry'!$E$4:$E$777=A77,FALSE),"No Equipment in entity"))</f>
        <v>No Equipment in entity</v>
      </c>
    </row>
    <row r="78" spans="1:4" x14ac:dyDescent="0.3">
      <c r="A78" t="s">
        <v>6144</v>
      </c>
      <c r="B78" t="s">
        <v>6795</v>
      </c>
      <c r="C78" t="s">
        <v>6638</v>
      </c>
      <c r="D78" t="str" cm="1">
        <f t="array" ref="D78">TRANSPOSE(_xlfn._xlws.FILTER('Controllable Asset Registry'!$A$4:$A$777,IFERROR('Controllable Asset Registry'!$E$4:$E$777=A78,FALSE),"No Equipment in entity"))</f>
        <v>VAV0007</v>
      </c>
    </row>
    <row r="79" spans="1:4" x14ac:dyDescent="0.3">
      <c r="A79" t="s">
        <v>6145</v>
      </c>
      <c r="B79" t="s">
        <v>6796</v>
      </c>
      <c r="C79" t="s">
        <v>6784</v>
      </c>
      <c r="D79" t="str" cm="1">
        <f t="array" ref="D79">TRANSPOSE(_xlfn._xlws.FILTER('Controllable Asset Registry'!$A$4:$A$777,IFERROR('Controllable Asset Registry'!$E$4:$E$777=A79,FALSE),"No Equipment in entity"))</f>
        <v>VAV0008</v>
      </c>
    </row>
    <row r="80" spans="1:4" x14ac:dyDescent="0.3">
      <c r="A80" t="s">
        <v>6146</v>
      </c>
      <c r="B80" t="s">
        <v>6797</v>
      </c>
      <c r="C80" t="s">
        <v>6798</v>
      </c>
      <c r="D80" t="str" cm="1">
        <f t="array" ref="D80">TRANSPOSE(_xlfn._xlws.FILTER('Controllable Asset Registry'!$A$4:$A$777,IFERROR('Controllable Asset Registry'!$E$4:$E$777=A80,FALSE),"No Equipment in entity"))</f>
        <v>VAV0009</v>
      </c>
    </row>
    <row r="81" spans="1:4" x14ac:dyDescent="0.3">
      <c r="A81" t="s">
        <v>6147</v>
      </c>
      <c r="B81" t="s">
        <v>6799</v>
      </c>
      <c r="C81" t="s">
        <v>6784</v>
      </c>
      <c r="D81" t="str" cm="1">
        <f t="array" ref="D81">TRANSPOSE(_xlfn._xlws.FILTER('Controllable Asset Registry'!$A$4:$A$777,IFERROR('Controllable Asset Registry'!$E$4:$E$777=A81,FALSE),"No Equipment in entity"))</f>
        <v>VAV0011</v>
      </c>
    </row>
    <row r="82" spans="1:4" x14ac:dyDescent="0.3">
      <c r="A82" t="s">
        <v>6148</v>
      </c>
      <c r="B82" t="s">
        <v>6800</v>
      </c>
      <c r="C82" t="s">
        <v>6798</v>
      </c>
      <c r="D82" t="str" cm="1">
        <f t="array" ref="D82">TRANSPOSE(_xlfn._xlws.FILTER('Controllable Asset Registry'!$A$4:$A$777,IFERROR('Controllable Asset Registry'!$E$4:$E$777=A82,FALSE),"No Equipment in entity"))</f>
        <v>VAV0012</v>
      </c>
    </row>
    <row r="83" spans="1:4" x14ac:dyDescent="0.3">
      <c r="A83" t="s">
        <v>6621</v>
      </c>
      <c r="B83" t="s">
        <v>6801</v>
      </c>
      <c r="C83" t="s">
        <v>6798</v>
      </c>
      <c r="D83" t="str" cm="1">
        <f t="array" ref="D83">TRANSPOSE(_xlfn._xlws.FILTER('Controllable Asset Registry'!$A$4:$A$777,IFERROR('Controllable Asset Registry'!$E$4:$E$777=A83,FALSE),"No Equipment in entity"))</f>
        <v>VAV0607</v>
      </c>
    </row>
    <row r="84" spans="1:4" x14ac:dyDescent="0.3">
      <c r="A84" t="s">
        <v>6149</v>
      </c>
      <c r="B84" t="s">
        <v>6802</v>
      </c>
      <c r="C84" t="s">
        <v>6803</v>
      </c>
      <c r="D84" t="str" cm="1">
        <f t="array" ref="D84">TRANSPOSE(_xlfn._xlws.FILTER('Controllable Asset Registry'!$A$4:$A$777,IFERROR('Controllable Asset Registry'!$E$4:$E$777=A84,FALSE),"No Equipment in entity"))</f>
        <v>VAV0013</v>
      </c>
    </row>
    <row r="85" spans="1:4" x14ac:dyDescent="0.3">
      <c r="A85" t="s">
        <v>6150</v>
      </c>
      <c r="B85" t="s">
        <v>6804</v>
      </c>
      <c r="C85" t="s">
        <v>6798</v>
      </c>
      <c r="D85" t="str" cm="1">
        <f t="array" ref="D85">TRANSPOSE(_xlfn._xlws.FILTER('Controllable Asset Registry'!$A$4:$A$777,IFERROR('Controllable Asset Registry'!$E$4:$E$777=A85,FALSE),"No Equipment in entity"))</f>
        <v>VAV0014</v>
      </c>
    </row>
    <row r="86" spans="1:4" x14ac:dyDescent="0.3">
      <c r="A86" t="s">
        <v>6805</v>
      </c>
      <c r="B86" t="s">
        <v>6806</v>
      </c>
      <c r="C86" t="s">
        <v>6807</v>
      </c>
      <c r="D86" t="str" cm="1">
        <f t="array" ref="D86">TRANSPOSE(_xlfn._xlws.FILTER('Controllable Asset Registry'!$A$4:$A$777,IFERROR('Controllable Asset Registry'!$E$4:$E$777=A86,FALSE),"No Equipment in entity"))</f>
        <v>No Equipment in entity</v>
      </c>
    </row>
    <row r="87" spans="1:4" x14ac:dyDescent="0.3">
      <c r="A87" t="s">
        <v>6069</v>
      </c>
      <c r="B87" t="s">
        <v>6808</v>
      </c>
      <c r="C87" t="s">
        <v>6809</v>
      </c>
      <c r="D87" t="str" cm="1">
        <f t="array" ref="D87">TRANSPOSE(_xlfn._xlws.FILTER('Controllable Asset Registry'!$A$4:$A$777,IFERROR('Controllable Asset Registry'!$E$4:$E$777=A87,FALSE),"No Equipment in entity"))</f>
        <v>FCU0016</v>
      </c>
    </row>
    <row r="88" spans="1:4" x14ac:dyDescent="0.3">
      <c r="A88" t="s">
        <v>6151</v>
      </c>
      <c r="B88" t="s">
        <v>6810</v>
      </c>
      <c r="C88" t="s">
        <v>6798</v>
      </c>
      <c r="D88" t="str" cm="1">
        <f t="array" ref="D88">TRANSPOSE(_xlfn._xlws.FILTER('Controllable Asset Registry'!$A$4:$A$777,IFERROR('Controllable Asset Registry'!$E$4:$E$777=A88,FALSE),"No Equipment in entity"))</f>
        <v>VAV0015</v>
      </c>
    </row>
    <row r="89" spans="1:4" x14ac:dyDescent="0.3">
      <c r="A89" t="s">
        <v>6152</v>
      </c>
      <c r="B89" t="s">
        <v>6811</v>
      </c>
      <c r="C89" t="s">
        <v>6798</v>
      </c>
      <c r="D89" t="str" cm="1">
        <f t="array" ref="D89">TRANSPOSE(_xlfn._xlws.FILTER('Controllable Asset Registry'!$A$4:$A$777,IFERROR('Controllable Asset Registry'!$E$4:$E$777=A89,FALSE),"No Equipment in entity"))</f>
        <v>VAV0016</v>
      </c>
    </row>
    <row r="90" spans="1:4" x14ac:dyDescent="0.3">
      <c r="A90" t="s">
        <v>6153</v>
      </c>
      <c r="B90" t="s">
        <v>6812</v>
      </c>
      <c r="C90" t="s">
        <v>6798</v>
      </c>
      <c r="D90" t="str" cm="1">
        <f t="array" ref="D90">TRANSPOSE(_xlfn._xlws.FILTER('Controllable Asset Registry'!$A$4:$A$777,IFERROR('Controllable Asset Registry'!$E$4:$E$777=A90,FALSE),"No Equipment in entity"))</f>
        <v>VAV0017</v>
      </c>
    </row>
    <row r="91" spans="1:4" x14ac:dyDescent="0.3">
      <c r="A91" t="s">
        <v>6154</v>
      </c>
      <c r="B91" t="s">
        <v>6813</v>
      </c>
      <c r="C91" t="s">
        <v>6798</v>
      </c>
      <c r="D91" t="str" cm="1">
        <f t="array" ref="D91">TRANSPOSE(_xlfn._xlws.FILTER('Controllable Asset Registry'!$A$4:$A$777,IFERROR('Controllable Asset Registry'!$E$4:$E$777=A91,FALSE),"No Equipment in entity"))</f>
        <v>VAV0018</v>
      </c>
    </row>
    <row r="92" spans="1:4" x14ac:dyDescent="0.3">
      <c r="A92" t="s">
        <v>6155</v>
      </c>
      <c r="B92" t="s">
        <v>6814</v>
      </c>
      <c r="C92" t="s">
        <v>6815</v>
      </c>
      <c r="D92" t="str" cm="1">
        <f t="array" ref="D92">TRANSPOSE(_xlfn._xlws.FILTER('Controllable Asset Registry'!$A$4:$A$777,IFERROR('Controllable Asset Registry'!$E$4:$E$777=A92,FALSE),"No Equipment in entity"))</f>
        <v>VAV0019</v>
      </c>
    </row>
    <row r="93" spans="1:4" x14ac:dyDescent="0.3">
      <c r="A93" t="s">
        <v>6156</v>
      </c>
      <c r="B93" t="s">
        <v>6816</v>
      </c>
      <c r="C93" t="s">
        <v>6798</v>
      </c>
      <c r="D93" t="str" cm="1">
        <f t="array" ref="D93">TRANSPOSE(_xlfn._xlws.FILTER('Controllable Asset Registry'!$A$4:$A$777,IFERROR('Controllable Asset Registry'!$E$4:$E$777=A93,FALSE),"No Equipment in entity"))</f>
        <v>VAV0020</v>
      </c>
    </row>
    <row r="94" spans="1:4" x14ac:dyDescent="0.3">
      <c r="A94" t="s">
        <v>6817</v>
      </c>
      <c r="B94" t="s">
        <v>6818</v>
      </c>
      <c r="C94" t="s">
        <v>6819</v>
      </c>
      <c r="D94" t="str" cm="1">
        <f t="array" ref="D94">TRANSPOSE(_xlfn._xlws.FILTER('Controllable Asset Registry'!$A$4:$A$777,IFERROR('Controllable Asset Registry'!$E$4:$E$777=A94,FALSE),"No Equipment in entity"))</f>
        <v>No Equipment in entity</v>
      </c>
    </row>
    <row r="95" spans="1:4" x14ac:dyDescent="0.3">
      <c r="A95" t="s">
        <v>6176</v>
      </c>
      <c r="B95" t="s">
        <v>6820</v>
      </c>
      <c r="C95" t="s">
        <v>6821</v>
      </c>
      <c r="D95" t="str" cm="1">
        <f t="array" ref="D95">TRANSPOSE(_xlfn._xlws.FILTER('Controllable Asset Registry'!$A$4:$A$777,IFERROR('Controllable Asset Registry'!$E$4:$E$777=A95,FALSE),"No Equipment in entity"))</f>
        <v>VAV0044</v>
      </c>
    </row>
    <row r="96" spans="1:4" x14ac:dyDescent="0.3">
      <c r="A96" t="s">
        <v>6175</v>
      </c>
      <c r="B96" t="s">
        <v>6822</v>
      </c>
      <c r="C96" t="s">
        <v>6823</v>
      </c>
      <c r="D96" t="str" cm="1">
        <f t="array" ref="D96">TRANSPOSE(_xlfn._xlws.FILTER('Controllable Asset Registry'!$A$4:$A$777,IFERROR('Controllable Asset Registry'!$E$4:$E$777=A96,FALSE),"No Equipment in entity"))</f>
        <v>VAV0043</v>
      </c>
    </row>
    <row r="97" spans="1:7" x14ac:dyDescent="0.3">
      <c r="A97" t="s">
        <v>6824</v>
      </c>
      <c r="B97" t="s">
        <v>6825</v>
      </c>
      <c r="C97" t="s">
        <v>6807</v>
      </c>
      <c r="D97" t="str" cm="1">
        <f t="array" ref="D97">TRANSPOSE(_xlfn._xlws.FILTER('Controllable Asset Registry'!$A$4:$A$777,IFERROR('Controllable Asset Registry'!$E$4:$E$777=A97,FALSE),"No Equipment in entity"))</f>
        <v>No Equipment in entity</v>
      </c>
    </row>
    <row r="98" spans="1:7" x14ac:dyDescent="0.3">
      <c r="A98" t="s">
        <v>6174</v>
      </c>
      <c r="B98" t="s">
        <v>6826</v>
      </c>
      <c r="C98" t="s">
        <v>6827</v>
      </c>
      <c r="D98" t="str" cm="1">
        <f t="array" ref="D98">TRANSPOSE(_xlfn._xlws.FILTER('Controllable Asset Registry'!$A$4:$A$777,IFERROR('Controllable Asset Registry'!$E$4:$E$777=A98,FALSE),"No Equipment in entity"))</f>
        <v>VAV0042</v>
      </c>
    </row>
    <row r="99" spans="1:7" x14ac:dyDescent="0.3">
      <c r="A99" t="s">
        <v>6173</v>
      </c>
      <c r="B99" t="s">
        <v>6828</v>
      </c>
      <c r="C99" t="s">
        <v>6798</v>
      </c>
      <c r="D99" t="str" cm="1">
        <f t="array" ref="D99:E99">TRANSPOSE(_xlfn._xlws.FILTER('Controllable Asset Registry'!$A$4:$A$777,IFERROR('Controllable Asset Registry'!$E$4:$E$777=A99,FALSE),"No Equipment in entity"))</f>
        <v>VAV0040</v>
      </c>
      <c r="E99" t="str">
        <v>VAV0041</v>
      </c>
    </row>
    <row r="100" spans="1:7" x14ac:dyDescent="0.3">
      <c r="A100" t="s">
        <v>6829</v>
      </c>
      <c r="B100" t="s">
        <v>6830</v>
      </c>
      <c r="C100" t="s">
        <v>6798</v>
      </c>
      <c r="D100" t="str" cm="1">
        <f t="array" ref="D100">TRANSPOSE(_xlfn._xlws.FILTER('Controllable Asset Registry'!$A$4:$A$777,IFERROR('Controllable Asset Registry'!$E$4:$E$777=A100,FALSE),"No Equipment in entity"))</f>
        <v>No Equipment in entity</v>
      </c>
    </row>
    <row r="101" spans="1:7" x14ac:dyDescent="0.3">
      <c r="A101" t="s">
        <v>6068</v>
      </c>
      <c r="B101" t="s">
        <v>6831</v>
      </c>
      <c r="C101" t="s">
        <v>6798</v>
      </c>
      <c r="D101" t="str" cm="1">
        <f t="array" ref="D101">TRANSPOSE(_xlfn._xlws.FILTER('Controllable Asset Registry'!$A$4:$A$777,IFERROR('Controllable Asset Registry'!$E$4:$E$777=A101,FALSE),"No Equipment in entity"))</f>
        <v>FCU0015</v>
      </c>
    </row>
    <row r="102" spans="1:7" x14ac:dyDescent="0.3">
      <c r="A102" t="s">
        <v>6171</v>
      </c>
      <c r="B102" t="s">
        <v>6832</v>
      </c>
      <c r="C102" t="s">
        <v>6798</v>
      </c>
      <c r="D102" t="str" cm="1">
        <f t="array" ref="D102">TRANSPOSE(_xlfn._xlws.FILTER('Controllable Asset Registry'!$A$4:$A$777,IFERROR('Controllable Asset Registry'!$E$4:$E$777=A102,FALSE),"No Equipment in entity"))</f>
        <v>VAV0038</v>
      </c>
    </row>
    <row r="103" spans="1:7" x14ac:dyDescent="0.3">
      <c r="A103" t="s">
        <v>6170</v>
      </c>
      <c r="B103" t="s">
        <v>6833</v>
      </c>
      <c r="C103" t="s">
        <v>6798</v>
      </c>
      <c r="D103" t="str" cm="1">
        <f t="array" ref="D103">TRANSPOSE(_xlfn._xlws.FILTER('Controllable Asset Registry'!$A$4:$A$777,IFERROR('Controllable Asset Registry'!$E$4:$E$777=A103,FALSE),"No Equipment in entity"))</f>
        <v>VAV0037</v>
      </c>
    </row>
    <row r="104" spans="1:7" x14ac:dyDescent="0.3">
      <c r="A104" t="s">
        <v>6169</v>
      </c>
      <c r="B104" t="s">
        <v>6834</v>
      </c>
      <c r="C104" t="s">
        <v>6798</v>
      </c>
      <c r="D104" t="str" cm="1">
        <f t="array" ref="D104">TRANSPOSE(_xlfn._xlws.FILTER('Controllable Asset Registry'!$A$4:$A$777,IFERROR('Controllable Asset Registry'!$E$4:$E$777=A104,FALSE),"No Equipment in entity"))</f>
        <v>VAV0036</v>
      </c>
    </row>
    <row r="105" spans="1:7" x14ac:dyDescent="0.3">
      <c r="A105" t="s">
        <v>6168</v>
      </c>
      <c r="B105" t="s">
        <v>6835</v>
      </c>
      <c r="C105" t="s">
        <v>6798</v>
      </c>
      <c r="D105" t="str" cm="1">
        <f t="array" ref="D105">TRANSPOSE(_xlfn._xlws.FILTER('Controllable Asset Registry'!$A$4:$A$777,IFERROR('Controllable Asset Registry'!$E$4:$E$777=A105,FALSE),"No Equipment in entity"))</f>
        <v>VAV0035</v>
      </c>
    </row>
    <row r="106" spans="1:7" x14ac:dyDescent="0.3">
      <c r="A106" t="s">
        <v>6167</v>
      </c>
      <c r="B106" t="s">
        <v>6836</v>
      </c>
      <c r="C106" t="s">
        <v>6798</v>
      </c>
      <c r="D106" t="str" cm="1">
        <f t="array" ref="D106">TRANSPOSE(_xlfn._xlws.FILTER('Controllable Asset Registry'!$A$4:$A$777,IFERROR('Controllable Asset Registry'!$E$4:$E$777=A106,FALSE),"No Equipment in entity"))</f>
        <v>VAV0034</v>
      </c>
    </row>
    <row r="107" spans="1:7" x14ac:dyDescent="0.3">
      <c r="A107" t="s">
        <v>6166</v>
      </c>
      <c r="B107" t="s">
        <v>6837</v>
      </c>
      <c r="C107" t="s">
        <v>6798</v>
      </c>
      <c r="D107" t="str" cm="1">
        <f t="array" ref="D107">TRANSPOSE(_xlfn._xlws.FILTER('Controllable Asset Registry'!$A$4:$A$777,IFERROR('Controllable Asset Registry'!$E$4:$E$777=A107,FALSE),"No Equipment in entity"))</f>
        <v>VAV0033</v>
      </c>
    </row>
    <row r="108" spans="1:7" x14ac:dyDescent="0.3">
      <c r="A108" t="s">
        <v>6165</v>
      </c>
      <c r="B108" t="s">
        <v>6838</v>
      </c>
      <c r="C108" t="s">
        <v>6798</v>
      </c>
      <c r="D108" t="str" cm="1">
        <f t="array" ref="D108">TRANSPOSE(_xlfn._xlws.FILTER('Controllable Asset Registry'!$A$4:$A$777,IFERROR('Controllable Asset Registry'!$E$4:$E$777=A108,FALSE),"No Equipment in entity"))</f>
        <v>VAV0032</v>
      </c>
    </row>
    <row r="109" spans="1:7" x14ac:dyDescent="0.3">
      <c r="A109" t="s">
        <v>6839</v>
      </c>
      <c r="B109" t="s">
        <v>6840</v>
      </c>
      <c r="C109" t="s">
        <v>6798</v>
      </c>
      <c r="D109" t="str" cm="1">
        <f t="array" ref="D109">TRANSPOSE(_xlfn._xlws.FILTER('Controllable Asset Registry'!$A$4:$A$777,IFERROR('Controllable Asset Registry'!$E$4:$E$777=A109,FALSE),"No Equipment in entity"))</f>
        <v>No Equipment in entity</v>
      </c>
    </row>
    <row r="110" spans="1:7" x14ac:dyDescent="0.3">
      <c r="A110" t="s">
        <v>6180</v>
      </c>
      <c r="B110" t="s">
        <v>6841</v>
      </c>
      <c r="C110" t="s">
        <v>6842</v>
      </c>
      <c r="D110" t="str" cm="1">
        <f t="array" ref="D110:G110">TRANSPOSE(_xlfn._xlws.FILTER('Controllable Asset Registry'!$A$4:$A$777,IFERROR('Controllable Asset Registry'!$E$4:$E$777=A110,FALSE),"No Equipment in entity"))</f>
        <v>VAV0048</v>
      </c>
      <c r="E110" t="str">
        <v>VAV0049</v>
      </c>
      <c r="F110" t="str">
        <v>VAV0050</v>
      </c>
      <c r="G110" t="str">
        <v>VAV0051</v>
      </c>
    </row>
    <row r="111" spans="1:7" x14ac:dyDescent="0.3">
      <c r="A111" t="s">
        <v>6843</v>
      </c>
      <c r="B111" t="s">
        <v>6844</v>
      </c>
      <c r="C111" t="s">
        <v>6845</v>
      </c>
      <c r="D111" t="str" cm="1">
        <f t="array" ref="D111">TRANSPOSE(_xlfn._xlws.FILTER('Controllable Asset Registry'!$A$4:$A$777,IFERROR('Controllable Asset Registry'!$E$4:$E$777=A111,FALSE),"No Equipment in entity"))</f>
        <v>No Equipment in entity</v>
      </c>
    </row>
    <row r="112" spans="1:7" x14ac:dyDescent="0.3">
      <c r="A112" t="s">
        <v>6160</v>
      </c>
      <c r="B112" t="s">
        <v>6846</v>
      </c>
      <c r="C112" t="s">
        <v>5888</v>
      </c>
      <c r="D112" t="str" cm="1">
        <f t="array" ref="D112">TRANSPOSE(_xlfn._xlws.FILTER('Controllable Asset Registry'!$A$4:$A$777,IFERROR('Controllable Asset Registry'!$E$4:$E$777=A112,FALSE),"No Equipment in entity"))</f>
        <v>VAV0026</v>
      </c>
    </row>
    <row r="113" spans="1:9" x14ac:dyDescent="0.3">
      <c r="A113" t="s">
        <v>6159</v>
      </c>
      <c r="B113" t="s">
        <v>6847</v>
      </c>
      <c r="C113" t="s">
        <v>6026</v>
      </c>
      <c r="D113" t="str" cm="1">
        <f t="array" ref="D113:I113">TRANSPOSE(_xlfn._xlws.FILTER('Controllable Asset Registry'!$A$4:$A$777,IFERROR('Controllable Asset Registry'!$E$4:$E$777=A113,FALSE),"No Equipment in entity"))</f>
        <v>VAV0024</v>
      </c>
      <c r="E113" t="str">
        <v>VAV0025</v>
      </c>
      <c r="F113" t="str">
        <v>VAV0103</v>
      </c>
      <c r="G113" t="str">
        <v>VAV0104</v>
      </c>
      <c r="H113" t="str">
        <v>VAV0105</v>
      </c>
      <c r="I113" t="str">
        <v>VAV0106</v>
      </c>
    </row>
    <row r="114" spans="1:9" x14ac:dyDescent="0.3">
      <c r="A114" t="s">
        <v>6158</v>
      </c>
      <c r="B114" t="s">
        <v>6848</v>
      </c>
      <c r="C114" t="s">
        <v>6849</v>
      </c>
      <c r="D114" t="str" cm="1">
        <f t="array" ref="D114">TRANSPOSE(_xlfn._xlws.FILTER('Controllable Asset Registry'!$A$4:$A$777,IFERROR('Controllable Asset Registry'!$E$4:$E$777=A114,FALSE),"No Equipment in entity"))</f>
        <v>VAV0023</v>
      </c>
    </row>
    <row r="115" spans="1:9" x14ac:dyDescent="0.3">
      <c r="A115" t="s">
        <v>6850</v>
      </c>
      <c r="B115" t="s">
        <v>6851</v>
      </c>
      <c r="C115" t="s">
        <v>6852</v>
      </c>
      <c r="D115" t="str" cm="1">
        <f t="array" ref="D115">TRANSPOSE(_xlfn._xlws.FILTER('Controllable Asset Registry'!$A$4:$A$777,IFERROR('Controllable Asset Registry'!$E$4:$E$777=A115,FALSE),"No Equipment in entity"))</f>
        <v>No Equipment in entity</v>
      </c>
    </row>
    <row r="116" spans="1:9" x14ac:dyDescent="0.3">
      <c r="A116" t="s">
        <v>6177</v>
      </c>
      <c r="B116" t="s">
        <v>6853</v>
      </c>
      <c r="C116" t="s">
        <v>6854</v>
      </c>
      <c r="D116" t="str" cm="1">
        <f t="array" ref="D116">TRANSPOSE(_xlfn._xlws.FILTER('Controllable Asset Registry'!$A$4:$A$777,IFERROR('Controllable Asset Registry'!$E$4:$E$777=A116,FALSE),"No Equipment in entity"))</f>
        <v>VAV0045</v>
      </c>
    </row>
    <row r="117" spans="1:9" x14ac:dyDescent="0.3">
      <c r="A117" t="s">
        <v>6181</v>
      </c>
      <c r="B117" t="s">
        <v>6855</v>
      </c>
      <c r="C117" t="s">
        <v>6856</v>
      </c>
      <c r="D117" t="str" cm="1">
        <f t="array" ref="D117:E117">TRANSPOSE(_xlfn._xlws.FILTER('Controllable Asset Registry'!$A$4:$A$777,IFERROR('Controllable Asset Registry'!$E$4:$E$777=A117,FALSE),"No Equipment in entity"))</f>
        <v>VAV0052</v>
      </c>
      <c r="E117" t="str">
        <v>VAV0053</v>
      </c>
    </row>
    <row r="118" spans="1:9" x14ac:dyDescent="0.3">
      <c r="A118" t="s">
        <v>6857</v>
      </c>
      <c r="B118" t="s">
        <v>6858</v>
      </c>
      <c r="C118" t="s">
        <v>6852</v>
      </c>
      <c r="D118" t="str" cm="1">
        <f t="array" ref="D118">TRANSPOSE(_xlfn._xlws.FILTER('Controllable Asset Registry'!$A$4:$A$777,IFERROR('Controllable Asset Registry'!$E$4:$E$777=A118,FALSE),"No Equipment in entity"))</f>
        <v>No Equipment in entity</v>
      </c>
    </row>
    <row r="119" spans="1:9" x14ac:dyDescent="0.3">
      <c r="A119" t="s">
        <v>6859</v>
      </c>
      <c r="B119" t="s">
        <v>6860</v>
      </c>
      <c r="C119" t="s">
        <v>6728</v>
      </c>
      <c r="D119" t="str" cm="1">
        <f t="array" ref="D119">TRANSPOSE(_xlfn._xlws.FILTER('Controllable Asset Registry'!$A$4:$A$777,IFERROR('Controllable Asset Registry'!$E$4:$E$777=A119,FALSE),"No Equipment in entity"))</f>
        <v>No Equipment in entity</v>
      </c>
    </row>
    <row r="120" spans="1:9" x14ac:dyDescent="0.3">
      <c r="A120" t="s">
        <v>6861</v>
      </c>
      <c r="B120" t="s">
        <v>6862</v>
      </c>
      <c r="C120" t="s">
        <v>6725</v>
      </c>
      <c r="D120" t="str" cm="1">
        <f t="array" ref="D120">TRANSPOSE(_xlfn._xlws.FILTER('Controllable Asset Registry'!$A$4:$A$777,IFERROR('Controllable Asset Registry'!$E$4:$E$777=A120,FALSE),"No Equipment in entity"))</f>
        <v>No Equipment in entity</v>
      </c>
    </row>
    <row r="121" spans="1:9" x14ac:dyDescent="0.3">
      <c r="A121" t="s">
        <v>6863</v>
      </c>
      <c r="B121" t="s">
        <v>6864</v>
      </c>
      <c r="C121" t="s">
        <v>6728</v>
      </c>
      <c r="D121" t="str" cm="1">
        <f t="array" ref="D121">TRANSPOSE(_xlfn._xlws.FILTER('Controllable Asset Registry'!$A$4:$A$777,IFERROR('Controllable Asset Registry'!$E$4:$E$777=A121,FALSE),"No Equipment in entity"))</f>
        <v>No Equipment in entity</v>
      </c>
    </row>
    <row r="122" spans="1:9" x14ac:dyDescent="0.3">
      <c r="A122" t="s">
        <v>6865</v>
      </c>
      <c r="B122" t="s">
        <v>6866</v>
      </c>
      <c r="C122" t="s">
        <v>6725</v>
      </c>
      <c r="D122" t="str" cm="1">
        <f t="array" ref="D122">TRANSPOSE(_xlfn._xlws.FILTER('Controllable Asset Registry'!$A$4:$A$777,IFERROR('Controllable Asset Registry'!$E$4:$E$777=A122,FALSE),"No Equipment in entity"))</f>
        <v>No Equipment in entity</v>
      </c>
    </row>
    <row r="123" spans="1:9" x14ac:dyDescent="0.3">
      <c r="A123" t="s">
        <v>6622</v>
      </c>
      <c r="B123" t="s">
        <v>6867</v>
      </c>
      <c r="C123" t="s">
        <v>5861</v>
      </c>
      <c r="D123" t="str" cm="1">
        <f t="array" ref="D123">TRANSPOSE(_xlfn._xlws.FILTER('Controllable Asset Registry'!$A$4:$A$777,IFERROR('Controllable Asset Registry'!$E$4:$E$777=A123,FALSE),"No Equipment in entity"))</f>
        <v>VAV0608</v>
      </c>
    </row>
    <row r="124" spans="1:9" x14ac:dyDescent="0.3">
      <c r="A124" t="s">
        <v>6071</v>
      </c>
      <c r="B124" t="s">
        <v>6868</v>
      </c>
      <c r="C124" t="s">
        <v>5858</v>
      </c>
      <c r="D124" t="str" cm="1">
        <f t="array" ref="D124">TRANSPOSE(_xlfn._xlws.FILTER('Controllable Asset Registry'!$A$4:$A$777,IFERROR('Controllable Asset Registry'!$E$4:$E$777=A124,FALSE),"No Equipment in entity"))</f>
        <v>FCU0018</v>
      </c>
    </row>
    <row r="125" spans="1:9" x14ac:dyDescent="0.3">
      <c r="A125" t="s">
        <v>6067</v>
      </c>
      <c r="B125" t="s">
        <v>6869</v>
      </c>
      <c r="C125" t="s">
        <v>6734</v>
      </c>
      <c r="D125" t="str" cm="1">
        <f t="array" ref="D125:E125">TRANSPOSE(_xlfn._xlws.FILTER('Controllable Asset Registry'!$A$4:$A$777,IFERROR('Controllable Asset Registry'!$E$4:$E$777=A125,FALSE),"No Equipment in entity"))</f>
        <v>FCU0014</v>
      </c>
      <c r="E125" t="str">
        <v>FCU0111</v>
      </c>
    </row>
    <row r="126" spans="1:9" x14ac:dyDescent="0.3">
      <c r="A126" t="s">
        <v>6870</v>
      </c>
      <c r="B126" t="s">
        <v>6871</v>
      </c>
      <c r="C126" t="s">
        <v>6872</v>
      </c>
      <c r="D126" t="str" cm="1">
        <f t="array" ref="D126">TRANSPOSE(_xlfn._xlws.FILTER('Controllable Asset Registry'!$A$4:$A$777,IFERROR('Controllable Asset Registry'!$E$4:$E$777=A126,FALSE),"No Equipment in entity"))</f>
        <v>No Equipment in entity</v>
      </c>
    </row>
    <row r="127" spans="1:9" x14ac:dyDescent="0.3">
      <c r="A127" t="s">
        <v>6066</v>
      </c>
      <c r="B127" t="s">
        <v>6873</v>
      </c>
      <c r="C127" t="s">
        <v>6734</v>
      </c>
      <c r="D127" t="str" cm="1">
        <f t="array" ref="D127:E127">TRANSPOSE(_xlfn._xlws.FILTER('Controllable Asset Registry'!$A$4:$A$777,IFERROR('Controllable Asset Registry'!$E$4:$E$777=A127,FALSE),"No Equipment in entity"))</f>
        <v>FCU0012</v>
      </c>
      <c r="E127" t="str">
        <v>FCU0013</v>
      </c>
    </row>
    <row r="128" spans="1:9" x14ac:dyDescent="0.3">
      <c r="A128" t="s">
        <v>6874</v>
      </c>
      <c r="B128" t="s">
        <v>6875</v>
      </c>
      <c r="C128" t="s">
        <v>6876</v>
      </c>
      <c r="D128" t="str" cm="1">
        <f t="array" ref="D128">TRANSPOSE(_xlfn._xlws.FILTER('Controllable Asset Registry'!$A$4:$A$777,IFERROR('Controllable Asset Registry'!$E$4:$E$777=A128,FALSE),"No Equipment in entity"))</f>
        <v>No Equipment in entity</v>
      </c>
    </row>
    <row r="129" spans="1:5" x14ac:dyDescent="0.3">
      <c r="A129" t="s">
        <v>6877</v>
      </c>
      <c r="B129" t="s">
        <v>6878</v>
      </c>
      <c r="C129" t="s">
        <v>6879</v>
      </c>
      <c r="D129" t="str" cm="1">
        <f t="array" ref="D129">TRANSPOSE(_xlfn._xlws.FILTER('Controllable Asset Registry'!$A$4:$A$777,IFERROR('Controllable Asset Registry'!$E$4:$E$777=A129,FALSE),"No Equipment in entity"))</f>
        <v>No Equipment in entity</v>
      </c>
    </row>
    <row r="130" spans="1:5" x14ac:dyDescent="0.3">
      <c r="A130" t="s">
        <v>6880</v>
      </c>
      <c r="B130" t="s">
        <v>6881</v>
      </c>
      <c r="C130" t="s">
        <v>6882</v>
      </c>
      <c r="D130" t="str" cm="1">
        <f t="array" ref="D130">TRANSPOSE(_xlfn._xlws.FILTER('Controllable Asset Registry'!$A$4:$A$777,IFERROR('Controllable Asset Registry'!$E$4:$E$777=A130,FALSE),"No Equipment in entity"))</f>
        <v>No Equipment in entity</v>
      </c>
    </row>
    <row r="131" spans="1:5" x14ac:dyDescent="0.3">
      <c r="A131" t="s">
        <v>6883</v>
      </c>
      <c r="B131" t="s">
        <v>6884</v>
      </c>
      <c r="C131" t="s">
        <v>6872</v>
      </c>
      <c r="D131" t="str" cm="1">
        <f t="array" ref="D131">TRANSPOSE(_xlfn._xlws.FILTER('Controllable Asset Registry'!$A$4:$A$777,IFERROR('Controllable Asset Registry'!$E$4:$E$777=A131,FALSE),"No Equipment in entity"))</f>
        <v>No Equipment in entity</v>
      </c>
    </row>
    <row r="132" spans="1:5" x14ac:dyDescent="0.3">
      <c r="A132" t="s">
        <v>6885</v>
      </c>
      <c r="B132" t="s">
        <v>6886</v>
      </c>
      <c r="C132" t="s">
        <v>5858</v>
      </c>
      <c r="D132" t="str" cm="1">
        <f t="array" ref="D132">TRANSPOSE(_xlfn._xlws.FILTER('Controllable Asset Registry'!$A$4:$A$777,IFERROR('Controllable Asset Registry'!$E$4:$E$777=A132,FALSE),"No Equipment in entity"))</f>
        <v>No Equipment in entity</v>
      </c>
    </row>
    <row r="133" spans="1:5" x14ac:dyDescent="0.3">
      <c r="A133" t="s">
        <v>6157</v>
      </c>
      <c r="B133" t="s">
        <v>6887</v>
      </c>
      <c r="C133" t="s">
        <v>5835</v>
      </c>
      <c r="D133" t="str" cm="1">
        <f t="array" ref="D133:E133">TRANSPOSE(_xlfn._xlws.FILTER('Controllable Asset Registry'!$A$4:$A$777,IFERROR('Controllable Asset Registry'!$E$4:$E$777=A133,FALSE),"No Equipment in entity"))</f>
        <v>VAV0021</v>
      </c>
      <c r="E133" t="str">
        <v>VAV0022</v>
      </c>
    </row>
    <row r="134" spans="1:5" x14ac:dyDescent="0.3">
      <c r="A134" t="s">
        <v>6888</v>
      </c>
      <c r="B134" t="s">
        <v>6889</v>
      </c>
      <c r="C134" t="s">
        <v>6890</v>
      </c>
      <c r="D134" t="str" cm="1">
        <f t="array" ref="D134">TRANSPOSE(_xlfn._xlws.FILTER('Controllable Asset Registry'!$A$4:$A$777,IFERROR('Controllable Asset Registry'!$E$4:$E$777=A134,FALSE),"No Equipment in entity"))</f>
        <v>No Equipment in entity</v>
      </c>
    </row>
    <row r="135" spans="1:5" x14ac:dyDescent="0.3">
      <c r="A135" t="s">
        <v>6891</v>
      </c>
      <c r="B135" t="s">
        <v>6892</v>
      </c>
      <c r="C135" t="s">
        <v>6893</v>
      </c>
      <c r="D135" t="str" cm="1">
        <f t="array" ref="D135">TRANSPOSE(_xlfn._xlws.FILTER('Controllable Asset Registry'!$A$4:$A$777,IFERROR('Controllable Asset Registry'!$E$4:$E$777=A135,FALSE),"No Equipment in entity"))</f>
        <v>No Equipment in entity</v>
      </c>
    </row>
    <row r="136" spans="1:5" x14ac:dyDescent="0.3">
      <c r="A136" t="s">
        <v>6894</v>
      </c>
      <c r="B136" t="s">
        <v>6895</v>
      </c>
      <c r="C136" t="s">
        <v>6896</v>
      </c>
      <c r="D136" t="str" cm="1">
        <f t="array" ref="D136">TRANSPOSE(_xlfn._xlws.FILTER('Controllable Asset Registry'!$A$4:$A$777,IFERROR('Controllable Asset Registry'!$E$4:$E$777=A136,FALSE),"No Equipment in entity"))</f>
        <v>No Equipment in entity</v>
      </c>
    </row>
    <row r="137" spans="1:5" x14ac:dyDescent="0.3">
      <c r="A137" t="s">
        <v>6897</v>
      </c>
      <c r="B137" t="s">
        <v>6898</v>
      </c>
      <c r="C137" t="s">
        <v>6899</v>
      </c>
      <c r="D137" t="str" cm="1">
        <f t="array" ref="D137">TRANSPOSE(_xlfn._xlws.FILTER('Controllable Asset Registry'!$A$4:$A$777,IFERROR('Controllable Asset Registry'!$E$4:$E$777=A137,FALSE),"No Equipment in entity"))</f>
        <v>No Equipment in entity</v>
      </c>
    </row>
    <row r="138" spans="1:5" x14ac:dyDescent="0.3">
      <c r="A138" t="s">
        <v>6900</v>
      </c>
      <c r="B138" t="s">
        <v>6901</v>
      </c>
      <c r="C138" t="s">
        <v>6763</v>
      </c>
      <c r="D138" t="str" cm="1">
        <f t="array" ref="D138">TRANSPOSE(_xlfn._xlws.FILTER('Controllable Asset Registry'!$A$4:$A$777,IFERROR('Controllable Asset Registry'!$E$4:$E$777=A138,FALSE),"No Equipment in entity"))</f>
        <v>No Equipment in entity</v>
      </c>
    </row>
    <row r="139" spans="1:5" x14ac:dyDescent="0.3">
      <c r="A139" t="s">
        <v>6902</v>
      </c>
      <c r="B139" t="s">
        <v>6903</v>
      </c>
      <c r="C139" t="s">
        <v>6766</v>
      </c>
      <c r="D139" t="str" cm="1">
        <f t="array" ref="D139">TRANSPOSE(_xlfn._xlws.FILTER('Controllable Asset Registry'!$A$4:$A$777,IFERROR('Controllable Asset Registry'!$E$4:$E$777=A139,FALSE),"No Equipment in entity"))</f>
        <v>No Equipment in entity</v>
      </c>
    </row>
    <row r="140" spans="1:5" x14ac:dyDescent="0.3">
      <c r="A140" t="s">
        <v>6904</v>
      </c>
      <c r="B140" t="s">
        <v>6905</v>
      </c>
      <c r="C140" t="s">
        <v>6769</v>
      </c>
      <c r="D140" t="str" cm="1">
        <f t="array" ref="D140">TRANSPOSE(_xlfn._xlws.FILTER('Controllable Asset Registry'!$A$4:$A$777,IFERROR('Controllable Asset Registry'!$E$4:$E$777=A140,FALSE),"No Equipment in entity"))</f>
        <v>No Equipment in entity</v>
      </c>
    </row>
    <row r="141" spans="1:5" x14ac:dyDescent="0.3">
      <c r="A141" t="s">
        <v>6906</v>
      </c>
      <c r="B141" t="s">
        <v>6907</v>
      </c>
      <c r="C141" t="s">
        <v>6908</v>
      </c>
      <c r="D141" t="str" cm="1">
        <f t="array" ref="D141">TRANSPOSE(_xlfn._xlws.FILTER('Controllable Asset Registry'!$A$4:$A$777,IFERROR('Controllable Asset Registry'!$E$4:$E$777=A141,FALSE),"No Equipment in entity"))</f>
        <v>No Equipment in entity</v>
      </c>
    </row>
    <row r="142" spans="1:5" x14ac:dyDescent="0.3">
      <c r="A142" t="s">
        <v>6909</v>
      </c>
      <c r="B142" t="s">
        <v>6910</v>
      </c>
      <c r="C142" t="s">
        <v>6774</v>
      </c>
      <c r="D142" t="str" cm="1">
        <f t="array" ref="D142">TRANSPOSE(_xlfn._xlws.FILTER('Controllable Asset Registry'!$A$4:$A$777,IFERROR('Controllable Asset Registry'!$E$4:$E$777=A142,FALSE),"No Equipment in entity"))</f>
        <v>No Equipment in entity</v>
      </c>
    </row>
    <row r="143" spans="1:5" x14ac:dyDescent="0.3">
      <c r="A143" t="s">
        <v>6911</v>
      </c>
      <c r="B143" t="s">
        <v>6912</v>
      </c>
      <c r="C143" t="s">
        <v>6776</v>
      </c>
      <c r="D143" t="str" cm="1">
        <f t="array" ref="D143">TRANSPOSE(_xlfn._xlws.FILTER('Controllable Asset Registry'!$A$4:$A$777,IFERROR('Controllable Asset Registry'!$E$4:$E$777=A143,FALSE),"No Equipment in entity"))</f>
        <v>No Equipment in entity</v>
      </c>
    </row>
    <row r="144" spans="1:5" x14ac:dyDescent="0.3">
      <c r="A144" t="s">
        <v>6913</v>
      </c>
      <c r="B144" t="s">
        <v>6914</v>
      </c>
      <c r="C144" t="s">
        <v>6915</v>
      </c>
      <c r="D144" t="str" cm="1">
        <f t="array" ref="D144">TRANSPOSE(_xlfn._xlws.FILTER('Controllable Asset Registry'!$A$4:$A$777,IFERROR('Controllable Asset Registry'!$E$4:$E$777=A144,FALSE),"No Equipment in entity"))</f>
        <v>No Equipment in entity</v>
      </c>
    </row>
    <row r="145" spans="1:4" x14ac:dyDescent="0.3">
      <c r="A145" t="s">
        <v>6916</v>
      </c>
      <c r="B145" t="s">
        <v>6917</v>
      </c>
      <c r="C145" t="s">
        <v>6779</v>
      </c>
      <c r="D145" t="str" cm="1">
        <f t="array" ref="D145">TRANSPOSE(_xlfn._xlws.FILTER('Controllable Asset Registry'!$A$4:$A$777,IFERROR('Controllable Asset Registry'!$E$4:$E$777=A145,FALSE),"No Equipment in entity"))</f>
        <v>No Equipment in entity</v>
      </c>
    </row>
    <row r="146" spans="1:4" x14ac:dyDescent="0.3">
      <c r="A146" t="s">
        <v>6201</v>
      </c>
      <c r="B146" t="s">
        <v>7489</v>
      </c>
      <c r="C146" t="s">
        <v>6918</v>
      </c>
      <c r="D146" t="str" cm="1">
        <f t="array" ref="D146">TRANSPOSE(_xlfn._xlws.FILTER('Controllable Asset Registry'!$A$4:$A$777,IFERROR('Controllable Asset Registry'!$E$4:$E$777=A146,FALSE),"No Equipment in entity"))</f>
        <v>VAV0073</v>
      </c>
    </row>
    <row r="147" spans="1:4" x14ac:dyDescent="0.3">
      <c r="A147" t="s">
        <v>6202</v>
      </c>
      <c r="B147" t="s">
        <v>7490</v>
      </c>
      <c r="C147" t="s">
        <v>6919</v>
      </c>
      <c r="D147" t="str" cm="1">
        <f t="array" ref="D147">TRANSPOSE(_xlfn._xlws.FILTER('Controllable Asset Registry'!$A$4:$A$777,IFERROR('Controllable Asset Registry'!$E$4:$E$777=A147,FALSE),"No Equipment in entity"))</f>
        <v>VAV0074</v>
      </c>
    </row>
    <row r="148" spans="1:4" x14ac:dyDescent="0.3">
      <c r="A148" t="s">
        <v>6203</v>
      </c>
      <c r="B148" t="s">
        <v>7491</v>
      </c>
      <c r="C148" t="s">
        <v>6920</v>
      </c>
      <c r="D148" t="str" cm="1">
        <f t="array" ref="D148">TRANSPOSE(_xlfn._xlws.FILTER('Controllable Asset Registry'!$A$4:$A$777,IFERROR('Controllable Asset Registry'!$E$4:$E$777=A148,FALSE),"No Equipment in entity"))</f>
        <v>VAV0075</v>
      </c>
    </row>
    <row r="149" spans="1:4" x14ac:dyDescent="0.3">
      <c r="A149" t="s">
        <v>6204</v>
      </c>
      <c r="B149" t="s">
        <v>7492</v>
      </c>
      <c r="C149" t="s">
        <v>6920</v>
      </c>
      <c r="D149" t="str" cm="1">
        <f t="array" ref="D149">TRANSPOSE(_xlfn._xlws.FILTER('Controllable Asset Registry'!$A$4:$A$777,IFERROR('Controllable Asset Registry'!$E$4:$E$777=A149,FALSE),"No Equipment in entity"))</f>
        <v>VAV0076</v>
      </c>
    </row>
    <row r="150" spans="1:4" x14ac:dyDescent="0.3">
      <c r="A150" t="s">
        <v>6205</v>
      </c>
      <c r="B150" t="s">
        <v>7493</v>
      </c>
      <c r="C150" t="s">
        <v>6921</v>
      </c>
      <c r="D150" t="str" cm="1">
        <f t="array" ref="D150">TRANSPOSE(_xlfn._xlws.FILTER('Controllable Asset Registry'!$A$4:$A$777,IFERROR('Controllable Asset Registry'!$E$4:$E$777=A150,FALSE),"No Equipment in entity"))</f>
        <v>VAV0077</v>
      </c>
    </row>
    <row r="151" spans="1:4" x14ac:dyDescent="0.3">
      <c r="A151" t="s">
        <v>6206</v>
      </c>
      <c r="B151" t="s">
        <v>7494</v>
      </c>
      <c r="C151" t="s">
        <v>6922</v>
      </c>
      <c r="D151" t="str" cm="1">
        <f t="array" ref="D151">TRANSPOSE(_xlfn._xlws.FILTER('Controllable Asset Registry'!$A$4:$A$777,IFERROR('Controllable Asset Registry'!$E$4:$E$777=A151,FALSE),"No Equipment in entity"))</f>
        <v>VAV0078</v>
      </c>
    </row>
    <row r="152" spans="1:4" x14ac:dyDescent="0.3">
      <c r="A152" t="s">
        <v>6207</v>
      </c>
      <c r="B152" t="s">
        <v>7495</v>
      </c>
      <c r="C152" t="s">
        <v>6923</v>
      </c>
      <c r="D152" t="str" cm="1">
        <f t="array" ref="D152">TRANSPOSE(_xlfn._xlws.FILTER('Controllable Asset Registry'!$A$4:$A$777,IFERROR('Controllable Asset Registry'!$E$4:$E$777=A152,FALSE),"No Equipment in entity"))</f>
        <v>VAV0079</v>
      </c>
    </row>
    <row r="153" spans="1:4" x14ac:dyDescent="0.3">
      <c r="A153" t="s">
        <v>6924</v>
      </c>
      <c r="B153" t="s">
        <v>7496</v>
      </c>
      <c r="C153" t="s">
        <v>6920</v>
      </c>
      <c r="D153" t="str" cm="1">
        <f t="array" ref="D153">TRANSPOSE(_xlfn._xlws.FILTER('Controllable Asset Registry'!$A$4:$A$777,IFERROR('Controllable Asset Registry'!$E$4:$E$777=A153,FALSE),"No Equipment in entity"))</f>
        <v>No Equipment in entity</v>
      </c>
    </row>
    <row r="154" spans="1:4" x14ac:dyDescent="0.3">
      <c r="A154" t="s">
        <v>6182</v>
      </c>
      <c r="B154" t="s">
        <v>7497</v>
      </c>
      <c r="C154" t="s">
        <v>6920</v>
      </c>
      <c r="D154" t="str" cm="1">
        <f t="array" ref="D154">TRANSPOSE(_xlfn._xlws.FILTER('Controllable Asset Registry'!$A$4:$A$777,IFERROR('Controllable Asset Registry'!$E$4:$E$777=A154,FALSE),"No Equipment in entity"))</f>
        <v>VAV0054</v>
      </c>
    </row>
    <row r="155" spans="1:4" x14ac:dyDescent="0.3">
      <c r="A155" t="s">
        <v>6183</v>
      </c>
      <c r="B155" t="s">
        <v>7498</v>
      </c>
      <c r="C155" t="s">
        <v>6920</v>
      </c>
      <c r="D155" t="str" cm="1">
        <f t="array" ref="D155">TRANSPOSE(_xlfn._xlws.FILTER('Controllable Asset Registry'!$A$4:$A$777,IFERROR('Controllable Asset Registry'!$E$4:$E$777=A155,FALSE),"No Equipment in entity"))</f>
        <v>VAV0055</v>
      </c>
    </row>
    <row r="156" spans="1:4" x14ac:dyDescent="0.3">
      <c r="A156" t="s">
        <v>6184</v>
      </c>
      <c r="B156" t="s">
        <v>7499</v>
      </c>
      <c r="C156" t="s">
        <v>6920</v>
      </c>
      <c r="D156" t="str" cm="1">
        <f t="array" ref="D156">TRANSPOSE(_xlfn._xlws.FILTER('Controllable Asset Registry'!$A$4:$A$777,IFERROR('Controllable Asset Registry'!$E$4:$E$777=A156,FALSE),"No Equipment in entity"))</f>
        <v>VAV0056</v>
      </c>
    </row>
    <row r="157" spans="1:4" x14ac:dyDescent="0.3">
      <c r="A157" t="s">
        <v>6185</v>
      </c>
      <c r="B157" t="s">
        <v>7500</v>
      </c>
      <c r="C157" t="s">
        <v>6922</v>
      </c>
      <c r="D157" t="str" cm="1">
        <f t="array" ref="D157">TRANSPOSE(_xlfn._xlws.FILTER('Controllable Asset Registry'!$A$4:$A$777,IFERROR('Controllable Asset Registry'!$E$4:$E$777=A157,FALSE),"No Equipment in entity"))</f>
        <v>VAV0057</v>
      </c>
    </row>
    <row r="158" spans="1:4" x14ac:dyDescent="0.3">
      <c r="A158" t="s">
        <v>6186</v>
      </c>
      <c r="B158" t="s">
        <v>7501</v>
      </c>
      <c r="C158" t="s">
        <v>6922</v>
      </c>
      <c r="D158" t="str" cm="1">
        <f t="array" ref="D158">TRANSPOSE(_xlfn._xlws.FILTER('Controllable Asset Registry'!$A$4:$A$777,IFERROR('Controllable Asset Registry'!$E$4:$E$777=A158,FALSE),"No Equipment in entity"))</f>
        <v>VAV0058</v>
      </c>
    </row>
    <row r="159" spans="1:4" x14ac:dyDescent="0.3">
      <c r="A159" t="s">
        <v>6187</v>
      </c>
      <c r="B159" t="s">
        <v>7502</v>
      </c>
      <c r="C159" t="s">
        <v>6921</v>
      </c>
      <c r="D159" t="str" cm="1">
        <f t="array" ref="D159">TRANSPOSE(_xlfn._xlws.FILTER('Controllable Asset Registry'!$A$4:$A$777,IFERROR('Controllable Asset Registry'!$E$4:$E$777=A159,FALSE),"No Equipment in entity"))</f>
        <v>VAV0059</v>
      </c>
    </row>
    <row r="160" spans="1:4" x14ac:dyDescent="0.3">
      <c r="A160" t="s">
        <v>6188</v>
      </c>
      <c r="B160" t="s">
        <v>7503</v>
      </c>
      <c r="C160" t="s">
        <v>6925</v>
      </c>
      <c r="D160" t="str" cm="1">
        <f t="array" ref="D160">TRANSPOSE(_xlfn._xlws.FILTER('Controllable Asset Registry'!$A$4:$A$777,IFERROR('Controllable Asset Registry'!$E$4:$E$777=A160,FALSE),"No Equipment in entity"))</f>
        <v>VAV0060</v>
      </c>
    </row>
    <row r="161" spans="1:8" x14ac:dyDescent="0.3">
      <c r="A161" t="s">
        <v>6189</v>
      </c>
      <c r="B161" t="s">
        <v>7504</v>
      </c>
      <c r="C161" t="s">
        <v>6920</v>
      </c>
      <c r="D161" t="str" cm="1">
        <f t="array" ref="D161">TRANSPOSE(_xlfn._xlws.FILTER('Controllable Asset Registry'!$A$4:$A$777,IFERROR('Controllable Asset Registry'!$E$4:$E$777=A161,FALSE),"No Equipment in entity"))</f>
        <v>VAV0061</v>
      </c>
    </row>
    <row r="162" spans="1:8" x14ac:dyDescent="0.3">
      <c r="A162" t="s">
        <v>6190</v>
      </c>
      <c r="B162" t="s">
        <v>7505</v>
      </c>
      <c r="C162" t="s">
        <v>6920</v>
      </c>
      <c r="D162" t="str" cm="1">
        <f t="array" ref="D162">TRANSPOSE(_xlfn._xlws.FILTER('Controllable Asset Registry'!$A$4:$A$777,IFERROR('Controllable Asset Registry'!$E$4:$E$777=A162,FALSE),"No Equipment in entity"))</f>
        <v>VAV0062</v>
      </c>
    </row>
    <row r="163" spans="1:8" x14ac:dyDescent="0.3">
      <c r="A163" t="s">
        <v>6191</v>
      </c>
      <c r="B163" t="s">
        <v>7506</v>
      </c>
      <c r="C163" t="s">
        <v>6920</v>
      </c>
      <c r="D163" t="str" cm="1">
        <f t="array" ref="D163">TRANSPOSE(_xlfn._xlws.FILTER('Controllable Asset Registry'!$A$4:$A$777,IFERROR('Controllable Asset Registry'!$E$4:$E$777=A163,FALSE),"No Equipment in entity"))</f>
        <v>VAV0063</v>
      </c>
    </row>
    <row r="164" spans="1:8" x14ac:dyDescent="0.3">
      <c r="A164" t="s">
        <v>6192</v>
      </c>
      <c r="B164" t="s">
        <v>7507</v>
      </c>
      <c r="C164" t="s">
        <v>6921</v>
      </c>
      <c r="D164" t="str" cm="1">
        <f t="array" ref="D164">TRANSPOSE(_xlfn._xlws.FILTER('Controllable Asset Registry'!$A$4:$A$777,IFERROR('Controllable Asset Registry'!$E$4:$E$777=A164,FALSE),"No Equipment in entity"))</f>
        <v>VAV0064</v>
      </c>
    </row>
    <row r="165" spans="1:8" x14ac:dyDescent="0.3">
      <c r="A165" t="s">
        <v>6193</v>
      </c>
      <c r="B165" t="s">
        <v>7508</v>
      </c>
      <c r="C165" t="s">
        <v>6921</v>
      </c>
      <c r="D165" t="str" cm="1">
        <f t="array" ref="D165">TRANSPOSE(_xlfn._xlws.FILTER('Controllable Asset Registry'!$A$4:$A$777,IFERROR('Controllable Asset Registry'!$E$4:$E$777=A165,FALSE),"No Equipment in entity"))</f>
        <v>VAV0065</v>
      </c>
    </row>
    <row r="166" spans="1:8" x14ac:dyDescent="0.3">
      <c r="A166" t="s">
        <v>6194</v>
      </c>
      <c r="B166" t="s">
        <v>7509</v>
      </c>
      <c r="C166" t="s">
        <v>6926</v>
      </c>
      <c r="D166" t="str" cm="1">
        <f t="array" ref="D166">TRANSPOSE(_xlfn._xlws.FILTER('Controllable Asset Registry'!$A$4:$A$777,IFERROR('Controllable Asset Registry'!$E$4:$E$777=A166,FALSE),"No Equipment in entity"))</f>
        <v>VAV0066</v>
      </c>
    </row>
    <row r="167" spans="1:8" x14ac:dyDescent="0.3">
      <c r="A167" t="s">
        <v>6195</v>
      </c>
      <c r="B167" t="s">
        <v>7510</v>
      </c>
      <c r="C167" t="s">
        <v>6926</v>
      </c>
      <c r="D167" t="str" cm="1">
        <f t="array" ref="D167">TRANSPOSE(_xlfn._xlws.FILTER('Controllable Asset Registry'!$A$4:$A$777,IFERROR('Controllable Asset Registry'!$E$4:$E$777=A167,FALSE),"No Equipment in entity"))</f>
        <v>VAV0067</v>
      </c>
    </row>
    <row r="168" spans="1:8" x14ac:dyDescent="0.3">
      <c r="A168" t="s">
        <v>6196</v>
      </c>
      <c r="B168" t="s">
        <v>7511</v>
      </c>
      <c r="C168" t="s">
        <v>6922</v>
      </c>
      <c r="D168" t="str" cm="1">
        <f t="array" ref="D168">TRANSPOSE(_xlfn._xlws.FILTER('Controllable Asset Registry'!$A$4:$A$777,IFERROR('Controllable Asset Registry'!$E$4:$E$777=A168,FALSE),"No Equipment in entity"))</f>
        <v>VAV0068</v>
      </c>
    </row>
    <row r="169" spans="1:8" x14ac:dyDescent="0.3">
      <c r="A169" t="s">
        <v>6197</v>
      </c>
      <c r="B169" t="s">
        <v>7512</v>
      </c>
      <c r="C169" t="s">
        <v>6922</v>
      </c>
      <c r="D169" t="str" cm="1">
        <f t="array" ref="D169">TRANSPOSE(_xlfn._xlws.FILTER('Controllable Asset Registry'!$A$4:$A$777,IFERROR('Controllable Asset Registry'!$E$4:$E$777=A169,FALSE),"No Equipment in entity"))</f>
        <v>VAV0069</v>
      </c>
    </row>
    <row r="170" spans="1:8" x14ac:dyDescent="0.3">
      <c r="A170" t="s">
        <v>6198</v>
      </c>
      <c r="B170" t="s">
        <v>7513</v>
      </c>
      <c r="C170" t="s">
        <v>6926</v>
      </c>
      <c r="D170" t="str" cm="1">
        <f t="array" ref="D170">TRANSPOSE(_xlfn._xlws.FILTER('Controllable Asset Registry'!$A$4:$A$777,IFERROR('Controllable Asset Registry'!$E$4:$E$777=A170,FALSE),"No Equipment in entity"))</f>
        <v>VAV0070</v>
      </c>
    </row>
    <row r="171" spans="1:8" x14ac:dyDescent="0.3">
      <c r="A171" t="s">
        <v>6199</v>
      </c>
      <c r="B171" t="s">
        <v>7514</v>
      </c>
      <c r="C171" t="s">
        <v>6920</v>
      </c>
      <c r="D171" t="str" cm="1">
        <f t="array" ref="D171">TRANSPOSE(_xlfn._xlws.FILTER('Controllable Asset Registry'!$A$4:$A$777,IFERROR('Controllable Asset Registry'!$E$4:$E$777=A171,FALSE),"No Equipment in entity"))</f>
        <v>VAV0071</v>
      </c>
    </row>
    <row r="172" spans="1:8" x14ac:dyDescent="0.3">
      <c r="A172" t="s">
        <v>6209</v>
      </c>
      <c r="B172" t="s">
        <v>7515</v>
      </c>
      <c r="C172" t="s">
        <v>6927</v>
      </c>
      <c r="D172" t="str" cm="1">
        <f t="array" ref="D172:H172">TRANSPOSE(_xlfn._xlws.FILTER('Controllable Asset Registry'!$A$4:$A$777,IFERROR('Controllable Asset Registry'!$E$4:$E$777=A172,FALSE),"No Equipment in entity"))</f>
        <v>VAV0083</v>
      </c>
      <c r="E172" t="str">
        <v>VAV0084</v>
      </c>
      <c r="F172" t="str">
        <v>VAV0085</v>
      </c>
      <c r="G172" t="str">
        <v>VAV0086</v>
      </c>
      <c r="H172" t="str">
        <v>VAV0096</v>
      </c>
    </row>
    <row r="173" spans="1:8" x14ac:dyDescent="0.3">
      <c r="A173" t="s">
        <v>6928</v>
      </c>
      <c r="B173" t="s">
        <v>7516</v>
      </c>
      <c r="C173" t="s">
        <v>6929</v>
      </c>
      <c r="D173" t="str" cm="1">
        <f t="array" ref="D173">TRANSPOSE(_xlfn._xlws.FILTER('Controllable Asset Registry'!$A$4:$A$777,IFERROR('Controllable Asset Registry'!$E$4:$E$777=A173,FALSE),"No Equipment in entity"))</f>
        <v>No Equipment in entity</v>
      </c>
    </row>
    <row r="174" spans="1:8" x14ac:dyDescent="0.3">
      <c r="A174" t="s">
        <v>6930</v>
      </c>
      <c r="B174" t="s">
        <v>7517</v>
      </c>
      <c r="C174" t="s">
        <v>6931</v>
      </c>
      <c r="D174" t="str" cm="1">
        <f t="array" ref="D174">TRANSPOSE(_xlfn._xlws.FILTER('Controllable Asset Registry'!$A$4:$A$777,IFERROR('Controllable Asset Registry'!$E$4:$E$777=A174,FALSE),"No Equipment in entity"))</f>
        <v>No Equipment in entity</v>
      </c>
    </row>
    <row r="175" spans="1:8" x14ac:dyDescent="0.3">
      <c r="A175" t="s">
        <v>6932</v>
      </c>
      <c r="B175" t="s">
        <v>7518</v>
      </c>
      <c r="C175" t="s">
        <v>6931</v>
      </c>
      <c r="D175" t="str" cm="1">
        <f t="array" ref="D175">TRANSPOSE(_xlfn._xlws.FILTER('Controllable Asset Registry'!$A$4:$A$777,IFERROR('Controllable Asset Registry'!$E$4:$E$777=A175,FALSE),"No Equipment in entity"))</f>
        <v>No Equipment in entity</v>
      </c>
    </row>
    <row r="176" spans="1:8" x14ac:dyDescent="0.3">
      <c r="A176" t="s">
        <v>6213</v>
      </c>
      <c r="B176" t="s">
        <v>7519</v>
      </c>
      <c r="C176" t="s">
        <v>6933</v>
      </c>
      <c r="D176" t="str" cm="1">
        <f t="array" ref="D176">TRANSPOSE(_xlfn._xlws.FILTER('Controllable Asset Registry'!$A$4:$A$777,IFERROR('Controllable Asset Registry'!$E$4:$E$777=A176,FALSE),"No Equipment in entity"))</f>
        <v>VAV0091</v>
      </c>
    </row>
    <row r="177" spans="1:5" x14ac:dyDescent="0.3">
      <c r="A177" t="s">
        <v>6214</v>
      </c>
      <c r="B177" t="s">
        <v>7520</v>
      </c>
      <c r="C177" t="s">
        <v>6823</v>
      </c>
      <c r="D177" t="str" cm="1">
        <f t="array" ref="D177">TRANSPOSE(_xlfn._xlws.FILTER('Controllable Asset Registry'!$A$4:$A$777,IFERROR('Controllable Asset Registry'!$E$4:$E$777=A177,FALSE),"No Equipment in entity"))</f>
        <v>VAV0092</v>
      </c>
    </row>
    <row r="178" spans="1:5" x14ac:dyDescent="0.3">
      <c r="A178" t="s">
        <v>6210</v>
      </c>
      <c r="B178" t="s">
        <v>7521</v>
      </c>
      <c r="C178" t="s">
        <v>6934</v>
      </c>
      <c r="D178" t="str" cm="1">
        <f t="array" ref="D178">TRANSPOSE(_xlfn._xlws.FILTER('Controllable Asset Registry'!$A$4:$A$777,IFERROR('Controllable Asset Registry'!$E$4:$E$777=A178,FALSE),"No Equipment in entity"))</f>
        <v>VAV0087</v>
      </c>
    </row>
    <row r="179" spans="1:5" x14ac:dyDescent="0.3">
      <c r="A179" t="s">
        <v>6211</v>
      </c>
      <c r="B179" t="s">
        <v>7522</v>
      </c>
      <c r="C179" t="s">
        <v>6856</v>
      </c>
      <c r="D179" t="str" cm="1">
        <f t="array" ref="D179:E179">TRANSPOSE(_xlfn._xlws.FILTER('Controllable Asset Registry'!$A$4:$A$777,IFERROR('Controllable Asset Registry'!$E$4:$E$777=A179,FALSE),"No Equipment in entity"))</f>
        <v>VAV0088</v>
      </c>
      <c r="E179" t="str">
        <v>VAV0089</v>
      </c>
    </row>
    <row r="180" spans="1:5" x14ac:dyDescent="0.3">
      <c r="A180" t="s">
        <v>6212</v>
      </c>
      <c r="B180" t="s">
        <v>7523</v>
      </c>
      <c r="C180" t="s">
        <v>6842</v>
      </c>
      <c r="D180" t="str" cm="1">
        <f t="array" ref="D180">TRANSPOSE(_xlfn._xlws.FILTER('Controllable Asset Registry'!$A$4:$A$777,IFERROR('Controllable Asset Registry'!$E$4:$E$777=A180,FALSE),"No Equipment in entity"))</f>
        <v>VAV0090</v>
      </c>
    </row>
    <row r="181" spans="1:5" x14ac:dyDescent="0.3">
      <c r="A181" t="s">
        <v>6220</v>
      </c>
      <c r="B181" t="s">
        <v>7524</v>
      </c>
      <c r="C181" t="s">
        <v>6935</v>
      </c>
      <c r="D181" t="str" cm="1">
        <f t="array" ref="D181">TRANSPOSE(_xlfn._xlws.FILTER('Controllable Asset Registry'!$A$4:$A$777,IFERROR('Controllable Asset Registry'!$E$4:$E$777=A181,FALSE),"No Equipment in entity"))</f>
        <v>VAV0100</v>
      </c>
    </row>
    <row r="182" spans="1:5" x14ac:dyDescent="0.3">
      <c r="A182" t="s">
        <v>6074</v>
      </c>
      <c r="B182" t="s">
        <v>7525</v>
      </c>
      <c r="C182" t="s">
        <v>6936</v>
      </c>
      <c r="D182" t="str" cm="1">
        <f t="array" ref="D182">TRANSPOSE(_xlfn._xlws.FILTER('Controllable Asset Registry'!$A$4:$A$777,IFERROR('Controllable Asset Registry'!$E$4:$E$777=A182,FALSE),"No Equipment in entity"))</f>
        <v>FCU0022</v>
      </c>
    </row>
    <row r="183" spans="1:5" x14ac:dyDescent="0.3">
      <c r="A183" t="s">
        <v>6937</v>
      </c>
      <c r="B183" t="s">
        <v>7526</v>
      </c>
      <c r="C183" t="s">
        <v>6807</v>
      </c>
      <c r="D183" t="str" cm="1">
        <f t="array" ref="D183">TRANSPOSE(_xlfn._xlws.FILTER('Controllable Asset Registry'!$A$4:$A$777,IFERROR('Controllable Asset Registry'!$E$4:$E$777=A183,FALSE),"No Equipment in entity"))</f>
        <v>No Equipment in entity</v>
      </c>
    </row>
    <row r="184" spans="1:5" x14ac:dyDescent="0.3">
      <c r="A184" t="s">
        <v>6125</v>
      </c>
      <c r="B184" t="s">
        <v>7527</v>
      </c>
      <c r="C184" t="s">
        <v>6938</v>
      </c>
      <c r="D184" t="str" cm="1">
        <f t="array" ref="D184">TRANSPOSE(_xlfn._xlws.FILTER('Controllable Asset Registry'!$A$4:$A$777,IFERROR('Controllable Asset Registry'!$E$4:$E$777=A184,FALSE),"No Equipment in entity"))</f>
        <v>FCU0114</v>
      </c>
    </row>
    <row r="185" spans="1:5" x14ac:dyDescent="0.3">
      <c r="A185" t="s">
        <v>6217</v>
      </c>
      <c r="B185" t="s">
        <v>7528</v>
      </c>
      <c r="C185" t="s">
        <v>6926</v>
      </c>
      <c r="D185" t="str" cm="1">
        <f t="array" ref="D185">TRANSPOSE(_xlfn._xlws.FILTER('Controllable Asset Registry'!$A$4:$A$777,IFERROR('Controllable Asset Registry'!$E$4:$E$777=A185,FALSE),"No Equipment in entity"))</f>
        <v>VAV0095</v>
      </c>
    </row>
    <row r="186" spans="1:5" x14ac:dyDescent="0.3">
      <c r="A186" t="s">
        <v>6215</v>
      </c>
      <c r="B186" t="s">
        <v>7529</v>
      </c>
      <c r="C186" t="s">
        <v>6939</v>
      </c>
      <c r="D186" t="str" cm="1">
        <f t="array" ref="D186">TRANSPOSE(_xlfn._xlws.FILTER('Controllable Asset Registry'!$A$4:$A$777,IFERROR('Controllable Asset Registry'!$E$4:$E$777=A186,FALSE),"No Equipment in entity"))</f>
        <v>VAV0093</v>
      </c>
    </row>
    <row r="187" spans="1:5" x14ac:dyDescent="0.3">
      <c r="A187" t="s">
        <v>6216</v>
      </c>
      <c r="B187" t="s">
        <v>7530</v>
      </c>
      <c r="C187" t="s">
        <v>6926</v>
      </c>
      <c r="D187" t="str" cm="1">
        <f t="array" ref="D187">TRANSPOSE(_xlfn._xlws.FILTER('Controllable Asset Registry'!$A$4:$A$777,IFERROR('Controllable Asset Registry'!$E$4:$E$777=A187,FALSE),"No Equipment in entity"))</f>
        <v>VAV0094</v>
      </c>
    </row>
    <row r="188" spans="1:5" x14ac:dyDescent="0.3">
      <c r="A188" t="s">
        <v>6940</v>
      </c>
      <c r="B188" t="s">
        <v>7531</v>
      </c>
      <c r="C188" t="s">
        <v>6725</v>
      </c>
      <c r="D188" t="str" cm="1">
        <f t="array" ref="D188">TRANSPOSE(_xlfn._xlws.FILTER('Controllable Asset Registry'!$A$4:$A$777,IFERROR('Controllable Asset Registry'!$E$4:$E$777=A188,FALSE),"No Equipment in entity"))</f>
        <v>No Equipment in entity</v>
      </c>
    </row>
    <row r="189" spans="1:5" x14ac:dyDescent="0.3">
      <c r="A189" t="s">
        <v>6941</v>
      </c>
      <c r="B189" t="s">
        <v>7532</v>
      </c>
      <c r="C189" t="s">
        <v>6728</v>
      </c>
      <c r="D189" t="str" cm="1">
        <f t="array" ref="D189">TRANSPOSE(_xlfn._xlws.FILTER('Controllable Asset Registry'!$A$4:$A$777,IFERROR('Controllable Asset Registry'!$E$4:$E$777=A189,FALSE),"No Equipment in entity"))</f>
        <v>No Equipment in entity</v>
      </c>
    </row>
    <row r="190" spans="1:5" x14ac:dyDescent="0.3">
      <c r="A190" t="s">
        <v>6942</v>
      </c>
      <c r="B190" t="s">
        <v>7533</v>
      </c>
      <c r="C190" t="s">
        <v>5861</v>
      </c>
      <c r="D190" t="str" cm="1">
        <f t="array" ref="D190">TRANSPOSE(_xlfn._xlws.FILTER('Controllable Asset Registry'!$A$4:$A$777,IFERROR('Controllable Asset Registry'!$E$4:$E$777=A190,FALSE),"No Equipment in entity"))</f>
        <v>No Equipment in entity</v>
      </c>
    </row>
    <row r="191" spans="1:5" x14ac:dyDescent="0.3">
      <c r="A191" t="s">
        <v>6073</v>
      </c>
      <c r="B191" t="s">
        <v>7534</v>
      </c>
      <c r="C191" t="s">
        <v>6734</v>
      </c>
      <c r="D191" t="str" cm="1">
        <f t="array" ref="D191">TRANSPOSE(_xlfn._xlws.FILTER('Controllable Asset Registry'!$A$4:$A$777,IFERROR('Controllable Asset Registry'!$E$4:$E$777=A191,FALSE),"No Equipment in entity"))</f>
        <v>FCU0021</v>
      </c>
    </row>
    <row r="192" spans="1:5" x14ac:dyDescent="0.3">
      <c r="A192" t="s">
        <v>6943</v>
      </c>
      <c r="B192" t="s">
        <v>7535</v>
      </c>
      <c r="C192" t="s">
        <v>5858</v>
      </c>
      <c r="D192" t="str" cm="1">
        <f t="array" ref="D192">TRANSPOSE(_xlfn._xlws.FILTER('Controllable Asset Registry'!$A$4:$A$777,IFERROR('Controllable Asset Registry'!$E$4:$E$777=A192,FALSE),"No Equipment in entity"))</f>
        <v>No Equipment in entity</v>
      </c>
    </row>
    <row r="193" spans="1:5" x14ac:dyDescent="0.3">
      <c r="A193" t="s">
        <v>6072</v>
      </c>
      <c r="B193" t="s">
        <v>7536</v>
      </c>
      <c r="C193" t="s">
        <v>6734</v>
      </c>
      <c r="D193" t="str" cm="1">
        <f t="array" ref="D193:E193">TRANSPOSE(_xlfn._xlws.FILTER('Controllable Asset Registry'!$A$4:$A$777,IFERROR('Controllable Asset Registry'!$E$4:$E$777=A193,FALSE),"No Equipment in entity"))</f>
        <v>FCU0019</v>
      </c>
      <c r="E193" t="str">
        <v>FCU0020</v>
      </c>
    </row>
    <row r="194" spans="1:5" x14ac:dyDescent="0.3">
      <c r="A194" t="s">
        <v>6944</v>
      </c>
      <c r="B194" t="s">
        <v>7537</v>
      </c>
      <c r="C194" t="s">
        <v>6876</v>
      </c>
      <c r="D194" t="str" cm="1">
        <f t="array" ref="D194">TRANSPOSE(_xlfn._xlws.FILTER('Controllable Asset Registry'!$A$4:$A$777,IFERROR('Controllable Asset Registry'!$E$4:$E$777=A194,FALSE),"No Equipment in entity"))</f>
        <v>No Equipment in entity</v>
      </c>
    </row>
    <row r="195" spans="1:5" x14ac:dyDescent="0.3">
      <c r="A195" t="s">
        <v>6945</v>
      </c>
      <c r="B195" t="s">
        <v>7538</v>
      </c>
      <c r="C195" t="s">
        <v>6879</v>
      </c>
      <c r="D195" t="str" cm="1">
        <f t="array" ref="D195">TRANSPOSE(_xlfn._xlws.FILTER('Controllable Asset Registry'!$A$4:$A$777,IFERROR('Controllable Asset Registry'!$E$4:$E$777=A195,FALSE),"No Equipment in entity"))</f>
        <v>No Equipment in entity</v>
      </c>
    </row>
    <row r="196" spans="1:5" x14ac:dyDescent="0.3">
      <c r="A196" t="s">
        <v>6946</v>
      </c>
      <c r="B196" t="s">
        <v>7539</v>
      </c>
      <c r="C196" t="s">
        <v>5858</v>
      </c>
      <c r="D196" t="str" cm="1">
        <f t="array" ref="D196">TRANSPOSE(_xlfn._xlws.FILTER('Controllable Asset Registry'!$A$4:$A$777,IFERROR('Controllable Asset Registry'!$E$4:$E$777=A196,FALSE),"No Equipment in entity"))</f>
        <v>No Equipment in entity</v>
      </c>
    </row>
    <row r="197" spans="1:5" x14ac:dyDescent="0.3">
      <c r="A197" t="s">
        <v>6219</v>
      </c>
      <c r="B197" t="s">
        <v>7540</v>
      </c>
      <c r="C197" t="s">
        <v>5835</v>
      </c>
      <c r="D197" t="str" cm="1">
        <f t="array" ref="D197">TRANSPOSE(_xlfn._xlws.FILTER('Controllable Asset Registry'!$A$4:$A$777,IFERROR('Controllable Asset Registry'!$E$4:$E$777=A197,FALSE),"No Equipment in entity"))</f>
        <v>VAV0099</v>
      </c>
    </row>
    <row r="198" spans="1:5" x14ac:dyDescent="0.3">
      <c r="A198" t="s">
        <v>6218</v>
      </c>
      <c r="B198" t="s">
        <v>7541</v>
      </c>
      <c r="C198" t="s">
        <v>5835</v>
      </c>
      <c r="D198" t="str" cm="1">
        <f t="array" ref="D198:E198">TRANSPOSE(_xlfn._xlws.FILTER('Controllable Asset Registry'!$A$4:$A$777,IFERROR('Controllable Asset Registry'!$E$4:$E$777=A198,FALSE),"No Equipment in entity"))</f>
        <v>VAV0097</v>
      </c>
      <c r="E198" t="str">
        <v>VAV0098</v>
      </c>
    </row>
    <row r="199" spans="1:5" x14ac:dyDescent="0.3">
      <c r="A199" t="s">
        <v>6947</v>
      </c>
      <c r="B199" t="s">
        <v>7542</v>
      </c>
      <c r="C199" t="s">
        <v>5835</v>
      </c>
      <c r="D199" t="str" cm="1">
        <f t="array" ref="D199">TRANSPOSE(_xlfn._xlws.FILTER('Controllable Asset Registry'!$A$4:$A$777,IFERROR('Controllable Asset Registry'!$E$4:$E$777=A199,FALSE),"No Equipment in entity"))</f>
        <v>No Equipment in entity</v>
      </c>
    </row>
    <row r="200" spans="1:5" x14ac:dyDescent="0.3">
      <c r="A200" t="s">
        <v>6223</v>
      </c>
      <c r="B200" t="s">
        <v>7543</v>
      </c>
      <c r="C200" t="s">
        <v>6948</v>
      </c>
      <c r="D200" t="str" cm="1">
        <f t="array" ref="D200:E200">TRANSPOSE(_xlfn._xlws.FILTER('Controllable Asset Registry'!$A$4:$A$777,IFERROR('Controllable Asset Registry'!$E$4:$E$777=A200,FALSE),"No Equipment in entity"))</f>
        <v>VAV0107</v>
      </c>
      <c r="E200" t="str">
        <v>VAV0108</v>
      </c>
    </row>
    <row r="201" spans="1:5" x14ac:dyDescent="0.3">
      <c r="A201" t="s">
        <v>6221</v>
      </c>
      <c r="B201" t="s">
        <v>7544</v>
      </c>
      <c r="C201" t="s">
        <v>6949</v>
      </c>
      <c r="D201" t="str" cm="1">
        <f t="array" ref="D201">TRANSPOSE(_xlfn._xlws.FILTER('Controllable Asset Registry'!$A$4:$A$777,IFERROR('Controllable Asset Registry'!$E$4:$E$777=A201,FALSE),"No Equipment in entity"))</f>
        <v>VAV0101</v>
      </c>
    </row>
    <row r="202" spans="1:5" x14ac:dyDescent="0.3">
      <c r="A202" t="s">
        <v>6950</v>
      </c>
      <c r="B202" t="s">
        <v>7545</v>
      </c>
      <c r="C202" t="s">
        <v>6951</v>
      </c>
      <c r="D202" t="str" cm="1">
        <f t="array" ref="D202">TRANSPOSE(_xlfn._xlws.FILTER('Controllable Asset Registry'!$A$4:$A$777,IFERROR('Controllable Asset Registry'!$E$4:$E$777=A202,FALSE),"No Equipment in entity"))</f>
        <v>No Equipment in entity</v>
      </c>
    </row>
    <row r="203" spans="1:5" x14ac:dyDescent="0.3">
      <c r="A203" t="s">
        <v>6952</v>
      </c>
      <c r="B203" t="s">
        <v>7546</v>
      </c>
      <c r="C203" t="s">
        <v>6953</v>
      </c>
      <c r="D203" t="str" cm="1">
        <f t="array" ref="D203">TRANSPOSE(_xlfn._xlws.FILTER('Controllable Asset Registry'!$A$4:$A$777,IFERROR('Controllable Asset Registry'!$E$4:$E$777=A203,FALSE),"No Equipment in entity"))</f>
        <v>No Equipment in entity</v>
      </c>
    </row>
    <row r="204" spans="1:5" x14ac:dyDescent="0.3">
      <c r="A204" t="s">
        <v>6954</v>
      </c>
      <c r="B204" t="s">
        <v>7547</v>
      </c>
      <c r="C204" t="s">
        <v>6955</v>
      </c>
      <c r="D204" t="str" cm="1">
        <f t="array" ref="D204">TRANSPOSE(_xlfn._xlws.FILTER('Controllable Asset Registry'!$A$4:$A$777,IFERROR('Controllable Asset Registry'!$E$4:$E$777=A204,FALSE),"No Equipment in entity"))</f>
        <v>No Equipment in entity</v>
      </c>
    </row>
    <row r="205" spans="1:5" x14ac:dyDescent="0.3">
      <c r="A205" t="s">
        <v>6222</v>
      </c>
      <c r="B205" t="s">
        <v>7548</v>
      </c>
      <c r="C205" t="s">
        <v>6956</v>
      </c>
      <c r="D205" t="str" cm="1">
        <f t="array" ref="D205">TRANSPOSE(_xlfn._xlws.FILTER('Controllable Asset Registry'!$A$4:$A$777,IFERROR('Controllable Asset Registry'!$E$4:$E$777=A205,FALSE),"No Equipment in entity"))</f>
        <v>VAV0102</v>
      </c>
    </row>
    <row r="206" spans="1:5" x14ac:dyDescent="0.3">
      <c r="A206" t="s">
        <v>8238</v>
      </c>
      <c r="B206" t="s">
        <v>8239</v>
      </c>
      <c r="C206" t="s">
        <v>6890</v>
      </c>
      <c r="D206" t="str" cm="1">
        <f t="array" ref="D206">TRANSPOSE(_xlfn._xlws.FILTER('Controllable Asset Registry'!$A$4:$A$777,IFERROR('Controllable Asset Registry'!$E$4:$E$777=A206,FALSE),"No Equipment in entity"))</f>
        <v>No Equipment in entity</v>
      </c>
    </row>
    <row r="207" spans="1:5" x14ac:dyDescent="0.3">
      <c r="A207" t="s">
        <v>8240</v>
      </c>
      <c r="B207" t="s">
        <v>8241</v>
      </c>
      <c r="C207" t="s">
        <v>6893</v>
      </c>
      <c r="D207" t="str" cm="1">
        <f t="array" ref="D207">TRANSPOSE(_xlfn._xlws.FILTER('Controllable Asset Registry'!$A$4:$A$777,IFERROR('Controllable Asset Registry'!$E$4:$E$777=A207,FALSE),"No Equipment in entity"))</f>
        <v>No Equipment in entity</v>
      </c>
    </row>
    <row r="208" spans="1:5" x14ac:dyDescent="0.3">
      <c r="A208" t="s">
        <v>8242</v>
      </c>
      <c r="B208" t="s">
        <v>8243</v>
      </c>
      <c r="C208" t="s">
        <v>6896</v>
      </c>
      <c r="D208" t="str" cm="1">
        <f t="array" ref="D208">TRANSPOSE(_xlfn._xlws.FILTER('Controllable Asset Registry'!$A$4:$A$777,IFERROR('Controllable Asset Registry'!$E$4:$E$777=A208,FALSE),"No Equipment in entity"))</f>
        <v>No Equipment in entity</v>
      </c>
    </row>
    <row r="209" spans="1:4" x14ac:dyDescent="0.3">
      <c r="A209" t="s">
        <v>8244</v>
      </c>
      <c r="B209" t="s">
        <v>8245</v>
      </c>
      <c r="C209" t="s">
        <v>6899</v>
      </c>
      <c r="D209" t="str" cm="1">
        <f t="array" ref="D209">TRANSPOSE(_xlfn._xlws.FILTER('Controllable Asset Registry'!$A$4:$A$777,IFERROR('Controllable Asset Registry'!$E$4:$E$777=A209,FALSE),"No Equipment in entity"))</f>
        <v>No Equipment in entity</v>
      </c>
    </row>
    <row r="210" spans="1:4" x14ac:dyDescent="0.3">
      <c r="A210" t="s">
        <v>8246</v>
      </c>
      <c r="B210" t="s">
        <v>8247</v>
      </c>
      <c r="C210" t="s">
        <v>6763</v>
      </c>
      <c r="D210" t="str" cm="1">
        <f t="array" ref="D210">TRANSPOSE(_xlfn._xlws.FILTER('Controllable Asset Registry'!$A$4:$A$777,IFERROR('Controllable Asset Registry'!$E$4:$E$777=A210,FALSE),"No Equipment in entity"))</f>
        <v>No Equipment in entity</v>
      </c>
    </row>
    <row r="211" spans="1:4" x14ac:dyDescent="0.3">
      <c r="A211" t="s">
        <v>8248</v>
      </c>
      <c r="B211" t="s">
        <v>8249</v>
      </c>
      <c r="C211" t="s">
        <v>6766</v>
      </c>
      <c r="D211" t="str" cm="1">
        <f t="array" ref="D211">TRANSPOSE(_xlfn._xlws.FILTER('Controllable Asset Registry'!$A$4:$A$777,IFERROR('Controllable Asset Registry'!$E$4:$E$777=A211,FALSE),"No Equipment in entity"))</f>
        <v>No Equipment in entity</v>
      </c>
    </row>
    <row r="212" spans="1:4" x14ac:dyDescent="0.3">
      <c r="A212" t="s">
        <v>8250</v>
      </c>
      <c r="B212" t="s">
        <v>8251</v>
      </c>
      <c r="C212" t="s">
        <v>6769</v>
      </c>
      <c r="D212" t="str" cm="1">
        <f t="array" ref="D212">TRANSPOSE(_xlfn._xlws.FILTER('Controllable Asset Registry'!$A$4:$A$777,IFERROR('Controllable Asset Registry'!$E$4:$E$777=A212,FALSE),"No Equipment in entity"))</f>
        <v>No Equipment in entity</v>
      </c>
    </row>
    <row r="213" spans="1:4" x14ac:dyDescent="0.3">
      <c r="A213" t="s">
        <v>8252</v>
      </c>
      <c r="B213" t="s">
        <v>8253</v>
      </c>
      <c r="C213" t="s">
        <v>6908</v>
      </c>
      <c r="D213" t="str" cm="1">
        <f t="array" ref="D213">TRANSPOSE(_xlfn._xlws.FILTER('Controllable Asset Registry'!$A$4:$A$777,IFERROR('Controllable Asset Registry'!$E$4:$E$777=A213,FALSE),"No Equipment in entity"))</f>
        <v>No Equipment in entity</v>
      </c>
    </row>
    <row r="214" spans="1:4" x14ac:dyDescent="0.3">
      <c r="A214" t="s">
        <v>8254</v>
      </c>
      <c r="B214" t="s">
        <v>8255</v>
      </c>
      <c r="C214" t="s">
        <v>6774</v>
      </c>
      <c r="D214" t="str" cm="1">
        <f t="array" ref="D214">TRANSPOSE(_xlfn._xlws.FILTER('Controllable Asset Registry'!$A$4:$A$777,IFERROR('Controllable Asset Registry'!$E$4:$E$777=A214,FALSE),"No Equipment in entity"))</f>
        <v>No Equipment in entity</v>
      </c>
    </row>
    <row r="215" spans="1:4" x14ac:dyDescent="0.3">
      <c r="A215" t="s">
        <v>8256</v>
      </c>
      <c r="B215" t="s">
        <v>8257</v>
      </c>
      <c r="C215" t="s">
        <v>6776</v>
      </c>
      <c r="D215" t="str" cm="1">
        <f t="array" ref="D215">TRANSPOSE(_xlfn._xlws.FILTER('Controllable Asset Registry'!$A$4:$A$777,IFERROR('Controllable Asset Registry'!$E$4:$E$777=A215,FALSE),"No Equipment in entity"))</f>
        <v>No Equipment in entity</v>
      </c>
    </row>
    <row r="216" spans="1:4" x14ac:dyDescent="0.3">
      <c r="A216" t="s">
        <v>8258</v>
      </c>
      <c r="B216" t="s">
        <v>8259</v>
      </c>
      <c r="C216" t="s">
        <v>6915</v>
      </c>
      <c r="D216" t="str" cm="1">
        <f t="array" ref="D216">TRANSPOSE(_xlfn._xlws.FILTER('Controllable Asset Registry'!$A$4:$A$777,IFERROR('Controllable Asset Registry'!$E$4:$E$777=A216,FALSE),"No Equipment in entity"))</f>
        <v>No Equipment in entity</v>
      </c>
    </row>
    <row r="217" spans="1:4" x14ac:dyDescent="0.3">
      <c r="A217" t="s">
        <v>8260</v>
      </c>
      <c r="B217" t="s">
        <v>8261</v>
      </c>
      <c r="C217" t="s">
        <v>6779</v>
      </c>
      <c r="D217" t="str" cm="1">
        <f t="array" ref="D217">TRANSPOSE(_xlfn._xlws.FILTER('Controllable Asset Registry'!$A$4:$A$777,IFERROR('Controllable Asset Registry'!$E$4:$E$777=A217,FALSE),"No Equipment in entity"))</f>
        <v>No Equipment in entity</v>
      </c>
    </row>
    <row r="218" spans="1:4" x14ac:dyDescent="0.3">
      <c r="A218" t="s">
        <v>6266</v>
      </c>
      <c r="B218" t="s">
        <v>7549</v>
      </c>
      <c r="C218" t="s">
        <v>6852</v>
      </c>
      <c r="D218" t="str" cm="1">
        <f t="array" ref="D218">TRANSPOSE(_xlfn._xlws.FILTER('Controllable Asset Registry'!$A$4:$A$777,IFERROR('Controllable Asset Registry'!$E$4:$E$777=A218,FALSE),"No Equipment in entity"))</f>
        <v>VAV0154</v>
      </c>
    </row>
    <row r="219" spans="1:4" x14ac:dyDescent="0.3">
      <c r="A219" t="s">
        <v>6265</v>
      </c>
      <c r="B219" t="s">
        <v>7550</v>
      </c>
      <c r="C219" t="s">
        <v>6957</v>
      </c>
      <c r="D219" t="str" cm="1">
        <f t="array" ref="D219">TRANSPOSE(_xlfn._xlws.FILTER('Controllable Asset Registry'!$A$4:$A$777,IFERROR('Controllable Asset Registry'!$E$4:$E$777=A219,FALSE),"No Equipment in entity"))</f>
        <v>VAV0153</v>
      </c>
    </row>
    <row r="220" spans="1:4" x14ac:dyDescent="0.3">
      <c r="A220" t="s">
        <v>6264</v>
      </c>
      <c r="B220" t="s">
        <v>7551</v>
      </c>
      <c r="C220" t="s">
        <v>6957</v>
      </c>
      <c r="D220" t="str" cm="1">
        <f t="array" ref="D220">TRANSPOSE(_xlfn._xlws.FILTER('Controllable Asset Registry'!$A$4:$A$777,IFERROR('Controllable Asset Registry'!$E$4:$E$777=A220,FALSE),"No Equipment in entity"))</f>
        <v>VAV0152</v>
      </c>
    </row>
    <row r="221" spans="1:4" x14ac:dyDescent="0.3">
      <c r="A221" t="s">
        <v>6263</v>
      </c>
      <c r="B221" t="s">
        <v>7552</v>
      </c>
      <c r="C221" t="s">
        <v>6958</v>
      </c>
      <c r="D221" t="str" cm="1">
        <f t="array" ref="D221">TRANSPOSE(_xlfn._xlws.FILTER('Controllable Asset Registry'!$A$4:$A$777,IFERROR('Controllable Asset Registry'!$E$4:$E$777=A221,FALSE),"No Equipment in entity"))</f>
        <v>VAV0151</v>
      </c>
    </row>
    <row r="222" spans="1:4" x14ac:dyDescent="0.3">
      <c r="A222" t="s">
        <v>6262</v>
      </c>
      <c r="B222" t="s">
        <v>7553</v>
      </c>
      <c r="C222" t="s">
        <v>6957</v>
      </c>
      <c r="D222" t="str" cm="1">
        <f t="array" ref="D222">TRANSPOSE(_xlfn._xlws.FILTER('Controllable Asset Registry'!$A$4:$A$777,IFERROR('Controllable Asset Registry'!$E$4:$E$777=A222,FALSE),"No Equipment in entity"))</f>
        <v>VAV0150</v>
      </c>
    </row>
    <row r="223" spans="1:4" x14ac:dyDescent="0.3">
      <c r="A223" t="s">
        <v>6261</v>
      </c>
      <c r="B223" t="s">
        <v>7554</v>
      </c>
      <c r="C223" t="s">
        <v>6957</v>
      </c>
      <c r="D223" t="str" cm="1">
        <f t="array" ref="D223">TRANSPOSE(_xlfn._xlws.FILTER('Controllable Asset Registry'!$A$4:$A$777,IFERROR('Controllable Asset Registry'!$E$4:$E$777=A223,FALSE),"No Equipment in entity"))</f>
        <v>VAV0149</v>
      </c>
    </row>
    <row r="224" spans="1:4" x14ac:dyDescent="0.3">
      <c r="A224" t="s">
        <v>6260</v>
      </c>
      <c r="B224" t="s">
        <v>7555</v>
      </c>
      <c r="C224" t="s">
        <v>6957</v>
      </c>
      <c r="D224" t="str" cm="1">
        <f t="array" ref="D224">TRANSPOSE(_xlfn._xlws.FILTER('Controllable Asset Registry'!$A$4:$A$777,IFERROR('Controllable Asset Registry'!$E$4:$E$777=A224,FALSE),"No Equipment in entity"))</f>
        <v>VAV0148</v>
      </c>
    </row>
    <row r="225" spans="1:4" x14ac:dyDescent="0.3">
      <c r="A225" t="s">
        <v>6259</v>
      </c>
      <c r="B225" t="s">
        <v>7556</v>
      </c>
      <c r="C225" t="s">
        <v>6957</v>
      </c>
      <c r="D225" t="str" cm="1">
        <f t="array" ref="D225">TRANSPOSE(_xlfn._xlws.FILTER('Controllable Asset Registry'!$A$4:$A$777,IFERROR('Controllable Asset Registry'!$E$4:$E$777=A225,FALSE),"No Equipment in entity"))</f>
        <v>VAV0147</v>
      </c>
    </row>
    <row r="226" spans="1:4" x14ac:dyDescent="0.3">
      <c r="A226" t="s">
        <v>6258</v>
      </c>
      <c r="B226" t="s">
        <v>7557</v>
      </c>
      <c r="C226" t="s">
        <v>6959</v>
      </c>
      <c r="D226" t="str" cm="1">
        <f t="array" ref="D226">TRANSPOSE(_xlfn._xlws.FILTER('Controllable Asset Registry'!$A$4:$A$777,IFERROR('Controllable Asset Registry'!$E$4:$E$777=A226,FALSE),"No Equipment in entity"))</f>
        <v>VAV0146</v>
      </c>
    </row>
    <row r="227" spans="1:4" x14ac:dyDescent="0.3">
      <c r="A227" t="s">
        <v>6257</v>
      </c>
      <c r="B227" t="s">
        <v>7558</v>
      </c>
      <c r="C227" t="s">
        <v>6960</v>
      </c>
      <c r="D227" t="str" cm="1">
        <f t="array" ref="D227">TRANSPOSE(_xlfn._xlws.FILTER('Controllable Asset Registry'!$A$4:$A$777,IFERROR('Controllable Asset Registry'!$E$4:$E$777=A227,FALSE),"No Equipment in entity"))</f>
        <v>VAV0145</v>
      </c>
    </row>
    <row r="228" spans="1:4" x14ac:dyDescent="0.3">
      <c r="A228" t="s">
        <v>6256</v>
      </c>
      <c r="B228" t="s">
        <v>7559</v>
      </c>
      <c r="C228" t="s">
        <v>6960</v>
      </c>
      <c r="D228" t="str" cm="1">
        <f t="array" ref="D228">TRANSPOSE(_xlfn._xlws.FILTER('Controllable Asset Registry'!$A$4:$A$777,IFERROR('Controllable Asset Registry'!$E$4:$E$777=A228,FALSE),"No Equipment in entity"))</f>
        <v>VAV0144</v>
      </c>
    </row>
    <row r="229" spans="1:4" x14ac:dyDescent="0.3">
      <c r="A229" t="s">
        <v>6255</v>
      </c>
      <c r="B229" t="s">
        <v>7560</v>
      </c>
      <c r="C229" t="s">
        <v>6960</v>
      </c>
      <c r="D229" t="str" cm="1">
        <f t="array" ref="D229">TRANSPOSE(_xlfn._xlws.FILTER('Controllable Asset Registry'!$A$4:$A$777,IFERROR('Controllable Asset Registry'!$E$4:$E$777=A229,FALSE),"No Equipment in entity"))</f>
        <v>VAV0143</v>
      </c>
    </row>
    <row r="230" spans="1:4" x14ac:dyDescent="0.3">
      <c r="A230" t="s">
        <v>6254</v>
      </c>
      <c r="B230" t="s">
        <v>7561</v>
      </c>
      <c r="C230" t="s">
        <v>6959</v>
      </c>
      <c r="D230" t="str" cm="1">
        <f t="array" ref="D230">TRANSPOSE(_xlfn._xlws.FILTER('Controllable Asset Registry'!$A$4:$A$777,IFERROR('Controllable Asset Registry'!$E$4:$E$777=A230,FALSE),"No Equipment in entity"))</f>
        <v>VAV0142</v>
      </c>
    </row>
    <row r="231" spans="1:4" x14ac:dyDescent="0.3">
      <c r="A231" t="s">
        <v>6253</v>
      </c>
      <c r="B231" t="s">
        <v>7562</v>
      </c>
      <c r="C231" t="s">
        <v>6960</v>
      </c>
      <c r="D231" t="str" cm="1">
        <f t="array" ref="D231">TRANSPOSE(_xlfn._xlws.FILTER('Controllable Asset Registry'!$A$4:$A$777,IFERROR('Controllable Asset Registry'!$E$4:$E$777=A231,FALSE),"No Equipment in entity"))</f>
        <v>VAV0141</v>
      </c>
    </row>
    <row r="232" spans="1:4" x14ac:dyDescent="0.3">
      <c r="A232" t="s">
        <v>6252</v>
      </c>
      <c r="B232" t="s">
        <v>7563</v>
      </c>
      <c r="C232" t="s">
        <v>6960</v>
      </c>
      <c r="D232" t="str" cm="1">
        <f t="array" ref="D232">TRANSPOSE(_xlfn._xlws.FILTER('Controllable Asset Registry'!$A$4:$A$777,IFERROR('Controllable Asset Registry'!$E$4:$E$777=A232,FALSE),"No Equipment in entity"))</f>
        <v>VAV0140</v>
      </c>
    </row>
    <row r="233" spans="1:4" x14ac:dyDescent="0.3">
      <c r="A233" t="s">
        <v>6251</v>
      </c>
      <c r="B233" t="s">
        <v>7564</v>
      </c>
      <c r="C233" t="s">
        <v>6960</v>
      </c>
      <c r="D233" t="str" cm="1">
        <f t="array" ref="D233">TRANSPOSE(_xlfn._xlws.FILTER('Controllable Asset Registry'!$A$4:$A$777,IFERROR('Controllable Asset Registry'!$E$4:$E$777=A233,FALSE),"No Equipment in entity"))</f>
        <v>VAV0139</v>
      </c>
    </row>
    <row r="234" spans="1:4" x14ac:dyDescent="0.3">
      <c r="A234" t="s">
        <v>6250</v>
      </c>
      <c r="B234" t="s">
        <v>7565</v>
      </c>
      <c r="C234" t="s">
        <v>6959</v>
      </c>
      <c r="D234" t="str" cm="1">
        <f t="array" ref="D234">TRANSPOSE(_xlfn._xlws.FILTER('Controllable Asset Registry'!$A$4:$A$777,IFERROR('Controllable Asset Registry'!$E$4:$E$777=A234,FALSE),"No Equipment in entity"))</f>
        <v>VAV0138</v>
      </c>
    </row>
    <row r="235" spans="1:4" x14ac:dyDescent="0.3">
      <c r="A235" t="s">
        <v>6224</v>
      </c>
      <c r="B235" t="s">
        <v>7566</v>
      </c>
      <c r="C235" t="s">
        <v>6961</v>
      </c>
      <c r="D235" t="str" cm="1">
        <f t="array" ref="D235">TRANSPOSE(_xlfn._xlws.FILTER('Controllable Asset Registry'!$A$4:$A$777,IFERROR('Controllable Asset Registry'!$E$4:$E$777=A235,FALSE),"No Equipment in entity"))</f>
        <v>VAV0109</v>
      </c>
    </row>
    <row r="236" spans="1:4" x14ac:dyDescent="0.3">
      <c r="A236" t="s">
        <v>6225</v>
      </c>
      <c r="B236" t="s">
        <v>7567</v>
      </c>
      <c r="C236" t="s">
        <v>6960</v>
      </c>
      <c r="D236" t="str" cm="1">
        <f t="array" ref="D236">TRANSPOSE(_xlfn._xlws.FILTER('Controllable Asset Registry'!$A$4:$A$777,IFERROR('Controllable Asset Registry'!$E$4:$E$777=A236,FALSE),"No Equipment in entity"))</f>
        <v>VAV0110</v>
      </c>
    </row>
    <row r="237" spans="1:4" x14ac:dyDescent="0.3">
      <c r="A237" t="s">
        <v>6226</v>
      </c>
      <c r="B237" t="s">
        <v>7568</v>
      </c>
      <c r="C237" t="s">
        <v>6960</v>
      </c>
      <c r="D237" t="str" cm="1">
        <f t="array" ref="D237">TRANSPOSE(_xlfn._xlws.FILTER('Controllable Asset Registry'!$A$4:$A$777,IFERROR('Controllable Asset Registry'!$E$4:$E$777=A237,FALSE),"No Equipment in entity"))</f>
        <v>VAV0111</v>
      </c>
    </row>
    <row r="238" spans="1:4" x14ac:dyDescent="0.3">
      <c r="A238" t="s">
        <v>6227</v>
      </c>
      <c r="B238" t="s">
        <v>7569</v>
      </c>
      <c r="C238" t="s">
        <v>6960</v>
      </c>
      <c r="D238" t="str" cm="1">
        <f t="array" ref="D238">TRANSPOSE(_xlfn._xlws.FILTER('Controllable Asset Registry'!$A$4:$A$777,IFERROR('Controllable Asset Registry'!$E$4:$E$777=A238,FALSE),"No Equipment in entity"))</f>
        <v>VAV0112</v>
      </c>
    </row>
    <row r="239" spans="1:4" x14ac:dyDescent="0.3">
      <c r="A239" t="s">
        <v>6228</v>
      </c>
      <c r="B239" t="s">
        <v>7570</v>
      </c>
      <c r="C239" t="s">
        <v>6959</v>
      </c>
      <c r="D239" t="str" cm="1">
        <f t="array" ref="D239">TRANSPOSE(_xlfn._xlws.FILTER('Controllable Asset Registry'!$A$4:$A$777,IFERROR('Controllable Asset Registry'!$E$4:$E$777=A239,FALSE),"No Equipment in entity"))</f>
        <v>VAV0113</v>
      </c>
    </row>
    <row r="240" spans="1:4" x14ac:dyDescent="0.3">
      <c r="A240" t="s">
        <v>6229</v>
      </c>
      <c r="B240" t="s">
        <v>7571</v>
      </c>
      <c r="C240" t="s">
        <v>6960</v>
      </c>
      <c r="D240" t="str" cm="1">
        <f t="array" ref="D240">TRANSPOSE(_xlfn._xlws.FILTER('Controllable Asset Registry'!$A$4:$A$777,IFERROR('Controllable Asset Registry'!$E$4:$E$777=A240,FALSE),"No Equipment in entity"))</f>
        <v>VAV0114</v>
      </c>
    </row>
    <row r="241" spans="1:5" x14ac:dyDescent="0.3">
      <c r="A241" t="s">
        <v>6230</v>
      </c>
      <c r="B241" t="s">
        <v>7572</v>
      </c>
      <c r="C241" t="s">
        <v>6960</v>
      </c>
      <c r="D241" t="str" cm="1">
        <f t="array" ref="D241">TRANSPOSE(_xlfn._xlws.FILTER('Controllable Asset Registry'!$A$4:$A$777,IFERROR('Controllable Asset Registry'!$E$4:$E$777=A241,FALSE),"No Equipment in entity"))</f>
        <v>VAV0115</v>
      </c>
    </row>
    <row r="242" spans="1:5" x14ac:dyDescent="0.3">
      <c r="A242" t="s">
        <v>6231</v>
      </c>
      <c r="B242" t="s">
        <v>7573</v>
      </c>
      <c r="C242" t="s">
        <v>6960</v>
      </c>
      <c r="D242" t="str" cm="1">
        <f t="array" ref="D242">TRANSPOSE(_xlfn._xlws.FILTER('Controllable Asset Registry'!$A$4:$A$777,IFERROR('Controllable Asset Registry'!$E$4:$E$777=A242,FALSE),"No Equipment in entity"))</f>
        <v>VAV0116</v>
      </c>
    </row>
    <row r="243" spans="1:5" x14ac:dyDescent="0.3">
      <c r="A243" t="s">
        <v>6232</v>
      </c>
      <c r="B243" t="s">
        <v>7574</v>
      </c>
      <c r="C243" t="s">
        <v>6959</v>
      </c>
      <c r="D243" t="str" cm="1">
        <f t="array" ref="D243">TRANSPOSE(_xlfn._xlws.FILTER('Controllable Asset Registry'!$A$4:$A$777,IFERROR('Controllable Asset Registry'!$E$4:$E$777=A243,FALSE),"No Equipment in entity"))</f>
        <v>VAV0117</v>
      </c>
    </row>
    <row r="244" spans="1:5" x14ac:dyDescent="0.3">
      <c r="A244" t="s">
        <v>6233</v>
      </c>
      <c r="B244" t="s">
        <v>7575</v>
      </c>
      <c r="C244" t="s">
        <v>6960</v>
      </c>
      <c r="D244" t="str" cm="1">
        <f t="array" ref="D244">TRANSPOSE(_xlfn._xlws.FILTER('Controllable Asset Registry'!$A$4:$A$777,IFERROR('Controllable Asset Registry'!$E$4:$E$777=A244,FALSE),"No Equipment in entity"))</f>
        <v>VAV0118</v>
      </c>
    </row>
    <row r="245" spans="1:5" x14ac:dyDescent="0.3">
      <c r="A245" t="s">
        <v>6234</v>
      </c>
      <c r="B245" t="s">
        <v>7576</v>
      </c>
      <c r="C245" t="s">
        <v>6960</v>
      </c>
      <c r="D245" t="str" cm="1">
        <f t="array" ref="D245">TRANSPOSE(_xlfn._xlws.FILTER('Controllable Asset Registry'!$A$4:$A$777,IFERROR('Controllable Asset Registry'!$E$4:$E$777=A245,FALSE),"No Equipment in entity"))</f>
        <v>VAV0119</v>
      </c>
    </row>
    <row r="246" spans="1:5" x14ac:dyDescent="0.3">
      <c r="A246" t="s">
        <v>6235</v>
      </c>
      <c r="B246" t="s">
        <v>7577</v>
      </c>
      <c r="C246" t="s">
        <v>6960</v>
      </c>
      <c r="D246" t="str" cm="1">
        <f t="array" ref="D246">TRANSPOSE(_xlfn._xlws.FILTER('Controllable Asset Registry'!$A$4:$A$777,IFERROR('Controllable Asset Registry'!$E$4:$E$777=A246,FALSE),"No Equipment in entity"))</f>
        <v>VAV0120</v>
      </c>
    </row>
    <row r="247" spans="1:5" x14ac:dyDescent="0.3">
      <c r="A247" t="s">
        <v>6236</v>
      </c>
      <c r="B247" t="s">
        <v>7578</v>
      </c>
      <c r="C247" t="s">
        <v>6959</v>
      </c>
      <c r="D247" t="str" cm="1">
        <f t="array" ref="D247">TRANSPOSE(_xlfn._xlws.FILTER('Controllable Asset Registry'!$A$4:$A$777,IFERROR('Controllable Asset Registry'!$E$4:$E$777=A247,FALSE),"No Equipment in entity"))</f>
        <v>VAV0121</v>
      </c>
    </row>
    <row r="248" spans="1:5" x14ac:dyDescent="0.3">
      <c r="A248" t="s">
        <v>6237</v>
      </c>
      <c r="B248" t="s">
        <v>7579</v>
      </c>
      <c r="C248" t="s">
        <v>6960</v>
      </c>
      <c r="D248" t="str" cm="1">
        <f t="array" ref="D248">TRANSPOSE(_xlfn._xlws.FILTER('Controllable Asset Registry'!$A$4:$A$777,IFERROR('Controllable Asset Registry'!$E$4:$E$777=A248,FALSE),"No Equipment in entity"))</f>
        <v>VAV0122</v>
      </c>
    </row>
    <row r="249" spans="1:5" x14ac:dyDescent="0.3">
      <c r="A249" t="s">
        <v>6238</v>
      </c>
      <c r="B249" t="s">
        <v>7580</v>
      </c>
      <c r="C249" t="s">
        <v>6960</v>
      </c>
      <c r="D249" t="str" cm="1">
        <f t="array" ref="D249">TRANSPOSE(_xlfn._xlws.FILTER('Controllable Asset Registry'!$A$4:$A$777,IFERROR('Controllable Asset Registry'!$E$4:$E$777=A249,FALSE),"No Equipment in entity"))</f>
        <v>VAV0123</v>
      </c>
    </row>
    <row r="250" spans="1:5" x14ac:dyDescent="0.3">
      <c r="A250" t="s">
        <v>6239</v>
      </c>
      <c r="B250" t="s">
        <v>7581</v>
      </c>
      <c r="C250" t="s">
        <v>6960</v>
      </c>
      <c r="D250" t="str" cm="1">
        <f t="array" ref="D250">TRANSPOSE(_xlfn._xlws.FILTER('Controllable Asset Registry'!$A$4:$A$777,IFERROR('Controllable Asset Registry'!$E$4:$E$777=A250,FALSE),"No Equipment in entity"))</f>
        <v>VAV0124</v>
      </c>
    </row>
    <row r="251" spans="1:5" x14ac:dyDescent="0.3">
      <c r="A251" t="s">
        <v>6240</v>
      </c>
      <c r="B251" t="s">
        <v>7582</v>
      </c>
      <c r="C251" t="s">
        <v>6959</v>
      </c>
      <c r="D251" t="str" cm="1">
        <f t="array" ref="D251">TRANSPOSE(_xlfn._xlws.FILTER('Controllable Asset Registry'!$A$4:$A$777,IFERROR('Controllable Asset Registry'!$E$4:$E$777=A251,FALSE),"No Equipment in entity"))</f>
        <v>VAV0125</v>
      </c>
    </row>
    <row r="252" spans="1:5" x14ac:dyDescent="0.3">
      <c r="A252" t="s">
        <v>6241</v>
      </c>
      <c r="B252" t="s">
        <v>7583</v>
      </c>
      <c r="C252" t="s">
        <v>6960</v>
      </c>
      <c r="D252" t="str" cm="1">
        <f t="array" ref="D252">TRANSPOSE(_xlfn._xlws.FILTER('Controllable Asset Registry'!$A$4:$A$777,IFERROR('Controllable Asset Registry'!$E$4:$E$777=A252,FALSE),"No Equipment in entity"))</f>
        <v>VAV0126</v>
      </c>
    </row>
    <row r="253" spans="1:5" x14ac:dyDescent="0.3">
      <c r="A253" t="s">
        <v>6242</v>
      </c>
      <c r="B253" t="s">
        <v>7584</v>
      </c>
      <c r="C253" t="s">
        <v>6960</v>
      </c>
      <c r="D253" t="str" cm="1">
        <f t="array" ref="D253">TRANSPOSE(_xlfn._xlws.FILTER('Controllable Asset Registry'!$A$4:$A$777,IFERROR('Controllable Asset Registry'!$E$4:$E$777=A253,FALSE),"No Equipment in entity"))</f>
        <v>VAV0127</v>
      </c>
    </row>
    <row r="254" spans="1:5" x14ac:dyDescent="0.3">
      <c r="A254" t="s">
        <v>6249</v>
      </c>
      <c r="B254" t="s">
        <v>7585</v>
      </c>
      <c r="C254" t="s">
        <v>6962</v>
      </c>
      <c r="D254" t="str" cm="1">
        <f t="array" ref="D254">TRANSPOSE(_xlfn._xlws.FILTER('Controllable Asset Registry'!$A$4:$A$777,IFERROR('Controllable Asset Registry'!$E$4:$E$777=A254,FALSE),"No Equipment in entity"))</f>
        <v>VAV0137</v>
      </c>
    </row>
    <row r="255" spans="1:5" x14ac:dyDescent="0.3">
      <c r="A255" t="s">
        <v>6077</v>
      </c>
      <c r="B255" t="s">
        <v>7586</v>
      </c>
      <c r="C255" t="s">
        <v>6936</v>
      </c>
      <c r="D255" t="str" cm="1">
        <f t="array" ref="D255">TRANSPOSE(_xlfn._xlws.FILTER('Controllable Asset Registry'!$A$4:$A$777,IFERROR('Controllable Asset Registry'!$E$4:$E$777=A255,FALSE),"No Equipment in entity"))</f>
        <v>FCU0028</v>
      </c>
    </row>
    <row r="256" spans="1:5" x14ac:dyDescent="0.3">
      <c r="A256" t="s">
        <v>6248</v>
      </c>
      <c r="B256" t="s">
        <v>7587</v>
      </c>
      <c r="C256" t="s">
        <v>6962</v>
      </c>
      <c r="D256" t="str" cm="1">
        <f t="array" ref="D256:E256">TRANSPOSE(_xlfn._xlws.FILTER('Controllable Asset Registry'!$A$4:$A$777,IFERROR('Controllable Asset Registry'!$E$4:$E$777=A256,FALSE),"No Equipment in entity"))</f>
        <v>VAV0135</v>
      </c>
      <c r="E256" t="str">
        <v>VAV0136</v>
      </c>
    </row>
    <row r="257" spans="1:6" x14ac:dyDescent="0.3">
      <c r="A257" t="s">
        <v>6247</v>
      </c>
      <c r="B257" t="s">
        <v>7588</v>
      </c>
      <c r="C257" t="s">
        <v>5992</v>
      </c>
      <c r="D257" t="str" cm="1">
        <f t="array" ref="D257">TRANSPOSE(_xlfn._xlws.FILTER('Controllable Asset Registry'!$A$4:$A$777,IFERROR('Controllable Asset Registry'!$E$4:$E$777=A257,FALSE),"No Equipment in entity"))</f>
        <v>VAV0134</v>
      </c>
    </row>
    <row r="258" spans="1:6" x14ac:dyDescent="0.3">
      <c r="A258" t="s">
        <v>6963</v>
      </c>
      <c r="B258" t="s">
        <v>7589</v>
      </c>
      <c r="C258" t="s">
        <v>6807</v>
      </c>
      <c r="D258" t="str" cm="1">
        <f t="array" ref="D258">TRANSPOSE(_xlfn._xlws.FILTER('Controllable Asset Registry'!$A$4:$A$777,IFERROR('Controllable Asset Registry'!$E$4:$E$777=A258,FALSE),"No Equipment in entity"))</f>
        <v>No Equipment in entity</v>
      </c>
    </row>
    <row r="259" spans="1:6" x14ac:dyDescent="0.3">
      <c r="A259" t="s">
        <v>6964</v>
      </c>
      <c r="B259" t="s">
        <v>7590</v>
      </c>
      <c r="C259" t="s">
        <v>6965</v>
      </c>
      <c r="D259" t="str" cm="1">
        <f t="array" ref="D259">TRANSPOSE(_xlfn._xlws.FILTER('Controllable Asset Registry'!$A$4:$A$777,IFERROR('Controllable Asset Registry'!$E$4:$E$777=A259,FALSE),"No Equipment in entity"))</f>
        <v>No Equipment in entity</v>
      </c>
    </row>
    <row r="260" spans="1:6" x14ac:dyDescent="0.3">
      <c r="A260" t="s">
        <v>6246</v>
      </c>
      <c r="B260" t="s">
        <v>7591</v>
      </c>
      <c r="C260" t="s">
        <v>6966</v>
      </c>
      <c r="D260" t="str" cm="1">
        <f t="array" ref="D260:E260">TRANSPOSE(_xlfn._xlws.FILTER('Controllable Asset Registry'!$A$4:$A$777,IFERROR('Controllable Asset Registry'!$E$4:$E$777=A260,FALSE),"No Equipment in entity"))</f>
        <v>VAV0132</v>
      </c>
      <c r="E260" t="str">
        <v>VAV0133</v>
      </c>
    </row>
    <row r="261" spans="1:6" x14ac:dyDescent="0.3">
      <c r="A261" t="s">
        <v>6245</v>
      </c>
      <c r="B261" t="s">
        <v>7592</v>
      </c>
      <c r="C261" t="s">
        <v>6967</v>
      </c>
      <c r="D261" t="str" cm="1">
        <f t="array" ref="D261">TRANSPOSE(_xlfn._xlws.FILTER('Controllable Asset Registry'!$A$4:$A$777,IFERROR('Controllable Asset Registry'!$E$4:$E$777=A261,FALSE),"No Equipment in entity"))</f>
        <v>VAV0131</v>
      </c>
    </row>
    <row r="262" spans="1:6" x14ac:dyDescent="0.3">
      <c r="A262" t="s">
        <v>6968</v>
      </c>
      <c r="B262" t="s">
        <v>7593</v>
      </c>
      <c r="C262" t="s">
        <v>6967</v>
      </c>
      <c r="D262" t="str" cm="1">
        <f t="array" ref="D262">TRANSPOSE(_xlfn._xlws.FILTER('Controllable Asset Registry'!$A$4:$A$777,IFERROR('Controllable Asset Registry'!$E$4:$E$777=A262,FALSE),"No Equipment in entity"))</f>
        <v>No Equipment in entity</v>
      </c>
    </row>
    <row r="263" spans="1:6" x14ac:dyDescent="0.3">
      <c r="A263" t="s">
        <v>6969</v>
      </c>
      <c r="B263" t="s">
        <v>7594</v>
      </c>
      <c r="C263" t="s">
        <v>6714</v>
      </c>
      <c r="D263" t="str" cm="1">
        <f t="array" ref="D263">TRANSPOSE(_xlfn._xlws.FILTER('Controllable Asset Registry'!$A$4:$A$777,IFERROR('Controllable Asset Registry'!$E$4:$E$777=A263,FALSE),"No Equipment in entity"))</f>
        <v>No Equipment in entity</v>
      </c>
    </row>
    <row r="264" spans="1:6" x14ac:dyDescent="0.3">
      <c r="A264" t="s">
        <v>6088</v>
      </c>
      <c r="B264" t="s">
        <v>7595</v>
      </c>
      <c r="C264" t="s">
        <v>6970</v>
      </c>
      <c r="D264" t="str" cm="1">
        <f t="array" ref="D264:F264">TRANSPOSE(_xlfn._xlws.FILTER('Controllable Asset Registry'!$A$4:$A$777,IFERROR('Controllable Asset Registry'!$E$4:$E$777=A264,FALSE),"No Equipment in entity"))</f>
        <v>FCU0045</v>
      </c>
      <c r="E264" t="str">
        <v>FCU0046</v>
      </c>
      <c r="F264" t="str">
        <v>FCU0047</v>
      </c>
    </row>
    <row r="265" spans="1:6" x14ac:dyDescent="0.3">
      <c r="A265" t="s">
        <v>6089</v>
      </c>
      <c r="B265" t="s">
        <v>7596</v>
      </c>
      <c r="C265" t="s">
        <v>6971</v>
      </c>
      <c r="D265" t="str" cm="1">
        <f t="array" ref="D265">TRANSPOSE(_xlfn._xlws.FILTER('Controllable Asset Registry'!$A$4:$A$777,IFERROR('Controllable Asset Registry'!$E$4:$E$777=A265,FALSE),"No Equipment in entity"))</f>
        <v>FCU0048</v>
      </c>
    </row>
    <row r="266" spans="1:6" x14ac:dyDescent="0.3">
      <c r="A266" t="s">
        <v>6090</v>
      </c>
      <c r="B266" t="s">
        <v>7597</v>
      </c>
      <c r="C266" t="s">
        <v>6972</v>
      </c>
      <c r="D266" t="str" cm="1">
        <f t="array" ref="D266">TRANSPOSE(_xlfn._xlws.FILTER('Controllable Asset Registry'!$A$4:$A$777,IFERROR('Controllable Asset Registry'!$E$4:$E$777=A266,FALSE),"No Equipment in entity"))</f>
        <v>FCU0049</v>
      </c>
    </row>
    <row r="267" spans="1:6" x14ac:dyDescent="0.3">
      <c r="A267" t="s">
        <v>6091</v>
      </c>
      <c r="B267" t="s">
        <v>7598</v>
      </c>
      <c r="C267" t="s">
        <v>6973</v>
      </c>
      <c r="D267" t="str" cm="1">
        <f t="array" ref="D267">TRANSPOSE(_xlfn._xlws.FILTER('Controllable Asset Registry'!$A$4:$A$777,IFERROR('Controllable Asset Registry'!$E$4:$E$777=A267,FALSE),"No Equipment in entity"))</f>
        <v>FCU0050</v>
      </c>
    </row>
    <row r="268" spans="1:6" x14ac:dyDescent="0.3">
      <c r="A268" t="s">
        <v>6092</v>
      </c>
      <c r="B268" t="s">
        <v>7599</v>
      </c>
      <c r="C268" t="s">
        <v>6974</v>
      </c>
      <c r="D268" t="str" cm="1">
        <f t="array" ref="D268:E268">TRANSPOSE(_xlfn._xlws.FILTER('Controllable Asset Registry'!$A$4:$A$777,IFERROR('Controllable Asset Registry'!$E$4:$E$777=A268,FALSE),"No Equipment in entity"))</f>
        <v>FCU0051</v>
      </c>
      <c r="E268" t="str">
        <v>FCU0052</v>
      </c>
    </row>
    <row r="269" spans="1:6" x14ac:dyDescent="0.3">
      <c r="A269" t="s">
        <v>6093</v>
      </c>
      <c r="B269" t="s">
        <v>7600</v>
      </c>
      <c r="C269" t="s">
        <v>6975</v>
      </c>
      <c r="D269" t="str" cm="1">
        <f t="array" ref="D269">TRANSPOSE(_xlfn._xlws.FILTER('Controllable Asset Registry'!$A$4:$A$777,IFERROR('Controllable Asset Registry'!$E$4:$E$777=A269,FALSE),"No Equipment in entity"))</f>
        <v>FCU0053</v>
      </c>
    </row>
    <row r="270" spans="1:6" x14ac:dyDescent="0.3">
      <c r="A270" t="s">
        <v>6078</v>
      </c>
      <c r="B270" t="s">
        <v>7601</v>
      </c>
      <c r="C270" t="s">
        <v>6976</v>
      </c>
      <c r="D270" t="str" cm="1">
        <f t="array" ref="D270:E270">TRANSPOSE(_xlfn._xlws.FILTER('Controllable Asset Registry'!$A$4:$A$777,IFERROR('Controllable Asset Registry'!$E$4:$E$777=A270,FALSE),"No Equipment in entity"))</f>
        <v>FCU0029</v>
      </c>
      <c r="E270" t="str">
        <v>FCU0030</v>
      </c>
    </row>
    <row r="271" spans="1:6" x14ac:dyDescent="0.3">
      <c r="A271" t="s">
        <v>6079</v>
      </c>
      <c r="B271" t="s">
        <v>7602</v>
      </c>
      <c r="C271" t="s">
        <v>6977</v>
      </c>
      <c r="D271" t="str" cm="1">
        <f t="array" ref="D271:F271">TRANSPOSE(_xlfn._xlws.FILTER('Controllable Asset Registry'!$A$4:$A$777,IFERROR('Controllable Asset Registry'!$E$4:$E$777=A271,FALSE),"No Equipment in entity"))</f>
        <v>FCU0031</v>
      </c>
      <c r="E271" t="str">
        <v>FCU0032</v>
      </c>
      <c r="F271" t="str">
        <v>FCU0033</v>
      </c>
    </row>
    <row r="272" spans="1:6" x14ac:dyDescent="0.3">
      <c r="A272" t="s">
        <v>6080</v>
      </c>
      <c r="B272" t="s">
        <v>7603</v>
      </c>
      <c r="C272" t="s">
        <v>6978</v>
      </c>
      <c r="D272" t="str" cm="1">
        <f t="array" ref="D272">TRANSPOSE(_xlfn._xlws.FILTER('Controllable Asset Registry'!$A$4:$A$777,IFERROR('Controllable Asset Registry'!$E$4:$E$777=A272,FALSE),"No Equipment in entity"))</f>
        <v>FCU0034</v>
      </c>
    </row>
    <row r="273" spans="1:6" x14ac:dyDescent="0.3">
      <c r="A273" t="s">
        <v>6081</v>
      </c>
      <c r="B273" t="s">
        <v>7604</v>
      </c>
      <c r="C273" t="s">
        <v>6979</v>
      </c>
      <c r="D273" t="str" cm="1">
        <f t="array" ref="D273">TRANSPOSE(_xlfn._xlws.FILTER('Controllable Asset Registry'!$A$4:$A$777,IFERROR('Controllable Asset Registry'!$E$4:$E$777=A273,FALSE),"No Equipment in entity"))</f>
        <v>FCU0035</v>
      </c>
    </row>
    <row r="274" spans="1:6" x14ac:dyDescent="0.3">
      <c r="A274" t="s">
        <v>6082</v>
      </c>
      <c r="B274" t="s">
        <v>7605</v>
      </c>
      <c r="C274" t="s">
        <v>6980</v>
      </c>
      <c r="D274" t="str" cm="1">
        <f t="array" ref="D274:E274">TRANSPOSE(_xlfn._xlws.FILTER('Controllable Asset Registry'!$A$4:$A$777,IFERROR('Controllable Asset Registry'!$E$4:$E$777=A274,FALSE),"No Equipment in entity"))</f>
        <v>FCU0036</v>
      </c>
      <c r="E274" t="str">
        <v>FCU0037</v>
      </c>
    </row>
    <row r="275" spans="1:6" x14ac:dyDescent="0.3">
      <c r="A275" t="s">
        <v>6083</v>
      </c>
      <c r="B275" t="s">
        <v>7606</v>
      </c>
      <c r="C275" t="s">
        <v>6981</v>
      </c>
      <c r="D275" t="str" cm="1">
        <f t="array" ref="D275">TRANSPOSE(_xlfn._xlws.FILTER('Controllable Asset Registry'!$A$4:$A$777,IFERROR('Controllable Asset Registry'!$E$4:$E$777=A275,FALSE),"No Equipment in entity"))</f>
        <v>FCU0038</v>
      </c>
    </row>
    <row r="276" spans="1:6" x14ac:dyDescent="0.3">
      <c r="A276" t="s">
        <v>6084</v>
      </c>
      <c r="B276" t="s">
        <v>7607</v>
      </c>
      <c r="C276" t="s">
        <v>6982</v>
      </c>
      <c r="D276" t="str" cm="1">
        <f t="array" ref="D276:E276">TRANSPOSE(_xlfn._xlws.FILTER('Controllable Asset Registry'!$A$4:$A$777,IFERROR('Controllable Asset Registry'!$E$4:$E$777=A276,FALSE),"No Equipment in entity"))</f>
        <v>FCU0039</v>
      </c>
      <c r="E276" t="str">
        <v>FCU0040</v>
      </c>
    </row>
    <row r="277" spans="1:6" x14ac:dyDescent="0.3">
      <c r="A277" t="s">
        <v>6085</v>
      </c>
      <c r="B277" t="s">
        <v>7608</v>
      </c>
      <c r="C277" t="s">
        <v>6983</v>
      </c>
      <c r="D277" t="str" cm="1">
        <f t="array" ref="D277">TRANSPOSE(_xlfn._xlws.FILTER('Controllable Asset Registry'!$A$4:$A$777,IFERROR('Controllable Asset Registry'!$E$4:$E$777=A277,FALSE),"No Equipment in entity"))</f>
        <v>FCU0041</v>
      </c>
    </row>
    <row r="278" spans="1:6" x14ac:dyDescent="0.3">
      <c r="A278" t="s">
        <v>6086</v>
      </c>
      <c r="B278" t="s">
        <v>7609</v>
      </c>
      <c r="C278" t="s">
        <v>6984</v>
      </c>
      <c r="D278" t="str" cm="1">
        <f t="array" ref="D278">TRANSPOSE(_xlfn._xlws.FILTER('Controllable Asset Registry'!$A$4:$A$777,IFERROR('Controllable Asset Registry'!$E$4:$E$777=A278,FALSE),"No Equipment in entity"))</f>
        <v>FCU0042</v>
      </c>
    </row>
    <row r="279" spans="1:6" x14ac:dyDescent="0.3">
      <c r="A279" t="s">
        <v>6087</v>
      </c>
      <c r="B279" t="s">
        <v>7610</v>
      </c>
      <c r="C279" t="s">
        <v>6985</v>
      </c>
      <c r="D279" t="str" cm="1">
        <f t="array" ref="D279:E279">TRANSPOSE(_xlfn._xlws.FILTER('Controllable Asset Registry'!$A$4:$A$777,IFERROR('Controllable Asset Registry'!$E$4:$E$777=A279,FALSE),"No Equipment in entity"))</f>
        <v>FCU0043</v>
      </c>
      <c r="E279" t="str">
        <v>FCU0044</v>
      </c>
    </row>
    <row r="280" spans="1:6" x14ac:dyDescent="0.3">
      <c r="A280" t="s">
        <v>6986</v>
      </c>
      <c r="B280" t="s">
        <v>7611</v>
      </c>
      <c r="C280" t="s">
        <v>6987</v>
      </c>
      <c r="D280" t="str" cm="1">
        <f t="array" ref="D280">TRANSPOSE(_xlfn._xlws.FILTER('Controllable Asset Registry'!$A$4:$A$777,IFERROR('Controllable Asset Registry'!$E$4:$E$777=A280,FALSE),"No Equipment in entity"))</f>
        <v>No Equipment in entity</v>
      </c>
    </row>
    <row r="281" spans="1:6" x14ac:dyDescent="0.3">
      <c r="A281" t="s">
        <v>6988</v>
      </c>
      <c r="B281" t="s">
        <v>7612</v>
      </c>
      <c r="C281" t="s">
        <v>6987</v>
      </c>
      <c r="D281" t="str" cm="1">
        <f t="array" ref="D281">TRANSPOSE(_xlfn._xlws.FILTER('Controllable Asset Registry'!$A$4:$A$777,IFERROR('Controllable Asset Registry'!$E$4:$E$777=A281,FALSE),"No Equipment in entity"))</f>
        <v>No Equipment in entity</v>
      </c>
    </row>
    <row r="282" spans="1:6" x14ac:dyDescent="0.3">
      <c r="A282" t="s">
        <v>6989</v>
      </c>
      <c r="B282" t="s">
        <v>7613</v>
      </c>
      <c r="C282" t="s">
        <v>6987</v>
      </c>
      <c r="D282" t="str" cm="1">
        <f t="array" ref="D282">TRANSPOSE(_xlfn._xlws.FILTER('Controllable Asset Registry'!$A$4:$A$777,IFERROR('Controllable Asset Registry'!$E$4:$E$777=A282,FALSE),"No Equipment in entity"))</f>
        <v>No Equipment in entity</v>
      </c>
    </row>
    <row r="283" spans="1:6" x14ac:dyDescent="0.3">
      <c r="A283" t="s">
        <v>6990</v>
      </c>
      <c r="B283" t="s">
        <v>7614</v>
      </c>
      <c r="C283" t="s">
        <v>6991</v>
      </c>
      <c r="D283" t="str" cm="1">
        <f t="array" ref="D283">TRANSPOSE(_xlfn._xlws.FILTER('Controllable Asset Registry'!$A$4:$A$777,IFERROR('Controllable Asset Registry'!$E$4:$E$777=A283,FALSE),"No Equipment in entity"))</f>
        <v>No Equipment in entity</v>
      </c>
    </row>
    <row r="284" spans="1:6" x14ac:dyDescent="0.3">
      <c r="A284" t="s">
        <v>6992</v>
      </c>
      <c r="B284" t="s">
        <v>7615</v>
      </c>
      <c r="C284" t="s">
        <v>6993</v>
      </c>
      <c r="D284" t="str" cm="1">
        <f t="array" ref="D284">TRANSPOSE(_xlfn._xlws.FILTER('Controllable Asset Registry'!$A$4:$A$777,IFERROR('Controllable Asset Registry'!$E$4:$E$777=A284,FALSE),"No Equipment in entity"))</f>
        <v>No Equipment in entity</v>
      </c>
    </row>
    <row r="285" spans="1:6" x14ac:dyDescent="0.3">
      <c r="A285" t="s">
        <v>6047</v>
      </c>
      <c r="B285" t="s">
        <v>7616</v>
      </c>
      <c r="C285" t="s">
        <v>6994</v>
      </c>
      <c r="D285" t="str" cm="1">
        <f t="array" ref="D285:F285">TRANSPOSE(_xlfn._xlws.FILTER('Controllable Asset Registry'!$A$4:$A$777,IFERROR('Controllable Asset Registry'!$E$4:$E$777=A285,FALSE),"No Equipment in entity"))</f>
        <v>AHU2_0001</v>
      </c>
      <c r="E285" t="str">
        <v>FCU0057</v>
      </c>
      <c r="F285" t="str">
        <v>FCU0058</v>
      </c>
    </row>
    <row r="286" spans="1:6" x14ac:dyDescent="0.3">
      <c r="A286" t="s">
        <v>6995</v>
      </c>
      <c r="B286" t="s">
        <v>7617</v>
      </c>
      <c r="C286" t="s">
        <v>6993</v>
      </c>
      <c r="D286" t="str" cm="1">
        <f t="array" ref="D286">TRANSPOSE(_xlfn._xlws.FILTER('Controllable Asset Registry'!$A$4:$A$777,IFERROR('Controllable Asset Registry'!$E$4:$E$777=A286,FALSE),"No Equipment in entity"))</f>
        <v>No Equipment in entity</v>
      </c>
    </row>
    <row r="287" spans="1:6" x14ac:dyDescent="0.3">
      <c r="A287" t="s">
        <v>6996</v>
      </c>
      <c r="B287" t="s">
        <v>7618</v>
      </c>
      <c r="C287" t="s">
        <v>6997</v>
      </c>
      <c r="D287" t="str" cm="1">
        <f t="array" ref="D287">TRANSPOSE(_xlfn._xlws.FILTER('Controllable Asset Registry'!$A$4:$A$777,IFERROR('Controllable Asset Registry'!$E$4:$E$777=A287,FALSE),"No Equipment in entity"))</f>
        <v>No Equipment in entity</v>
      </c>
    </row>
    <row r="288" spans="1:6" x14ac:dyDescent="0.3">
      <c r="A288" t="s">
        <v>6998</v>
      </c>
      <c r="B288" t="s">
        <v>7619</v>
      </c>
      <c r="C288" t="s">
        <v>6999</v>
      </c>
      <c r="D288" t="str" cm="1">
        <f t="array" ref="D288">TRANSPOSE(_xlfn._xlws.FILTER('Controllable Asset Registry'!$A$4:$A$777,IFERROR('Controllable Asset Registry'!$E$4:$E$777=A288,FALSE),"No Equipment in entity"))</f>
        <v>No Equipment in entity</v>
      </c>
    </row>
    <row r="289" spans="1:4" x14ac:dyDescent="0.3">
      <c r="A289" t="s">
        <v>7000</v>
      </c>
      <c r="B289" t="s">
        <v>7620</v>
      </c>
      <c r="C289" t="s">
        <v>7001</v>
      </c>
      <c r="D289" t="str" cm="1">
        <f t="array" ref="D289">TRANSPOSE(_xlfn._xlws.FILTER('Controllable Asset Registry'!$A$4:$A$777,IFERROR('Controllable Asset Registry'!$E$4:$E$777=A289,FALSE),"No Equipment in entity"))</f>
        <v>No Equipment in entity</v>
      </c>
    </row>
    <row r="290" spans="1:4" x14ac:dyDescent="0.3">
      <c r="A290" t="s">
        <v>7002</v>
      </c>
      <c r="B290" t="s">
        <v>7621</v>
      </c>
      <c r="C290" t="s">
        <v>7003</v>
      </c>
      <c r="D290" t="str" cm="1">
        <f t="array" ref="D290">TRANSPOSE(_xlfn._xlws.FILTER('Controllable Asset Registry'!$A$4:$A$777,IFERROR('Controllable Asset Registry'!$E$4:$E$777=A290,FALSE),"No Equipment in entity"))</f>
        <v>No Equipment in entity</v>
      </c>
    </row>
    <row r="291" spans="1:4" x14ac:dyDescent="0.3">
      <c r="A291" t="s">
        <v>7004</v>
      </c>
      <c r="B291" t="s">
        <v>7622</v>
      </c>
      <c r="C291" t="s">
        <v>7005</v>
      </c>
      <c r="D291" t="str" cm="1">
        <f t="array" ref="D291">TRANSPOSE(_xlfn._xlws.FILTER('Controllable Asset Registry'!$A$4:$A$777,IFERROR('Controllable Asset Registry'!$E$4:$E$777=A291,FALSE),"No Equipment in entity"))</f>
        <v>No Equipment in entity</v>
      </c>
    </row>
    <row r="292" spans="1:4" x14ac:dyDescent="0.3">
      <c r="A292" t="s">
        <v>7006</v>
      </c>
      <c r="B292" t="s">
        <v>7623</v>
      </c>
      <c r="C292" t="s">
        <v>7007</v>
      </c>
      <c r="D292" t="str" cm="1">
        <f t="array" ref="D292">TRANSPOSE(_xlfn._xlws.FILTER('Controllable Asset Registry'!$A$4:$A$777,IFERROR('Controllable Asset Registry'!$E$4:$E$777=A292,FALSE),"No Equipment in entity"))</f>
        <v>No Equipment in entity</v>
      </c>
    </row>
    <row r="293" spans="1:4" x14ac:dyDescent="0.3">
      <c r="A293" t="s">
        <v>7008</v>
      </c>
      <c r="B293" t="s">
        <v>7624</v>
      </c>
      <c r="C293" t="s">
        <v>7009</v>
      </c>
      <c r="D293" t="str" cm="1">
        <f t="array" ref="D293">TRANSPOSE(_xlfn._xlws.FILTER('Controllable Asset Registry'!$A$4:$A$777,IFERROR('Controllable Asset Registry'!$E$4:$E$777=A293,FALSE),"No Equipment in entity"))</f>
        <v>No Equipment in entity</v>
      </c>
    </row>
    <row r="294" spans="1:4" x14ac:dyDescent="0.3">
      <c r="A294" t="s">
        <v>7010</v>
      </c>
      <c r="B294" t="s">
        <v>7625</v>
      </c>
      <c r="C294" t="s">
        <v>7011</v>
      </c>
      <c r="D294" t="str" cm="1">
        <f t="array" ref="D294">TRANSPOSE(_xlfn._xlws.FILTER('Controllable Asset Registry'!$A$4:$A$777,IFERROR('Controllable Asset Registry'!$E$4:$E$777=A294,FALSE),"No Equipment in entity"))</f>
        <v>No Equipment in entity</v>
      </c>
    </row>
    <row r="295" spans="1:4" x14ac:dyDescent="0.3">
      <c r="A295" t="s">
        <v>7012</v>
      </c>
      <c r="B295" t="s">
        <v>7626</v>
      </c>
      <c r="C295" t="s">
        <v>7007</v>
      </c>
      <c r="D295" t="str" cm="1">
        <f t="array" ref="D295">TRANSPOSE(_xlfn._xlws.FILTER('Controllable Asset Registry'!$A$4:$A$777,IFERROR('Controllable Asset Registry'!$E$4:$E$777=A295,FALSE),"No Equipment in entity"))</f>
        <v>No Equipment in entity</v>
      </c>
    </row>
    <row r="296" spans="1:4" x14ac:dyDescent="0.3">
      <c r="A296" t="s">
        <v>7013</v>
      </c>
      <c r="B296" t="s">
        <v>7627</v>
      </c>
      <c r="C296" t="s">
        <v>7005</v>
      </c>
      <c r="D296" t="str" cm="1">
        <f t="array" ref="D296">TRANSPOSE(_xlfn._xlws.FILTER('Controllable Asset Registry'!$A$4:$A$777,IFERROR('Controllable Asset Registry'!$E$4:$E$777=A296,FALSE),"No Equipment in entity"))</f>
        <v>No Equipment in entity</v>
      </c>
    </row>
    <row r="297" spans="1:4" x14ac:dyDescent="0.3">
      <c r="A297" t="s">
        <v>7014</v>
      </c>
      <c r="B297" t="s">
        <v>7628</v>
      </c>
      <c r="C297" t="s">
        <v>7003</v>
      </c>
      <c r="D297" t="str" cm="1">
        <f t="array" ref="D297">TRANSPOSE(_xlfn._xlws.FILTER('Controllable Asset Registry'!$A$4:$A$777,IFERROR('Controllable Asset Registry'!$E$4:$E$777=A297,FALSE),"No Equipment in entity"))</f>
        <v>No Equipment in entity</v>
      </c>
    </row>
    <row r="298" spans="1:4" x14ac:dyDescent="0.3">
      <c r="A298" t="s">
        <v>7015</v>
      </c>
      <c r="B298" t="s">
        <v>7629</v>
      </c>
      <c r="C298" t="s">
        <v>7001</v>
      </c>
      <c r="D298" t="str" cm="1">
        <f t="array" ref="D298">TRANSPOSE(_xlfn._xlws.FILTER('Controllable Asset Registry'!$A$4:$A$777,IFERROR('Controllable Asset Registry'!$E$4:$E$777=A298,FALSE),"No Equipment in entity"))</f>
        <v>No Equipment in entity</v>
      </c>
    </row>
    <row r="299" spans="1:4" x14ac:dyDescent="0.3">
      <c r="A299" t="s">
        <v>7016</v>
      </c>
      <c r="B299" t="s">
        <v>7630</v>
      </c>
      <c r="C299" t="s">
        <v>6999</v>
      </c>
      <c r="D299" t="str" cm="1">
        <f t="array" ref="D299">TRANSPOSE(_xlfn._xlws.FILTER('Controllable Asset Registry'!$A$4:$A$777,IFERROR('Controllable Asset Registry'!$E$4:$E$777=A299,FALSE),"No Equipment in entity"))</f>
        <v>No Equipment in entity</v>
      </c>
    </row>
    <row r="300" spans="1:4" x14ac:dyDescent="0.3">
      <c r="A300" t="s">
        <v>7017</v>
      </c>
      <c r="B300" t="s">
        <v>7631</v>
      </c>
      <c r="C300" t="s">
        <v>7009</v>
      </c>
      <c r="D300" t="str" cm="1">
        <f t="array" ref="D300">TRANSPOSE(_xlfn._xlws.FILTER('Controllable Asset Registry'!$A$4:$A$777,IFERROR('Controllable Asset Registry'!$E$4:$E$777=A300,FALSE),"No Equipment in entity"))</f>
        <v>No Equipment in entity</v>
      </c>
    </row>
    <row r="301" spans="1:4" x14ac:dyDescent="0.3">
      <c r="A301" t="s">
        <v>7018</v>
      </c>
      <c r="B301" t="s">
        <v>7632</v>
      </c>
      <c r="C301" t="s">
        <v>7009</v>
      </c>
      <c r="D301" t="str" cm="1">
        <f t="array" ref="D301">TRANSPOSE(_xlfn._xlws.FILTER('Controllable Asset Registry'!$A$4:$A$777,IFERROR('Controllable Asset Registry'!$E$4:$E$777=A301,FALSE),"No Equipment in entity"))</f>
        <v>No Equipment in entity</v>
      </c>
    </row>
    <row r="302" spans="1:4" x14ac:dyDescent="0.3">
      <c r="A302" t="s">
        <v>7019</v>
      </c>
      <c r="B302" t="s">
        <v>7633</v>
      </c>
      <c r="C302" t="s">
        <v>6725</v>
      </c>
      <c r="D302" t="str" cm="1">
        <f t="array" ref="D302">TRANSPOSE(_xlfn._xlws.FILTER('Controllable Asset Registry'!$A$4:$A$777,IFERROR('Controllable Asset Registry'!$E$4:$E$777=A302,FALSE),"No Equipment in entity"))</f>
        <v>No Equipment in entity</v>
      </c>
    </row>
    <row r="303" spans="1:4" x14ac:dyDescent="0.3">
      <c r="A303" t="s">
        <v>7020</v>
      </c>
      <c r="B303" t="s">
        <v>7634</v>
      </c>
      <c r="C303" t="s">
        <v>6728</v>
      </c>
      <c r="D303" t="str" cm="1">
        <f t="array" ref="D303">TRANSPOSE(_xlfn._xlws.FILTER('Controllable Asset Registry'!$A$4:$A$777,IFERROR('Controllable Asset Registry'!$E$4:$E$777=A303,FALSE),"No Equipment in entity"))</f>
        <v>No Equipment in entity</v>
      </c>
    </row>
    <row r="304" spans="1:4" x14ac:dyDescent="0.3">
      <c r="A304" t="s">
        <v>7021</v>
      </c>
      <c r="B304" t="s">
        <v>7635</v>
      </c>
      <c r="C304" t="s">
        <v>6725</v>
      </c>
      <c r="D304" t="str" cm="1">
        <f t="array" ref="D304">TRANSPOSE(_xlfn._xlws.FILTER('Controllable Asset Registry'!$A$4:$A$777,IFERROR('Controllable Asset Registry'!$E$4:$E$777=A304,FALSE),"No Equipment in entity"))</f>
        <v>No Equipment in entity</v>
      </c>
    </row>
    <row r="305" spans="1:6" x14ac:dyDescent="0.3">
      <c r="A305" t="s">
        <v>7022</v>
      </c>
      <c r="B305" t="s">
        <v>7636</v>
      </c>
      <c r="C305" t="s">
        <v>6728</v>
      </c>
      <c r="D305" t="str" cm="1">
        <f t="array" ref="D305">TRANSPOSE(_xlfn._xlws.FILTER('Controllable Asset Registry'!$A$4:$A$777,IFERROR('Controllable Asset Registry'!$E$4:$E$777=A305,FALSE),"No Equipment in entity"))</f>
        <v>No Equipment in entity</v>
      </c>
    </row>
    <row r="306" spans="1:6" x14ac:dyDescent="0.3">
      <c r="A306" t="s">
        <v>7023</v>
      </c>
      <c r="B306" t="s">
        <v>7637</v>
      </c>
      <c r="C306" t="s">
        <v>5861</v>
      </c>
      <c r="D306" t="str" cm="1">
        <f t="array" ref="D306">TRANSPOSE(_xlfn._xlws.FILTER('Controllable Asset Registry'!$A$4:$A$777,IFERROR('Controllable Asset Registry'!$E$4:$E$777=A306,FALSE),"No Equipment in entity"))</f>
        <v>No Equipment in entity</v>
      </c>
    </row>
    <row r="307" spans="1:6" x14ac:dyDescent="0.3">
      <c r="A307" t="s">
        <v>7024</v>
      </c>
      <c r="B307" t="s">
        <v>7638</v>
      </c>
      <c r="C307" t="s">
        <v>7025</v>
      </c>
      <c r="D307" t="str" cm="1">
        <f t="array" ref="D307">TRANSPOSE(_xlfn._xlws.FILTER('Controllable Asset Registry'!$A$4:$A$777,IFERROR('Controllable Asset Registry'!$E$4:$E$777=A307,FALSE),"No Equipment in entity"))</f>
        <v>No Equipment in entity</v>
      </c>
    </row>
    <row r="308" spans="1:6" x14ac:dyDescent="0.3">
      <c r="A308" t="s">
        <v>7026</v>
      </c>
      <c r="B308" t="s">
        <v>7639</v>
      </c>
      <c r="C308" t="s">
        <v>7027</v>
      </c>
      <c r="D308" t="str" cm="1">
        <f t="array" ref="D308">TRANSPOSE(_xlfn._xlws.FILTER('Controllable Asset Registry'!$A$4:$A$777,IFERROR('Controllable Asset Registry'!$E$4:$E$777=A308,FALSE),"No Equipment in entity"))</f>
        <v>No Equipment in entity</v>
      </c>
    </row>
    <row r="309" spans="1:6" x14ac:dyDescent="0.3">
      <c r="A309" t="s">
        <v>6095</v>
      </c>
      <c r="B309" t="s">
        <v>7640</v>
      </c>
      <c r="C309" t="s">
        <v>7028</v>
      </c>
      <c r="D309" t="str" cm="1">
        <f t="array" ref="D309">TRANSPOSE(_xlfn._xlws.FILTER('Controllable Asset Registry'!$A$4:$A$777,IFERROR('Controllable Asset Registry'!$E$4:$E$777=A309,FALSE),"No Equipment in entity"))</f>
        <v>FCU0056</v>
      </c>
    </row>
    <row r="310" spans="1:6" x14ac:dyDescent="0.3">
      <c r="A310" t="s">
        <v>7029</v>
      </c>
      <c r="B310" t="s">
        <v>7641</v>
      </c>
      <c r="C310" t="s">
        <v>5858</v>
      </c>
      <c r="D310" t="str" cm="1">
        <f t="array" ref="D310">TRANSPOSE(_xlfn._xlws.FILTER('Controllable Asset Registry'!$A$4:$A$777,IFERROR('Controllable Asset Registry'!$E$4:$E$777=A310,FALSE),"No Equipment in entity"))</f>
        <v>No Equipment in entity</v>
      </c>
    </row>
    <row r="311" spans="1:6" x14ac:dyDescent="0.3">
      <c r="A311" t="s">
        <v>6075</v>
      </c>
      <c r="B311" t="s">
        <v>7642</v>
      </c>
      <c r="C311" t="s">
        <v>6734</v>
      </c>
      <c r="D311" t="str" cm="1">
        <f t="array" ref="D311:E311">TRANSPOSE(_xlfn._xlws.FILTER('Controllable Asset Registry'!$A$4:$A$777,IFERROR('Controllable Asset Registry'!$E$4:$E$777=A311,FALSE),"No Equipment in entity"))</f>
        <v>FCU0023</v>
      </c>
      <c r="E311" t="str">
        <v>FCU0024</v>
      </c>
    </row>
    <row r="312" spans="1:6" x14ac:dyDescent="0.3">
      <c r="A312" t="s">
        <v>7030</v>
      </c>
      <c r="B312" t="s">
        <v>7643</v>
      </c>
      <c r="C312" t="s">
        <v>6876</v>
      </c>
      <c r="D312" t="str" cm="1">
        <f t="array" ref="D312">TRANSPOSE(_xlfn._xlws.FILTER('Controllable Asset Registry'!$A$4:$A$777,IFERROR('Controllable Asset Registry'!$E$4:$E$777=A312,FALSE),"No Equipment in entity"))</f>
        <v>No Equipment in entity</v>
      </c>
    </row>
    <row r="313" spans="1:6" x14ac:dyDescent="0.3">
      <c r="A313" t="s">
        <v>7031</v>
      </c>
      <c r="B313" t="s">
        <v>7644</v>
      </c>
      <c r="C313" t="s">
        <v>6879</v>
      </c>
      <c r="D313" t="str" cm="1">
        <f t="array" ref="D313">TRANSPOSE(_xlfn._xlws.FILTER('Controllable Asset Registry'!$A$4:$A$777,IFERROR('Controllable Asset Registry'!$E$4:$E$777=A313,FALSE),"No Equipment in entity"))</f>
        <v>No Equipment in entity</v>
      </c>
    </row>
    <row r="314" spans="1:6" x14ac:dyDescent="0.3">
      <c r="A314" t="s">
        <v>7032</v>
      </c>
      <c r="B314" t="s">
        <v>7645</v>
      </c>
      <c r="C314" t="s">
        <v>5858</v>
      </c>
      <c r="D314" t="str" cm="1">
        <f t="array" ref="D314">TRANSPOSE(_xlfn._xlws.FILTER('Controllable Asset Registry'!$A$4:$A$777,IFERROR('Controllable Asset Registry'!$E$4:$E$777=A314,FALSE),"No Equipment in entity"))</f>
        <v>No Equipment in entity</v>
      </c>
    </row>
    <row r="315" spans="1:6" x14ac:dyDescent="0.3">
      <c r="A315" t="s">
        <v>6244</v>
      </c>
      <c r="B315" t="s">
        <v>7646</v>
      </c>
      <c r="C315" t="s">
        <v>7033</v>
      </c>
      <c r="D315" t="str" cm="1">
        <f t="array" ref="D315:F315">TRANSPOSE(_xlfn._xlws.FILTER('Controllable Asset Registry'!$A$4:$A$777,IFERROR('Controllable Asset Registry'!$E$4:$E$777=A315,FALSE),"No Equipment in entity"))</f>
        <v>VAV0129</v>
      </c>
      <c r="E315" t="str">
        <v>VAV0130</v>
      </c>
      <c r="F315" t="str">
        <v>VAV0156</v>
      </c>
    </row>
    <row r="316" spans="1:6" x14ac:dyDescent="0.3">
      <c r="A316" t="s">
        <v>7034</v>
      </c>
      <c r="B316" t="s">
        <v>7647</v>
      </c>
      <c r="C316" t="s">
        <v>7035</v>
      </c>
      <c r="D316" t="str" cm="1">
        <f t="array" ref="D316">TRANSPOSE(_xlfn._xlws.FILTER('Controllable Asset Registry'!$A$4:$A$777,IFERROR('Controllable Asset Registry'!$E$4:$E$777=A316,FALSE),"No Equipment in entity"))</f>
        <v>No Equipment in entity</v>
      </c>
    </row>
    <row r="317" spans="1:6" x14ac:dyDescent="0.3">
      <c r="A317" t="s">
        <v>6094</v>
      </c>
      <c r="B317" t="s">
        <v>7648</v>
      </c>
      <c r="C317" t="s">
        <v>7036</v>
      </c>
      <c r="D317" t="str" cm="1">
        <f t="array" ref="D317:E317">TRANSPOSE(_xlfn._xlws.FILTER('Controllable Asset Registry'!$A$4:$A$777,IFERROR('Controllable Asset Registry'!$E$4:$E$777=A317,FALSE),"No Equipment in entity"))</f>
        <v>FCU0054</v>
      </c>
      <c r="E317" t="str">
        <v>FCU0055</v>
      </c>
    </row>
    <row r="318" spans="1:6" x14ac:dyDescent="0.3">
      <c r="A318" t="s">
        <v>7037</v>
      </c>
      <c r="B318" t="s">
        <v>7649</v>
      </c>
      <c r="C318" t="s">
        <v>7035</v>
      </c>
      <c r="D318" t="str" cm="1">
        <f t="array" ref="D318">TRANSPOSE(_xlfn._xlws.FILTER('Controllable Asset Registry'!$A$4:$A$777,IFERROR('Controllable Asset Registry'!$E$4:$E$777=A318,FALSE),"No Equipment in entity"))</f>
        <v>No Equipment in entity</v>
      </c>
    </row>
    <row r="319" spans="1:6" x14ac:dyDescent="0.3">
      <c r="A319" t="s">
        <v>8262</v>
      </c>
      <c r="B319" t="s">
        <v>8263</v>
      </c>
      <c r="C319" t="s">
        <v>6890</v>
      </c>
      <c r="D319" t="str" cm="1">
        <f t="array" ref="D319">TRANSPOSE(_xlfn._xlws.FILTER('Controllable Asset Registry'!$A$4:$A$777,IFERROR('Controllable Asset Registry'!$E$4:$E$777=A319,FALSE),"No Equipment in entity"))</f>
        <v>No Equipment in entity</v>
      </c>
    </row>
    <row r="320" spans="1:6" x14ac:dyDescent="0.3">
      <c r="A320" t="s">
        <v>8264</v>
      </c>
      <c r="B320" t="s">
        <v>8265</v>
      </c>
      <c r="C320" t="s">
        <v>6893</v>
      </c>
      <c r="D320" t="str" cm="1">
        <f t="array" ref="D320">TRANSPOSE(_xlfn._xlws.FILTER('Controllable Asset Registry'!$A$4:$A$777,IFERROR('Controllable Asset Registry'!$E$4:$E$777=A320,FALSE),"No Equipment in entity"))</f>
        <v>No Equipment in entity</v>
      </c>
    </row>
    <row r="321" spans="1:4" x14ac:dyDescent="0.3">
      <c r="A321" t="s">
        <v>8266</v>
      </c>
      <c r="B321" t="s">
        <v>8267</v>
      </c>
      <c r="C321" t="s">
        <v>6896</v>
      </c>
      <c r="D321" t="str" cm="1">
        <f t="array" ref="D321">TRANSPOSE(_xlfn._xlws.FILTER('Controllable Asset Registry'!$A$4:$A$777,IFERROR('Controllable Asset Registry'!$E$4:$E$777=A321,FALSE),"No Equipment in entity"))</f>
        <v>No Equipment in entity</v>
      </c>
    </row>
    <row r="322" spans="1:4" x14ac:dyDescent="0.3">
      <c r="A322" t="s">
        <v>8268</v>
      </c>
      <c r="B322" t="s">
        <v>8269</v>
      </c>
      <c r="C322" t="s">
        <v>6899</v>
      </c>
      <c r="D322" t="str" cm="1">
        <f t="array" ref="D322">TRANSPOSE(_xlfn._xlws.FILTER('Controllable Asset Registry'!$A$4:$A$777,IFERROR('Controllable Asset Registry'!$E$4:$E$777=A322,FALSE),"No Equipment in entity"))</f>
        <v>No Equipment in entity</v>
      </c>
    </row>
    <row r="323" spans="1:4" x14ac:dyDescent="0.3">
      <c r="A323" t="s">
        <v>8270</v>
      </c>
      <c r="B323" t="s">
        <v>8271</v>
      </c>
      <c r="C323" t="s">
        <v>6763</v>
      </c>
      <c r="D323" t="str" cm="1">
        <f t="array" ref="D323">TRANSPOSE(_xlfn._xlws.FILTER('Controllable Asset Registry'!$A$4:$A$777,IFERROR('Controllable Asset Registry'!$E$4:$E$777=A323,FALSE),"No Equipment in entity"))</f>
        <v>No Equipment in entity</v>
      </c>
    </row>
    <row r="324" spans="1:4" x14ac:dyDescent="0.3">
      <c r="A324" t="s">
        <v>8272</v>
      </c>
      <c r="B324" t="s">
        <v>8273</v>
      </c>
      <c r="C324" t="s">
        <v>6766</v>
      </c>
      <c r="D324" t="str" cm="1">
        <f t="array" ref="D324">TRANSPOSE(_xlfn._xlws.FILTER('Controllable Asset Registry'!$A$4:$A$777,IFERROR('Controllable Asset Registry'!$E$4:$E$777=A324,FALSE),"No Equipment in entity"))</f>
        <v>No Equipment in entity</v>
      </c>
    </row>
    <row r="325" spans="1:4" x14ac:dyDescent="0.3">
      <c r="A325" t="s">
        <v>8274</v>
      </c>
      <c r="B325" t="s">
        <v>8275</v>
      </c>
      <c r="C325" t="s">
        <v>6769</v>
      </c>
      <c r="D325" t="str" cm="1">
        <f t="array" ref="D325">TRANSPOSE(_xlfn._xlws.FILTER('Controllable Asset Registry'!$A$4:$A$777,IFERROR('Controllable Asset Registry'!$E$4:$E$777=A325,FALSE),"No Equipment in entity"))</f>
        <v>No Equipment in entity</v>
      </c>
    </row>
    <row r="326" spans="1:4" x14ac:dyDescent="0.3">
      <c r="A326" t="s">
        <v>8276</v>
      </c>
      <c r="B326" t="s">
        <v>8277</v>
      </c>
      <c r="C326" t="s">
        <v>6908</v>
      </c>
      <c r="D326" t="str" cm="1">
        <f t="array" ref="D326">TRANSPOSE(_xlfn._xlws.FILTER('Controllable Asset Registry'!$A$4:$A$777,IFERROR('Controllable Asset Registry'!$E$4:$E$777=A326,FALSE),"No Equipment in entity"))</f>
        <v>No Equipment in entity</v>
      </c>
    </row>
    <row r="327" spans="1:4" x14ac:dyDescent="0.3">
      <c r="A327" t="s">
        <v>8278</v>
      </c>
      <c r="B327" t="s">
        <v>8279</v>
      </c>
      <c r="C327" t="s">
        <v>6774</v>
      </c>
      <c r="D327" t="str" cm="1">
        <f t="array" ref="D327">TRANSPOSE(_xlfn._xlws.FILTER('Controllable Asset Registry'!$A$4:$A$777,IFERROR('Controllable Asset Registry'!$E$4:$E$777=A327,FALSE),"No Equipment in entity"))</f>
        <v>No Equipment in entity</v>
      </c>
    </row>
    <row r="328" spans="1:4" x14ac:dyDescent="0.3">
      <c r="A328" t="s">
        <v>8280</v>
      </c>
      <c r="B328" t="s">
        <v>8281</v>
      </c>
      <c r="C328" t="s">
        <v>6776</v>
      </c>
      <c r="D328" t="str" cm="1">
        <f t="array" ref="D328">TRANSPOSE(_xlfn._xlws.FILTER('Controllable Asset Registry'!$A$4:$A$777,IFERROR('Controllable Asset Registry'!$E$4:$E$777=A328,FALSE),"No Equipment in entity"))</f>
        <v>No Equipment in entity</v>
      </c>
    </row>
    <row r="329" spans="1:4" x14ac:dyDescent="0.3">
      <c r="A329" t="s">
        <v>8282</v>
      </c>
      <c r="B329" t="s">
        <v>8283</v>
      </c>
      <c r="C329" t="s">
        <v>6915</v>
      </c>
      <c r="D329" t="str" cm="1">
        <f t="array" ref="D329">TRANSPOSE(_xlfn._xlws.FILTER('Controllable Asset Registry'!$A$4:$A$777,IFERROR('Controllable Asset Registry'!$E$4:$E$777=A329,FALSE),"No Equipment in entity"))</f>
        <v>No Equipment in entity</v>
      </c>
    </row>
    <row r="330" spans="1:4" x14ac:dyDescent="0.3">
      <c r="A330" t="s">
        <v>8284</v>
      </c>
      <c r="B330" t="s">
        <v>8285</v>
      </c>
      <c r="C330" t="s">
        <v>6779</v>
      </c>
      <c r="D330" t="str" cm="1">
        <f t="array" ref="D330">TRANSPOSE(_xlfn._xlws.FILTER('Controllable Asset Registry'!$A$4:$A$777,IFERROR('Controllable Asset Registry'!$E$4:$E$777=A330,FALSE),"No Equipment in entity"))</f>
        <v>No Equipment in entity</v>
      </c>
    </row>
    <row r="331" spans="1:4" x14ac:dyDescent="0.3">
      <c r="A331" t="s">
        <v>6289</v>
      </c>
      <c r="B331" t="s">
        <v>7650</v>
      </c>
      <c r="C331" t="s">
        <v>5992</v>
      </c>
      <c r="D331" t="str" cm="1">
        <f t="array" ref="D331">TRANSPOSE(_xlfn._xlws.FILTER('Controllable Asset Registry'!$A$4:$A$777,IFERROR('Controllable Asset Registry'!$E$4:$E$777=A331,FALSE),"No Equipment in entity"))</f>
        <v>VAV0180</v>
      </c>
    </row>
    <row r="332" spans="1:4" x14ac:dyDescent="0.3">
      <c r="A332" t="s">
        <v>6307</v>
      </c>
      <c r="B332" t="s">
        <v>7651</v>
      </c>
      <c r="C332" t="s">
        <v>7038</v>
      </c>
      <c r="D332" t="str" cm="1">
        <f t="array" ref="D332">TRANSPOSE(_xlfn._xlws.FILTER('Controllable Asset Registry'!$A$4:$A$777,IFERROR('Controllable Asset Registry'!$E$4:$E$777=A332,FALSE),"No Equipment in entity"))</f>
        <v>VAV0200</v>
      </c>
    </row>
    <row r="333" spans="1:4" x14ac:dyDescent="0.3">
      <c r="A333" t="s">
        <v>6297</v>
      </c>
      <c r="B333" t="s">
        <v>7652</v>
      </c>
      <c r="C333" t="s">
        <v>7038</v>
      </c>
      <c r="D333" t="str" cm="1">
        <f t="array" ref="D333">TRANSPOSE(_xlfn._xlws.FILTER('Controllable Asset Registry'!$A$4:$A$777,IFERROR('Controllable Asset Registry'!$E$4:$E$777=A333,FALSE),"No Equipment in entity"))</f>
        <v>VAV0190</v>
      </c>
    </row>
    <row r="334" spans="1:4" x14ac:dyDescent="0.3">
      <c r="A334" t="s">
        <v>6298</v>
      </c>
      <c r="B334" t="s">
        <v>7653</v>
      </c>
      <c r="C334" t="s">
        <v>7038</v>
      </c>
      <c r="D334" t="str" cm="1">
        <f t="array" ref="D334">TRANSPOSE(_xlfn._xlws.FILTER('Controllable Asset Registry'!$A$4:$A$777,IFERROR('Controllable Asset Registry'!$E$4:$E$777=A334,FALSE),"No Equipment in entity"))</f>
        <v>VAV0191</v>
      </c>
    </row>
    <row r="335" spans="1:4" x14ac:dyDescent="0.3">
      <c r="A335" t="s">
        <v>6299</v>
      </c>
      <c r="B335" t="s">
        <v>7654</v>
      </c>
      <c r="C335" t="s">
        <v>7038</v>
      </c>
      <c r="D335" t="str" cm="1">
        <f t="array" ref="D335">TRANSPOSE(_xlfn._xlws.FILTER('Controllable Asset Registry'!$A$4:$A$777,IFERROR('Controllable Asset Registry'!$E$4:$E$777=A335,FALSE),"No Equipment in entity"))</f>
        <v>VAV0192</v>
      </c>
    </row>
    <row r="336" spans="1:4" x14ac:dyDescent="0.3">
      <c r="A336" t="s">
        <v>6300</v>
      </c>
      <c r="B336" t="s">
        <v>7655</v>
      </c>
      <c r="C336" t="s">
        <v>7038</v>
      </c>
      <c r="D336" t="str" cm="1">
        <f t="array" ref="D336">TRANSPOSE(_xlfn._xlws.FILTER('Controllable Asset Registry'!$A$4:$A$777,IFERROR('Controllable Asset Registry'!$E$4:$E$777=A336,FALSE),"No Equipment in entity"))</f>
        <v>VAV0193</v>
      </c>
    </row>
    <row r="337" spans="1:4" x14ac:dyDescent="0.3">
      <c r="A337" t="s">
        <v>6301</v>
      </c>
      <c r="B337" t="s">
        <v>7656</v>
      </c>
      <c r="C337" t="s">
        <v>7038</v>
      </c>
      <c r="D337" t="str" cm="1">
        <f t="array" ref="D337">TRANSPOSE(_xlfn._xlws.FILTER('Controllable Asset Registry'!$A$4:$A$777,IFERROR('Controllable Asset Registry'!$E$4:$E$777=A337,FALSE),"No Equipment in entity"))</f>
        <v>VAV0194</v>
      </c>
    </row>
    <row r="338" spans="1:4" x14ac:dyDescent="0.3">
      <c r="A338" t="s">
        <v>6302</v>
      </c>
      <c r="B338" t="s">
        <v>7657</v>
      </c>
      <c r="C338" t="s">
        <v>7038</v>
      </c>
      <c r="D338" t="str" cm="1">
        <f t="array" ref="D338">TRANSPOSE(_xlfn._xlws.FILTER('Controllable Asset Registry'!$A$4:$A$777,IFERROR('Controllable Asset Registry'!$E$4:$E$777=A338,FALSE),"No Equipment in entity"))</f>
        <v>VAV0195</v>
      </c>
    </row>
    <row r="339" spans="1:4" x14ac:dyDescent="0.3">
      <c r="A339" t="s">
        <v>6303</v>
      </c>
      <c r="B339" t="s">
        <v>7658</v>
      </c>
      <c r="C339" t="s">
        <v>7039</v>
      </c>
      <c r="D339" t="str" cm="1">
        <f t="array" ref="D339">TRANSPOSE(_xlfn._xlws.FILTER('Controllable Asset Registry'!$A$4:$A$777,IFERROR('Controllable Asset Registry'!$E$4:$E$777=A339,FALSE),"No Equipment in entity"))</f>
        <v>VAV0196</v>
      </c>
    </row>
    <row r="340" spans="1:4" x14ac:dyDescent="0.3">
      <c r="A340" t="s">
        <v>6304</v>
      </c>
      <c r="B340" t="s">
        <v>7659</v>
      </c>
      <c r="C340" t="s">
        <v>7038</v>
      </c>
      <c r="D340" t="str" cm="1">
        <f t="array" ref="D340">TRANSPOSE(_xlfn._xlws.FILTER('Controllable Asset Registry'!$A$4:$A$777,IFERROR('Controllable Asset Registry'!$E$4:$E$777=A340,FALSE),"No Equipment in entity"))</f>
        <v>VAV0197</v>
      </c>
    </row>
    <row r="341" spans="1:4" x14ac:dyDescent="0.3">
      <c r="A341" t="s">
        <v>6305</v>
      </c>
      <c r="B341" t="s">
        <v>7660</v>
      </c>
      <c r="C341" t="s">
        <v>7038</v>
      </c>
      <c r="D341" t="str" cm="1">
        <f t="array" ref="D341">TRANSPOSE(_xlfn._xlws.FILTER('Controllable Asset Registry'!$A$4:$A$777,IFERROR('Controllable Asset Registry'!$E$4:$E$777=A341,FALSE),"No Equipment in entity"))</f>
        <v>VAV0198</v>
      </c>
    </row>
    <row r="342" spans="1:4" x14ac:dyDescent="0.3">
      <c r="A342" t="s">
        <v>6292</v>
      </c>
      <c r="B342" t="s">
        <v>7661</v>
      </c>
      <c r="C342" t="s">
        <v>7038</v>
      </c>
      <c r="D342" t="str" cm="1">
        <f t="array" ref="D342">TRANSPOSE(_xlfn._xlws.FILTER('Controllable Asset Registry'!$A$4:$A$777,IFERROR('Controllable Asset Registry'!$E$4:$E$777=A342,FALSE),"No Equipment in entity"))</f>
        <v>VAV0185</v>
      </c>
    </row>
    <row r="343" spans="1:4" x14ac:dyDescent="0.3">
      <c r="A343" t="s">
        <v>6293</v>
      </c>
      <c r="B343" t="s">
        <v>7662</v>
      </c>
      <c r="C343" t="s">
        <v>7038</v>
      </c>
      <c r="D343" t="str" cm="1">
        <f t="array" ref="D343">TRANSPOSE(_xlfn._xlws.FILTER('Controllable Asset Registry'!$A$4:$A$777,IFERROR('Controllable Asset Registry'!$E$4:$E$777=A343,FALSE),"No Equipment in entity"))</f>
        <v>VAV0186</v>
      </c>
    </row>
    <row r="344" spans="1:4" x14ac:dyDescent="0.3">
      <c r="A344" t="s">
        <v>6294</v>
      </c>
      <c r="B344" t="s">
        <v>7663</v>
      </c>
      <c r="C344" t="s">
        <v>7038</v>
      </c>
      <c r="D344" t="str" cm="1">
        <f t="array" ref="D344">TRANSPOSE(_xlfn._xlws.FILTER('Controllable Asset Registry'!$A$4:$A$777,IFERROR('Controllable Asset Registry'!$E$4:$E$777=A344,FALSE),"No Equipment in entity"))</f>
        <v>VAV0187</v>
      </c>
    </row>
    <row r="345" spans="1:4" x14ac:dyDescent="0.3">
      <c r="A345" t="s">
        <v>6295</v>
      </c>
      <c r="B345" t="s">
        <v>7664</v>
      </c>
      <c r="C345" t="s">
        <v>7038</v>
      </c>
      <c r="D345" t="str" cm="1">
        <f t="array" ref="D345">TRANSPOSE(_xlfn._xlws.FILTER('Controllable Asset Registry'!$A$4:$A$777,IFERROR('Controllable Asset Registry'!$E$4:$E$777=A345,FALSE),"No Equipment in entity"))</f>
        <v>VAV0188</v>
      </c>
    </row>
    <row r="346" spans="1:4" x14ac:dyDescent="0.3">
      <c r="A346" t="s">
        <v>6296</v>
      </c>
      <c r="B346" t="s">
        <v>7665</v>
      </c>
      <c r="C346" t="s">
        <v>7038</v>
      </c>
      <c r="D346" t="str" cm="1">
        <f t="array" ref="D346">TRANSPOSE(_xlfn._xlws.FILTER('Controllable Asset Registry'!$A$4:$A$777,IFERROR('Controllable Asset Registry'!$E$4:$E$777=A346,FALSE),"No Equipment in entity"))</f>
        <v>VAV0189</v>
      </c>
    </row>
    <row r="347" spans="1:4" x14ac:dyDescent="0.3">
      <c r="A347" t="s">
        <v>6268</v>
      </c>
      <c r="B347" t="s">
        <v>7666</v>
      </c>
      <c r="C347" t="s">
        <v>7038</v>
      </c>
      <c r="D347" t="str" cm="1">
        <f t="array" ref="D347">TRANSPOSE(_xlfn._xlws.FILTER('Controllable Asset Registry'!$A$4:$A$777,IFERROR('Controllable Asset Registry'!$E$4:$E$777=A347,FALSE),"No Equipment in entity"))</f>
        <v>VAV0157</v>
      </c>
    </row>
    <row r="348" spans="1:4" x14ac:dyDescent="0.3">
      <c r="A348" t="s">
        <v>6269</v>
      </c>
      <c r="B348" t="s">
        <v>7667</v>
      </c>
      <c r="C348" t="s">
        <v>7038</v>
      </c>
      <c r="D348" t="str" cm="1">
        <f t="array" ref="D348">TRANSPOSE(_xlfn._xlws.FILTER('Controllable Asset Registry'!$A$4:$A$777,IFERROR('Controllable Asset Registry'!$E$4:$E$777=A348,FALSE),"No Equipment in entity"))</f>
        <v>VAV0158</v>
      </c>
    </row>
    <row r="349" spans="1:4" x14ac:dyDescent="0.3">
      <c r="A349" t="s">
        <v>6270</v>
      </c>
      <c r="B349" t="s">
        <v>7668</v>
      </c>
      <c r="C349" t="s">
        <v>7038</v>
      </c>
      <c r="D349" t="str" cm="1">
        <f t="array" ref="D349">TRANSPOSE(_xlfn._xlws.FILTER('Controllable Asset Registry'!$A$4:$A$777,IFERROR('Controllable Asset Registry'!$E$4:$E$777=A349,FALSE),"No Equipment in entity"))</f>
        <v>VAV0159</v>
      </c>
    </row>
    <row r="350" spans="1:4" x14ac:dyDescent="0.3">
      <c r="A350" t="s">
        <v>6271</v>
      </c>
      <c r="B350" t="s">
        <v>7669</v>
      </c>
      <c r="C350" t="s">
        <v>7038</v>
      </c>
      <c r="D350" t="str" cm="1">
        <f t="array" ref="D350">TRANSPOSE(_xlfn._xlws.FILTER('Controllable Asset Registry'!$A$4:$A$777,IFERROR('Controllable Asset Registry'!$E$4:$E$777=A350,FALSE),"No Equipment in entity"))</f>
        <v>VAV0160</v>
      </c>
    </row>
    <row r="351" spans="1:4" x14ac:dyDescent="0.3">
      <c r="A351" t="s">
        <v>6272</v>
      </c>
      <c r="B351" t="s">
        <v>7670</v>
      </c>
      <c r="C351" t="s">
        <v>7038</v>
      </c>
      <c r="D351" t="str" cm="1">
        <f t="array" ref="D351">TRANSPOSE(_xlfn._xlws.FILTER('Controllable Asset Registry'!$A$4:$A$777,IFERROR('Controllable Asset Registry'!$E$4:$E$777=A351,FALSE),"No Equipment in entity"))</f>
        <v>VAV0161</v>
      </c>
    </row>
    <row r="352" spans="1:4" x14ac:dyDescent="0.3">
      <c r="A352" t="s">
        <v>6273</v>
      </c>
      <c r="B352" t="s">
        <v>7671</v>
      </c>
      <c r="C352" t="s">
        <v>7040</v>
      </c>
      <c r="D352" t="str" cm="1">
        <f t="array" ref="D352">TRANSPOSE(_xlfn._xlws.FILTER('Controllable Asset Registry'!$A$4:$A$777,IFERROR('Controllable Asset Registry'!$E$4:$E$777=A352,FALSE),"No Equipment in entity"))</f>
        <v>VAV0162</v>
      </c>
    </row>
    <row r="353" spans="1:6" x14ac:dyDescent="0.3">
      <c r="A353" t="s">
        <v>6274</v>
      </c>
      <c r="B353" t="s">
        <v>7672</v>
      </c>
      <c r="C353" t="s">
        <v>7038</v>
      </c>
      <c r="D353" t="str" cm="1">
        <f t="array" ref="D353">TRANSPOSE(_xlfn._xlws.FILTER('Controllable Asset Registry'!$A$4:$A$777,IFERROR('Controllable Asset Registry'!$E$4:$E$777=A353,FALSE),"No Equipment in entity"))</f>
        <v>VAV0163</v>
      </c>
    </row>
    <row r="354" spans="1:6" x14ac:dyDescent="0.3">
      <c r="A354" t="s">
        <v>6275</v>
      </c>
      <c r="B354" t="s">
        <v>7673</v>
      </c>
      <c r="C354" t="s">
        <v>7038</v>
      </c>
      <c r="D354" t="str" cm="1">
        <f t="array" ref="D354">TRANSPOSE(_xlfn._xlws.FILTER('Controllable Asset Registry'!$A$4:$A$777,IFERROR('Controllable Asset Registry'!$E$4:$E$777=A354,FALSE),"No Equipment in entity"))</f>
        <v>VAV0164</v>
      </c>
    </row>
    <row r="355" spans="1:6" x14ac:dyDescent="0.3">
      <c r="A355" t="s">
        <v>6276</v>
      </c>
      <c r="B355" t="s">
        <v>7674</v>
      </c>
      <c r="C355" t="s">
        <v>7038</v>
      </c>
      <c r="D355" t="str" cm="1">
        <f t="array" ref="D355">TRANSPOSE(_xlfn._xlws.FILTER('Controllable Asset Registry'!$A$4:$A$777,IFERROR('Controllable Asset Registry'!$E$4:$E$777=A355,FALSE),"No Equipment in entity"))</f>
        <v>VAV0165</v>
      </c>
    </row>
    <row r="356" spans="1:6" x14ac:dyDescent="0.3">
      <c r="A356" t="s">
        <v>6277</v>
      </c>
      <c r="B356" t="s">
        <v>7675</v>
      </c>
      <c r="C356" t="s">
        <v>7038</v>
      </c>
      <c r="D356" t="str" cm="1">
        <f t="array" ref="D356">TRANSPOSE(_xlfn._xlws.FILTER('Controllable Asset Registry'!$A$4:$A$777,IFERROR('Controllable Asset Registry'!$E$4:$E$777=A356,FALSE),"No Equipment in entity"))</f>
        <v>VAV0166</v>
      </c>
    </row>
    <row r="357" spans="1:6" x14ac:dyDescent="0.3">
      <c r="A357" t="s">
        <v>6278</v>
      </c>
      <c r="B357" t="s">
        <v>7676</v>
      </c>
      <c r="C357" t="s">
        <v>7038</v>
      </c>
      <c r="D357" t="str" cm="1">
        <f t="array" ref="D357">TRANSPOSE(_xlfn._xlws.FILTER('Controllable Asset Registry'!$A$4:$A$777,IFERROR('Controllable Asset Registry'!$E$4:$E$777=A357,FALSE),"No Equipment in entity"))</f>
        <v>VAV0167</v>
      </c>
    </row>
    <row r="358" spans="1:6" x14ac:dyDescent="0.3">
      <c r="A358" t="s">
        <v>6279</v>
      </c>
      <c r="B358" t="s">
        <v>7677</v>
      </c>
      <c r="C358" t="s">
        <v>7038</v>
      </c>
      <c r="D358" t="str" cm="1">
        <f t="array" ref="D358">TRANSPOSE(_xlfn._xlws.FILTER('Controllable Asset Registry'!$A$4:$A$777,IFERROR('Controllable Asset Registry'!$E$4:$E$777=A358,FALSE),"No Equipment in entity"))</f>
        <v>VAV0168</v>
      </c>
    </row>
    <row r="359" spans="1:6" x14ac:dyDescent="0.3">
      <c r="A359" t="s">
        <v>6280</v>
      </c>
      <c r="B359" t="s">
        <v>7678</v>
      </c>
      <c r="C359" t="s">
        <v>7038</v>
      </c>
      <c r="D359" t="str" cm="1">
        <f t="array" ref="D359">TRANSPOSE(_xlfn._xlws.FILTER('Controllable Asset Registry'!$A$4:$A$777,IFERROR('Controllable Asset Registry'!$E$4:$E$777=A359,FALSE),"No Equipment in entity"))</f>
        <v>VAV0169</v>
      </c>
    </row>
    <row r="360" spans="1:6" x14ac:dyDescent="0.3">
      <c r="A360" t="s">
        <v>6281</v>
      </c>
      <c r="B360" t="s">
        <v>7679</v>
      </c>
      <c r="C360" t="s">
        <v>7038</v>
      </c>
      <c r="D360" t="str" cm="1">
        <f t="array" ref="D360">TRANSPOSE(_xlfn._xlws.FILTER('Controllable Asset Registry'!$A$4:$A$777,IFERROR('Controllable Asset Registry'!$E$4:$E$777=A360,FALSE),"No Equipment in entity"))</f>
        <v>VAV0170</v>
      </c>
    </row>
    <row r="361" spans="1:6" x14ac:dyDescent="0.3">
      <c r="A361" t="s">
        <v>6282</v>
      </c>
      <c r="B361" t="s">
        <v>7680</v>
      </c>
      <c r="C361" t="s">
        <v>7038</v>
      </c>
      <c r="D361" t="str" cm="1">
        <f t="array" ref="D361">TRANSPOSE(_xlfn._xlws.FILTER('Controllable Asset Registry'!$A$4:$A$777,IFERROR('Controllable Asset Registry'!$E$4:$E$777=A361,FALSE),"No Equipment in entity"))</f>
        <v>VAV0171</v>
      </c>
    </row>
    <row r="362" spans="1:6" x14ac:dyDescent="0.3">
      <c r="A362" t="s">
        <v>6283</v>
      </c>
      <c r="B362" t="s">
        <v>7681</v>
      </c>
      <c r="C362" t="s">
        <v>7040</v>
      </c>
      <c r="D362" t="str" cm="1">
        <f t="array" ref="D362">TRANSPOSE(_xlfn._xlws.FILTER('Controllable Asset Registry'!$A$4:$A$777,IFERROR('Controllable Asset Registry'!$E$4:$E$777=A362,FALSE),"No Equipment in entity"))</f>
        <v>VAV0172</v>
      </c>
    </row>
    <row r="363" spans="1:6" x14ac:dyDescent="0.3">
      <c r="A363" t="s">
        <v>6284</v>
      </c>
      <c r="B363" t="s">
        <v>7682</v>
      </c>
      <c r="C363" t="s">
        <v>7041</v>
      </c>
      <c r="D363" t="str" cm="1">
        <f t="array" ref="D363:E363">TRANSPOSE(_xlfn._xlws.FILTER('Controllable Asset Registry'!$A$4:$A$777,IFERROR('Controllable Asset Registry'!$E$4:$E$777=A363,FALSE),"No Equipment in entity"))</f>
        <v>VAV0173</v>
      </c>
      <c r="E363" t="str">
        <v>VAV0174</v>
      </c>
    </row>
    <row r="364" spans="1:6" x14ac:dyDescent="0.3">
      <c r="A364" t="s">
        <v>6306</v>
      </c>
      <c r="B364" t="s">
        <v>7683</v>
      </c>
      <c r="C364" t="s">
        <v>6967</v>
      </c>
      <c r="D364" t="str" cm="1">
        <f t="array" ref="D364">TRANSPOSE(_xlfn._xlws.FILTER('Controllable Asset Registry'!$A$4:$A$777,IFERROR('Controllable Asset Registry'!$E$4:$E$777=A364,FALSE),"No Equipment in entity"))</f>
        <v>VAV0199</v>
      </c>
    </row>
    <row r="365" spans="1:6" x14ac:dyDescent="0.3">
      <c r="A365" t="s">
        <v>6290</v>
      </c>
      <c r="B365" t="s">
        <v>7684</v>
      </c>
      <c r="C365" t="s">
        <v>6856</v>
      </c>
      <c r="D365" t="str" cm="1">
        <f t="array" ref="D365:F365">TRANSPOSE(_xlfn._xlws.FILTER('Controllable Asset Registry'!$A$4:$A$777,IFERROR('Controllable Asset Registry'!$E$4:$E$777=A365,FALSE),"No Equipment in entity"))</f>
        <v>VAV0181</v>
      </c>
      <c r="E365" t="str">
        <v>VAV0182</v>
      </c>
      <c r="F365" t="str">
        <v>VAV0183</v>
      </c>
    </row>
    <row r="366" spans="1:6" x14ac:dyDescent="0.3">
      <c r="A366" t="s">
        <v>6099</v>
      </c>
      <c r="B366" t="s">
        <v>7685</v>
      </c>
      <c r="C366" t="s">
        <v>6936</v>
      </c>
      <c r="D366" t="str" cm="1">
        <f t="array" ref="D366">TRANSPOSE(_xlfn._xlws.FILTER('Controllable Asset Registry'!$A$4:$A$777,IFERROR('Controllable Asset Registry'!$E$4:$E$777=A366,FALSE),"No Equipment in entity"))</f>
        <v>FCU0063</v>
      </c>
    </row>
    <row r="367" spans="1:6" x14ac:dyDescent="0.3">
      <c r="A367" t="s">
        <v>6291</v>
      </c>
      <c r="B367" t="s">
        <v>7686</v>
      </c>
      <c r="C367" t="s">
        <v>7040</v>
      </c>
      <c r="D367" t="str" cm="1">
        <f t="array" ref="D367">TRANSPOSE(_xlfn._xlws.FILTER('Controllable Asset Registry'!$A$4:$A$777,IFERROR('Controllable Asset Registry'!$E$4:$E$777=A367,FALSE),"No Equipment in entity"))</f>
        <v>VAV0184</v>
      </c>
    </row>
    <row r="368" spans="1:6" x14ac:dyDescent="0.3">
      <c r="A368" t="s">
        <v>7042</v>
      </c>
      <c r="B368" t="s">
        <v>7687</v>
      </c>
      <c r="C368" t="s">
        <v>6807</v>
      </c>
      <c r="D368" t="str" cm="1">
        <f t="array" ref="D368">TRANSPOSE(_xlfn._xlws.FILTER('Controllable Asset Registry'!$A$4:$A$777,IFERROR('Controllable Asset Registry'!$E$4:$E$777=A368,FALSE),"No Equipment in entity"))</f>
        <v>No Equipment in entity</v>
      </c>
    </row>
    <row r="369" spans="1:5" x14ac:dyDescent="0.3">
      <c r="A369" t="s">
        <v>7043</v>
      </c>
      <c r="B369" t="s">
        <v>7688</v>
      </c>
      <c r="C369" t="s">
        <v>6965</v>
      </c>
      <c r="D369" t="str" cm="1">
        <f t="array" ref="D369">TRANSPOSE(_xlfn._xlws.FILTER('Controllable Asset Registry'!$A$4:$A$777,IFERROR('Controllable Asset Registry'!$E$4:$E$777=A369,FALSE),"No Equipment in entity"))</f>
        <v>No Equipment in entity</v>
      </c>
    </row>
    <row r="370" spans="1:5" x14ac:dyDescent="0.3">
      <c r="A370" t="s">
        <v>7044</v>
      </c>
      <c r="B370" t="s">
        <v>7689</v>
      </c>
      <c r="C370" t="s">
        <v>6967</v>
      </c>
      <c r="D370" t="str" cm="1">
        <f t="array" ref="D370">TRANSPOSE(_xlfn._xlws.FILTER('Controllable Asset Registry'!$A$4:$A$777,IFERROR('Controllable Asset Registry'!$E$4:$E$777=A370,FALSE),"No Equipment in entity"))</f>
        <v>No Equipment in entity</v>
      </c>
    </row>
    <row r="371" spans="1:5" x14ac:dyDescent="0.3">
      <c r="A371" t="s">
        <v>7045</v>
      </c>
      <c r="B371" t="s">
        <v>7690</v>
      </c>
      <c r="C371" t="s">
        <v>6714</v>
      </c>
      <c r="D371" t="str" cm="1">
        <f t="array" ref="D371">TRANSPOSE(_xlfn._xlws.FILTER('Controllable Asset Registry'!$A$4:$A$777,IFERROR('Controllable Asset Registry'!$E$4:$E$777=A371,FALSE),"No Equipment in entity"))</f>
        <v>No Equipment in entity</v>
      </c>
    </row>
    <row r="372" spans="1:5" x14ac:dyDescent="0.3">
      <c r="A372" t="s">
        <v>6322</v>
      </c>
      <c r="B372" t="s">
        <v>7691</v>
      </c>
      <c r="C372" t="s">
        <v>7046</v>
      </c>
      <c r="D372" t="str" cm="1">
        <f t="array" ref="D372">TRANSPOSE(_xlfn._xlws.FILTER('Controllable Asset Registry'!$A$4:$A$777,IFERROR('Controllable Asset Registry'!$E$4:$E$777=A372,FALSE),"No Equipment in entity"))</f>
        <v>VAV0217</v>
      </c>
    </row>
    <row r="373" spans="1:5" x14ac:dyDescent="0.3">
      <c r="A373" t="s">
        <v>6098</v>
      </c>
      <c r="B373" t="s">
        <v>7692</v>
      </c>
      <c r="C373" t="s">
        <v>7047</v>
      </c>
      <c r="D373" t="str" cm="1">
        <f t="array" ref="D373">TRANSPOSE(_xlfn._xlws.FILTER('Controllable Asset Registry'!$A$4:$A$777,IFERROR('Controllable Asset Registry'!$E$4:$E$777=A373,FALSE),"No Equipment in entity"))</f>
        <v>FCU0062</v>
      </c>
    </row>
    <row r="374" spans="1:5" x14ac:dyDescent="0.3">
      <c r="A374" t="s">
        <v>7048</v>
      </c>
      <c r="B374" t="s">
        <v>7693</v>
      </c>
      <c r="C374" t="s">
        <v>6807</v>
      </c>
      <c r="D374" t="str" cm="1">
        <f t="array" ref="D374">TRANSPOSE(_xlfn._xlws.FILTER('Controllable Asset Registry'!$A$4:$A$777,IFERROR('Controllable Asset Registry'!$E$4:$E$777=A374,FALSE),"No Equipment in entity"))</f>
        <v>No Equipment in entity</v>
      </c>
    </row>
    <row r="375" spans="1:5" x14ac:dyDescent="0.3">
      <c r="A375" t="s">
        <v>6310</v>
      </c>
      <c r="B375" t="s">
        <v>7694</v>
      </c>
      <c r="C375" t="s">
        <v>7049</v>
      </c>
      <c r="D375" t="str" cm="1">
        <f t="array" ref="D375">TRANSPOSE(_xlfn._xlws.FILTER('Controllable Asset Registry'!$A$4:$A$777,IFERROR('Controllable Asset Registry'!$E$4:$E$777=A375,FALSE),"No Equipment in entity"))</f>
        <v>VAV0204</v>
      </c>
    </row>
    <row r="376" spans="1:5" x14ac:dyDescent="0.3">
      <c r="A376" t="s">
        <v>6311</v>
      </c>
      <c r="B376" t="s">
        <v>7695</v>
      </c>
      <c r="C376" t="s">
        <v>7050</v>
      </c>
      <c r="D376" t="str" cm="1">
        <f t="array" ref="D376">TRANSPOSE(_xlfn._xlws.FILTER('Controllable Asset Registry'!$A$4:$A$777,IFERROR('Controllable Asset Registry'!$E$4:$E$777=A376,FALSE),"No Equipment in entity"))</f>
        <v>VAV0205</v>
      </c>
    </row>
    <row r="377" spans="1:5" x14ac:dyDescent="0.3">
      <c r="A377" t="s">
        <v>6312</v>
      </c>
      <c r="B377" t="s">
        <v>7696</v>
      </c>
      <c r="C377" t="s">
        <v>7050</v>
      </c>
      <c r="D377" t="str" cm="1">
        <f t="array" ref="D377">TRANSPOSE(_xlfn._xlws.FILTER('Controllable Asset Registry'!$A$4:$A$777,IFERROR('Controllable Asset Registry'!$E$4:$E$777=A377,FALSE),"No Equipment in entity"))</f>
        <v>VAV0206</v>
      </c>
    </row>
    <row r="378" spans="1:5" x14ac:dyDescent="0.3">
      <c r="A378" t="s">
        <v>6313</v>
      </c>
      <c r="B378" t="s">
        <v>7697</v>
      </c>
      <c r="C378" t="s">
        <v>7050</v>
      </c>
      <c r="D378" t="str" cm="1">
        <f t="array" ref="D378">TRANSPOSE(_xlfn._xlws.FILTER('Controllable Asset Registry'!$A$4:$A$777,IFERROR('Controllable Asset Registry'!$E$4:$E$777=A378,FALSE),"No Equipment in entity"))</f>
        <v>VAV0207</v>
      </c>
    </row>
    <row r="379" spans="1:5" x14ac:dyDescent="0.3">
      <c r="A379" t="s">
        <v>6314</v>
      </c>
      <c r="B379" t="s">
        <v>7698</v>
      </c>
      <c r="C379" t="s">
        <v>7050</v>
      </c>
      <c r="D379" t="str" cm="1">
        <f t="array" ref="D379">TRANSPOSE(_xlfn._xlws.FILTER('Controllable Asset Registry'!$A$4:$A$777,IFERROR('Controllable Asset Registry'!$E$4:$E$777=A379,FALSE),"No Equipment in entity"))</f>
        <v>VAV0208</v>
      </c>
    </row>
    <row r="380" spans="1:5" x14ac:dyDescent="0.3">
      <c r="A380" t="s">
        <v>6315</v>
      </c>
      <c r="B380" t="s">
        <v>7699</v>
      </c>
      <c r="C380" t="s">
        <v>7051</v>
      </c>
      <c r="D380" t="str" cm="1">
        <f t="array" ref="D380:E380">TRANSPOSE(_xlfn._xlws.FILTER('Controllable Asset Registry'!$A$4:$A$777,IFERROR('Controllable Asset Registry'!$E$4:$E$777=A380,FALSE),"No Equipment in entity"))</f>
        <v>VAV0209</v>
      </c>
      <c r="E380" t="str">
        <v>VAV0210</v>
      </c>
    </row>
    <row r="381" spans="1:5" x14ac:dyDescent="0.3">
      <c r="A381" t="s">
        <v>6316</v>
      </c>
      <c r="B381" t="s">
        <v>7700</v>
      </c>
      <c r="C381" t="s">
        <v>7050</v>
      </c>
      <c r="D381" t="str" cm="1">
        <f t="array" ref="D381">TRANSPOSE(_xlfn._xlws.FILTER('Controllable Asset Registry'!$A$4:$A$777,IFERROR('Controllable Asset Registry'!$E$4:$E$777=A381,FALSE),"No Equipment in entity"))</f>
        <v>VAV0211</v>
      </c>
    </row>
    <row r="382" spans="1:5" x14ac:dyDescent="0.3">
      <c r="A382" t="s">
        <v>6317</v>
      </c>
      <c r="B382" t="s">
        <v>7701</v>
      </c>
      <c r="C382" t="s">
        <v>7052</v>
      </c>
      <c r="D382" t="str" cm="1">
        <f t="array" ref="D382">TRANSPOSE(_xlfn._xlws.FILTER('Controllable Asset Registry'!$A$4:$A$777,IFERROR('Controllable Asset Registry'!$E$4:$E$777=A382,FALSE),"No Equipment in entity"))</f>
        <v>VAV0212</v>
      </c>
    </row>
    <row r="383" spans="1:5" x14ac:dyDescent="0.3">
      <c r="A383" t="s">
        <v>6318</v>
      </c>
      <c r="B383" t="s">
        <v>7702</v>
      </c>
      <c r="C383" t="s">
        <v>7053</v>
      </c>
      <c r="D383" t="str" cm="1">
        <f t="array" ref="D383">TRANSPOSE(_xlfn._xlws.FILTER('Controllable Asset Registry'!$A$4:$A$777,IFERROR('Controllable Asset Registry'!$E$4:$E$777=A383,FALSE),"No Equipment in entity"))</f>
        <v>VAV0213</v>
      </c>
    </row>
    <row r="384" spans="1:5" x14ac:dyDescent="0.3">
      <c r="A384" t="s">
        <v>6319</v>
      </c>
      <c r="B384" t="s">
        <v>7703</v>
      </c>
      <c r="C384" t="s">
        <v>7054</v>
      </c>
      <c r="D384" t="str" cm="1">
        <f t="array" ref="D384">TRANSPOSE(_xlfn._xlws.FILTER('Controllable Asset Registry'!$A$4:$A$777,IFERROR('Controllable Asset Registry'!$E$4:$E$777=A384,FALSE),"No Equipment in entity"))</f>
        <v>VAV0214</v>
      </c>
    </row>
    <row r="385" spans="1:5" x14ac:dyDescent="0.3">
      <c r="A385" t="s">
        <v>6320</v>
      </c>
      <c r="B385" t="s">
        <v>7704</v>
      </c>
      <c r="C385" t="s">
        <v>7055</v>
      </c>
      <c r="D385" t="str" cm="1">
        <f t="array" ref="D385">TRANSPOSE(_xlfn._xlws.FILTER('Controllable Asset Registry'!$A$4:$A$777,IFERROR('Controllable Asset Registry'!$E$4:$E$777=A385,FALSE),"No Equipment in entity"))</f>
        <v>VAV0215</v>
      </c>
    </row>
    <row r="386" spans="1:5" x14ac:dyDescent="0.3">
      <c r="A386" t="s">
        <v>6321</v>
      </c>
      <c r="B386" t="s">
        <v>7705</v>
      </c>
      <c r="C386" t="s">
        <v>7056</v>
      </c>
      <c r="D386" t="str" cm="1">
        <f t="array" ref="D386">TRANSPOSE(_xlfn._xlws.FILTER('Controllable Asset Registry'!$A$4:$A$777,IFERROR('Controllable Asset Registry'!$E$4:$E$777=A386,FALSE),"No Equipment in entity"))</f>
        <v>VAV0216</v>
      </c>
    </row>
    <row r="387" spans="1:5" x14ac:dyDescent="0.3">
      <c r="A387" t="s">
        <v>6323</v>
      </c>
      <c r="B387" t="s">
        <v>7706</v>
      </c>
      <c r="C387" t="s">
        <v>7057</v>
      </c>
      <c r="D387" t="str" cm="1">
        <f t="array" ref="D387:E387">TRANSPOSE(_xlfn._xlws.FILTER('Controllable Asset Registry'!$A$4:$A$777,IFERROR('Controllable Asset Registry'!$E$4:$E$777=A387,FALSE),"No Equipment in entity"))</f>
        <v>VAV0218</v>
      </c>
      <c r="E387" t="str">
        <v>VAV0219</v>
      </c>
    </row>
    <row r="388" spans="1:5" x14ac:dyDescent="0.3">
      <c r="A388" t="s">
        <v>6324</v>
      </c>
      <c r="B388" t="s">
        <v>7707</v>
      </c>
      <c r="C388" t="s">
        <v>7058</v>
      </c>
      <c r="D388" t="str" cm="1">
        <f t="array" ref="D388">TRANSPOSE(_xlfn._xlws.FILTER('Controllable Asset Registry'!$A$4:$A$777,IFERROR('Controllable Asset Registry'!$E$4:$E$777=A388,FALSE),"No Equipment in entity"))</f>
        <v>VAV0220</v>
      </c>
    </row>
    <row r="389" spans="1:5" x14ac:dyDescent="0.3">
      <c r="A389" t="s">
        <v>7059</v>
      </c>
      <c r="B389" t="s">
        <v>7708</v>
      </c>
      <c r="C389" t="s">
        <v>6725</v>
      </c>
      <c r="D389" t="str" cm="1">
        <f t="array" ref="D389">TRANSPOSE(_xlfn._xlws.FILTER('Controllable Asset Registry'!$A$4:$A$777,IFERROR('Controllable Asset Registry'!$E$4:$E$777=A389,FALSE),"No Equipment in entity"))</f>
        <v>No Equipment in entity</v>
      </c>
    </row>
    <row r="390" spans="1:5" x14ac:dyDescent="0.3">
      <c r="A390" t="s">
        <v>7060</v>
      </c>
      <c r="B390" t="s">
        <v>7709</v>
      </c>
      <c r="C390" t="s">
        <v>6728</v>
      </c>
      <c r="D390" t="str" cm="1">
        <f t="array" ref="D390">TRANSPOSE(_xlfn._xlws.FILTER('Controllable Asset Registry'!$A$4:$A$777,IFERROR('Controllable Asset Registry'!$E$4:$E$777=A390,FALSE),"No Equipment in entity"))</f>
        <v>No Equipment in entity</v>
      </c>
    </row>
    <row r="391" spans="1:5" x14ac:dyDescent="0.3">
      <c r="A391" t="s">
        <v>7061</v>
      </c>
      <c r="B391" t="s">
        <v>7710</v>
      </c>
      <c r="C391" t="s">
        <v>6725</v>
      </c>
      <c r="D391" t="str" cm="1">
        <f t="array" ref="D391">TRANSPOSE(_xlfn._xlws.FILTER('Controllable Asset Registry'!$A$4:$A$777,IFERROR('Controllable Asset Registry'!$E$4:$E$777=A391,FALSE),"No Equipment in entity"))</f>
        <v>No Equipment in entity</v>
      </c>
    </row>
    <row r="392" spans="1:5" x14ac:dyDescent="0.3">
      <c r="A392" t="s">
        <v>7062</v>
      </c>
      <c r="B392" t="s">
        <v>7711</v>
      </c>
      <c r="C392" t="s">
        <v>6728</v>
      </c>
      <c r="D392" t="str" cm="1">
        <f t="array" ref="D392">TRANSPOSE(_xlfn._xlws.FILTER('Controllable Asset Registry'!$A$4:$A$777,IFERROR('Controllable Asset Registry'!$E$4:$E$777=A392,FALSE),"No Equipment in entity"))</f>
        <v>No Equipment in entity</v>
      </c>
    </row>
    <row r="393" spans="1:5" x14ac:dyDescent="0.3">
      <c r="A393" t="s">
        <v>7063</v>
      </c>
      <c r="B393" t="s">
        <v>7712</v>
      </c>
      <c r="C393" t="s">
        <v>6725</v>
      </c>
      <c r="D393" t="str" cm="1">
        <f t="array" ref="D393">TRANSPOSE(_xlfn._xlws.FILTER('Controllable Asset Registry'!$A$4:$A$777,IFERROR('Controllable Asset Registry'!$E$4:$E$777=A393,FALSE),"No Equipment in entity"))</f>
        <v>No Equipment in entity</v>
      </c>
    </row>
    <row r="394" spans="1:5" x14ac:dyDescent="0.3">
      <c r="A394" t="s">
        <v>7064</v>
      </c>
      <c r="B394" t="s">
        <v>7713</v>
      </c>
      <c r="C394" t="s">
        <v>6728</v>
      </c>
      <c r="D394" t="str" cm="1">
        <f t="array" ref="D394">TRANSPOSE(_xlfn._xlws.FILTER('Controllable Asset Registry'!$A$4:$A$777,IFERROR('Controllable Asset Registry'!$E$4:$E$777=A394,FALSE),"No Equipment in entity"))</f>
        <v>No Equipment in entity</v>
      </c>
    </row>
    <row r="395" spans="1:5" x14ac:dyDescent="0.3">
      <c r="A395" t="s">
        <v>7065</v>
      </c>
      <c r="B395" t="s">
        <v>7714</v>
      </c>
      <c r="C395" t="s">
        <v>5861</v>
      </c>
      <c r="D395" t="str" cm="1">
        <f t="array" ref="D395">TRANSPOSE(_xlfn._xlws.FILTER('Controllable Asset Registry'!$A$4:$A$777,IFERROR('Controllable Asset Registry'!$E$4:$E$777=A395,FALSE),"No Equipment in entity"))</f>
        <v>No Equipment in entity</v>
      </c>
    </row>
    <row r="396" spans="1:5" x14ac:dyDescent="0.3">
      <c r="A396" t="s">
        <v>7066</v>
      </c>
      <c r="B396" t="s">
        <v>7715</v>
      </c>
      <c r="C396" t="s">
        <v>5861</v>
      </c>
      <c r="D396" t="str" cm="1">
        <f t="array" ref="D396">TRANSPOSE(_xlfn._xlws.FILTER('Controllable Asset Registry'!$A$4:$A$777,IFERROR('Controllable Asset Registry'!$E$4:$E$777=A396,FALSE),"No Equipment in entity"))</f>
        <v>No Equipment in entity</v>
      </c>
    </row>
    <row r="397" spans="1:5" x14ac:dyDescent="0.3">
      <c r="A397" t="s">
        <v>7067</v>
      </c>
      <c r="B397" t="s">
        <v>7716</v>
      </c>
      <c r="C397" t="s">
        <v>5861</v>
      </c>
      <c r="D397" t="str" cm="1">
        <f t="array" ref="D397">TRANSPOSE(_xlfn._xlws.FILTER('Controllable Asset Registry'!$A$4:$A$777,IFERROR('Controllable Asset Registry'!$E$4:$E$777=A397,FALSE),"No Equipment in entity"))</f>
        <v>No Equipment in entity</v>
      </c>
    </row>
    <row r="398" spans="1:5" x14ac:dyDescent="0.3">
      <c r="A398" t="s">
        <v>7068</v>
      </c>
      <c r="B398" t="s">
        <v>7717</v>
      </c>
      <c r="C398" t="s">
        <v>5858</v>
      </c>
      <c r="D398" t="str" cm="1">
        <f t="array" ref="D398">TRANSPOSE(_xlfn._xlws.FILTER('Controllable Asset Registry'!$A$4:$A$777,IFERROR('Controllable Asset Registry'!$E$4:$E$777=A398,FALSE),"No Equipment in entity"))</f>
        <v>No Equipment in entity</v>
      </c>
    </row>
    <row r="399" spans="1:5" x14ac:dyDescent="0.3">
      <c r="A399" t="s">
        <v>6097</v>
      </c>
      <c r="B399" t="s">
        <v>7718</v>
      </c>
      <c r="C399" t="s">
        <v>6734</v>
      </c>
      <c r="D399" t="str" cm="1">
        <f t="array" ref="D399">TRANSPOSE(_xlfn._xlws.FILTER('Controllable Asset Registry'!$A$4:$A$777,IFERROR('Controllable Asset Registry'!$E$4:$E$777=A399,FALSE),"No Equipment in entity"))</f>
        <v>FCU0061</v>
      </c>
    </row>
    <row r="400" spans="1:5" x14ac:dyDescent="0.3">
      <c r="A400" t="s">
        <v>7069</v>
      </c>
      <c r="B400" t="s">
        <v>7719</v>
      </c>
      <c r="C400" t="s">
        <v>5858</v>
      </c>
      <c r="D400" t="str" cm="1">
        <f t="array" ref="D400">TRANSPOSE(_xlfn._xlws.FILTER('Controllable Asset Registry'!$A$4:$A$777,IFERROR('Controllable Asset Registry'!$E$4:$E$777=A400,FALSE),"No Equipment in entity"))</f>
        <v>No Equipment in entity</v>
      </c>
    </row>
    <row r="401" spans="1:6" x14ac:dyDescent="0.3">
      <c r="A401" t="s">
        <v>6096</v>
      </c>
      <c r="B401" t="s">
        <v>7720</v>
      </c>
      <c r="C401" t="s">
        <v>6734</v>
      </c>
      <c r="D401" t="str" cm="1">
        <f t="array" ref="D401:E401">TRANSPOSE(_xlfn._xlws.FILTER('Controllable Asset Registry'!$A$4:$A$777,IFERROR('Controllable Asset Registry'!$E$4:$E$777=A401,FALSE),"No Equipment in entity"))</f>
        <v>FCU0059</v>
      </c>
      <c r="E401" t="str">
        <v>FCU0060</v>
      </c>
    </row>
    <row r="402" spans="1:6" x14ac:dyDescent="0.3">
      <c r="A402" t="s">
        <v>7070</v>
      </c>
      <c r="B402" t="s">
        <v>7721</v>
      </c>
      <c r="C402" t="s">
        <v>6876</v>
      </c>
      <c r="D402" t="str" cm="1">
        <f t="array" ref="D402">TRANSPOSE(_xlfn._xlws.FILTER('Controllable Asset Registry'!$A$4:$A$777,IFERROR('Controllable Asset Registry'!$E$4:$E$777=A402,FALSE),"No Equipment in entity"))</f>
        <v>No Equipment in entity</v>
      </c>
    </row>
    <row r="403" spans="1:6" x14ac:dyDescent="0.3">
      <c r="A403" t="s">
        <v>7071</v>
      </c>
      <c r="B403" t="s">
        <v>7722</v>
      </c>
      <c r="C403" t="s">
        <v>7072</v>
      </c>
      <c r="D403" t="str" cm="1">
        <f t="array" ref="D403">TRANSPOSE(_xlfn._xlws.FILTER('Controllable Asset Registry'!$A$4:$A$777,IFERROR('Controllable Asset Registry'!$E$4:$E$777=A403,FALSE),"No Equipment in entity"))</f>
        <v>No Equipment in entity</v>
      </c>
    </row>
    <row r="404" spans="1:6" x14ac:dyDescent="0.3">
      <c r="A404" t="s">
        <v>7073</v>
      </c>
      <c r="B404" t="s">
        <v>7723</v>
      </c>
      <c r="C404" t="s">
        <v>5858</v>
      </c>
      <c r="D404" t="str" cm="1">
        <f t="array" ref="D404">TRANSPOSE(_xlfn._xlws.FILTER('Controllable Asset Registry'!$A$4:$A$777,IFERROR('Controllable Asset Registry'!$E$4:$E$777=A404,FALSE),"No Equipment in entity"))</f>
        <v>No Equipment in entity</v>
      </c>
    </row>
    <row r="405" spans="1:6" x14ac:dyDescent="0.3">
      <c r="A405" t="s">
        <v>6286</v>
      </c>
      <c r="B405" t="s">
        <v>7724</v>
      </c>
      <c r="C405" t="s">
        <v>7033</v>
      </c>
      <c r="D405" t="str" cm="1">
        <f t="array" ref="D405:F405">TRANSPOSE(_xlfn._xlws.FILTER('Controllable Asset Registry'!$A$4:$A$777,IFERROR('Controllable Asset Registry'!$E$4:$E$777=A405,FALSE),"No Equipment in entity"))</f>
        <v>VAV0176</v>
      </c>
      <c r="E405" t="str">
        <v>VAV0179</v>
      </c>
      <c r="F405" t="str">
        <v>VAV0201</v>
      </c>
    </row>
    <row r="406" spans="1:6" x14ac:dyDescent="0.3">
      <c r="A406" t="s">
        <v>6325</v>
      </c>
      <c r="B406" t="s">
        <v>7725</v>
      </c>
      <c r="C406" t="s">
        <v>7074</v>
      </c>
      <c r="D406" t="str" cm="1">
        <f t="array" ref="D406">TRANSPOSE(_xlfn._xlws.FILTER('Controllable Asset Registry'!$A$4:$A$777,IFERROR('Controllable Asset Registry'!$E$4:$E$777=A406,FALSE),"No Equipment in entity"))</f>
        <v>VAV0221</v>
      </c>
    </row>
    <row r="407" spans="1:6" x14ac:dyDescent="0.3">
      <c r="A407" t="s">
        <v>6100</v>
      </c>
      <c r="B407" t="s">
        <v>7726</v>
      </c>
      <c r="C407" t="s">
        <v>7075</v>
      </c>
      <c r="D407" t="str" cm="1">
        <f t="array" ref="D407:F407">TRANSPOSE(_xlfn._xlws.FILTER('Controllable Asset Registry'!$A$4:$A$777,IFERROR('Controllable Asset Registry'!$E$4:$E$777=A407,FALSE),"No Equipment in entity"))</f>
        <v>FCU0064</v>
      </c>
      <c r="E407" t="str">
        <v>FCU0065</v>
      </c>
      <c r="F407" t="str">
        <v>FCU0066</v>
      </c>
    </row>
    <row r="408" spans="1:6" x14ac:dyDescent="0.3">
      <c r="A408" t="s">
        <v>8286</v>
      </c>
      <c r="B408" t="s">
        <v>8287</v>
      </c>
      <c r="C408" t="s">
        <v>6890</v>
      </c>
      <c r="D408" t="str" cm="1">
        <f t="array" ref="D408">TRANSPOSE(_xlfn._xlws.FILTER('Controllable Asset Registry'!$A$4:$A$777,IFERROR('Controllable Asset Registry'!$E$4:$E$777=A408,FALSE),"No Equipment in entity"))</f>
        <v>No Equipment in entity</v>
      </c>
    </row>
    <row r="409" spans="1:6" x14ac:dyDescent="0.3">
      <c r="A409" t="s">
        <v>8288</v>
      </c>
      <c r="B409" t="s">
        <v>8289</v>
      </c>
      <c r="C409" t="s">
        <v>6893</v>
      </c>
      <c r="D409" t="str" cm="1">
        <f t="array" ref="D409">TRANSPOSE(_xlfn._xlws.FILTER('Controllable Asset Registry'!$A$4:$A$777,IFERROR('Controllable Asset Registry'!$E$4:$E$777=A409,FALSE),"No Equipment in entity"))</f>
        <v>No Equipment in entity</v>
      </c>
    </row>
    <row r="410" spans="1:6" x14ac:dyDescent="0.3">
      <c r="A410" t="s">
        <v>8290</v>
      </c>
      <c r="B410" t="s">
        <v>8291</v>
      </c>
      <c r="C410" t="s">
        <v>6896</v>
      </c>
      <c r="D410" t="str" cm="1">
        <f t="array" ref="D410">TRANSPOSE(_xlfn._xlws.FILTER('Controllable Asset Registry'!$A$4:$A$777,IFERROR('Controllable Asset Registry'!$E$4:$E$777=A410,FALSE),"No Equipment in entity"))</f>
        <v>No Equipment in entity</v>
      </c>
    </row>
    <row r="411" spans="1:6" x14ac:dyDescent="0.3">
      <c r="A411" t="s">
        <v>8292</v>
      </c>
      <c r="B411" t="s">
        <v>8293</v>
      </c>
      <c r="C411" t="s">
        <v>6899</v>
      </c>
      <c r="D411" t="str" cm="1">
        <f t="array" ref="D411">TRANSPOSE(_xlfn._xlws.FILTER('Controllable Asset Registry'!$A$4:$A$777,IFERROR('Controllable Asset Registry'!$E$4:$E$777=A411,FALSE),"No Equipment in entity"))</f>
        <v>No Equipment in entity</v>
      </c>
    </row>
    <row r="412" spans="1:6" x14ac:dyDescent="0.3">
      <c r="A412" t="s">
        <v>8294</v>
      </c>
      <c r="B412" t="s">
        <v>8295</v>
      </c>
      <c r="C412" t="s">
        <v>6763</v>
      </c>
      <c r="D412" t="str" cm="1">
        <f t="array" ref="D412">TRANSPOSE(_xlfn._xlws.FILTER('Controllable Asset Registry'!$A$4:$A$777,IFERROR('Controllable Asset Registry'!$E$4:$E$777=A412,FALSE),"No Equipment in entity"))</f>
        <v>No Equipment in entity</v>
      </c>
    </row>
    <row r="413" spans="1:6" x14ac:dyDescent="0.3">
      <c r="A413" t="s">
        <v>8296</v>
      </c>
      <c r="B413" t="s">
        <v>8297</v>
      </c>
      <c r="C413" t="s">
        <v>6766</v>
      </c>
      <c r="D413" t="str" cm="1">
        <f t="array" ref="D413">TRANSPOSE(_xlfn._xlws.FILTER('Controllable Asset Registry'!$A$4:$A$777,IFERROR('Controllable Asset Registry'!$E$4:$E$777=A413,FALSE),"No Equipment in entity"))</f>
        <v>No Equipment in entity</v>
      </c>
    </row>
    <row r="414" spans="1:6" x14ac:dyDescent="0.3">
      <c r="A414" t="s">
        <v>8298</v>
      </c>
      <c r="B414" t="s">
        <v>8299</v>
      </c>
      <c r="C414" t="s">
        <v>6769</v>
      </c>
      <c r="D414" t="str" cm="1">
        <f t="array" ref="D414">TRANSPOSE(_xlfn._xlws.FILTER('Controllable Asset Registry'!$A$4:$A$777,IFERROR('Controllable Asset Registry'!$E$4:$E$777=A414,FALSE),"No Equipment in entity"))</f>
        <v>No Equipment in entity</v>
      </c>
    </row>
    <row r="415" spans="1:6" x14ac:dyDescent="0.3">
      <c r="A415" t="s">
        <v>8300</v>
      </c>
      <c r="B415" t="s">
        <v>8301</v>
      </c>
      <c r="C415" t="s">
        <v>6908</v>
      </c>
      <c r="D415" t="str" cm="1">
        <f t="array" ref="D415">TRANSPOSE(_xlfn._xlws.FILTER('Controllable Asset Registry'!$A$4:$A$777,IFERROR('Controllable Asset Registry'!$E$4:$E$777=A415,FALSE),"No Equipment in entity"))</f>
        <v>No Equipment in entity</v>
      </c>
    </row>
    <row r="416" spans="1:6" x14ac:dyDescent="0.3">
      <c r="A416" t="s">
        <v>8302</v>
      </c>
      <c r="B416" t="s">
        <v>8303</v>
      </c>
      <c r="C416" t="s">
        <v>6774</v>
      </c>
      <c r="D416" t="str" cm="1">
        <f t="array" ref="D416">TRANSPOSE(_xlfn._xlws.FILTER('Controllable Asset Registry'!$A$4:$A$777,IFERROR('Controllable Asset Registry'!$E$4:$E$777=A416,FALSE),"No Equipment in entity"))</f>
        <v>No Equipment in entity</v>
      </c>
    </row>
    <row r="417" spans="1:4" x14ac:dyDescent="0.3">
      <c r="A417" t="s">
        <v>8304</v>
      </c>
      <c r="B417" t="s">
        <v>8305</v>
      </c>
      <c r="C417" t="s">
        <v>6776</v>
      </c>
      <c r="D417" t="str" cm="1">
        <f t="array" ref="D417">TRANSPOSE(_xlfn._xlws.FILTER('Controllable Asset Registry'!$A$4:$A$777,IFERROR('Controllable Asset Registry'!$E$4:$E$777=A417,FALSE),"No Equipment in entity"))</f>
        <v>No Equipment in entity</v>
      </c>
    </row>
    <row r="418" spans="1:4" x14ac:dyDescent="0.3">
      <c r="A418" t="s">
        <v>8306</v>
      </c>
      <c r="B418" t="s">
        <v>8307</v>
      </c>
      <c r="C418" t="s">
        <v>6915</v>
      </c>
      <c r="D418" t="str" cm="1">
        <f t="array" ref="D418">TRANSPOSE(_xlfn._xlws.FILTER('Controllable Asset Registry'!$A$4:$A$777,IFERROR('Controllable Asset Registry'!$E$4:$E$777=A418,FALSE),"No Equipment in entity"))</f>
        <v>No Equipment in entity</v>
      </c>
    </row>
    <row r="419" spans="1:4" x14ac:dyDescent="0.3">
      <c r="A419" t="s">
        <v>8308</v>
      </c>
      <c r="B419" t="s">
        <v>8309</v>
      </c>
      <c r="C419" t="s">
        <v>6779</v>
      </c>
      <c r="D419" t="str" cm="1">
        <f t="array" ref="D419">TRANSPOSE(_xlfn._xlws.FILTER('Controllable Asset Registry'!$A$4:$A$777,IFERROR('Controllable Asset Registry'!$E$4:$E$777=A419,FALSE),"No Equipment in entity"))</f>
        <v>No Equipment in entity</v>
      </c>
    </row>
    <row r="420" spans="1:4" x14ac:dyDescent="0.3">
      <c r="A420" t="s">
        <v>6341</v>
      </c>
      <c r="B420" t="s">
        <v>7727</v>
      </c>
      <c r="C420" t="s">
        <v>7076</v>
      </c>
      <c r="D420" t="str" cm="1">
        <f t="array" ref="D420">TRANSPOSE(_xlfn._xlws.FILTER('Controllable Asset Registry'!$A$4:$A$777,IFERROR('Controllable Asset Registry'!$E$4:$E$777=A420,FALSE),"No Equipment in entity"))</f>
        <v>VAV0242</v>
      </c>
    </row>
    <row r="421" spans="1:4" x14ac:dyDescent="0.3">
      <c r="A421" t="s">
        <v>7077</v>
      </c>
      <c r="B421" t="s">
        <v>7078</v>
      </c>
      <c r="C421" t="s">
        <v>7079</v>
      </c>
      <c r="D421" t="str" cm="1">
        <f t="array" ref="D421">TRANSPOSE(_xlfn._xlws.FILTER('Controllable Asset Registry'!$A$4:$A$777,IFERROR('Controllable Asset Registry'!$E$4:$E$777=A421,FALSE),"No Equipment in entity"))</f>
        <v>No Equipment in entity</v>
      </c>
    </row>
    <row r="422" spans="1:4" x14ac:dyDescent="0.3">
      <c r="A422" t="s">
        <v>7080</v>
      </c>
      <c r="B422" t="s">
        <v>7081</v>
      </c>
      <c r="C422" t="s">
        <v>7082</v>
      </c>
      <c r="D422" t="str" cm="1">
        <f t="array" ref="D422">TRANSPOSE(_xlfn._xlws.FILTER('Controllable Asset Registry'!$A$4:$A$777,IFERROR('Controllable Asset Registry'!$E$4:$E$777=A422,FALSE),"No Equipment in entity"))</f>
        <v>No Equipment in entity</v>
      </c>
    </row>
    <row r="423" spans="1:4" x14ac:dyDescent="0.3">
      <c r="A423" t="s">
        <v>6326</v>
      </c>
      <c r="B423" t="s">
        <v>7728</v>
      </c>
      <c r="C423" t="s">
        <v>7083</v>
      </c>
      <c r="D423" t="str" cm="1">
        <f t="array" ref="D423">TRANSPOSE(_xlfn._xlws.FILTER('Controllable Asset Registry'!$A$4:$A$777,IFERROR('Controllable Asset Registry'!$E$4:$E$777=A423,FALSE),"No Equipment in entity"))</f>
        <v>VAV0223</v>
      </c>
    </row>
    <row r="424" spans="1:4" x14ac:dyDescent="0.3">
      <c r="A424" t="s">
        <v>6327</v>
      </c>
      <c r="B424" t="s">
        <v>7729</v>
      </c>
      <c r="C424" t="s">
        <v>7076</v>
      </c>
      <c r="D424" t="str" cm="1">
        <f t="array" ref="D424">TRANSPOSE(_xlfn._xlws.FILTER('Controllable Asset Registry'!$A$4:$A$777,IFERROR('Controllable Asset Registry'!$E$4:$E$777=A424,FALSE),"No Equipment in entity"))</f>
        <v>VAV0224</v>
      </c>
    </row>
    <row r="425" spans="1:4" x14ac:dyDescent="0.3">
      <c r="A425" t="s">
        <v>6328</v>
      </c>
      <c r="B425" t="s">
        <v>7730</v>
      </c>
      <c r="C425" t="s">
        <v>7076</v>
      </c>
      <c r="D425" t="str" cm="1">
        <f t="array" ref="D425">TRANSPOSE(_xlfn._xlws.FILTER('Controllable Asset Registry'!$A$4:$A$777,IFERROR('Controllable Asset Registry'!$E$4:$E$777=A425,FALSE),"No Equipment in entity"))</f>
        <v>VAV0225</v>
      </c>
    </row>
    <row r="426" spans="1:4" x14ac:dyDescent="0.3">
      <c r="A426" t="s">
        <v>6329</v>
      </c>
      <c r="B426" t="s">
        <v>7731</v>
      </c>
      <c r="C426" t="s">
        <v>7076</v>
      </c>
      <c r="D426" t="str" cm="1">
        <f t="array" ref="D426">TRANSPOSE(_xlfn._xlws.FILTER('Controllable Asset Registry'!$A$4:$A$777,IFERROR('Controllable Asset Registry'!$E$4:$E$777=A426,FALSE),"No Equipment in entity"))</f>
        <v>VAV0226</v>
      </c>
    </row>
    <row r="427" spans="1:4" x14ac:dyDescent="0.3">
      <c r="A427" t="s">
        <v>6330</v>
      </c>
      <c r="B427" t="s">
        <v>7732</v>
      </c>
      <c r="C427" t="s">
        <v>7084</v>
      </c>
      <c r="D427" t="str" cm="1">
        <f t="array" ref="D427">TRANSPOSE(_xlfn._xlws.FILTER('Controllable Asset Registry'!$A$4:$A$777,IFERROR('Controllable Asset Registry'!$E$4:$E$777=A427,FALSE),"No Equipment in entity"))</f>
        <v>VAV0227</v>
      </c>
    </row>
    <row r="428" spans="1:4" x14ac:dyDescent="0.3">
      <c r="A428" t="s">
        <v>6331</v>
      </c>
      <c r="B428" t="s">
        <v>7733</v>
      </c>
      <c r="C428" t="s">
        <v>7084</v>
      </c>
      <c r="D428" t="str" cm="1">
        <f t="array" ref="D428">TRANSPOSE(_xlfn._xlws.FILTER('Controllable Asset Registry'!$A$4:$A$777,IFERROR('Controllable Asset Registry'!$E$4:$E$777=A428,FALSE),"No Equipment in entity"))</f>
        <v>VAV0228</v>
      </c>
    </row>
    <row r="429" spans="1:4" x14ac:dyDescent="0.3">
      <c r="A429" t="s">
        <v>6332</v>
      </c>
      <c r="B429" t="s">
        <v>7734</v>
      </c>
      <c r="C429" t="s">
        <v>7084</v>
      </c>
      <c r="D429" t="str" cm="1">
        <f t="array" ref="D429">TRANSPOSE(_xlfn._xlws.FILTER('Controllable Asset Registry'!$A$4:$A$777,IFERROR('Controllable Asset Registry'!$E$4:$E$777=A429,FALSE),"No Equipment in entity"))</f>
        <v>VAV0229</v>
      </c>
    </row>
    <row r="430" spans="1:4" x14ac:dyDescent="0.3">
      <c r="A430" t="s">
        <v>6333</v>
      </c>
      <c r="B430" t="s">
        <v>7735</v>
      </c>
      <c r="C430" t="s">
        <v>7084</v>
      </c>
      <c r="D430" t="str" cm="1">
        <f t="array" ref="D430">TRANSPOSE(_xlfn._xlws.FILTER('Controllable Asset Registry'!$A$4:$A$777,IFERROR('Controllable Asset Registry'!$E$4:$E$777=A430,FALSE),"No Equipment in entity"))</f>
        <v>VAV0230</v>
      </c>
    </row>
    <row r="431" spans="1:4" x14ac:dyDescent="0.3">
      <c r="A431" t="s">
        <v>6334</v>
      </c>
      <c r="B431" t="s">
        <v>7736</v>
      </c>
      <c r="C431" t="s">
        <v>7084</v>
      </c>
      <c r="D431" t="str" cm="1">
        <f t="array" ref="D431">TRANSPOSE(_xlfn._xlws.FILTER('Controllable Asset Registry'!$A$4:$A$777,IFERROR('Controllable Asset Registry'!$E$4:$E$777=A431,FALSE),"No Equipment in entity"))</f>
        <v>VAV0231</v>
      </c>
    </row>
    <row r="432" spans="1:4" x14ac:dyDescent="0.3">
      <c r="A432" t="s">
        <v>6335</v>
      </c>
      <c r="B432" t="s">
        <v>7737</v>
      </c>
      <c r="C432" t="s">
        <v>7076</v>
      </c>
      <c r="D432" t="str" cm="1">
        <f t="array" ref="D432">TRANSPOSE(_xlfn._xlws.FILTER('Controllable Asset Registry'!$A$4:$A$777,IFERROR('Controllable Asset Registry'!$E$4:$E$777=A432,FALSE),"No Equipment in entity"))</f>
        <v>VAV0232</v>
      </c>
    </row>
    <row r="433" spans="1:5" x14ac:dyDescent="0.3">
      <c r="A433" t="s">
        <v>6343</v>
      </c>
      <c r="B433" t="s">
        <v>7738</v>
      </c>
      <c r="C433" t="s">
        <v>6967</v>
      </c>
      <c r="D433" t="str" cm="1">
        <f t="array" ref="D433">TRANSPOSE(_xlfn._xlws.FILTER('Controllable Asset Registry'!$A$4:$A$777,IFERROR('Controllable Asset Registry'!$E$4:$E$777=A433,FALSE),"No Equipment in entity"))</f>
        <v>VAV0250</v>
      </c>
    </row>
    <row r="434" spans="1:5" x14ac:dyDescent="0.3">
      <c r="A434" t="s">
        <v>6342</v>
      </c>
      <c r="B434" t="s">
        <v>7739</v>
      </c>
      <c r="C434" t="s">
        <v>6967</v>
      </c>
      <c r="D434" t="str" cm="1">
        <f t="array" ref="D434">TRANSPOSE(_xlfn._xlws.FILTER('Controllable Asset Registry'!$A$4:$A$777,IFERROR('Controllable Asset Registry'!$E$4:$E$777=A434,FALSE),"No Equipment in entity"))</f>
        <v>VAV0249</v>
      </c>
    </row>
    <row r="435" spans="1:5" x14ac:dyDescent="0.3">
      <c r="A435" t="s">
        <v>7085</v>
      </c>
      <c r="B435" t="s">
        <v>7086</v>
      </c>
      <c r="C435" t="s">
        <v>6714</v>
      </c>
      <c r="D435" t="str" cm="1">
        <f t="array" ref="D435">TRANSPOSE(_xlfn._xlws.FILTER('Controllable Asset Registry'!$A$4:$A$777,IFERROR('Controllable Asset Registry'!$E$4:$E$777=A435,FALSE),"No Equipment in entity"))</f>
        <v>No Equipment in entity</v>
      </c>
    </row>
    <row r="436" spans="1:5" x14ac:dyDescent="0.3">
      <c r="A436" t="s">
        <v>7087</v>
      </c>
      <c r="B436" t="s">
        <v>7088</v>
      </c>
      <c r="C436" t="s">
        <v>7089</v>
      </c>
      <c r="D436" t="str" cm="1">
        <f t="array" ref="D436">TRANSPOSE(_xlfn._xlws.FILTER('Controllable Asset Registry'!$A$4:$A$777,IFERROR('Controllable Asset Registry'!$E$4:$E$777=A436,FALSE),"No Equipment in entity"))</f>
        <v>No Equipment in entity</v>
      </c>
    </row>
    <row r="437" spans="1:5" x14ac:dyDescent="0.3">
      <c r="A437" t="s">
        <v>6340</v>
      </c>
      <c r="B437" t="s">
        <v>7740</v>
      </c>
      <c r="C437" t="s">
        <v>7090</v>
      </c>
      <c r="D437" t="str" cm="1">
        <f t="array" ref="D437:E437">TRANSPOSE(_xlfn._xlws.FILTER('Controllable Asset Registry'!$A$4:$A$777,IFERROR('Controllable Asset Registry'!$E$4:$E$777=A437,FALSE),"No Equipment in entity"))</f>
        <v>VAV0240</v>
      </c>
      <c r="E437" t="str">
        <v>VAV0241</v>
      </c>
    </row>
    <row r="438" spans="1:5" x14ac:dyDescent="0.3">
      <c r="A438" t="s">
        <v>7091</v>
      </c>
      <c r="B438" t="s">
        <v>7092</v>
      </c>
      <c r="C438" t="s">
        <v>6965</v>
      </c>
      <c r="D438" t="str" cm="1">
        <f t="array" ref="D438">TRANSPOSE(_xlfn._xlws.FILTER('Controllable Asset Registry'!$A$4:$A$777,IFERROR('Controllable Asset Registry'!$E$4:$E$777=A438,FALSE),"No Equipment in entity"))</f>
        <v>No Equipment in entity</v>
      </c>
    </row>
    <row r="439" spans="1:5" x14ac:dyDescent="0.3">
      <c r="A439" t="s">
        <v>7093</v>
      </c>
      <c r="B439" t="s">
        <v>7094</v>
      </c>
      <c r="C439" t="s">
        <v>6807</v>
      </c>
      <c r="D439" t="str" cm="1">
        <f t="array" ref="D439">TRANSPOSE(_xlfn._xlws.FILTER('Controllable Asset Registry'!$A$4:$A$777,IFERROR('Controllable Asset Registry'!$E$4:$E$777=A439,FALSE),"No Equipment in entity"))</f>
        <v>No Equipment in entity</v>
      </c>
    </row>
    <row r="440" spans="1:5" x14ac:dyDescent="0.3">
      <c r="A440" t="s">
        <v>6339</v>
      </c>
      <c r="B440" t="s">
        <v>7741</v>
      </c>
      <c r="C440" t="s">
        <v>7095</v>
      </c>
      <c r="D440" t="str" cm="1">
        <f t="array" ref="D440">TRANSPOSE(_xlfn._xlws.FILTER('Controllable Asset Registry'!$A$4:$A$777,IFERROR('Controllable Asset Registry'!$E$4:$E$777=A440,FALSE),"No Equipment in entity"))</f>
        <v>VAV0239</v>
      </c>
    </row>
    <row r="441" spans="1:5" x14ac:dyDescent="0.3">
      <c r="A441" t="s">
        <v>6338</v>
      </c>
      <c r="B441" t="s">
        <v>7742</v>
      </c>
      <c r="C441" t="s">
        <v>7096</v>
      </c>
      <c r="D441" t="str" cm="1">
        <f t="array" ref="D441">TRANSPOSE(_xlfn._xlws.FILTER('Controllable Asset Registry'!$A$4:$A$777,IFERROR('Controllable Asset Registry'!$E$4:$E$777=A441,FALSE),"No Equipment in entity"))</f>
        <v>VAV0238</v>
      </c>
    </row>
    <row r="442" spans="1:5" x14ac:dyDescent="0.3">
      <c r="A442" t="s">
        <v>6337</v>
      </c>
      <c r="B442" t="s">
        <v>7743</v>
      </c>
      <c r="C442" t="s">
        <v>7097</v>
      </c>
      <c r="D442" t="str" cm="1">
        <f t="array" ref="D442">TRANSPOSE(_xlfn._xlws.FILTER('Controllable Asset Registry'!$A$4:$A$777,IFERROR('Controllable Asset Registry'!$E$4:$E$777=A442,FALSE),"No Equipment in entity"))</f>
        <v>VAV0236</v>
      </c>
    </row>
    <row r="443" spans="1:5" x14ac:dyDescent="0.3">
      <c r="A443" t="s">
        <v>6344</v>
      </c>
      <c r="B443" t="s">
        <v>7744</v>
      </c>
      <c r="C443" t="s">
        <v>6967</v>
      </c>
      <c r="D443" t="str" cm="1">
        <f t="array" ref="D443">TRANSPOSE(_xlfn._xlws.FILTER('Controllable Asset Registry'!$A$4:$A$777,IFERROR('Controllable Asset Registry'!$E$4:$E$777=A443,FALSE),"No Equipment in entity"))</f>
        <v>VAV0252</v>
      </c>
    </row>
    <row r="444" spans="1:5" x14ac:dyDescent="0.3">
      <c r="A444" t="s">
        <v>7098</v>
      </c>
      <c r="B444" t="s">
        <v>7745</v>
      </c>
      <c r="C444" t="s">
        <v>6936</v>
      </c>
      <c r="D444" t="str" cm="1">
        <f t="array" ref="D444">TRANSPOSE(_xlfn._xlws.FILTER('Controllable Asset Registry'!$A$4:$A$777,IFERROR('Controllable Asset Registry'!$E$4:$E$777=A444,FALSE),"No Equipment in entity"))</f>
        <v>No Equipment in entity</v>
      </c>
    </row>
    <row r="445" spans="1:5" x14ac:dyDescent="0.3">
      <c r="A445" t="s">
        <v>7099</v>
      </c>
      <c r="B445" t="s">
        <v>7746</v>
      </c>
      <c r="C445" t="s">
        <v>6807</v>
      </c>
      <c r="D445" t="str" cm="1">
        <f t="array" ref="D445">TRANSPOSE(_xlfn._xlws.FILTER('Controllable Asset Registry'!$A$4:$A$777,IFERROR('Controllable Asset Registry'!$E$4:$E$777=A445,FALSE),"No Equipment in entity"))</f>
        <v>No Equipment in entity</v>
      </c>
    </row>
    <row r="446" spans="1:5" x14ac:dyDescent="0.3">
      <c r="A446" t="s">
        <v>6345</v>
      </c>
      <c r="B446" t="s">
        <v>7747</v>
      </c>
      <c r="C446" t="s">
        <v>6967</v>
      </c>
      <c r="D446" t="str" cm="1">
        <f t="array" ref="D446">TRANSPOSE(_xlfn._xlws.FILTER('Controllable Asset Registry'!$A$4:$A$777,IFERROR('Controllable Asset Registry'!$E$4:$E$777=A446,FALSE),"No Equipment in entity"))</f>
        <v>VAV0253</v>
      </c>
    </row>
    <row r="447" spans="1:5" x14ac:dyDescent="0.3">
      <c r="A447" t="s">
        <v>6346</v>
      </c>
      <c r="B447" t="s">
        <v>7748</v>
      </c>
      <c r="C447" t="s">
        <v>7100</v>
      </c>
      <c r="D447" t="str" cm="1">
        <f t="array" ref="D447">TRANSPOSE(_xlfn._xlws.FILTER('Controllable Asset Registry'!$A$4:$A$777,IFERROR('Controllable Asset Registry'!$E$4:$E$777=A447,FALSE),"No Equipment in entity"))</f>
        <v>VAV0254</v>
      </c>
    </row>
    <row r="448" spans="1:5" x14ac:dyDescent="0.3">
      <c r="A448" t="s">
        <v>6347</v>
      </c>
      <c r="B448" t="s">
        <v>7749</v>
      </c>
      <c r="C448" t="s">
        <v>7100</v>
      </c>
      <c r="D448" t="str" cm="1">
        <f t="array" ref="D448">TRANSPOSE(_xlfn._xlws.FILTER('Controllable Asset Registry'!$A$4:$A$777,IFERROR('Controllable Asset Registry'!$E$4:$E$777=A448,FALSE),"No Equipment in entity"))</f>
        <v>VAV0255</v>
      </c>
    </row>
    <row r="449" spans="1:5" x14ac:dyDescent="0.3">
      <c r="A449" t="s">
        <v>7101</v>
      </c>
      <c r="B449" t="s">
        <v>7750</v>
      </c>
      <c r="C449" t="s">
        <v>7102</v>
      </c>
      <c r="D449" t="str" cm="1">
        <f t="array" ref="D449">TRANSPOSE(_xlfn._xlws.FILTER('Controllable Asset Registry'!$A$4:$A$777,IFERROR('Controllable Asset Registry'!$E$4:$E$777=A449,FALSE),"No Equipment in entity"))</f>
        <v>No Equipment in entity</v>
      </c>
    </row>
    <row r="450" spans="1:5" x14ac:dyDescent="0.3">
      <c r="A450" t="s">
        <v>6348</v>
      </c>
      <c r="B450" t="s">
        <v>7751</v>
      </c>
      <c r="C450" t="s">
        <v>7103</v>
      </c>
      <c r="D450" t="str" cm="1">
        <f t="array" ref="D450:E450">TRANSPOSE(_xlfn._xlws.FILTER('Controllable Asset Registry'!$A$4:$A$777,IFERROR('Controllable Asset Registry'!$E$4:$E$777=A450,FALSE),"No Equipment in entity"))</f>
        <v>VAV0256</v>
      </c>
      <c r="E450" t="str">
        <v>VAV0257</v>
      </c>
    </row>
    <row r="451" spans="1:5" x14ac:dyDescent="0.3">
      <c r="A451" t="s">
        <v>6349</v>
      </c>
      <c r="B451" t="s">
        <v>7752</v>
      </c>
      <c r="C451" t="s">
        <v>7100</v>
      </c>
      <c r="D451" t="str" cm="1">
        <f t="array" ref="D451">TRANSPOSE(_xlfn._xlws.FILTER('Controllable Asset Registry'!$A$4:$A$777,IFERROR('Controllable Asset Registry'!$E$4:$E$777=A451,FALSE),"No Equipment in entity"))</f>
        <v>VAV0258</v>
      </c>
    </row>
    <row r="452" spans="1:5" x14ac:dyDescent="0.3">
      <c r="A452" t="s">
        <v>6350</v>
      </c>
      <c r="B452" t="s">
        <v>7753</v>
      </c>
      <c r="C452" t="s">
        <v>7100</v>
      </c>
      <c r="D452" t="str" cm="1">
        <f t="array" ref="D452">TRANSPOSE(_xlfn._xlws.FILTER('Controllable Asset Registry'!$A$4:$A$777,IFERROR('Controllable Asset Registry'!$E$4:$E$777=A452,FALSE),"No Equipment in entity"))</f>
        <v>VAV0259</v>
      </c>
    </row>
    <row r="453" spans="1:5" x14ac:dyDescent="0.3">
      <c r="A453" t="s">
        <v>6351</v>
      </c>
      <c r="B453" t="s">
        <v>7754</v>
      </c>
      <c r="C453" t="s">
        <v>7100</v>
      </c>
      <c r="D453" t="str" cm="1">
        <f t="array" ref="D453">TRANSPOSE(_xlfn._xlws.FILTER('Controllable Asset Registry'!$A$4:$A$777,IFERROR('Controllable Asset Registry'!$E$4:$E$777=A453,FALSE),"No Equipment in entity"))</f>
        <v>VAV0260</v>
      </c>
    </row>
    <row r="454" spans="1:5" x14ac:dyDescent="0.3">
      <c r="A454" t="s">
        <v>6352</v>
      </c>
      <c r="B454" t="s">
        <v>7755</v>
      </c>
      <c r="C454" t="s">
        <v>7104</v>
      </c>
      <c r="D454" t="str" cm="1">
        <f t="array" ref="D454">TRANSPOSE(_xlfn._xlws.FILTER('Controllable Asset Registry'!$A$4:$A$777,IFERROR('Controllable Asset Registry'!$E$4:$E$777=A454,FALSE),"No Equipment in entity"))</f>
        <v>VAV0261</v>
      </c>
    </row>
    <row r="455" spans="1:5" x14ac:dyDescent="0.3">
      <c r="A455" t="s">
        <v>6353</v>
      </c>
      <c r="B455" t="s">
        <v>7756</v>
      </c>
      <c r="C455" t="s">
        <v>7105</v>
      </c>
      <c r="D455" t="str" cm="1">
        <f t="array" ref="D455">TRANSPOSE(_xlfn._xlws.FILTER('Controllable Asset Registry'!$A$4:$A$777,IFERROR('Controllable Asset Registry'!$E$4:$E$777=A455,FALSE),"No Equipment in entity"))</f>
        <v>VAV0262</v>
      </c>
    </row>
    <row r="456" spans="1:5" x14ac:dyDescent="0.3">
      <c r="A456" t="s">
        <v>7106</v>
      </c>
      <c r="B456" t="s">
        <v>7757</v>
      </c>
      <c r="C456" t="s">
        <v>7107</v>
      </c>
      <c r="D456" t="str" cm="1">
        <f t="array" ref="D456">TRANSPOSE(_xlfn._xlws.FILTER('Controllable Asset Registry'!$A$4:$A$777,IFERROR('Controllable Asset Registry'!$E$4:$E$777=A456,FALSE),"No Equipment in entity"))</f>
        <v>No Equipment in entity</v>
      </c>
    </row>
    <row r="457" spans="1:5" x14ac:dyDescent="0.3">
      <c r="A457" t="s">
        <v>6354</v>
      </c>
      <c r="B457" t="s">
        <v>7758</v>
      </c>
      <c r="C457" t="s">
        <v>7108</v>
      </c>
      <c r="D457" t="str" cm="1">
        <f t="array" ref="D457:E457">TRANSPOSE(_xlfn._xlws.FILTER('Controllable Asset Registry'!$A$4:$A$777,IFERROR('Controllable Asset Registry'!$E$4:$E$777=A457,FALSE),"No Equipment in entity"))</f>
        <v>VAV0263</v>
      </c>
      <c r="E457" t="str">
        <v>VAV0264</v>
      </c>
    </row>
    <row r="458" spans="1:5" x14ac:dyDescent="0.3">
      <c r="A458" t="s">
        <v>7109</v>
      </c>
      <c r="B458" t="s">
        <v>7759</v>
      </c>
      <c r="C458" t="s">
        <v>6725</v>
      </c>
      <c r="D458" t="str" cm="1">
        <f t="array" ref="D458">TRANSPOSE(_xlfn._xlws.FILTER('Controllable Asset Registry'!$A$4:$A$777,IFERROR('Controllable Asset Registry'!$E$4:$E$777=A458,FALSE),"No Equipment in entity"))</f>
        <v>No Equipment in entity</v>
      </c>
    </row>
    <row r="459" spans="1:5" x14ac:dyDescent="0.3">
      <c r="A459" t="s">
        <v>7110</v>
      </c>
      <c r="B459" t="s">
        <v>7760</v>
      </c>
      <c r="C459" t="s">
        <v>6728</v>
      </c>
      <c r="D459" t="str" cm="1">
        <f t="array" ref="D459">TRANSPOSE(_xlfn._xlws.FILTER('Controllable Asset Registry'!$A$4:$A$777,IFERROR('Controllable Asset Registry'!$E$4:$E$777=A459,FALSE),"No Equipment in entity"))</f>
        <v>No Equipment in entity</v>
      </c>
    </row>
    <row r="460" spans="1:5" x14ac:dyDescent="0.3">
      <c r="A460" t="s">
        <v>7111</v>
      </c>
      <c r="B460" t="s">
        <v>7761</v>
      </c>
      <c r="C460" t="s">
        <v>6725</v>
      </c>
      <c r="D460" t="str" cm="1">
        <f t="array" ref="D460">TRANSPOSE(_xlfn._xlws.FILTER('Controllable Asset Registry'!$A$4:$A$777,IFERROR('Controllable Asset Registry'!$E$4:$E$777=A460,FALSE),"No Equipment in entity"))</f>
        <v>No Equipment in entity</v>
      </c>
    </row>
    <row r="461" spans="1:5" x14ac:dyDescent="0.3">
      <c r="A461" t="s">
        <v>7112</v>
      </c>
      <c r="B461" t="s">
        <v>7762</v>
      </c>
      <c r="C461" t="s">
        <v>6728</v>
      </c>
      <c r="D461" t="str" cm="1">
        <f t="array" ref="D461">TRANSPOSE(_xlfn._xlws.FILTER('Controllable Asset Registry'!$A$4:$A$777,IFERROR('Controllable Asset Registry'!$E$4:$E$777=A461,FALSE),"No Equipment in entity"))</f>
        <v>No Equipment in entity</v>
      </c>
    </row>
    <row r="462" spans="1:5" x14ac:dyDescent="0.3">
      <c r="A462" t="s">
        <v>7113</v>
      </c>
      <c r="B462" t="s">
        <v>7763</v>
      </c>
      <c r="C462" t="s">
        <v>5861</v>
      </c>
      <c r="D462" t="str" cm="1">
        <f t="array" ref="D462">TRANSPOSE(_xlfn._xlws.FILTER('Controllable Asset Registry'!$A$4:$A$777,IFERROR('Controllable Asset Registry'!$E$4:$E$777=A462,FALSE),"No Equipment in entity"))</f>
        <v>No Equipment in entity</v>
      </c>
    </row>
    <row r="463" spans="1:5" x14ac:dyDescent="0.3">
      <c r="A463" t="s">
        <v>7114</v>
      </c>
      <c r="B463" t="s">
        <v>7764</v>
      </c>
      <c r="C463" t="s">
        <v>5861</v>
      </c>
      <c r="D463" t="str" cm="1">
        <f t="array" ref="D463">TRANSPOSE(_xlfn._xlws.FILTER('Controllable Asset Registry'!$A$4:$A$777,IFERROR('Controllable Asset Registry'!$E$4:$E$777=A463,FALSE),"No Equipment in entity"))</f>
        <v>No Equipment in entity</v>
      </c>
    </row>
    <row r="464" spans="1:5" x14ac:dyDescent="0.3">
      <c r="A464" t="s">
        <v>7115</v>
      </c>
      <c r="B464" t="s">
        <v>7765</v>
      </c>
      <c r="C464" t="s">
        <v>5858</v>
      </c>
      <c r="D464" t="str" cm="1">
        <f t="array" ref="D464">TRANSPOSE(_xlfn._xlws.FILTER('Controllable Asset Registry'!$A$4:$A$777,IFERROR('Controllable Asset Registry'!$E$4:$E$777=A464,FALSE),"No Equipment in entity"))</f>
        <v>No Equipment in entity</v>
      </c>
    </row>
    <row r="465" spans="1:7" x14ac:dyDescent="0.3">
      <c r="A465" t="s">
        <v>6103</v>
      </c>
      <c r="B465" t="s">
        <v>7766</v>
      </c>
      <c r="C465" t="s">
        <v>6734</v>
      </c>
      <c r="D465" t="str" cm="1">
        <f t="array" ref="D465">TRANSPOSE(_xlfn._xlws.FILTER('Controllable Asset Registry'!$A$4:$A$777,IFERROR('Controllable Asset Registry'!$E$4:$E$777=A465,FALSE),"No Equipment in entity"))</f>
        <v>FCU0073</v>
      </c>
    </row>
    <row r="466" spans="1:7" x14ac:dyDescent="0.3">
      <c r="A466" t="s">
        <v>7116</v>
      </c>
      <c r="B466" t="s">
        <v>7767</v>
      </c>
      <c r="C466" t="s">
        <v>5858</v>
      </c>
      <c r="D466" t="str" cm="1">
        <f t="array" ref="D466">TRANSPOSE(_xlfn._xlws.FILTER('Controllable Asset Registry'!$A$4:$A$777,IFERROR('Controllable Asset Registry'!$E$4:$E$777=A466,FALSE),"No Equipment in entity"))</f>
        <v>No Equipment in entity</v>
      </c>
    </row>
    <row r="467" spans="1:7" x14ac:dyDescent="0.3">
      <c r="A467" t="s">
        <v>7117</v>
      </c>
      <c r="B467" t="s">
        <v>7768</v>
      </c>
      <c r="C467" t="s">
        <v>5858</v>
      </c>
      <c r="D467" t="str" cm="1">
        <f t="array" ref="D467">TRANSPOSE(_xlfn._xlws.FILTER('Controllable Asset Registry'!$A$4:$A$777,IFERROR('Controllable Asset Registry'!$E$4:$E$777=A467,FALSE),"No Equipment in entity"))</f>
        <v>No Equipment in entity</v>
      </c>
    </row>
    <row r="468" spans="1:7" x14ac:dyDescent="0.3">
      <c r="A468" t="s">
        <v>6102</v>
      </c>
      <c r="B468" t="s">
        <v>7769</v>
      </c>
      <c r="C468" t="s">
        <v>6734</v>
      </c>
      <c r="D468" t="str" cm="1">
        <f t="array" ref="D468:E468">TRANSPOSE(_xlfn._xlws.FILTER('Controllable Asset Registry'!$A$4:$A$777,IFERROR('Controllable Asset Registry'!$E$4:$E$777=A468,FALSE),"No Equipment in entity"))</f>
        <v>FCU0071</v>
      </c>
      <c r="E468" t="str">
        <v>FCU0072</v>
      </c>
    </row>
    <row r="469" spans="1:7" x14ac:dyDescent="0.3">
      <c r="A469" t="s">
        <v>7118</v>
      </c>
      <c r="B469" t="s">
        <v>7770</v>
      </c>
      <c r="C469" t="s">
        <v>7119</v>
      </c>
      <c r="D469" t="str" cm="1">
        <f t="array" ref="D469">TRANSPOSE(_xlfn._xlws.FILTER('Controllable Asset Registry'!$A$4:$A$777,IFERROR('Controllable Asset Registry'!$E$4:$E$777=A469,FALSE),"No Equipment in entity"))</f>
        <v>No Equipment in entity</v>
      </c>
    </row>
    <row r="470" spans="1:7" x14ac:dyDescent="0.3">
      <c r="A470" t="s">
        <v>7120</v>
      </c>
      <c r="B470" t="s">
        <v>7771</v>
      </c>
      <c r="C470" t="s">
        <v>6879</v>
      </c>
      <c r="D470" t="str" cm="1">
        <f t="array" ref="D470">TRANSPOSE(_xlfn._xlws.FILTER('Controllable Asset Registry'!$A$4:$A$777,IFERROR('Controllable Asset Registry'!$E$4:$E$777=A470,FALSE),"No Equipment in entity"))</f>
        <v>No Equipment in entity</v>
      </c>
    </row>
    <row r="471" spans="1:7" x14ac:dyDescent="0.3">
      <c r="A471" t="s">
        <v>6336</v>
      </c>
      <c r="B471" t="s">
        <v>7772</v>
      </c>
      <c r="C471" t="s">
        <v>7033</v>
      </c>
      <c r="D471" t="str" cm="1">
        <f t="array" ref="D471:F471">TRANSPOSE(_xlfn._xlws.FILTER('Controllable Asset Registry'!$A$4:$A$777,IFERROR('Controllable Asset Registry'!$E$4:$E$777=A471,FALSE),"No Equipment in entity"))</f>
        <v>VAV0235</v>
      </c>
      <c r="E471" t="str">
        <v>VAV0237</v>
      </c>
      <c r="F471" t="str">
        <v>VAV0251</v>
      </c>
    </row>
    <row r="472" spans="1:7" x14ac:dyDescent="0.3">
      <c r="A472" t="s">
        <v>7121</v>
      </c>
      <c r="B472" t="s">
        <v>7773</v>
      </c>
      <c r="C472" t="s">
        <v>7122</v>
      </c>
      <c r="D472" t="str" cm="1">
        <f t="array" ref="D472">TRANSPOSE(_xlfn._xlws.FILTER('Controllable Asset Registry'!$A$4:$A$777,IFERROR('Controllable Asset Registry'!$E$4:$E$777=A472,FALSE),"No Equipment in entity"))</f>
        <v>No Equipment in entity</v>
      </c>
    </row>
    <row r="473" spans="1:7" x14ac:dyDescent="0.3">
      <c r="A473" t="s">
        <v>6355</v>
      </c>
      <c r="B473" t="s">
        <v>7774</v>
      </c>
      <c r="C473" t="s">
        <v>7074</v>
      </c>
      <c r="D473" t="str" cm="1">
        <f t="array" ref="D473:E473">TRANSPOSE(_xlfn._xlws.FILTER('Controllable Asset Registry'!$A$4:$A$777,IFERROR('Controllable Asset Registry'!$E$4:$E$777=A473,FALSE),"No Equipment in entity"))</f>
        <v>VAV0265</v>
      </c>
      <c r="E473" t="str">
        <v>VAV0266</v>
      </c>
    </row>
    <row r="474" spans="1:7" x14ac:dyDescent="0.3">
      <c r="A474" t="s">
        <v>7123</v>
      </c>
      <c r="B474" t="s">
        <v>7775</v>
      </c>
      <c r="C474" t="s">
        <v>6936</v>
      </c>
      <c r="D474" t="str" cm="1">
        <f t="array" ref="D474">TRANSPOSE(_xlfn._xlws.FILTER('Controllable Asset Registry'!$A$4:$A$777,IFERROR('Controllable Asset Registry'!$E$4:$E$777=A474,FALSE),"No Equipment in entity"))</f>
        <v>No Equipment in entity</v>
      </c>
    </row>
    <row r="475" spans="1:7" x14ac:dyDescent="0.3">
      <c r="A475" t="s">
        <v>6105</v>
      </c>
      <c r="B475" t="s">
        <v>7776</v>
      </c>
      <c r="C475" t="s">
        <v>7124</v>
      </c>
      <c r="D475" t="str" cm="1">
        <f t="array" ref="D475:G475">TRANSPOSE(_xlfn._xlws.FILTER('Controllable Asset Registry'!$A$4:$A$777,IFERROR('Controllable Asset Registry'!$E$4:$E$777=A475,FALSE),"No Equipment in entity"))</f>
        <v>FCU0077</v>
      </c>
      <c r="E475" t="str">
        <v>FCU0078</v>
      </c>
      <c r="F475" t="str">
        <v>FCU0079</v>
      </c>
      <c r="G475" t="str">
        <v>FCU0080</v>
      </c>
    </row>
    <row r="476" spans="1:7" x14ac:dyDescent="0.3">
      <c r="A476" t="s">
        <v>6106</v>
      </c>
      <c r="B476" t="s">
        <v>7777</v>
      </c>
      <c r="C476" t="s">
        <v>7125</v>
      </c>
      <c r="D476" t="str" cm="1">
        <f t="array" ref="D476:E476">TRANSPOSE(_xlfn._xlws.FILTER('Controllable Asset Registry'!$A$4:$A$777,IFERROR('Controllable Asset Registry'!$E$4:$E$777=A476,FALSE),"No Equipment in entity"))</f>
        <v>FCU0081</v>
      </c>
      <c r="E476" t="str">
        <v>FCU0083</v>
      </c>
    </row>
    <row r="477" spans="1:7" x14ac:dyDescent="0.3">
      <c r="A477" t="s">
        <v>6107</v>
      </c>
      <c r="B477" t="s">
        <v>7778</v>
      </c>
      <c r="C477" t="s">
        <v>7125</v>
      </c>
      <c r="D477" t="str" cm="1">
        <f t="array" ref="D477">TRANSPOSE(_xlfn._xlws.FILTER('Controllable Asset Registry'!$A$4:$A$777,IFERROR('Controllable Asset Registry'!$E$4:$E$777=A477,FALSE),"No Equipment in entity"))</f>
        <v>FCU0082</v>
      </c>
    </row>
    <row r="478" spans="1:7" x14ac:dyDescent="0.3">
      <c r="A478" t="s">
        <v>8310</v>
      </c>
      <c r="B478" t="s">
        <v>8311</v>
      </c>
      <c r="C478" t="s">
        <v>6893</v>
      </c>
      <c r="D478" t="str" cm="1">
        <f t="array" ref="D478">TRANSPOSE(_xlfn._xlws.FILTER('Controllable Asset Registry'!$A$4:$A$777,IFERROR('Controllable Asset Registry'!$E$4:$E$777=A478,FALSE),"No Equipment in entity"))</f>
        <v>No Equipment in entity</v>
      </c>
    </row>
    <row r="479" spans="1:7" x14ac:dyDescent="0.3">
      <c r="A479" t="s">
        <v>8312</v>
      </c>
      <c r="B479" t="s">
        <v>8313</v>
      </c>
      <c r="C479" t="s">
        <v>6896</v>
      </c>
      <c r="D479" t="str" cm="1">
        <f t="array" ref="D479">TRANSPOSE(_xlfn._xlws.FILTER('Controllable Asset Registry'!$A$4:$A$777,IFERROR('Controllable Asset Registry'!$E$4:$E$777=A479,FALSE),"No Equipment in entity"))</f>
        <v>No Equipment in entity</v>
      </c>
    </row>
    <row r="480" spans="1:7" x14ac:dyDescent="0.3">
      <c r="A480" t="s">
        <v>8314</v>
      </c>
      <c r="B480" t="s">
        <v>8315</v>
      </c>
      <c r="C480" t="s">
        <v>6899</v>
      </c>
      <c r="D480" t="str" cm="1">
        <f t="array" ref="D480">TRANSPOSE(_xlfn._xlws.FILTER('Controllable Asset Registry'!$A$4:$A$777,IFERROR('Controllable Asset Registry'!$E$4:$E$777=A480,FALSE),"No Equipment in entity"))</f>
        <v>No Equipment in entity</v>
      </c>
    </row>
    <row r="481" spans="1:4" x14ac:dyDescent="0.3">
      <c r="A481" t="s">
        <v>8316</v>
      </c>
      <c r="B481" t="s">
        <v>8317</v>
      </c>
      <c r="C481" t="s">
        <v>6763</v>
      </c>
      <c r="D481" t="str" cm="1">
        <f t="array" ref="D481">TRANSPOSE(_xlfn._xlws.FILTER('Controllable Asset Registry'!$A$4:$A$777,IFERROR('Controllable Asset Registry'!$E$4:$E$777=A481,FALSE),"No Equipment in entity"))</f>
        <v>No Equipment in entity</v>
      </c>
    </row>
    <row r="482" spans="1:4" x14ac:dyDescent="0.3">
      <c r="A482" t="s">
        <v>8318</v>
      </c>
      <c r="B482" t="s">
        <v>8319</v>
      </c>
      <c r="C482" t="s">
        <v>6766</v>
      </c>
      <c r="D482" t="str" cm="1">
        <f t="array" ref="D482">TRANSPOSE(_xlfn._xlws.FILTER('Controllable Asset Registry'!$A$4:$A$777,IFERROR('Controllable Asset Registry'!$E$4:$E$777=A482,FALSE),"No Equipment in entity"))</f>
        <v>No Equipment in entity</v>
      </c>
    </row>
    <row r="483" spans="1:4" x14ac:dyDescent="0.3">
      <c r="A483" t="s">
        <v>8320</v>
      </c>
      <c r="B483" t="s">
        <v>8321</v>
      </c>
      <c r="C483" t="s">
        <v>6769</v>
      </c>
      <c r="D483" t="str" cm="1">
        <f t="array" ref="D483">TRANSPOSE(_xlfn._xlws.FILTER('Controllable Asset Registry'!$A$4:$A$777,IFERROR('Controllable Asset Registry'!$E$4:$E$777=A483,FALSE),"No Equipment in entity"))</f>
        <v>No Equipment in entity</v>
      </c>
    </row>
    <row r="484" spans="1:4" x14ac:dyDescent="0.3">
      <c r="A484" t="s">
        <v>8322</v>
      </c>
      <c r="B484" t="s">
        <v>8323</v>
      </c>
      <c r="C484" t="s">
        <v>6908</v>
      </c>
      <c r="D484" t="str" cm="1">
        <f t="array" ref="D484">TRANSPOSE(_xlfn._xlws.FILTER('Controllable Asset Registry'!$A$4:$A$777,IFERROR('Controllable Asset Registry'!$E$4:$E$777=A484,FALSE),"No Equipment in entity"))</f>
        <v>No Equipment in entity</v>
      </c>
    </row>
    <row r="485" spans="1:4" x14ac:dyDescent="0.3">
      <c r="A485" t="s">
        <v>8324</v>
      </c>
      <c r="B485" t="s">
        <v>8325</v>
      </c>
      <c r="C485" t="s">
        <v>6774</v>
      </c>
      <c r="D485" t="str" cm="1">
        <f t="array" ref="D485">TRANSPOSE(_xlfn._xlws.FILTER('Controllable Asset Registry'!$A$4:$A$777,IFERROR('Controllable Asset Registry'!$E$4:$E$777=A485,FALSE),"No Equipment in entity"))</f>
        <v>No Equipment in entity</v>
      </c>
    </row>
    <row r="486" spans="1:4" x14ac:dyDescent="0.3">
      <c r="A486" t="s">
        <v>8326</v>
      </c>
      <c r="B486" t="s">
        <v>8327</v>
      </c>
      <c r="C486" t="s">
        <v>6776</v>
      </c>
      <c r="D486" t="str" cm="1">
        <f t="array" ref="D486">TRANSPOSE(_xlfn._xlws.FILTER('Controllable Asset Registry'!$A$4:$A$777,IFERROR('Controllable Asset Registry'!$E$4:$E$777=A486,FALSE),"No Equipment in entity"))</f>
        <v>No Equipment in entity</v>
      </c>
    </row>
    <row r="487" spans="1:4" x14ac:dyDescent="0.3">
      <c r="A487" t="s">
        <v>8328</v>
      </c>
      <c r="B487" t="s">
        <v>8329</v>
      </c>
      <c r="C487" t="s">
        <v>6915</v>
      </c>
      <c r="D487" t="str" cm="1">
        <f t="array" ref="D487">TRANSPOSE(_xlfn._xlws.FILTER('Controllable Asset Registry'!$A$4:$A$777,IFERROR('Controllable Asset Registry'!$E$4:$E$777=A487,FALSE),"No Equipment in entity"))</f>
        <v>No Equipment in entity</v>
      </c>
    </row>
    <row r="488" spans="1:4" x14ac:dyDescent="0.3">
      <c r="A488" t="s">
        <v>8330</v>
      </c>
      <c r="B488" t="s">
        <v>8331</v>
      </c>
      <c r="C488" t="s">
        <v>6779</v>
      </c>
      <c r="D488" t="str" cm="1">
        <f t="array" ref="D488">TRANSPOSE(_xlfn._xlws.FILTER('Controllable Asset Registry'!$A$4:$A$777,IFERROR('Controllable Asset Registry'!$E$4:$E$777=A488,FALSE),"No Equipment in entity"))</f>
        <v>No Equipment in entity</v>
      </c>
    </row>
    <row r="489" spans="1:4" x14ac:dyDescent="0.3">
      <c r="A489" t="s">
        <v>6386</v>
      </c>
      <c r="B489" t="s">
        <v>7779</v>
      </c>
      <c r="C489" t="s">
        <v>7126</v>
      </c>
      <c r="D489" t="str" cm="1">
        <f t="array" ref="D489">TRANSPOSE(_xlfn._xlws.FILTER('Controllable Asset Registry'!$A$4:$A$777,IFERROR('Controllable Asset Registry'!$E$4:$E$777=A489,FALSE),"No Equipment in entity"))</f>
        <v>VAV0303</v>
      </c>
    </row>
    <row r="490" spans="1:4" x14ac:dyDescent="0.3">
      <c r="A490" t="s">
        <v>6377</v>
      </c>
      <c r="B490" t="s">
        <v>7780</v>
      </c>
      <c r="C490" t="s">
        <v>7127</v>
      </c>
      <c r="D490" t="str" cm="1">
        <f t="array" ref="D490">TRANSPOSE(_xlfn._xlws.FILTER('Controllable Asset Registry'!$A$4:$A$777,IFERROR('Controllable Asset Registry'!$E$4:$E$777=A490,FALSE),"No Equipment in entity"))</f>
        <v>VAV0293</v>
      </c>
    </row>
    <row r="491" spans="1:4" x14ac:dyDescent="0.3">
      <c r="A491" t="s">
        <v>6378</v>
      </c>
      <c r="B491" t="s">
        <v>7781</v>
      </c>
      <c r="C491" t="s">
        <v>7128</v>
      </c>
      <c r="D491" t="str" cm="1">
        <f t="array" ref="D491">TRANSPOSE(_xlfn._xlws.FILTER('Controllable Asset Registry'!$A$4:$A$777,IFERROR('Controllable Asset Registry'!$E$4:$E$777=A491,FALSE),"No Equipment in entity"))</f>
        <v>VAV0294</v>
      </c>
    </row>
    <row r="492" spans="1:4" x14ac:dyDescent="0.3">
      <c r="A492" t="s">
        <v>6379</v>
      </c>
      <c r="B492" t="s">
        <v>7782</v>
      </c>
      <c r="C492" t="s">
        <v>7126</v>
      </c>
      <c r="D492" t="str" cm="1">
        <f t="array" ref="D492">TRANSPOSE(_xlfn._xlws.FILTER('Controllable Asset Registry'!$A$4:$A$777,IFERROR('Controllable Asset Registry'!$E$4:$E$777=A492,FALSE),"No Equipment in entity"))</f>
        <v>VAV0295</v>
      </c>
    </row>
    <row r="493" spans="1:4" x14ac:dyDescent="0.3">
      <c r="A493" t="s">
        <v>6380</v>
      </c>
      <c r="B493" t="s">
        <v>7783</v>
      </c>
      <c r="C493" t="s">
        <v>7129</v>
      </c>
      <c r="D493" t="str" cm="1">
        <f t="array" ref="D493">TRANSPOSE(_xlfn._xlws.FILTER('Controllable Asset Registry'!$A$4:$A$777,IFERROR('Controllable Asset Registry'!$E$4:$E$777=A493,FALSE),"No Equipment in entity"))</f>
        <v>VAV0296</v>
      </c>
    </row>
    <row r="494" spans="1:4" x14ac:dyDescent="0.3">
      <c r="A494" t="s">
        <v>6381</v>
      </c>
      <c r="B494" t="s">
        <v>7784</v>
      </c>
      <c r="C494" t="s">
        <v>7129</v>
      </c>
      <c r="D494" t="str" cm="1">
        <f t="array" ref="D494">TRANSPOSE(_xlfn._xlws.FILTER('Controllable Asset Registry'!$A$4:$A$777,IFERROR('Controllable Asset Registry'!$E$4:$E$777=A494,FALSE),"No Equipment in entity"))</f>
        <v>VAV0297</v>
      </c>
    </row>
    <row r="495" spans="1:4" x14ac:dyDescent="0.3">
      <c r="A495" t="s">
        <v>6382</v>
      </c>
      <c r="B495" t="s">
        <v>7785</v>
      </c>
      <c r="C495" t="s">
        <v>7129</v>
      </c>
      <c r="D495" t="str" cm="1">
        <f t="array" ref="D495">TRANSPOSE(_xlfn._xlws.FILTER('Controllable Asset Registry'!$A$4:$A$777,IFERROR('Controllable Asset Registry'!$E$4:$E$777=A495,FALSE),"No Equipment in entity"))</f>
        <v>VAV0298</v>
      </c>
    </row>
    <row r="496" spans="1:4" x14ac:dyDescent="0.3">
      <c r="A496" t="s">
        <v>6383</v>
      </c>
      <c r="B496" t="s">
        <v>7786</v>
      </c>
      <c r="C496" t="s">
        <v>7126</v>
      </c>
      <c r="D496" t="str" cm="1">
        <f t="array" ref="D496">TRANSPOSE(_xlfn._xlws.FILTER('Controllable Asset Registry'!$A$4:$A$777,IFERROR('Controllable Asset Registry'!$E$4:$E$777=A496,FALSE),"No Equipment in entity"))</f>
        <v>VAV0299</v>
      </c>
    </row>
    <row r="497" spans="1:4" x14ac:dyDescent="0.3">
      <c r="A497" t="s">
        <v>8228</v>
      </c>
      <c r="B497" t="s">
        <v>8332</v>
      </c>
      <c r="C497" t="s">
        <v>7129</v>
      </c>
      <c r="D497" t="str" cm="1">
        <f t="array" ref="D497">TRANSPOSE(_xlfn._xlws.FILTER('Controllable Asset Registry'!$A$4:$A$777,IFERROR('Controllable Asset Registry'!$E$4:$E$777=A497,FALSE),"No Equipment in entity"))</f>
        <v>VAV0290</v>
      </c>
    </row>
    <row r="498" spans="1:4" x14ac:dyDescent="0.3">
      <c r="A498" t="s">
        <v>8333</v>
      </c>
      <c r="B498" t="s">
        <v>8332</v>
      </c>
      <c r="C498" t="s">
        <v>7126</v>
      </c>
      <c r="D498" t="str" cm="1">
        <f t="array" ref="D498">TRANSPOSE(_xlfn._xlws.FILTER('Controllable Asset Registry'!$A$4:$A$777,IFERROR('Controllable Asset Registry'!$E$4:$E$777=A498,FALSE),"No Equipment in entity"))</f>
        <v>No Equipment in entity</v>
      </c>
    </row>
    <row r="499" spans="1:4" x14ac:dyDescent="0.3">
      <c r="A499" t="s">
        <v>8229</v>
      </c>
      <c r="B499" t="s">
        <v>8334</v>
      </c>
      <c r="C499" t="s">
        <v>7129</v>
      </c>
      <c r="D499" t="str" cm="1">
        <f t="array" ref="D499">TRANSPOSE(_xlfn._xlws.FILTER('Controllable Asset Registry'!$A$4:$A$777,IFERROR('Controllable Asset Registry'!$E$4:$E$777=A499,FALSE),"No Equipment in entity"))</f>
        <v>VAV0291</v>
      </c>
    </row>
    <row r="500" spans="1:4" x14ac:dyDescent="0.3">
      <c r="A500" t="s">
        <v>6376</v>
      </c>
      <c r="B500" t="s">
        <v>7787</v>
      </c>
      <c r="C500" t="s">
        <v>7126</v>
      </c>
      <c r="D500" t="str" cm="1">
        <f t="array" ref="D500">TRANSPOSE(_xlfn._xlws.FILTER('Controllable Asset Registry'!$A$4:$A$777,IFERROR('Controllable Asset Registry'!$E$4:$E$777=A500,FALSE),"No Equipment in entity"))</f>
        <v>VAV0292</v>
      </c>
    </row>
    <row r="501" spans="1:4" x14ac:dyDescent="0.3">
      <c r="A501" t="s">
        <v>6356</v>
      </c>
      <c r="B501" t="s">
        <v>7788</v>
      </c>
      <c r="C501" t="s">
        <v>7130</v>
      </c>
      <c r="D501" t="str" cm="1">
        <f t="array" ref="D501">TRANSPOSE(_xlfn._xlws.FILTER('Controllable Asset Registry'!$A$4:$A$777,IFERROR('Controllable Asset Registry'!$E$4:$E$777=A501,FALSE),"No Equipment in entity"))</f>
        <v>VAV0267</v>
      </c>
    </row>
    <row r="502" spans="1:4" x14ac:dyDescent="0.3">
      <c r="A502" t="s">
        <v>6357</v>
      </c>
      <c r="B502" t="s">
        <v>7789</v>
      </c>
      <c r="C502" t="s">
        <v>7128</v>
      </c>
      <c r="D502" t="str" cm="1">
        <f t="array" ref="D502">TRANSPOSE(_xlfn._xlws.FILTER('Controllable Asset Registry'!$A$4:$A$777,IFERROR('Controllable Asset Registry'!$E$4:$E$777=A502,FALSE),"No Equipment in entity"))</f>
        <v>VAV0268</v>
      </c>
    </row>
    <row r="503" spans="1:4" x14ac:dyDescent="0.3">
      <c r="A503" t="s">
        <v>6358</v>
      </c>
      <c r="B503" t="s">
        <v>7790</v>
      </c>
      <c r="C503" t="s">
        <v>7126</v>
      </c>
      <c r="D503" t="str" cm="1">
        <f t="array" ref="D503">TRANSPOSE(_xlfn._xlws.FILTER('Controllable Asset Registry'!$A$4:$A$777,IFERROR('Controllable Asset Registry'!$E$4:$E$777=A503,FALSE),"No Equipment in entity"))</f>
        <v>VAV0269</v>
      </c>
    </row>
    <row r="504" spans="1:4" x14ac:dyDescent="0.3">
      <c r="A504" t="s">
        <v>6359</v>
      </c>
      <c r="B504" t="s">
        <v>7791</v>
      </c>
      <c r="C504" t="s">
        <v>7126</v>
      </c>
      <c r="D504" t="str" cm="1">
        <f t="array" ref="D504">TRANSPOSE(_xlfn._xlws.FILTER('Controllable Asset Registry'!$A$4:$A$777,IFERROR('Controllable Asset Registry'!$E$4:$E$777=A504,FALSE),"No Equipment in entity"))</f>
        <v>VAV0270</v>
      </c>
    </row>
    <row r="505" spans="1:4" x14ac:dyDescent="0.3">
      <c r="A505" t="s">
        <v>6360</v>
      </c>
      <c r="B505" t="s">
        <v>7792</v>
      </c>
      <c r="C505" t="s">
        <v>7126</v>
      </c>
      <c r="D505" t="str" cm="1">
        <f t="array" ref="D505">TRANSPOSE(_xlfn._xlws.FILTER('Controllable Asset Registry'!$A$4:$A$777,IFERROR('Controllable Asset Registry'!$E$4:$E$777=A505,FALSE),"No Equipment in entity"))</f>
        <v>VAV0271</v>
      </c>
    </row>
    <row r="506" spans="1:4" x14ac:dyDescent="0.3">
      <c r="A506" t="s">
        <v>6361</v>
      </c>
      <c r="B506" t="s">
        <v>7793</v>
      </c>
      <c r="C506" t="s">
        <v>7126</v>
      </c>
      <c r="D506" t="str" cm="1">
        <f t="array" ref="D506">TRANSPOSE(_xlfn._xlws.FILTER('Controllable Asset Registry'!$A$4:$A$777,IFERROR('Controllable Asset Registry'!$E$4:$E$777=A506,FALSE),"No Equipment in entity"))</f>
        <v>VAV0272</v>
      </c>
    </row>
    <row r="507" spans="1:4" x14ac:dyDescent="0.3">
      <c r="A507" t="s">
        <v>6362</v>
      </c>
      <c r="B507" t="s">
        <v>7794</v>
      </c>
      <c r="C507" t="s">
        <v>7129</v>
      </c>
      <c r="D507" t="str" cm="1">
        <f t="array" ref="D507">TRANSPOSE(_xlfn._xlws.FILTER('Controllable Asset Registry'!$A$4:$A$777,IFERROR('Controllable Asset Registry'!$E$4:$E$777=A507,FALSE),"No Equipment in entity"))</f>
        <v>VAV0273</v>
      </c>
    </row>
    <row r="508" spans="1:4" x14ac:dyDescent="0.3">
      <c r="A508" t="s">
        <v>6363</v>
      </c>
      <c r="B508" t="s">
        <v>7795</v>
      </c>
      <c r="C508" t="s">
        <v>7129</v>
      </c>
      <c r="D508" t="str" cm="1">
        <f t="array" ref="D508">TRANSPOSE(_xlfn._xlws.FILTER('Controllable Asset Registry'!$A$4:$A$777,IFERROR('Controllable Asset Registry'!$E$4:$E$777=A508,FALSE),"No Equipment in entity"))</f>
        <v>VAV0274</v>
      </c>
    </row>
    <row r="509" spans="1:4" x14ac:dyDescent="0.3">
      <c r="A509" t="s">
        <v>8227</v>
      </c>
      <c r="B509" t="s">
        <v>8335</v>
      </c>
      <c r="C509" t="s">
        <v>7129</v>
      </c>
      <c r="D509" t="str" cm="1">
        <f t="array" ref="D509">TRANSPOSE(_xlfn._xlws.FILTER('Controllable Asset Registry'!$A$4:$A$777,IFERROR('Controllable Asset Registry'!$E$4:$E$777=A509,FALSE),"No Equipment in entity"))</f>
        <v>VAV0275</v>
      </c>
    </row>
    <row r="510" spans="1:4" x14ac:dyDescent="0.3">
      <c r="A510" t="s">
        <v>6364</v>
      </c>
      <c r="B510" t="s">
        <v>7796</v>
      </c>
      <c r="C510" t="s">
        <v>7129</v>
      </c>
      <c r="D510" t="str" cm="1">
        <f t="array" ref="D510">TRANSPOSE(_xlfn._xlws.FILTER('Controllable Asset Registry'!$A$4:$A$777,IFERROR('Controllable Asset Registry'!$E$4:$E$777=A510,FALSE),"No Equipment in entity"))</f>
        <v>VAV0276</v>
      </c>
    </row>
    <row r="511" spans="1:4" x14ac:dyDescent="0.3">
      <c r="A511" t="s">
        <v>6365</v>
      </c>
      <c r="B511" t="s">
        <v>7797</v>
      </c>
      <c r="C511" t="s">
        <v>7129</v>
      </c>
      <c r="D511" t="str" cm="1">
        <f t="array" ref="D511">TRANSPOSE(_xlfn._xlws.FILTER('Controllable Asset Registry'!$A$4:$A$777,IFERROR('Controllable Asset Registry'!$E$4:$E$777=A511,FALSE),"No Equipment in entity"))</f>
        <v>VAV0277</v>
      </c>
    </row>
    <row r="512" spans="1:4" x14ac:dyDescent="0.3">
      <c r="A512" t="s">
        <v>6366</v>
      </c>
      <c r="B512" t="s">
        <v>7798</v>
      </c>
      <c r="C512" t="s">
        <v>7129</v>
      </c>
      <c r="D512" t="str" cm="1">
        <f t="array" ref="D512">TRANSPOSE(_xlfn._xlws.FILTER('Controllable Asset Registry'!$A$4:$A$777,IFERROR('Controllable Asset Registry'!$E$4:$E$777=A512,FALSE),"No Equipment in entity"))</f>
        <v>VAV0278</v>
      </c>
    </row>
    <row r="513" spans="1:5" x14ac:dyDescent="0.3">
      <c r="A513" t="s">
        <v>6367</v>
      </c>
      <c r="B513" t="s">
        <v>7799</v>
      </c>
      <c r="C513" t="s">
        <v>7128</v>
      </c>
      <c r="D513" t="str" cm="1">
        <f t="array" ref="D513">TRANSPOSE(_xlfn._xlws.FILTER('Controllable Asset Registry'!$A$4:$A$777,IFERROR('Controllable Asset Registry'!$E$4:$E$777=A513,FALSE),"No Equipment in entity"))</f>
        <v>VAV0279</v>
      </c>
    </row>
    <row r="514" spans="1:5" x14ac:dyDescent="0.3">
      <c r="A514" t="s">
        <v>6368</v>
      </c>
      <c r="B514" t="s">
        <v>7800</v>
      </c>
      <c r="C514" t="s">
        <v>7130</v>
      </c>
      <c r="D514" t="str" cm="1">
        <f t="array" ref="D514">TRANSPOSE(_xlfn._xlws.FILTER('Controllable Asset Registry'!$A$4:$A$777,IFERROR('Controllable Asset Registry'!$E$4:$E$777=A514,FALSE),"No Equipment in entity"))</f>
        <v>VAV0280</v>
      </c>
    </row>
    <row r="515" spans="1:5" x14ac:dyDescent="0.3">
      <c r="A515" t="s">
        <v>6369</v>
      </c>
      <c r="B515" t="s">
        <v>7801</v>
      </c>
      <c r="C515" t="s">
        <v>7126</v>
      </c>
      <c r="D515" t="str" cm="1">
        <f t="array" ref="D515">TRANSPOSE(_xlfn._xlws.FILTER('Controllable Asset Registry'!$A$4:$A$777,IFERROR('Controllable Asset Registry'!$E$4:$E$777=A515,FALSE),"No Equipment in entity"))</f>
        <v>VAV0281</v>
      </c>
    </row>
    <row r="516" spans="1:5" x14ac:dyDescent="0.3">
      <c r="A516" t="s">
        <v>6397</v>
      </c>
      <c r="B516" t="s">
        <v>7802</v>
      </c>
      <c r="C516" t="s">
        <v>7129</v>
      </c>
      <c r="D516" t="str" cm="1">
        <f t="array" ref="D516">TRANSPOSE(_xlfn._xlws.FILTER('Controllable Asset Registry'!$A$4:$A$777,IFERROR('Controllable Asset Registry'!$E$4:$E$777=A516,FALSE),"No Equipment in entity"))</f>
        <v>VAV0322</v>
      </c>
    </row>
    <row r="517" spans="1:5" x14ac:dyDescent="0.3">
      <c r="A517" t="s">
        <v>6385</v>
      </c>
      <c r="B517" t="s">
        <v>7803</v>
      </c>
      <c r="C517" t="s">
        <v>7131</v>
      </c>
      <c r="D517" t="str" cm="1">
        <f t="array" ref="D517">TRANSPOSE(_xlfn._xlws.FILTER('Controllable Asset Registry'!$A$4:$A$777,IFERROR('Controllable Asset Registry'!$E$4:$E$777=A517,FALSE),"No Equipment in entity"))</f>
        <v>VAV0302</v>
      </c>
    </row>
    <row r="518" spans="1:5" x14ac:dyDescent="0.3">
      <c r="A518" t="s">
        <v>6384</v>
      </c>
      <c r="B518" t="s">
        <v>7804</v>
      </c>
      <c r="C518" t="s">
        <v>7041</v>
      </c>
      <c r="D518" t="str" cm="1">
        <f t="array" ref="D518:E518">TRANSPOSE(_xlfn._xlws.FILTER('Controllable Asset Registry'!$A$4:$A$777,IFERROR('Controllable Asset Registry'!$E$4:$E$777=A518,FALSE),"No Equipment in entity"))</f>
        <v>VAV0300</v>
      </c>
      <c r="E518" t="str">
        <v>VAV0301</v>
      </c>
    </row>
    <row r="519" spans="1:5" x14ac:dyDescent="0.3">
      <c r="A519" t="s">
        <v>6110</v>
      </c>
      <c r="B519" t="s">
        <v>7805</v>
      </c>
      <c r="C519" t="s">
        <v>6936</v>
      </c>
      <c r="D519" t="str" cm="1">
        <f t="array" ref="D519">TRANSPOSE(_xlfn._xlws.FILTER('Controllable Asset Registry'!$A$4:$A$777,IFERROR('Controllable Asset Registry'!$E$4:$E$777=A519,FALSE),"No Equipment in entity"))</f>
        <v>FCU0088</v>
      </c>
    </row>
    <row r="520" spans="1:5" x14ac:dyDescent="0.3">
      <c r="A520" t="s">
        <v>6375</v>
      </c>
      <c r="B520" t="s">
        <v>7806</v>
      </c>
      <c r="C520" t="s">
        <v>7132</v>
      </c>
      <c r="D520" t="str" cm="1">
        <f t="array" ref="D520:E520">TRANSPOSE(_xlfn._xlws.FILTER('Controllable Asset Registry'!$A$4:$A$777,IFERROR('Controllable Asset Registry'!$E$4:$E$777=A520,FALSE),"No Equipment in entity"))</f>
        <v>VAV0288</v>
      </c>
      <c r="E520" t="str">
        <v>VAV0289</v>
      </c>
    </row>
    <row r="521" spans="1:5" x14ac:dyDescent="0.3">
      <c r="A521" t="s">
        <v>7133</v>
      </c>
      <c r="B521" t="s">
        <v>7807</v>
      </c>
      <c r="C521" t="s">
        <v>6807</v>
      </c>
      <c r="D521" t="str" cm="1">
        <f t="array" ref="D521">TRANSPOSE(_xlfn._xlws.FILTER('Controllable Asset Registry'!$A$4:$A$777,IFERROR('Controllable Asset Registry'!$E$4:$E$777=A521,FALSE),"No Equipment in entity"))</f>
        <v>No Equipment in entity</v>
      </c>
    </row>
    <row r="522" spans="1:5" x14ac:dyDescent="0.3">
      <c r="A522" t="s">
        <v>7134</v>
      </c>
      <c r="B522" t="s">
        <v>7808</v>
      </c>
      <c r="C522" t="s">
        <v>6965</v>
      </c>
      <c r="D522" t="str" cm="1">
        <f t="array" ref="D522">TRANSPOSE(_xlfn._xlws.FILTER('Controllable Asset Registry'!$A$4:$A$777,IFERROR('Controllable Asset Registry'!$E$4:$E$777=A522,FALSE),"No Equipment in entity"))</f>
        <v>No Equipment in entity</v>
      </c>
    </row>
    <row r="523" spans="1:5" x14ac:dyDescent="0.3">
      <c r="A523" t="s">
        <v>6374</v>
      </c>
      <c r="B523" t="s">
        <v>7809</v>
      </c>
      <c r="C523" t="s">
        <v>7135</v>
      </c>
      <c r="D523" t="str" cm="1">
        <f t="array" ref="D523:E523">TRANSPOSE(_xlfn._xlws.FILTER('Controllable Asset Registry'!$A$4:$A$777,IFERROR('Controllable Asset Registry'!$E$4:$E$777=A523,FALSE),"No Equipment in entity"))</f>
        <v>VAV0286</v>
      </c>
      <c r="E523" t="str">
        <v>VAV0287</v>
      </c>
    </row>
    <row r="524" spans="1:5" x14ac:dyDescent="0.3">
      <c r="A524" t="s">
        <v>6373</v>
      </c>
      <c r="B524" t="s">
        <v>7810</v>
      </c>
      <c r="C524" t="s">
        <v>7126</v>
      </c>
      <c r="D524" t="str" cm="1">
        <f t="array" ref="D524">TRANSPOSE(_xlfn._xlws.FILTER('Controllable Asset Registry'!$A$4:$A$777,IFERROR('Controllable Asset Registry'!$E$4:$E$777=A524,FALSE),"No Equipment in entity"))</f>
        <v>VAV0285</v>
      </c>
    </row>
    <row r="525" spans="1:5" x14ac:dyDescent="0.3">
      <c r="A525" t="s">
        <v>6372</v>
      </c>
      <c r="B525" t="s">
        <v>7811</v>
      </c>
      <c r="C525" t="s">
        <v>6714</v>
      </c>
      <c r="D525" t="str" cm="1">
        <f t="array" ref="D525">TRANSPOSE(_xlfn._xlws.FILTER('Controllable Asset Registry'!$A$4:$A$777,IFERROR('Controllable Asset Registry'!$E$4:$E$777=A525,FALSE),"No Equipment in entity"))</f>
        <v>VAV0284</v>
      </c>
    </row>
    <row r="526" spans="1:5" x14ac:dyDescent="0.3">
      <c r="A526" t="s">
        <v>6387</v>
      </c>
      <c r="B526" t="s">
        <v>7812</v>
      </c>
      <c r="C526" t="s">
        <v>7136</v>
      </c>
      <c r="D526" t="str" cm="1">
        <f t="array" ref="D526">TRANSPOSE(_xlfn._xlws.FILTER('Controllable Asset Registry'!$A$4:$A$777,IFERROR('Controllable Asset Registry'!$E$4:$E$777=A526,FALSE),"No Equipment in entity"))</f>
        <v>VAV0305</v>
      </c>
    </row>
    <row r="527" spans="1:5" x14ac:dyDescent="0.3">
      <c r="A527" t="s">
        <v>6104</v>
      </c>
      <c r="B527" t="s">
        <v>7813</v>
      </c>
      <c r="C527" t="s">
        <v>7136</v>
      </c>
      <c r="D527" t="str" cm="1">
        <f t="array" ref="D527:E527">TRANSPOSE(_xlfn._xlws.FILTER('Controllable Asset Registry'!$A$4:$A$777,IFERROR('Controllable Asset Registry'!$E$4:$E$777=A527,FALSE),"No Equipment in entity"))</f>
        <v>FCU0074</v>
      </c>
      <c r="E527" t="str">
        <v>VAV0306</v>
      </c>
    </row>
    <row r="528" spans="1:5" x14ac:dyDescent="0.3">
      <c r="A528" t="s">
        <v>6388</v>
      </c>
      <c r="B528" t="s">
        <v>7814</v>
      </c>
      <c r="C528" t="s">
        <v>7136</v>
      </c>
      <c r="D528" t="str" cm="1">
        <f t="array" ref="D528">TRANSPOSE(_xlfn._xlws.FILTER('Controllable Asset Registry'!$A$4:$A$777,IFERROR('Controllable Asset Registry'!$E$4:$E$777=A528,FALSE),"No Equipment in entity"))</f>
        <v>VAV0307</v>
      </c>
    </row>
    <row r="529" spans="1:5" x14ac:dyDescent="0.3">
      <c r="A529" t="s">
        <v>7137</v>
      </c>
      <c r="B529" t="s">
        <v>7815</v>
      </c>
      <c r="C529" t="s">
        <v>6807</v>
      </c>
      <c r="D529" t="str" cm="1">
        <f t="array" ref="D529">TRANSPOSE(_xlfn._xlws.FILTER('Controllable Asset Registry'!$A$4:$A$777,IFERROR('Controllable Asset Registry'!$E$4:$E$777=A529,FALSE),"No Equipment in entity"))</f>
        <v>No Equipment in entity</v>
      </c>
    </row>
    <row r="530" spans="1:5" x14ac:dyDescent="0.3">
      <c r="A530" t="s">
        <v>6389</v>
      </c>
      <c r="B530" t="s">
        <v>7816</v>
      </c>
      <c r="C530" t="s">
        <v>7138</v>
      </c>
      <c r="D530" t="str" cm="1">
        <f t="array" ref="D530:E530">TRANSPOSE(_xlfn._xlws.FILTER('Controllable Asset Registry'!$A$4:$A$777,IFERROR('Controllable Asset Registry'!$E$4:$E$777=A530,FALSE),"No Equipment in entity"))</f>
        <v>VAV0308</v>
      </c>
      <c r="E530" t="str">
        <v>VAV0309</v>
      </c>
    </row>
    <row r="531" spans="1:5" x14ac:dyDescent="0.3">
      <c r="A531" t="s">
        <v>6390</v>
      </c>
      <c r="B531" t="s">
        <v>7817</v>
      </c>
      <c r="C531" t="s">
        <v>7136</v>
      </c>
      <c r="D531" t="str" cm="1">
        <f t="array" ref="D531">TRANSPOSE(_xlfn._xlws.FILTER('Controllable Asset Registry'!$A$4:$A$777,IFERROR('Controllable Asset Registry'!$E$4:$E$777=A531,FALSE),"No Equipment in entity"))</f>
        <v>VAV0310</v>
      </c>
    </row>
    <row r="532" spans="1:5" x14ac:dyDescent="0.3">
      <c r="A532" t="s">
        <v>6391</v>
      </c>
      <c r="B532" t="s">
        <v>7818</v>
      </c>
      <c r="C532" t="s">
        <v>7136</v>
      </c>
      <c r="D532" t="str" cm="1">
        <f t="array" ref="D532">TRANSPOSE(_xlfn._xlws.FILTER('Controllable Asset Registry'!$A$4:$A$777,IFERROR('Controllable Asset Registry'!$E$4:$E$777=A532,FALSE),"No Equipment in entity"))</f>
        <v>VAV0311</v>
      </c>
    </row>
    <row r="533" spans="1:5" x14ac:dyDescent="0.3">
      <c r="A533" t="s">
        <v>6392</v>
      </c>
      <c r="B533" t="s">
        <v>7819</v>
      </c>
      <c r="C533" t="s">
        <v>7136</v>
      </c>
      <c r="D533" t="str" cm="1">
        <f t="array" ref="D533">TRANSPOSE(_xlfn._xlws.FILTER('Controllable Asset Registry'!$A$4:$A$777,IFERROR('Controllable Asset Registry'!$E$4:$E$777=A533,FALSE),"No Equipment in entity"))</f>
        <v>VAV0312</v>
      </c>
    </row>
    <row r="534" spans="1:5" x14ac:dyDescent="0.3">
      <c r="A534" t="s">
        <v>6393</v>
      </c>
      <c r="B534" t="s">
        <v>7820</v>
      </c>
      <c r="C534" t="s">
        <v>7136</v>
      </c>
      <c r="D534" t="str" cm="1">
        <f t="array" ref="D534">TRANSPOSE(_xlfn._xlws.FILTER('Controllable Asset Registry'!$A$4:$A$777,IFERROR('Controllable Asset Registry'!$E$4:$E$777=A534,FALSE),"No Equipment in entity"))</f>
        <v>VAV0313</v>
      </c>
    </row>
    <row r="535" spans="1:5" x14ac:dyDescent="0.3">
      <c r="A535" t="s">
        <v>8230</v>
      </c>
      <c r="B535" t="s">
        <v>8336</v>
      </c>
      <c r="C535" t="s">
        <v>7139</v>
      </c>
      <c r="D535" t="str" cm="1">
        <f t="array" ref="D535">TRANSPOSE(_xlfn._xlws.FILTER('Controllable Asset Registry'!$A$4:$A$777,IFERROR('Controllable Asset Registry'!$E$4:$E$777=A535,FALSE),"No Equipment in entity"))</f>
        <v>VAV0314</v>
      </c>
    </row>
    <row r="536" spans="1:5" x14ac:dyDescent="0.3">
      <c r="A536" t="s">
        <v>6394</v>
      </c>
      <c r="B536" t="s">
        <v>7821</v>
      </c>
      <c r="C536" t="s">
        <v>7140</v>
      </c>
      <c r="D536" t="str" cm="1">
        <f t="array" ref="D536">TRANSPOSE(_xlfn._xlws.FILTER('Controllable Asset Registry'!$A$4:$A$777,IFERROR('Controllable Asset Registry'!$E$4:$E$777=A536,FALSE),"No Equipment in entity"))</f>
        <v>VAV0315</v>
      </c>
    </row>
    <row r="537" spans="1:5" x14ac:dyDescent="0.3">
      <c r="A537" t="s">
        <v>6395</v>
      </c>
      <c r="B537" t="s">
        <v>7822</v>
      </c>
      <c r="C537" t="s">
        <v>7136</v>
      </c>
      <c r="D537" t="str" cm="1">
        <f t="array" ref="D537">TRANSPOSE(_xlfn._xlws.FILTER('Controllable Asset Registry'!$A$4:$A$777,IFERROR('Controllable Asset Registry'!$E$4:$E$777=A537,FALSE),"No Equipment in entity"))</f>
        <v>VAV0316</v>
      </c>
    </row>
    <row r="538" spans="1:5" x14ac:dyDescent="0.3">
      <c r="A538" t="s">
        <v>6396</v>
      </c>
      <c r="B538" t="s">
        <v>7823</v>
      </c>
      <c r="C538" t="s">
        <v>7130</v>
      </c>
      <c r="D538" t="str" cm="1">
        <f t="array" ref="D538">TRANSPOSE(_xlfn._xlws.FILTER('Controllable Asset Registry'!$A$4:$A$777,IFERROR('Controllable Asset Registry'!$E$4:$E$777=A538,FALSE),"No Equipment in entity"))</f>
        <v>VAV0317</v>
      </c>
    </row>
    <row r="539" spans="1:5" x14ac:dyDescent="0.3">
      <c r="A539" t="s">
        <v>6048</v>
      </c>
      <c r="B539" t="s">
        <v>7824</v>
      </c>
      <c r="C539" t="s">
        <v>7141</v>
      </c>
      <c r="D539" t="str" cm="1">
        <f t="array" ref="D539:E539">TRANSPOSE(_xlfn._xlws.FILTER('Controllable Asset Registry'!$A$4:$A$777,IFERROR('Controllable Asset Registry'!$E$4:$E$777=A539,FALSE),"No Equipment in entity"))</f>
        <v>AHU5_0001</v>
      </c>
      <c r="E539" t="str">
        <v>AHU5_0002</v>
      </c>
    </row>
    <row r="540" spans="1:5" x14ac:dyDescent="0.3">
      <c r="A540" t="s">
        <v>7142</v>
      </c>
      <c r="B540" t="s">
        <v>7825</v>
      </c>
      <c r="C540" t="s">
        <v>6725</v>
      </c>
      <c r="D540" t="str" cm="1">
        <f t="array" ref="D540">TRANSPOSE(_xlfn._xlws.FILTER('Controllable Asset Registry'!$A$4:$A$777,IFERROR('Controllable Asset Registry'!$E$4:$E$777=A540,FALSE),"No Equipment in entity"))</f>
        <v>No Equipment in entity</v>
      </c>
    </row>
    <row r="541" spans="1:5" x14ac:dyDescent="0.3">
      <c r="A541" t="s">
        <v>7143</v>
      </c>
      <c r="B541" t="s">
        <v>7826</v>
      </c>
      <c r="C541" t="s">
        <v>6728</v>
      </c>
      <c r="D541" t="str" cm="1">
        <f t="array" ref="D541">TRANSPOSE(_xlfn._xlws.FILTER('Controllable Asset Registry'!$A$4:$A$777,IFERROR('Controllable Asset Registry'!$E$4:$E$777=A541,FALSE),"No Equipment in entity"))</f>
        <v>No Equipment in entity</v>
      </c>
    </row>
    <row r="542" spans="1:5" x14ac:dyDescent="0.3">
      <c r="A542" t="s">
        <v>7144</v>
      </c>
      <c r="B542" t="s">
        <v>7827</v>
      </c>
      <c r="C542" t="s">
        <v>6725</v>
      </c>
      <c r="D542" t="str" cm="1">
        <f t="array" ref="D542">TRANSPOSE(_xlfn._xlws.FILTER('Controllable Asset Registry'!$A$4:$A$777,IFERROR('Controllable Asset Registry'!$E$4:$E$777=A542,FALSE),"No Equipment in entity"))</f>
        <v>No Equipment in entity</v>
      </c>
    </row>
    <row r="543" spans="1:5" x14ac:dyDescent="0.3">
      <c r="A543" t="s">
        <v>7145</v>
      </c>
      <c r="B543" t="s">
        <v>7828</v>
      </c>
      <c r="C543" t="s">
        <v>6728</v>
      </c>
      <c r="D543" t="str" cm="1">
        <f t="array" ref="D543">TRANSPOSE(_xlfn._xlws.FILTER('Controllable Asset Registry'!$A$4:$A$777,IFERROR('Controllable Asset Registry'!$E$4:$E$777=A543,FALSE),"No Equipment in entity"))</f>
        <v>No Equipment in entity</v>
      </c>
    </row>
    <row r="544" spans="1:5" x14ac:dyDescent="0.3">
      <c r="A544" t="s">
        <v>7146</v>
      </c>
      <c r="B544" t="s">
        <v>7829</v>
      </c>
      <c r="C544" t="s">
        <v>5861</v>
      </c>
      <c r="D544" t="str" cm="1">
        <f t="array" ref="D544">TRANSPOSE(_xlfn._xlws.FILTER('Controllable Asset Registry'!$A$4:$A$777,IFERROR('Controllable Asset Registry'!$E$4:$E$777=A544,FALSE),"No Equipment in entity"))</f>
        <v>No Equipment in entity</v>
      </c>
    </row>
    <row r="545" spans="1:11" x14ac:dyDescent="0.3">
      <c r="A545" t="s">
        <v>7147</v>
      </c>
      <c r="B545" t="s">
        <v>7830</v>
      </c>
      <c r="C545" t="s">
        <v>5861</v>
      </c>
      <c r="D545" t="str" cm="1">
        <f t="array" ref="D545">TRANSPOSE(_xlfn._xlws.FILTER('Controllable Asset Registry'!$A$4:$A$777,IFERROR('Controllable Asset Registry'!$E$4:$E$777=A545,FALSE),"No Equipment in entity"))</f>
        <v>No Equipment in entity</v>
      </c>
    </row>
    <row r="546" spans="1:11" x14ac:dyDescent="0.3">
      <c r="A546" t="s">
        <v>7148</v>
      </c>
      <c r="B546" t="s">
        <v>7831</v>
      </c>
      <c r="C546" t="s">
        <v>5861</v>
      </c>
      <c r="D546" t="str" cm="1">
        <f t="array" ref="D546">TRANSPOSE(_xlfn._xlws.FILTER('Controllable Asset Registry'!$A$4:$A$777,IFERROR('Controllable Asset Registry'!$E$4:$E$777=A546,FALSE),"No Equipment in entity"))</f>
        <v>No Equipment in entity</v>
      </c>
    </row>
    <row r="547" spans="1:11" x14ac:dyDescent="0.3">
      <c r="A547" t="s">
        <v>7149</v>
      </c>
      <c r="B547" t="s">
        <v>7832</v>
      </c>
      <c r="C547" t="s">
        <v>5861</v>
      </c>
      <c r="D547" t="str" cm="1">
        <f t="array" ref="D547">TRANSPOSE(_xlfn._xlws.FILTER('Controllable Asset Registry'!$A$4:$A$777,IFERROR('Controllable Asset Registry'!$E$4:$E$777=A547,FALSE),"No Equipment in entity"))</f>
        <v>No Equipment in entity</v>
      </c>
    </row>
    <row r="548" spans="1:11" x14ac:dyDescent="0.3">
      <c r="A548" t="s">
        <v>7150</v>
      </c>
      <c r="B548" t="s">
        <v>7833</v>
      </c>
      <c r="C548" t="s">
        <v>5861</v>
      </c>
      <c r="D548" t="str" cm="1">
        <f t="array" ref="D548">TRANSPOSE(_xlfn._xlws.FILTER('Controllable Asset Registry'!$A$4:$A$777,IFERROR('Controllable Asset Registry'!$E$4:$E$777=A548,FALSE),"No Equipment in entity"))</f>
        <v>No Equipment in entity</v>
      </c>
    </row>
    <row r="549" spans="1:11" x14ac:dyDescent="0.3">
      <c r="A549" t="s">
        <v>7151</v>
      </c>
      <c r="B549" t="s">
        <v>7834</v>
      </c>
      <c r="C549" t="s">
        <v>5858</v>
      </c>
      <c r="D549" t="str" cm="1">
        <f t="array" ref="D549">TRANSPOSE(_xlfn._xlws.FILTER('Controllable Asset Registry'!$A$4:$A$777,IFERROR('Controllable Asset Registry'!$E$4:$E$777=A549,FALSE),"No Equipment in entity"))</f>
        <v>No Equipment in entity</v>
      </c>
    </row>
    <row r="550" spans="1:11" x14ac:dyDescent="0.3">
      <c r="A550" t="s">
        <v>6109</v>
      </c>
      <c r="B550" t="s">
        <v>7835</v>
      </c>
      <c r="C550" t="s">
        <v>6734</v>
      </c>
      <c r="D550" t="str" cm="1">
        <f t="array" ref="D550">TRANSPOSE(_xlfn._xlws.FILTER('Controllable Asset Registry'!$A$4:$A$777,IFERROR('Controllable Asset Registry'!$E$4:$E$777=A550,FALSE),"No Equipment in entity"))</f>
        <v>FCU0087</v>
      </c>
    </row>
    <row r="551" spans="1:11" x14ac:dyDescent="0.3">
      <c r="A551" t="s">
        <v>7152</v>
      </c>
      <c r="B551" t="s">
        <v>7836</v>
      </c>
      <c r="C551" t="s">
        <v>5858</v>
      </c>
      <c r="D551" t="str" cm="1">
        <f t="array" ref="D551">TRANSPOSE(_xlfn._xlws.FILTER('Controllable Asset Registry'!$A$4:$A$777,IFERROR('Controllable Asset Registry'!$E$4:$E$777=A551,FALSE),"No Equipment in entity"))</f>
        <v>No Equipment in entity</v>
      </c>
    </row>
    <row r="552" spans="1:11" x14ac:dyDescent="0.3">
      <c r="A552" t="s">
        <v>6108</v>
      </c>
      <c r="B552" t="s">
        <v>7837</v>
      </c>
      <c r="C552" t="s">
        <v>6734</v>
      </c>
      <c r="D552" t="str" cm="1">
        <f t="array" ref="D552:E552">TRANSPOSE(_xlfn._xlws.FILTER('Controllable Asset Registry'!$A$4:$A$777,IFERROR('Controllable Asset Registry'!$E$4:$E$777=A552,FALSE),"No Equipment in entity"))</f>
        <v>FCU0085</v>
      </c>
      <c r="E552" t="str">
        <v>FCU0086</v>
      </c>
    </row>
    <row r="553" spans="1:11" x14ac:dyDescent="0.3">
      <c r="A553" t="s">
        <v>7153</v>
      </c>
      <c r="B553" t="s">
        <v>7838</v>
      </c>
      <c r="C553" t="s">
        <v>6876</v>
      </c>
      <c r="D553" t="str" cm="1">
        <f t="array" ref="D553">TRANSPOSE(_xlfn._xlws.FILTER('Controllable Asset Registry'!$A$4:$A$777,IFERROR('Controllable Asset Registry'!$E$4:$E$777=A553,FALSE),"No Equipment in entity"))</f>
        <v>No Equipment in entity</v>
      </c>
    </row>
    <row r="554" spans="1:11" x14ac:dyDescent="0.3">
      <c r="A554" t="s">
        <v>7154</v>
      </c>
      <c r="B554" t="s">
        <v>7839</v>
      </c>
      <c r="C554" t="s">
        <v>6879</v>
      </c>
      <c r="D554" t="str" cm="1">
        <f t="array" ref="D554">TRANSPOSE(_xlfn._xlws.FILTER('Controllable Asset Registry'!$A$4:$A$777,IFERROR('Controllable Asset Registry'!$E$4:$E$777=A554,FALSE),"No Equipment in entity"))</f>
        <v>No Equipment in entity</v>
      </c>
    </row>
    <row r="555" spans="1:11" x14ac:dyDescent="0.3">
      <c r="A555" t="s">
        <v>7155</v>
      </c>
      <c r="B555" t="s">
        <v>7840</v>
      </c>
      <c r="C555" t="s">
        <v>5858</v>
      </c>
      <c r="D555" t="str" cm="1">
        <f t="array" ref="D555">TRANSPOSE(_xlfn._xlws.FILTER('Controllable Asset Registry'!$A$4:$A$777,IFERROR('Controllable Asset Registry'!$E$4:$E$777=A555,FALSE),"No Equipment in entity"))</f>
        <v>No Equipment in entity</v>
      </c>
    </row>
    <row r="556" spans="1:11" x14ac:dyDescent="0.3">
      <c r="A556" t="s">
        <v>6370</v>
      </c>
      <c r="B556" t="s">
        <v>7841</v>
      </c>
      <c r="C556" t="s">
        <v>7033</v>
      </c>
      <c r="D556" t="str" cm="1">
        <f t="array" ref="D556:E556">TRANSPOSE(_xlfn._xlws.FILTER('Controllable Asset Registry'!$A$4:$A$777,IFERROR('Controllable Asset Registry'!$E$4:$E$777=A556,FALSE),"No Equipment in entity"))</f>
        <v>VAV0282</v>
      </c>
      <c r="E556" t="str">
        <v>VAV0304</v>
      </c>
    </row>
    <row r="557" spans="1:11" x14ac:dyDescent="0.3">
      <c r="A557" t="s">
        <v>6101</v>
      </c>
      <c r="B557" t="s">
        <v>7842</v>
      </c>
      <c r="C557" t="s">
        <v>7122</v>
      </c>
      <c r="D557" t="str" cm="1">
        <f t="array" ref="D557:K557">TRANSPOSE(_xlfn._xlws.FILTER('Controllable Asset Registry'!$A$4:$A$777,IFERROR('Controllable Asset Registry'!$E$4:$E$777=A557,FALSE),"No Equipment in entity"))</f>
        <v>FCU0067</v>
      </c>
      <c r="E557" t="str">
        <v>FCU0068</v>
      </c>
      <c r="F557" t="str">
        <v>FCU0069</v>
      </c>
      <c r="G557" t="str">
        <v>FCU0070</v>
      </c>
      <c r="H557" t="str">
        <v>FCU0092</v>
      </c>
      <c r="I557" t="str">
        <v>FCU0093</v>
      </c>
      <c r="J557" t="str">
        <v>FCU0094</v>
      </c>
      <c r="K557" t="str">
        <v>FCU0095</v>
      </c>
    </row>
    <row r="558" spans="1:11" x14ac:dyDescent="0.3">
      <c r="A558" t="s">
        <v>7156</v>
      </c>
      <c r="B558" t="s">
        <v>7843</v>
      </c>
      <c r="C558" t="s">
        <v>7122</v>
      </c>
      <c r="D558" t="str" cm="1">
        <f t="array" ref="D558">TRANSPOSE(_xlfn._xlws.FILTER('Controllable Asset Registry'!$A$4:$A$777,IFERROR('Controllable Asset Registry'!$E$4:$E$777=A558,FALSE),"No Equipment in entity"))</f>
        <v>No Equipment in entity</v>
      </c>
    </row>
    <row r="559" spans="1:11" x14ac:dyDescent="0.3">
      <c r="A559" t="s">
        <v>7157</v>
      </c>
      <c r="B559" t="s">
        <v>7844</v>
      </c>
      <c r="C559" t="s">
        <v>7125</v>
      </c>
      <c r="D559" t="str" cm="1">
        <f t="array" ref="D559">TRANSPOSE(_xlfn._xlws.FILTER('Controllable Asset Registry'!$A$4:$A$777,IFERROR('Controllable Asset Registry'!$E$4:$E$777=A559,FALSE),"No Equipment in entity"))</f>
        <v>No Equipment in entity</v>
      </c>
    </row>
    <row r="560" spans="1:11" x14ac:dyDescent="0.3">
      <c r="A560" t="s">
        <v>8337</v>
      </c>
      <c r="B560" t="s">
        <v>8338</v>
      </c>
      <c r="C560" t="s">
        <v>6893</v>
      </c>
      <c r="D560" t="str" cm="1">
        <f t="array" ref="D560">TRANSPOSE(_xlfn._xlws.FILTER('Controllable Asset Registry'!$A$4:$A$777,IFERROR('Controllable Asset Registry'!$E$4:$E$777=A560,FALSE),"No Equipment in entity"))</f>
        <v>No Equipment in entity</v>
      </c>
    </row>
    <row r="561" spans="1:4" x14ac:dyDescent="0.3">
      <c r="A561" t="s">
        <v>8339</v>
      </c>
      <c r="B561" t="s">
        <v>8340</v>
      </c>
      <c r="C561" t="s">
        <v>6896</v>
      </c>
      <c r="D561" t="str" cm="1">
        <f t="array" ref="D561">TRANSPOSE(_xlfn._xlws.FILTER('Controllable Asset Registry'!$A$4:$A$777,IFERROR('Controllable Asset Registry'!$E$4:$E$777=A561,FALSE),"No Equipment in entity"))</f>
        <v>No Equipment in entity</v>
      </c>
    </row>
    <row r="562" spans="1:4" x14ac:dyDescent="0.3">
      <c r="A562" t="s">
        <v>8341</v>
      </c>
      <c r="B562" t="s">
        <v>8342</v>
      </c>
      <c r="C562" t="s">
        <v>6899</v>
      </c>
      <c r="D562" t="str" cm="1">
        <f t="array" ref="D562">TRANSPOSE(_xlfn._xlws.FILTER('Controllable Asset Registry'!$A$4:$A$777,IFERROR('Controllable Asset Registry'!$E$4:$E$777=A562,FALSE),"No Equipment in entity"))</f>
        <v>No Equipment in entity</v>
      </c>
    </row>
    <row r="563" spans="1:4" x14ac:dyDescent="0.3">
      <c r="A563" t="s">
        <v>8343</v>
      </c>
      <c r="B563" t="s">
        <v>8344</v>
      </c>
      <c r="C563" t="s">
        <v>6763</v>
      </c>
      <c r="D563" t="str" cm="1">
        <f t="array" ref="D563">TRANSPOSE(_xlfn._xlws.FILTER('Controllable Asset Registry'!$A$4:$A$777,IFERROR('Controllable Asset Registry'!$E$4:$E$777=A563,FALSE),"No Equipment in entity"))</f>
        <v>No Equipment in entity</v>
      </c>
    </row>
    <row r="564" spans="1:4" x14ac:dyDescent="0.3">
      <c r="A564" t="s">
        <v>8345</v>
      </c>
      <c r="B564" t="s">
        <v>8346</v>
      </c>
      <c r="C564" t="s">
        <v>6766</v>
      </c>
      <c r="D564" t="str" cm="1">
        <f t="array" ref="D564">TRANSPOSE(_xlfn._xlws.FILTER('Controllable Asset Registry'!$A$4:$A$777,IFERROR('Controllable Asset Registry'!$E$4:$E$777=A564,FALSE),"No Equipment in entity"))</f>
        <v>No Equipment in entity</v>
      </c>
    </row>
    <row r="565" spans="1:4" x14ac:dyDescent="0.3">
      <c r="A565" t="s">
        <v>8347</v>
      </c>
      <c r="B565" t="s">
        <v>8348</v>
      </c>
      <c r="C565" t="s">
        <v>6769</v>
      </c>
      <c r="D565" t="str" cm="1">
        <f t="array" ref="D565">TRANSPOSE(_xlfn._xlws.FILTER('Controllable Asset Registry'!$A$4:$A$777,IFERROR('Controllable Asset Registry'!$E$4:$E$777=A565,FALSE),"No Equipment in entity"))</f>
        <v>No Equipment in entity</v>
      </c>
    </row>
    <row r="566" spans="1:4" x14ac:dyDescent="0.3">
      <c r="A566" t="s">
        <v>8349</v>
      </c>
      <c r="B566" t="s">
        <v>8350</v>
      </c>
      <c r="C566" t="s">
        <v>6908</v>
      </c>
      <c r="D566" t="str" cm="1">
        <f t="array" ref="D566">TRANSPOSE(_xlfn._xlws.FILTER('Controllable Asset Registry'!$A$4:$A$777,IFERROR('Controllable Asset Registry'!$E$4:$E$777=A566,FALSE),"No Equipment in entity"))</f>
        <v>No Equipment in entity</v>
      </c>
    </row>
    <row r="567" spans="1:4" x14ac:dyDescent="0.3">
      <c r="A567" t="s">
        <v>8351</v>
      </c>
      <c r="B567" t="s">
        <v>8352</v>
      </c>
      <c r="C567" t="s">
        <v>6774</v>
      </c>
      <c r="D567" t="str" cm="1">
        <f t="array" ref="D567">TRANSPOSE(_xlfn._xlws.FILTER('Controllable Asset Registry'!$A$4:$A$777,IFERROR('Controllable Asset Registry'!$E$4:$E$777=A567,FALSE),"No Equipment in entity"))</f>
        <v>No Equipment in entity</v>
      </c>
    </row>
    <row r="568" spans="1:4" x14ac:dyDescent="0.3">
      <c r="A568" t="s">
        <v>8353</v>
      </c>
      <c r="B568" t="s">
        <v>8354</v>
      </c>
      <c r="C568" t="s">
        <v>6776</v>
      </c>
      <c r="D568" t="str" cm="1">
        <f t="array" ref="D568">TRANSPOSE(_xlfn._xlws.FILTER('Controllable Asset Registry'!$A$4:$A$777,IFERROR('Controllable Asset Registry'!$E$4:$E$777=A568,FALSE),"No Equipment in entity"))</f>
        <v>No Equipment in entity</v>
      </c>
    </row>
    <row r="569" spans="1:4" x14ac:dyDescent="0.3">
      <c r="A569" t="s">
        <v>8355</v>
      </c>
      <c r="B569" t="s">
        <v>8356</v>
      </c>
      <c r="C569" t="s">
        <v>6915</v>
      </c>
      <c r="D569" t="str" cm="1">
        <f t="array" ref="D569">TRANSPOSE(_xlfn._xlws.FILTER('Controllable Asset Registry'!$A$4:$A$777,IFERROR('Controllable Asset Registry'!$E$4:$E$777=A569,FALSE),"No Equipment in entity"))</f>
        <v>No Equipment in entity</v>
      </c>
    </row>
    <row r="570" spans="1:4" x14ac:dyDescent="0.3">
      <c r="A570" t="s">
        <v>8357</v>
      </c>
      <c r="B570" t="s">
        <v>8358</v>
      </c>
      <c r="C570" t="s">
        <v>6779</v>
      </c>
      <c r="D570" t="str" cm="1">
        <f t="array" ref="D570">TRANSPOSE(_xlfn._xlws.FILTER('Controllable Asset Registry'!$A$4:$A$777,IFERROR('Controllable Asset Registry'!$E$4:$E$777=A570,FALSE),"No Equipment in entity"))</f>
        <v>No Equipment in entity</v>
      </c>
    </row>
    <row r="571" spans="1:4" x14ac:dyDescent="0.3">
      <c r="A571" t="s">
        <v>6432</v>
      </c>
      <c r="B571" t="s">
        <v>7845</v>
      </c>
      <c r="C571" t="s">
        <v>7158</v>
      </c>
      <c r="D571" t="str" cm="1">
        <f t="array" ref="D571">TRANSPOSE(_xlfn._xlws.FILTER('Controllable Asset Registry'!$A$4:$A$777,IFERROR('Controllable Asset Registry'!$E$4:$E$777=A571,FALSE),"No Equipment in entity"))</f>
        <v>VAV0359</v>
      </c>
    </row>
    <row r="572" spans="1:4" x14ac:dyDescent="0.3">
      <c r="A572" t="s">
        <v>6422</v>
      </c>
      <c r="B572" t="s">
        <v>7846</v>
      </c>
      <c r="C572" t="s">
        <v>7159</v>
      </c>
      <c r="D572" t="str" cm="1">
        <f t="array" ref="D572">TRANSPOSE(_xlfn._xlws.FILTER('Controllable Asset Registry'!$A$4:$A$777,IFERROR('Controllable Asset Registry'!$E$4:$E$777=A572,FALSE),"No Equipment in entity"))</f>
        <v>VAV0349</v>
      </c>
    </row>
    <row r="573" spans="1:4" x14ac:dyDescent="0.3">
      <c r="A573" t="s">
        <v>6423</v>
      </c>
      <c r="B573" t="s">
        <v>7847</v>
      </c>
      <c r="C573" t="s">
        <v>7160</v>
      </c>
      <c r="D573" t="str" cm="1">
        <f t="array" ref="D573">TRANSPOSE(_xlfn._xlws.FILTER('Controllable Asset Registry'!$A$4:$A$777,IFERROR('Controllable Asset Registry'!$E$4:$E$777=A573,FALSE),"No Equipment in entity"))</f>
        <v>VAV0350</v>
      </c>
    </row>
    <row r="574" spans="1:4" x14ac:dyDescent="0.3">
      <c r="A574" t="s">
        <v>6424</v>
      </c>
      <c r="B574" t="s">
        <v>7848</v>
      </c>
      <c r="C574" t="s">
        <v>7160</v>
      </c>
      <c r="D574" t="str" cm="1">
        <f t="array" ref="D574">TRANSPOSE(_xlfn._xlws.FILTER('Controllable Asset Registry'!$A$4:$A$777,IFERROR('Controllable Asset Registry'!$E$4:$E$777=A574,FALSE),"No Equipment in entity"))</f>
        <v>VAV0351</v>
      </c>
    </row>
    <row r="575" spans="1:4" x14ac:dyDescent="0.3">
      <c r="A575" t="s">
        <v>6425</v>
      </c>
      <c r="B575" t="s">
        <v>7849</v>
      </c>
      <c r="C575" t="s">
        <v>7160</v>
      </c>
      <c r="D575" t="str" cm="1">
        <f t="array" ref="D575">TRANSPOSE(_xlfn._xlws.FILTER('Controllable Asset Registry'!$A$4:$A$777,IFERROR('Controllable Asset Registry'!$E$4:$E$777=A575,FALSE),"No Equipment in entity"))</f>
        <v>VAV0352</v>
      </c>
    </row>
    <row r="576" spans="1:4" x14ac:dyDescent="0.3">
      <c r="A576" t="s">
        <v>6426</v>
      </c>
      <c r="B576" t="s">
        <v>7850</v>
      </c>
      <c r="C576" t="s">
        <v>7160</v>
      </c>
      <c r="D576" t="str" cm="1">
        <f t="array" ref="D576">TRANSPOSE(_xlfn._xlws.FILTER('Controllable Asset Registry'!$A$4:$A$777,IFERROR('Controllable Asset Registry'!$E$4:$E$777=A576,FALSE),"No Equipment in entity"))</f>
        <v>VAV0353</v>
      </c>
    </row>
    <row r="577" spans="1:4" x14ac:dyDescent="0.3">
      <c r="A577" t="s">
        <v>6427</v>
      </c>
      <c r="B577" t="s">
        <v>7851</v>
      </c>
      <c r="C577" t="s">
        <v>7160</v>
      </c>
      <c r="D577" t="str" cm="1">
        <f t="array" ref="D577">TRANSPOSE(_xlfn._xlws.FILTER('Controllable Asset Registry'!$A$4:$A$777,IFERROR('Controllable Asset Registry'!$E$4:$E$777=A577,FALSE),"No Equipment in entity"))</f>
        <v>VAV0354</v>
      </c>
    </row>
    <row r="578" spans="1:4" x14ac:dyDescent="0.3">
      <c r="A578" t="s">
        <v>6428</v>
      </c>
      <c r="B578" t="s">
        <v>7852</v>
      </c>
      <c r="C578" t="s">
        <v>7160</v>
      </c>
      <c r="D578" t="str" cm="1">
        <f t="array" ref="D578">TRANSPOSE(_xlfn._xlws.FILTER('Controllable Asset Registry'!$A$4:$A$777,IFERROR('Controllable Asset Registry'!$E$4:$E$777=A578,FALSE),"No Equipment in entity"))</f>
        <v>VAV0355</v>
      </c>
    </row>
    <row r="579" spans="1:4" x14ac:dyDescent="0.3">
      <c r="A579" t="s">
        <v>6419</v>
      </c>
      <c r="B579" t="s">
        <v>7853</v>
      </c>
      <c r="C579" t="s">
        <v>7160</v>
      </c>
      <c r="D579" t="str" cm="1">
        <f t="array" ref="D579">TRANSPOSE(_xlfn._xlws.FILTER('Controllable Asset Registry'!$A$4:$A$777,IFERROR('Controllable Asset Registry'!$E$4:$E$777=A579,FALSE),"No Equipment in entity"))</f>
        <v>VAV0346</v>
      </c>
    </row>
    <row r="580" spans="1:4" x14ac:dyDescent="0.3">
      <c r="A580" t="s">
        <v>6420</v>
      </c>
      <c r="B580" t="s">
        <v>7854</v>
      </c>
      <c r="C580" t="s">
        <v>7161</v>
      </c>
      <c r="D580" t="str" cm="1">
        <f t="array" ref="D580">TRANSPOSE(_xlfn._xlws.FILTER('Controllable Asset Registry'!$A$4:$A$777,IFERROR('Controllable Asset Registry'!$E$4:$E$777=A580,FALSE),"No Equipment in entity"))</f>
        <v>VAV0347</v>
      </c>
    </row>
    <row r="581" spans="1:4" x14ac:dyDescent="0.3">
      <c r="A581" t="s">
        <v>6421</v>
      </c>
      <c r="B581" t="s">
        <v>7855</v>
      </c>
      <c r="C581" t="s">
        <v>7162</v>
      </c>
      <c r="D581" t="str" cm="1">
        <f t="array" ref="D581">TRANSPOSE(_xlfn._xlws.FILTER('Controllable Asset Registry'!$A$4:$A$777,IFERROR('Controllable Asset Registry'!$E$4:$E$777=A581,FALSE),"No Equipment in entity"))</f>
        <v>VAV0348</v>
      </c>
    </row>
    <row r="582" spans="1:4" x14ac:dyDescent="0.3">
      <c r="A582" t="s">
        <v>6398</v>
      </c>
      <c r="B582" t="s">
        <v>7856</v>
      </c>
      <c r="C582" t="s">
        <v>7162</v>
      </c>
      <c r="D582" t="str" cm="1">
        <f t="array" ref="D582">TRANSPOSE(_xlfn._xlws.FILTER('Controllable Asset Registry'!$A$4:$A$777,IFERROR('Controllable Asset Registry'!$E$4:$E$777=A582,FALSE),"No Equipment in entity"))</f>
        <v>VAV0323</v>
      </c>
    </row>
    <row r="583" spans="1:4" x14ac:dyDescent="0.3">
      <c r="A583" t="s">
        <v>6399</v>
      </c>
      <c r="B583" t="s">
        <v>7857</v>
      </c>
      <c r="C583" t="s">
        <v>7161</v>
      </c>
      <c r="D583" t="str" cm="1">
        <f t="array" ref="D583">TRANSPOSE(_xlfn._xlws.FILTER('Controllable Asset Registry'!$A$4:$A$777,IFERROR('Controllable Asset Registry'!$E$4:$E$777=A583,FALSE),"No Equipment in entity"))</f>
        <v>VAV0324</v>
      </c>
    </row>
    <row r="584" spans="1:4" x14ac:dyDescent="0.3">
      <c r="A584" t="s">
        <v>6400</v>
      </c>
      <c r="B584" t="s">
        <v>7858</v>
      </c>
      <c r="C584" t="s">
        <v>7163</v>
      </c>
      <c r="D584" t="str" cm="1">
        <f t="array" ref="D584">TRANSPOSE(_xlfn._xlws.FILTER('Controllable Asset Registry'!$A$4:$A$777,IFERROR('Controllable Asset Registry'!$E$4:$E$777=A584,FALSE),"No Equipment in entity"))</f>
        <v>VAV0325</v>
      </c>
    </row>
    <row r="585" spans="1:4" x14ac:dyDescent="0.3">
      <c r="A585" t="s">
        <v>6401</v>
      </c>
      <c r="B585" t="s">
        <v>7859</v>
      </c>
      <c r="C585" t="s">
        <v>7163</v>
      </c>
      <c r="D585" t="str" cm="1">
        <f t="array" ref="D585">TRANSPOSE(_xlfn._xlws.FILTER('Controllable Asset Registry'!$A$4:$A$777,IFERROR('Controllable Asset Registry'!$E$4:$E$777=A585,FALSE),"No Equipment in entity"))</f>
        <v>VAV0326</v>
      </c>
    </row>
    <row r="586" spans="1:4" x14ac:dyDescent="0.3">
      <c r="A586" t="s">
        <v>6402</v>
      </c>
      <c r="B586" t="s">
        <v>7860</v>
      </c>
      <c r="C586" t="s">
        <v>7163</v>
      </c>
      <c r="D586" t="str" cm="1">
        <f t="array" ref="D586">TRANSPOSE(_xlfn._xlws.FILTER('Controllable Asset Registry'!$A$4:$A$777,IFERROR('Controllable Asset Registry'!$E$4:$E$777=A586,FALSE),"No Equipment in entity"))</f>
        <v>VAV0327</v>
      </c>
    </row>
    <row r="587" spans="1:4" x14ac:dyDescent="0.3">
      <c r="A587" t="s">
        <v>6403</v>
      </c>
      <c r="B587" t="s">
        <v>7861</v>
      </c>
      <c r="C587" t="s">
        <v>7163</v>
      </c>
      <c r="D587" t="str" cm="1">
        <f t="array" ref="D587">TRANSPOSE(_xlfn._xlws.FILTER('Controllable Asset Registry'!$A$4:$A$777,IFERROR('Controllable Asset Registry'!$E$4:$E$777=A587,FALSE),"No Equipment in entity"))</f>
        <v>VAV0328</v>
      </c>
    </row>
    <row r="588" spans="1:4" x14ac:dyDescent="0.3">
      <c r="A588" t="s">
        <v>6404</v>
      </c>
      <c r="B588" t="s">
        <v>7862</v>
      </c>
      <c r="C588" t="s">
        <v>7163</v>
      </c>
      <c r="D588" t="str" cm="1">
        <f t="array" ref="D588">TRANSPOSE(_xlfn._xlws.FILTER('Controllable Asset Registry'!$A$4:$A$777,IFERROR('Controllable Asset Registry'!$E$4:$E$777=A588,FALSE),"No Equipment in entity"))</f>
        <v>VAV0329</v>
      </c>
    </row>
    <row r="589" spans="1:4" x14ac:dyDescent="0.3">
      <c r="A589" t="s">
        <v>6405</v>
      </c>
      <c r="B589" t="s">
        <v>7863</v>
      </c>
      <c r="C589" t="s">
        <v>7163</v>
      </c>
      <c r="D589" t="str" cm="1">
        <f t="array" ref="D589">TRANSPOSE(_xlfn._xlws.FILTER('Controllable Asset Registry'!$A$4:$A$777,IFERROR('Controllable Asset Registry'!$E$4:$E$777=A589,FALSE),"No Equipment in entity"))</f>
        <v>VAV0330</v>
      </c>
    </row>
    <row r="590" spans="1:4" x14ac:dyDescent="0.3">
      <c r="A590" t="s">
        <v>6406</v>
      </c>
      <c r="B590" t="s">
        <v>7864</v>
      </c>
      <c r="C590" t="s">
        <v>7163</v>
      </c>
      <c r="D590" t="str" cm="1">
        <f t="array" ref="D590">TRANSPOSE(_xlfn._xlws.FILTER('Controllable Asset Registry'!$A$4:$A$777,IFERROR('Controllable Asset Registry'!$E$4:$E$777=A590,FALSE),"No Equipment in entity"))</f>
        <v>VAV0331</v>
      </c>
    </row>
    <row r="591" spans="1:4" x14ac:dyDescent="0.3">
      <c r="A591" t="s">
        <v>6407</v>
      </c>
      <c r="B591" t="s">
        <v>7865</v>
      </c>
      <c r="C591" t="s">
        <v>7164</v>
      </c>
      <c r="D591" t="str" cm="1">
        <f t="array" ref="D591">TRANSPOSE(_xlfn._xlws.FILTER('Controllable Asset Registry'!$A$4:$A$777,IFERROR('Controllable Asset Registry'!$E$4:$E$777=A591,FALSE),"No Equipment in entity"))</f>
        <v>VAV0332</v>
      </c>
    </row>
    <row r="592" spans="1:4" x14ac:dyDescent="0.3">
      <c r="A592" t="s">
        <v>6408</v>
      </c>
      <c r="B592" t="s">
        <v>7866</v>
      </c>
      <c r="C592" t="s">
        <v>7164</v>
      </c>
      <c r="D592" t="str" cm="1">
        <f t="array" ref="D592">TRANSPOSE(_xlfn._xlws.FILTER('Controllable Asset Registry'!$A$4:$A$777,IFERROR('Controllable Asset Registry'!$E$4:$E$777=A592,FALSE),"No Equipment in entity"))</f>
        <v>VAV0333</v>
      </c>
    </row>
    <row r="593" spans="1:5" x14ac:dyDescent="0.3">
      <c r="A593" t="s">
        <v>6409</v>
      </c>
      <c r="B593" t="s">
        <v>7867</v>
      </c>
      <c r="C593" t="s">
        <v>7165</v>
      </c>
      <c r="D593" t="str" cm="1">
        <f t="array" ref="D593">TRANSPOSE(_xlfn._xlws.FILTER('Controllable Asset Registry'!$A$4:$A$777,IFERROR('Controllable Asset Registry'!$E$4:$E$777=A593,FALSE),"No Equipment in entity"))</f>
        <v>VAV0334</v>
      </c>
    </row>
    <row r="594" spans="1:5" x14ac:dyDescent="0.3">
      <c r="A594" t="s">
        <v>6410</v>
      </c>
      <c r="B594" t="s">
        <v>7868</v>
      </c>
      <c r="C594" t="s">
        <v>7165</v>
      </c>
      <c r="D594" t="str" cm="1">
        <f t="array" ref="D594">TRANSPOSE(_xlfn._xlws.FILTER('Controllable Asset Registry'!$A$4:$A$777,IFERROR('Controllable Asset Registry'!$E$4:$E$777=A594,FALSE),"No Equipment in entity"))</f>
        <v>VAV0335</v>
      </c>
    </row>
    <row r="595" spans="1:5" x14ac:dyDescent="0.3">
      <c r="A595" t="s">
        <v>6411</v>
      </c>
      <c r="B595" t="s">
        <v>7869</v>
      </c>
      <c r="C595" t="s">
        <v>7166</v>
      </c>
      <c r="D595" t="str" cm="1">
        <f t="array" ref="D595">TRANSPOSE(_xlfn._xlws.FILTER('Controllable Asset Registry'!$A$4:$A$777,IFERROR('Controllable Asset Registry'!$E$4:$E$777=A595,FALSE),"No Equipment in entity"))</f>
        <v>VAV0336</v>
      </c>
    </row>
    <row r="596" spans="1:5" x14ac:dyDescent="0.3">
      <c r="A596" t="s">
        <v>6412</v>
      </c>
      <c r="B596" t="s">
        <v>7870</v>
      </c>
      <c r="C596" t="s">
        <v>7167</v>
      </c>
      <c r="D596" t="str" cm="1">
        <f t="array" ref="D596">TRANSPOSE(_xlfn._xlws.FILTER('Controllable Asset Registry'!$A$4:$A$777,IFERROR('Controllable Asset Registry'!$E$4:$E$777=A596,FALSE),"No Equipment in entity"))</f>
        <v>VAV0337</v>
      </c>
    </row>
    <row r="597" spans="1:5" x14ac:dyDescent="0.3">
      <c r="A597" t="s">
        <v>6413</v>
      </c>
      <c r="B597" t="s">
        <v>7871</v>
      </c>
      <c r="C597" t="s">
        <v>7168</v>
      </c>
      <c r="D597" t="str" cm="1">
        <f t="array" ref="D597">TRANSPOSE(_xlfn._xlws.FILTER('Controllable Asset Registry'!$A$4:$A$777,IFERROR('Controllable Asset Registry'!$E$4:$E$777=A597,FALSE),"No Equipment in entity"))</f>
        <v>VAV0338</v>
      </c>
    </row>
    <row r="598" spans="1:5" x14ac:dyDescent="0.3">
      <c r="A598" t="s">
        <v>6414</v>
      </c>
      <c r="B598" t="s">
        <v>7872</v>
      </c>
      <c r="C598" t="s">
        <v>7168</v>
      </c>
      <c r="D598" t="str" cm="1">
        <f t="array" ref="D598">TRANSPOSE(_xlfn._xlws.FILTER('Controllable Asset Registry'!$A$4:$A$777,IFERROR('Controllable Asset Registry'!$E$4:$E$777=A598,FALSE),"No Equipment in entity"))</f>
        <v>VAV0339</v>
      </c>
    </row>
    <row r="599" spans="1:5" x14ac:dyDescent="0.3">
      <c r="A599" t="s">
        <v>6431</v>
      </c>
      <c r="B599" t="s">
        <v>7873</v>
      </c>
      <c r="C599" t="s">
        <v>6967</v>
      </c>
      <c r="D599" t="str" cm="1">
        <f t="array" ref="D599">TRANSPOSE(_xlfn._xlws.FILTER('Controllable Asset Registry'!$A$4:$A$777,IFERROR('Controllable Asset Registry'!$E$4:$E$777=A599,FALSE),"No Equipment in entity"))</f>
        <v>VAV0358</v>
      </c>
    </row>
    <row r="600" spans="1:5" x14ac:dyDescent="0.3">
      <c r="A600" t="s">
        <v>6430</v>
      </c>
      <c r="B600" t="s">
        <v>7874</v>
      </c>
      <c r="C600" t="s">
        <v>6967</v>
      </c>
      <c r="D600" t="str" cm="1">
        <f t="array" ref="D600">TRANSPOSE(_xlfn._xlws.FILTER('Controllable Asset Registry'!$A$4:$A$777,IFERROR('Controllable Asset Registry'!$E$4:$E$777=A600,FALSE),"No Equipment in entity"))</f>
        <v>VAV0357</v>
      </c>
    </row>
    <row r="601" spans="1:5" x14ac:dyDescent="0.3">
      <c r="A601" t="s">
        <v>6429</v>
      </c>
      <c r="B601" t="s">
        <v>7875</v>
      </c>
      <c r="C601" t="s">
        <v>6967</v>
      </c>
      <c r="D601" t="str" cm="1">
        <f t="array" ref="D601">TRANSPOSE(_xlfn._xlws.FILTER('Controllable Asset Registry'!$A$4:$A$777,IFERROR('Controllable Asset Registry'!$E$4:$E$777=A601,FALSE),"No Equipment in entity"))</f>
        <v>VAV0356</v>
      </c>
    </row>
    <row r="602" spans="1:5" x14ac:dyDescent="0.3">
      <c r="A602" t="s">
        <v>6115</v>
      </c>
      <c r="B602" t="s">
        <v>7876</v>
      </c>
      <c r="C602" t="s">
        <v>6936</v>
      </c>
      <c r="D602" t="str" cm="1">
        <f t="array" ref="D602">TRANSPOSE(_xlfn._xlws.FILTER('Controllable Asset Registry'!$A$4:$A$777,IFERROR('Controllable Asset Registry'!$E$4:$E$777=A602,FALSE),"No Equipment in entity"))</f>
        <v>FCU0102</v>
      </c>
    </row>
    <row r="603" spans="1:5" x14ac:dyDescent="0.3">
      <c r="A603" t="s">
        <v>6418</v>
      </c>
      <c r="B603" t="s">
        <v>7877</v>
      </c>
      <c r="C603" t="s">
        <v>5992</v>
      </c>
      <c r="D603" t="str" cm="1">
        <f t="array" ref="D603:E603">TRANSPOSE(_xlfn._xlws.FILTER('Controllable Asset Registry'!$A$4:$A$777,IFERROR('Controllable Asset Registry'!$E$4:$E$777=A603,FALSE),"No Equipment in entity"))</f>
        <v>VAV0344</v>
      </c>
      <c r="E603" t="str">
        <v>VAV0345</v>
      </c>
    </row>
    <row r="604" spans="1:5" x14ac:dyDescent="0.3">
      <c r="A604" t="s">
        <v>7169</v>
      </c>
      <c r="B604" t="s">
        <v>7878</v>
      </c>
      <c r="C604" t="s">
        <v>6807</v>
      </c>
      <c r="D604" t="str" cm="1">
        <f t="array" ref="D604">TRANSPOSE(_xlfn._xlws.FILTER('Controllable Asset Registry'!$A$4:$A$777,IFERROR('Controllable Asset Registry'!$E$4:$E$777=A604,FALSE),"No Equipment in entity"))</f>
        <v>No Equipment in entity</v>
      </c>
    </row>
    <row r="605" spans="1:5" x14ac:dyDescent="0.3">
      <c r="A605" t="s">
        <v>7170</v>
      </c>
      <c r="B605" t="s">
        <v>7879</v>
      </c>
      <c r="C605" t="s">
        <v>6965</v>
      </c>
      <c r="D605" t="str" cm="1">
        <f t="array" ref="D605">TRANSPOSE(_xlfn._xlws.FILTER('Controllable Asset Registry'!$A$4:$A$777,IFERROR('Controllable Asset Registry'!$E$4:$E$777=A605,FALSE),"No Equipment in entity"))</f>
        <v>No Equipment in entity</v>
      </c>
    </row>
    <row r="606" spans="1:5" x14ac:dyDescent="0.3">
      <c r="A606" t="s">
        <v>6417</v>
      </c>
      <c r="B606" t="s">
        <v>7880</v>
      </c>
      <c r="C606" t="s">
        <v>7171</v>
      </c>
      <c r="D606" t="str" cm="1">
        <f t="array" ref="D606">TRANSPOSE(_xlfn._xlws.FILTER('Controllable Asset Registry'!$A$4:$A$777,IFERROR('Controllable Asset Registry'!$E$4:$E$777=A606,FALSE),"No Equipment in entity"))</f>
        <v>VAV0342</v>
      </c>
    </row>
    <row r="607" spans="1:5" x14ac:dyDescent="0.3">
      <c r="A607" t="s">
        <v>6416</v>
      </c>
      <c r="B607" t="s">
        <v>7881</v>
      </c>
      <c r="C607" t="s">
        <v>7172</v>
      </c>
      <c r="D607" t="str" cm="1">
        <f t="array" ref="D607">TRANSPOSE(_xlfn._xlws.FILTER('Controllable Asset Registry'!$A$4:$A$777,IFERROR('Controllable Asset Registry'!$E$4:$E$777=A607,FALSE),"No Equipment in entity"))</f>
        <v>VAV0341</v>
      </c>
    </row>
    <row r="608" spans="1:5" x14ac:dyDescent="0.3">
      <c r="A608" t="s">
        <v>7173</v>
      </c>
      <c r="B608" t="s">
        <v>7882</v>
      </c>
      <c r="C608" t="s">
        <v>6714</v>
      </c>
      <c r="D608" t="str" cm="1">
        <f t="array" ref="D608">TRANSPOSE(_xlfn._xlws.FILTER('Controllable Asset Registry'!$A$4:$A$777,IFERROR('Controllable Asset Registry'!$E$4:$E$777=A608,FALSE),"No Equipment in entity"))</f>
        <v>No Equipment in entity</v>
      </c>
    </row>
    <row r="609" spans="1:4" x14ac:dyDescent="0.3">
      <c r="A609" t="s">
        <v>6433</v>
      </c>
      <c r="B609" t="s">
        <v>7883</v>
      </c>
      <c r="C609" t="s">
        <v>7174</v>
      </c>
      <c r="D609" t="str" cm="1">
        <f t="array" ref="D609">TRANSPOSE(_xlfn._xlws.FILTER('Controllable Asset Registry'!$A$4:$A$777,IFERROR('Controllable Asset Registry'!$E$4:$E$777=A609,FALSE),"No Equipment in entity"))</f>
        <v>VAV0361</v>
      </c>
    </row>
    <row r="610" spans="1:4" x14ac:dyDescent="0.3">
      <c r="A610" t="s">
        <v>6434</v>
      </c>
      <c r="B610" t="s">
        <v>7884</v>
      </c>
      <c r="C610" t="s">
        <v>7174</v>
      </c>
      <c r="D610" t="str" cm="1">
        <f t="array" ref="D610">TRANSPOSE(_xlfn._xlws.FILTER('Controllable Asset Registry'!$A$4:$A$777,IFERROR('Controllable Asset Registry'!$E$4:$E$777=A610,FALSE),"No Equipment in entity"))</f>
        <v>VAV0362</v>
      </c>
    </row>
    <row r="611" spans="1:4" x14ac:dyDescent="0.3">
      <c r="A611" t="s">
        <v>7175</v>
      </c>
      <c r="B611" t="s">
        <v>7885</v>
      </c>
      <c r="C611" t="s">
        <v>6807</v>
      </c>
      <c r="D611" t="str" cm="1">
        <f t="array" ref="D611">TRANSPOSE(_xlfn._xlws.FILTER('Controllable Asset Registry'!$A$4:$A$777,IFERROR('Controllable Asset Registry'!$E$4:$E$777=A611,FALSE),"No Equipment in entity"))</f>
        <v>No Equipment in entity</v>
      </c>
    </row>
    <row r="612" spans="1:4" x14ac:dyDescent="0.3">
      <c r="A612" t="s">
        <v>6435</v>
      </c>
      <c r="B612" t="s">
        <v>7886</v>
      </c>
      <c r="C612" t="s">
        <v>7174</v>
      </c>
      <c r="D612" t="str" cm="1">
        <f t="array" ref="D612">TRANSPOSE(_xlfn._xlws.FILTER('Controllable Asset Registry'!$A$4:$A$777,IFERROR('Controllable Asset Registry'!$E$4:$E$777=A612,FALSE),"No Equipment in entity"))</f>
        <v>VAV0363</v>
      </c>
    </row>
    <row r="613" spans="1:4" x14ac:dyDescent="0.3">
      <c r="A613" t="s">
        <v>6436</v>
      </c>
      <c r="B613" t="s">
        <v>7887</v>
      </c>
      <c r="C613" t="s">
        <v>7168</v>
      </c>
      <c r="D613" t="str" cm="1">
        <f t="array" ref="D613">TRANSPOSE(_xlfn._xlws.FILTER('Controllable Asset Registry'!$A$4:$A$777,IFERROR('Controllable Asset Registry'!$E$4:$E$777=A613,FALSE),"No Equipment in entity"))</f>
        <v>VAV0364</v>
      </c>
    </row>
    <row r="614" spans="1:4" x14ac:dyDescent="0.3">
      <c r="A614" t="s">
        <v>6437</v>
      </c>
      <c r="B614" t="s">
        <v>7888</v>
      </c>
      <c r="C614" t="s">
        <v>7176</v>
      </c>
      <c r="D614" t="str" cm="1">
        <f t="array" ref="D614">TRANSPOSE(_xlfn._xlws.FILTER('Controllable Asset Registry'!$A$4:$A$777,IFERROR('Controllable Asset Registry'!$E$4:$E$777=A614,FALSE),"No Equipment in entity"))</f>
        <v>VAV0365</v>
      </c>
    </row>
    <row r="615" spans="1:4" x14ac:dyDescent="0.3">
      <c r="A615" t="s">
        <v>6438</v>
      </c>
      <c r="B615" t="s">
        <v>7889</v>
      </c>
      <c r="C615" t="s">
        <v>7177</v>
      </c>
      <c r="D615" t="str" cm="1">
        <f t="array" ref="D615">TRANSPOSE(_xlfn._xlws.FILTER('Controllable Asset Registry'!$A$4:$A$777,IFERROR('Controllable Asset Registry'!$E$4:$E$777=A615,FALSE),"No Equipment in entity"))</f>
        <v>VAV0366</v>
      </c>
    </row>
    <row r="616" spans="1:4" x14ac:dyDescent="0.3">
      <c r="A616" t="s">
        <v>6116</v>
      </c>
      <c r="B616" t="s">
        <v>7890</v>
      </c>
      <c r="C616" t="s">
        <v>6936</v>
      </c>
      <c r="D616" t="str" cm="1">
        <f t="array" ref="D616">TRANSPOSE(_xlfn._xlws.FILTER('Controllable Asset Registry'!$A$4:$A$777,IFERROR('Controllable Asset Registry'!$E$4:$E$777=A616,FALSE),"No Equipment in entity"))</f>
        <v>FCU0103</v>
      </c>
    </row>
    <row r="617" spans="1:4" x14ac:dyDescent="0.3">
      <c r="A617" t="s">
        <v>6439</v>
      </c>
      <c r="B617" t="s">
        <v>7891</v>
      </c>
      <c r="C617" t="s">
        <v>7178</v>
      </c>
      <c r="D617" t="str" cm="1">
        <f t="array" ref="D617">TRANSPOSE(_xlfn._xlws.FILTER('Controllable Asset Registry'!$A$4:$A$777,IFERROR('Controllable Asset Registry'!$E$4:$E$777=A617,FALSE),"No Equipment in entity"))</f>
        <v>VAV0367</v>
      </c>
    </row>
    <row r="618" spans="1:4" x14ac:dyDescent="0.3">
      <c r="A618" t="s">
        <v>6440</v>
      </c>
      <c r="B618" t="s">
        <v>7892</v>
      </c>
      <c r="C618" t="s">
        <v>7177</v>
      </c>
      <c r="D618" t="str" cm="1">
        <f t="array" ref="D618">TRANSPOSE(_xlfn._xlws.FILTER('Controllable Asset Registry'!$A$4:$A$777,IFERROR('Controllable Asset Registry'!$E$4:$E$777=A618,FALSE),"No Equipment in entity"))</f>
        <v>VAV0368</v>
      </c>
    </row>
    <row r="619" spans="1:4" x14ac:dyDescent="0.3">
      <c r="A619" t="s">
        <v>6441</v>
      </c>
      <c r="B619" t="s">
        <v>7893</v>
      </c>
      <c r="C619" t="s">
        <v>7177</v>
      </c>
      <c r="D619" t="str" cm="1">
        <f t="array" ref="D619">TRANSPOSE(_xlfn._xlws.FILTER('Controllable Asset Registry'!$A$4:$A$777,IFERROR('Controllable Asset Registry'!$E$4:$E$777=A619,FALSE),"No Equipment in entity"))</f>
        <v>VAV0369</v>
      </c>
    </row>
    <row r="620" spans="1:4" x14ac:dyDescent="0.3">
      <c r="A620" t="s">
        <v>6442</v>
      </c>
      <c r="B620" t="s">
        <v>7894</v>
      </c>
      <c r="C620" t="s">
        <v>7179</v>
      </c>
      <c r="D620" t="str" cm="1">
        <f t="array" ref="D620">TRANSPOSE(_xlfn._xlws.FILTER('Controllable Asset Registry'!$A$4:$A$777,IFERROR('Controllable Asset Registry'!$E$4:$E$777=A620,FALSE),"No Equipment in entity"))</f>
        <v>VAV0370</v>
      </c>
    </row>
    <row r="621" spans="1:4" x14ac:dyDescent="0.3">
      <c r="A621" t="s">
        <v>7180</v>
      </c>
      <c r="B621" t="s">
        <v>7895</v>
      </c>
      <c r="C621" t="s">
        <v>7181</v>
      </c>
      <c r="D621" t="str" cm="1">
        <f t="array" ref="D621">TRANSPOSE(_xlfn._xlws.FILTER('Controllable Asset Registry'!$A$4:$A$777,IFERROR('Controllable Asset Registry'!$E$4:$E$777=A621,FALSE),"No Equipment in entity"))</f>
        <v>No Equipment in entity</v>
      </c>
    </row>
    <row r="622" spans="1:4" x14ac:dyDescent="0.3">
      <c r="A622" t="s">
        <v>7182</v>
      </c>
      <c r="B622" t="s">
        <v>7896</v>
      </c>
      <c r="C622" t="s">
        <v>6725</v>
      </c>
      <c r="D622" t="str" cm="1">
        <f t="array" ref="D622">TRANSPOSE(_xlfn._xlws.FILTER('Controllable Asset Registry'!$A$4:$A$777,IFERROR('Controllable Asset Registry'!$E$4:$E$777=A622,FALSE),"No Equipment in entity"))</f>
        <v>No Equipment in entity</v>
      </c>
    </row>
    <row r="623" spans="1:4" x14ac:dyDescent="0.3">
      <c r="A623" t="s">
        <v>7183</v>
      </c>
      <c r="B623" t="s">
        <v>7897</v>
      </c>
      <c r="C623" t="s">
        <v>6728</v>
      </c>
      <c r="D623" t="str" cm="1">
        <f t="array" ref="D623">TRANSPOSE(_xlfn._xlws.FILTER('Controllable Asset Registry'!$A$4:$A$777,IFERROR('Controllable Asset Registry'!$E$4:$E$777=A623,FALSE),"No Equipment in entity"))</f>
        <v>No Equipment in entity</v>
      </c>
    </row>
    <row r="624" spans="1:4" x14ac:dyDescent="0.3">
      <c r="A624" t="s">
        <v>7184</v>
      </c>
      <c r="B624" t="s">
        <v>7898</v>
      </c>
      <c r="C624" t="s">
        <v>6725</v>
      </c>
      <c r="D624" t="str" cm="1">
        <f t="array" ref="D624">TRANSPOSE(_xlfn._xlws.FILTER('Controllable Asset Registry'!$A$4:$A$777,IFERROR('Controllable Asset Registry'!$E$4:$E$777=A624,FALSE),"No Equipment in entity"))</f>
        <v>No Equipment in entity</v>
      </c>
    </row>
    <row r="625" spans="1:6" x14ac:dyDescent="0.3">
      <c r="A625" t="s">
        <v>7185</v>
      </c>
      <c r="B625" t="s">
        <v>7899</v>
      </c>
      <c r="C625" t="s">
        <v>6728</v>
      </c>
      <c r="D625" t="str" cm="1">
        <f t="array" ref="D625">TRANSPOSE(_xlfn._xlws.FILTER('Controllable Asset Registry'!$A$4:$A$777,IFERROR('Controllable Asset Registry'!$E$4:$E$777=A625,FALSE),"No Equipment in entity"))</f>
        <v>No Equipment in entity</v>
      </c>
    </row>
    <row r="626" spans="1:6" x14ac:dyDescent="0.3">
      <c r="A626" t="s">
        <v>7186</v>
      </c>
      <c r="B626" t="s">
        <v>7900</v>
      </c>
      <c r="C626" t="s">
        <v>5861</v>
      </c>
      <c r="D626" t="str" cm="1">
        <f t="array" ref="D626">TRANSPOSE(_xlfn._xlws.FILTER('Controllable Asset Registry'!$A$4:$A$777,IFERROR('Controllable Asset Registry'!$E$4:$E$777=A626,FALSE),"No Equipment in entity"))</f>
        <v>No Equipment in entity</v>
      </c>
    </row>
    <row r="627" spans="1:6" x14ac:dyDescent="0.3">
      <c r="A627" t="s">
        <v>7187</v>
      </c>
      <c r="B627" t="s">
        <v>7901</v>
      </c>
      <c r="C627" t="s">
        <v>5861</v>
      </c>
      <c r="D627" t="str" cm="1">
        <f t="array" ref="D627">TRANSPOSE(_xlfn._xlws.FILTER('Controllable Asset Registry'!$A$4:$A$777,IFERROR('Controllable Asset Registry'!$E$4:$E$777=A627,FALSE),"No Equipment in entity"))</f>
        <v>No Equipment in entity</v>
      </c>
    </row>
    <row r="628" spans="1:6" x14ac:dyDescent="0.3">
      <c r="A628" t="s">
        <v>7188</v>
      </c>
      <c r="B628" t="s">
        <v>7902</v>
      </c>
      <c r="C628" t="s">
        <v>5861</v>
      </c>
      <c r="D628" t="str" cm="1">
        <f t="array" ref="D628">TRANSPOSE(_xlfn._xlws.FILTER('Controllable Asset Registry'!$A$4:$A$777,IFERROR('Controllable Asset Registry'!$E$4:$E$777=A628,FALSE),"No Equipment in entity"))</f>
        <v>No Equipment in entity</v>
      </c>
    </row>
    <row r="629" spans="1:6" x14ac:dyDescent="0.3">
      <c r="A629" t="s">
        <v>7189</v>
      </c>
      <c r="B629" t="s">
        <v>7903</v>
      </c>
      <c r="C629" t="s">
        <v>5858</v>
      </c>
      <c r="D629" t="str" cm="1">
        <f t="array" ref="D629">TRANSPOSE(_xlfn._xlws.FILTER('Controllable Asset Registry'!$A$4:$A$777,IFERROR('Controllable Asset Registry'!$E$4:$E$777=A629,FALSE),"No Equipment in entity"))</f>
        <v>No Equipment in entity</v>
      </c>
    </row>
    <row r="630" spans="1:6" x14ac:dyDescent="0.3">
      <c r="A630" t="s">
        <v>6113</v>
      </c>
      <c r="B630" t="s">
        <v>7904</v>
      </c>
      <c r="C630" t="s">
        <v>6734</v>
      </c>
      <c r="D630" t="str" cm="1">
        <f t="array" ref="D630">TRANSPOSE(_xlfn._xlws.FILTER('Controllable Asset Registry'!$A$4:$A$777,IFERROR('Controllable Asset Registry'!$E$4:$E$777=A630,FALSE),"No Equipment in entity"))</f>
        <v>FCU0098</v>
      </c>
    </row>
    <row r="631" spans="1:6" x14ac:dyDescent="0.3">
      <c r="A631" t="s">
        <v>7190</v>
      </c>
      <c r="B631" t="s">
        <v>7905</v>
      </c>
      <c r="C631" t="s">
        <v>5858</v>
      </c>
      <c r="D631" t="str" cm="1">
        <f t="array" ref="D631">TRANSPOSE(_xlfn._xlws.FILTER('Controllable Asset Registry'!$A$4:$A$777,IFERROR('Controllable Asset Registry'!$E$4:$E$777=A631,FALSE),"No Equipment in entity"))</f>
        <v>No Equipment in entity</v>
      </c>
    </row>
    <row r="632" spans="1:6" x14ac:dyDescent="0.3">
      <c r="A632" t="s">
        <v>6112</v>
      </c>
      <c r="B632" t="s">
        <v>7906</v>
      </c>
      <c r="C632" t="s">
        <v>6734</v>
      </c>
      <c r="D632" t="str" cm="1">
        <f t="array" ref="D632">TRANSPOSE(_xlfn._xlws.FILTER('Controllable Asset Registry'!$A$4:$A$777,IFERROR('Controllable Asset Registry'!$E$4:$E$777=A632,FALSE),"No Equipment in entity"))</f>
        <v>FCU0096</v>
      </c>
    </row>
    <row r="633" spans="1:6" x14ac:dyDescent="0.3">
      <c r="A633" t="s">
        <v>7191</v>
      </c>
      <c r="B633" t="s">
        <v>7907</v>
      </c>
      <c r="C633" t="s">
        <v>7119</v>
      </c>
      <c r="D633" t="str" cm="1">
        <f t="array" ref="D633">TRANSPOSE(_xlfn._xlws.FILTER('Controllable Asset Registry'!$A$4:$A$777,IFERROR('Controllable Asset Registry'!$E$4:$E$777=A633,FALSE),"No Equipment in entity"))</f>
        <v>No Equipment in entity</v>
      </c>
    </row>
    <row r="634" spans="1:6" x14ac:dyDescent="0.3">
      <c r="A634" t="s">
        <v>7192</v>
      </c>
      <c r="B634" t="s">
        <v>7908</v>
      </c>
      <c r="C634" t="s">
        <v>6879</v>
      </c>
      <c r="D634" t="str" cm="1">
        <f t="array" ref="D634">TRANSPOSE(_xlfn._xlws.FILTER('Controllable Asset Registry'!$A$4:$A$777,IFERROR('Controllable Asset Registry'!$E$4:$E$777=A634,FALSE),"No Equipment in entity"))</f>
        <v>No Equipment in entity</v>
      </c>
    </row>
    <row r="635" spans="1:6" x14ac:dyDescent="0.3">
      <c r="A635" t="s">
        <v>7193</v>
      </c>
      <c r="B635" t="s">
        <v>7909</v>
      </c>
      <c r="C635" t="s">
        <v>5858</v>
      </c>
      <c r="D635" t="str" cm="1">
        <f t="array" ref="D635">TRANSPOSE(_xlfn._xlws.FILTER('Controllable Asset Registry'!$A$4:$A$777,IFERROR('Controllable Asset Registry'!$E$4:$E$777=A635,FALSE),"No Equipment in entity"))</f>
        <v>No Equipment in entity</v>
      </c>
    </row>
    <row r="636" spans="1:6" x14ac:dyDescent="0.3">
      <c r="A636" t="s">
        <v>6415</v>
      </c>
      <c r="B636" t="s">
        <v>7910</v>
      </c>
      <c r="C636" t="s">
        <v>7033</v>
      </c>
      <c r="D636" t="str" cm="1">
        <f t="array" ref="D636:F636">TRANSPOSE(_xlfn._xlws.FILTER('Controllable Asset Registry'!$A$4:$A$777,IFERROR('Controllable Asset Registry'!$E$4:$E$777=A636,FALSE),"No Equipment in entity"))</f>
        <v>VAV0340</v>
      </c>
      <c r="E636" t="str">
        <v>VAV0343</v>
      </c>
      <c r="F636" t="str">
        <v>VAV0360</v>
      </c>
    </row>
    <row r="637" spans="1:6" x14ac:dyDescent="0.3">
      <c r="A637" t="s">
        <v>7194</v>
      </c>
      <c r="B637" t="s">
        <v>7911</v>
      </c>
      <c r="C637" t="s">
        <v>7195</v>
      </c>
      <c r="D637" t="str" cm="1">
        <f t="array" ref="D637">TRANSPOSE(_xlfn._xlws.FILTER('Controllable Asset Registry'!$A$4:$A$777,IFERROR('Controllable Asset Registry'!$E$4:$E$777=A637,FALSE),"No Equipment in entity"))</f>
        <v>No Equipment in entity</v>
      </c>
    </row>
    <row r="638" spans="1:6" x14ac:dyDescent="0.3">
      <c r="A638" t="s">
        <v>6443</v>
      </c>
      <c r="B638" t="s">
        <v>7912</v>
      </c>
      <c r="C638" t="s">
        <v>7074</v>
      </c>
      <c r="D638" t="str" cm="1">
        <f t="array" ref="D638:E638">TRANSPOSE(_xlfn._xlws.FILTER('Controllable Asset Registry'!$A$4:$A$777,IFERROR('Controllable Asset Registry'!$E$4:$E$777=A638,FALSE),"No Equipment in entity"))</f>
        <v>VAV0371</v>
      </c>
      <c r="E638" t="str">
        <v>VAV0372</v>
      </c>
    </row>
    <row r="639" spans="1:6" x14ac:dyDescent="0.3">
      <c r="A639" t="s">
        <v>6111</v>
      </c>
      <c r="B639" t="s">
        <v>7913</v>
      </c>
      <c r="C639" t="s">
        <v>7195</v>
      </c>
      <c r="D639" t="str" cm="1">
        <f t="array" ref="D639:F639">TRANSPOSE(_xlfn._xlws.FILTER('Controllable Asset Registry'!$A$4:$A$777,IFERROR('Controllable Asset Registry'!$E$4:$E$777=A639,FALSE),"No Equipment in entity"))</f>
        <v>FCU0089</v>
      </c>
      <c r="E639" t="str">
        <v>FCU0090</v>
      </c>
      <c r="F639" t="str">
        <v>FCU0091</v>
      </c>
    </row>
    <row r="640" spans="1:6" x14ac:dyDescent="0.3">
      <c r="A640" t="s">
        <v>8359</v>
      </c>
      <c r="B640" t="s">
        <v>8360</v>
      </c>
      <c r="C640" t="s">
        <v>6893</v>
      </c>
      <c r="D640" t="str" cm="1">
        <f t="array" ref="D640">TRANSPOSE(_xlfn._xlws.FILTER('Controllable Asset Registry'!$A$4:$A$777,IFERROR('Controllable Asset Registry'!$E$4:$E$777=A640,FALSE),"No Equipment in entity"))</f>
        <v>No Equipment in entity</v>
      </c>
    </row>
    <row r="641" spans="1:5" x14ac:dyDescent="0.3">
      <c r="A641" t="s">
        <v>8361</v>
      </c>
      <c r="B641" t="s">
        <v>8362</v>
      </c>
      <c r="C641" t="s">
        <v>6896</v>
      </c>
      <c r="D641" t="str" cm="1">
        <f t="array" ref="D641">TRANSPOSE(_xlfn._xlws.FILTER('Controllable Asset Registry'!$A$4:$A$777,IFERROR('Controllable Asset Registry'!$E$4:$E$777=A641,FALSE),"No Equipment in entity"))</f>
        <v>No Equipment in entity</v>
      </c>
    </row>
    <row r="642" spans="1:5" x14ac:dyDescent="0.3">
      <c r="A642" t="s">
        <v>8363</v>
      </c>
      <c r="B642" t="s">
        <v>8364</v>
      </c>
      <c r="C642" t="s">
        <v>6899</v>
      </c>
      <c r="D642" t="str" cm="1">
        <f t="array" ref="D642">TRANSPOSE(_xlfn._xlws.FILTER('Controllable Asset Registry'!$A$4:$A$777,IFERROR('Controllable Asset Registry'!$E$4:$E$777=A642,FALSE),"No Equipment in entity"))</f>
        <v>No Equipment in entity</v>
      </c>
    </row>
    <row r="643" spans="1:5" x14ac:dyDescent="0.3">
      <c r="A643" t="s">
        <v>8365</v>
      </c>
      <c r="B643" t="s">
        <v>8366</v>
      </c>
      <c r="C643" t="s">
        <v>6763</v>
      </c>
      <c r="D643" t="str" cm="1">
        <f t="array" ref="D643">TRANSPOSE(_xlfn._xlws.FILTER('Controllable Asset Registry'!$A$4:$A$777,IFERROR('Controllable Asset Registry'!$E$4:$E$777=A643,FALSE),"No Equipment in entity"))</f>
        <v>No Equipment in entity</v>
      </c>
    </row>
    <row r="644" spans="1:5" x14ac:dyDescent="0.3">
      <c r="A644" t="s">
        <v>8367</v>
      </c>
      <c r="B644" t="s">
        <v>8368</v>
      </c>
      <c r="C644" t="s">
        <v>6766</v>
      </c>
      <c r="D644" t="str" cm="1">
        <f t="array" ref="D644">TRANSPOSE(_xlfn._xlws.FILTER('Controllable Asset Registry'!$A$4:$A$777,IFERROR('Controllable Asset Registry'!$E$4:$E$777=A644,FALSE),"No Equipment in entity"))</f>
        <v>No Equipment in entity</v>
      </c>
    </row>
    <row r="645" spans="1:5" x14ac:dyDescent="0.3">
      <c r="A645" t="s">
        <v>8369</v>
      </c>
      <c r="B645" t="s">
        <v>8370</v>
      </c>
      <c r="C645" t="s">
        <v>6769</v>
      </c>
      <c r="D645" t="str" cm="1">
        <f t="array" ref="D645">TRANSPOSE(_xlfn._xlws.FILTER('Controllable Asset Registry'!$A$4:$A$777,IFERROR('Controllable Asset Registry'!$E$4:$E$777=A645,FALSE),"No Equipment in entity"))</f>
        <v>No Equipment in entity</v>
      </c>
    </row>
    <row r="646" spans="1:5" x14ac:dyDescent="0.3">
      <c r="A646" t="s">
        <v>8371</v>
      </c>
      <c r="B646" t="s">
        <v>8372</v>
      </c>
      <c r="C646" t="s">
        <v>6908</v>
      </c>
      <c r="D646" t="str" cm="1">
        <f t="array" ref="D646">TRANSPOSE(_xlfn._xlws.FILTER('Controllable Asset Registry'!$A$4:$A$777,IFERROR('Controllable Asset Registry'!$E$4:$E$777=A646,FALSE),"No Equipment in entity"))</f>
        <v>No Equipment in entity</v>
      </c>
    </row>
    <row r="647" spans="1:5" x14ac:dyDescent="0.3">
      <c r="A647" t="s">
        <v>8373</v>
      </c>
      <c r="B647" t="s">
        <v>8374</v>
      </c>
      <c r="C647" t="s">
        <v>6774</v>
      </c>
      <c r="D647" t="str" cm="1">
        <f t="array" ref="D647">TRANSPOSE(_xlfn._xlws.FILTER('Controllable Asset Registry'!$A$4:$A$777,IFERROR('Controllable Asset Registry'!$E$4:$E$777=A647,FALSE),"No Equipment in entity"))</f>
        <v>No Equipment in entity</v>
      </c>
    </row>
    <row r="648" spans="1:5" x14ac:dyDescent="0.3">
      <c r="A648" t="s">
        <v>8375</v>
      </c>
      <c r="B648" t="s">
        <v>8376</v>
      </c>
      <c r="C648" t="s">
        <v>6776</v>
      </c>
      <c r="D648" t="str" cm="1">
        <f t="array" ref="D648">TRANSPOSE(_xlfn._xlws.FILTER('Controllable Asset Registry'!$A$4:$A$777,IFERROR('Controllable Asset Registry'!$E$4:$E$777=A648,FALSE),"No Equipment in entity"))</f>
        <v>No Equipment in entity</v>
      </c>
    </row>
    <row r="649" spans="1:5" x14ac:dyDescent="0.3">
      <c r="A649" t="s">
        <v>8377</v>
      </c>
      <c r="B649" t="s">
        <v>8378</v>
      </c>
      <c r="C649" t="s">
        <v>6915</v>
      </c>
      <c r="D649" t="str" cm="1">
        <f t="array" ref="D649">TRANSPOSE(_xlfn._xlws.FILTER('Controllable Asset Registry'!$A$4:$A$777,IFERROR('Controllable Asset Registry'!$E$4:$E$777=A649,FALSE),"No Equipment in entity"))</f>
        <v>No Equipment in entity</v>
      </c>
    </row>
    <row r="650" spans="1:5" x14ac:dyDescent="0.3">
      <c r="A650" t="s">
        <v>8379</v>
      </c>
      <c r="B650" t="s">
        <v>8380</v>
      </c>
      <c r="C650" t="s">
        <v>6779</v>
      </c>
      <c r="D650" t="str" cm="1">
        <f t="array" ref="D650">TRANSPOSE(_xlfn._xlws.FILTER('Controllable Asset Registry'!$A$4:$A$777,IFERROR('Controllable Asset Registry'!$E$4:$E$777=A650,FALSE),"No Equipment in entity"))</f>
        <v>No Equipment in entity</v>
      </c>
    </row>
    <row r="651" spans="1:5" x14ac:dyDescent="0.3">
      <c r="A651" t="s">
        <v>6465</v>
      </c>
      <c r="B651" t="s">
        <v>7914</v>
      </c>
      <c r="C651" t="s">
        <v>7196</v>
      </c>
      <c r="D651" t="str" cm="1">
        <f t="array" ref="D651">TRANSPOSE(_xlfn._xlws.FILTER('Controllable Asset Registry'!$A$4:$A$777,IFERROR('Controllable Asset Registry'!$E$4:$E$777=A651,FALSE),"No Equipment in entity"))</f>
        <v>VAV0397</v>
      </c>
    </row>
    <row r="652" spans="1:5" x14ac:dyDescent="0.3">
      <c r="A652" t="s">
        <v>6466</v>
      </c>
      <c r="B652" t="s">
        <v>7915</v>
      </c>
      <c r="C652" t="s">
        <v>7197</v>
      </c>
      <c r="D652" t="str" cm="1">
        <f t="array" ref="D652:E652">TRANSPOSE(_xlfn._xlws.FILTER('Controllable Asset Registry'!$A$4:$A$777,IFERROR('Controllable Asset Registry'!$E$4:$E$777=A652,FALSE),"No Equipment in entity"))</f>
        <v>VAV0398</v>
      </c>
      <c r="E652" t="str">
        <v>VAV0400</v>
      </c>
    </row>
    <row r="653" spans="1:5" x14ac:dyDescent="0.3">
      <c r="A653" t="s">
        <v>6467</v>
      </c>
      <c r="B653" t="s">
        <v>7916</v>
      </c>
      <c r="C653" t="s">
        <v>7196</v>
      </c>
      <c r="D653" t="str" cm="1">
        <f t="array" ref="D653">TRANSPOSE(_xlfn._xlws.FILTER('Controllable Asset Registry'!$A$4:$A$777,IFERROR('Controllable Asset Registry'!$E$4:$E$777=A653,FALSE),"No Equipment in entity"))</f>
        <v>VAV0401</v>
      </c>
    </row>
    <row r="654" spans="1:5" x14ac:dyDescent="0.3">
      <c r="A654" t="s">
        <v>6468</v>
      </c>
      <c r="B654" t="s">
        <v>7917</v>
      </c>
      <c r="C654" t="s">
        <v>7196</v>
      </c>
      <c r="D654" t="str" cm="1">
        <f t="array" ref="D654">TRANSPOSE(_xlfn._xlws.FILTER('Controllable Asset Registry'!$A$4:$A$777,IFERROR('Controllable Asset Registry'!$E$4:$E$777=A654,FALSE),"No Equipment in entity"))</f>
        <v>VAV0402</v>
      </c>
    </row>
    <row r="655" spans="1:5" x14ac:dyDescent="0.3">
      <c r="A655" t="s">
        <v>6469</v>
      </c>
      <c r="B655" t="s">
        <v>7918</v>
      </c>
      <c r="C655" t="s">
        <v>7196</v>
      </c>
      <c r="D655" t="str" cm="1">
        <f t="array" ref="D655">TRANSPOSE(_xlfn._xlws.FILTER('Controllable Asset Registry'!$A$4:$A$777,IFERROR('Controllable Asset Registry'!$E$4:$E$777=A655,FALSE),"No Equipment in entity"))</f>
        <v>VAV0403</v>
      </c>
    </row>
    <row r="656" spans="1:5" x14ac:dyDescent="0.3">
      <c r="A656" t="s">
        <v>6470</v>
      </c>
      <c r="B656" t="s">
        <v>7919</v>
      </c>
      <c r="C656" t="s">
        <v>7196</v>
      </c>
      <c r="D656" t="str" cm="1">
        <f t="array" ref="D656">TRANSPOSE(_xlfn._xlws.FILTER('Controllable Asset Registry'!$A$4:$A$777,IFERROR('Controllable Asset Registry'!$E$4:$E$777=A656,FALSE),"No Equipment in entity"))</f>
        <v>VAV0404</v>
      </c>
    </row>
    <row r="657" spans="1:4" x14ac:dyDescent="0.3">
      <c r="A657" t="s">
        <v>6471</v>
      </c>
      <c r="B657" t="s">
        <v>7920</v>
      </c>
      <c r="C657" t="s">
        <v>7198</v>
      </c>
      <c r="D657" t="str" cm="1">
        <f t="array" ref="D657">TRANSPOSE(_xlfn._xlws.FILTER('Controllable Asset Registry'!$A$4:$A$777,IFERROR('Controllable Asset Registry'!$E$4:$E$777=A657,FALSE),"No Equipment in entity"))</f>
        <v>VAV0405</v>
      </c>
    </row>
    <row r="658" spans="1:4" x14ac:dyDescent="0.3">
      <c r="A658" t="s">
        <v>6472</v>
      </c>
      <c r="B658" t="s">
        <v>7921</v>
      </c>
      <c r="C658" t="s">
        <v>7198</v>
      </c>
      <c r="D658" t="str" cm="1">
        <f t="array" ref="D658">TRANSPOSE(_xlfn._xlws.FILTER('Controllable Asset Registry'!$A$4:$A$777,IFERROR('Controllable Asset Registry'!$E$4:$E$777=A658,FALSE),"No Equipment in entity"))</f>
        <v>VAV0406</v>
      </c>
    </row>
    <row r="659" spans="1:4" x14ac:dyDescent="0.3">
      <c r="A659" t="s">
        <v>6473</v>
      </c>
      <c r="B659" t="s">
        <v>7922</v>
      </c>
      <c r="C659" t="s">
        <v>7198</v>
      </c>
      <c r="D659" t="str" cm="1">
        <f t="array" ref="D659">TRANSPOSE(_xlfn._xlws.FILTER('Controllable Asset Registry'!$A$4:$A$777,IFERROR('Controllable Asset Registry'!$E$4:$E$777=A659,FALSE),"No Equipment in entity"))</f>
        <v>VAV0407</v>
      </c>
    </row>
    <row r="660" spans="1:4" x14ac:dyDescent="0.3">
      <c r="A660" t="s">
        <v>6474</v>
      </c>
      <c r="B660" t="s">
        <v>7923</v>
      </c>
      <c r="C660" t="s">
        <v>7198</v>
      </c>
      <c r="D660" t="str" cm="1">
        <f t="array" ref="D660">TRANSPOSE(_xlfn._xlws.FILTER('Controllable Asset Registry'!$A$4:$A$777,IFERROR('Controllable Asset Registry'!$E$4:$E$777=A660,FALSE),"No Equipment in entity"))</f>
        <v>VAV0408</v>
      </c>
    </row>
    <row r="661" spans="1:4" x14ac:dyDescent="0.3">
      <c r="A661" t="s">
        <v>6475</v>
      </c>
      <c r="B661" t="s">
        <v>7924</v>
      </c>
      <c r="C661" t="s">
        <v>7198</v>
      </c>
      <c r="D661" t="str" cm="1">
        <f t="array" ref="D661">TRANSPOSE(_xlfn._xlws.FILTER('Controllable Asset Registry'!$A$4:$A$777,IFERROR('Controllable Asset Registry'!$E$4:$E$777=A661,FALSE),"No Equipment in entity"))</f>
        <v>VAV0409</v>
      </c>
    </row>
    <row r="662" spans="1:4" x14ac:dyDescent="0.3">
      <c r="A662" t="s">
        <v>6476</v>
      </c>
      <c r="B662" t="s">
        <v>7925</v>
      </c>
      <c r="C662" t="s">
        <v>7198</v>
      </c>
      <c r="D662" t="str" cm="1">
        <f t="array" ref="D662">TRANSPOSE(_xlfn._xlws.FILTER('Controllable Asset Registry'!$A$4:$A$777,IFERROR('Controllable Asset Registry'!$E$4:$E$777=A662,FALSE),"No Equipment in entity"))</f>
        <v>VAV0410</v>
      </c>
    </row>
    <row r="663" spans="1:4" x14ac:dyDescent="0.3">
      <c r="A663" t="s">
        <v>6477</v>
      </c>
      <c r="B663" t="s">
        <v>7926</v>
      </c>
      <c r="C663" t="s">
        <v>7198</v>
      </c>
      <c r="D663" t="str" cm="1">
        <f t="array" ref="D663">TRANSPOSE(_xlfn._xlws.FILTER('Controllable Asset Registry'!$A$4:$A$777,IFERROR('Controllable Asset Registry'!$E$4:$E$777=A663,FALSE),"No Equipment in entity"))</f>
        <v>VAV0411</v>
      </c>
    </row>
    <row r="664" spans="1:4" x14ac:dyDescent="0.3">
      <c r="A664" t="s">
        <v>6478</v>
      </c>
      <c r="B664" t="s">
        <v>7927</v>
      </c>
      <c r="C664" t="s">
        <v>7198</v>
      </c>
      <c r="D664" t="str" cm="1">
        <f t="array" ref="D664">TRANSPOSE(_xlfn._xlws.FILTER('Controllable Asset Registry'!$A$4:$A$777,IFERROR('Controllable Asset Registry'!$E$4:$E$777=A664,FALSE),"No Equipment in entity"))</f>
        <v>VAV0412</v>
      </c>
    </row>
    <row r="665" spans="1:4" x14ac:dyDescent="0.3">
      <c r="A665" t="s">
        <v>6479</v>
      </c>
      <c r="B665" t="s">
        <v>7928</v>
      </c>
      <c r="C665" t="s">
        <v>7198</v>
      </c>
      <c r="D665" t="str" cm="1">
        <f t="array" ref="D665">TRANSPOSE(_xlfn._xlws.FILTER('Controllable Asset Registry'!$A$4:$A$777,IFERROR('Controllable Asset Registry'!$E$4:$E$777=A665,FALSE),"No Equipment in entity"))</f>
        <v>VAV0413</v>
      </c>
    </row>
    <row r="666" spans="1:4" x14ac:dyDescent="0.3">
      <c r="A666" t="s">
        <v>6480</v>
      </c>
      <c r="B666" t="s">
        <v>7929</v>
      </c>
      <c r="C666" t="s">
        <v>7198</v>
      </c>
      <c r="D666" t="str" cm="1">
        <f t="array" ref="D666">TRANSPOSE(_xlfn._xlws.FILTER('Controllable Asset Registry'!$A$4:$A$777,IFERROR('Controllable Asset Registry'!$E$4:$E$777=A666,FALSE),"No Equipment in entity"))</f>
        <v>VAV0414</v>
      </c>
    </row>
    <row r="667" spans="1:4" x14ac:dyDescent="0.3">
      <c r="A667" t="s">
        <v>6444</v>
      </c>
      <c r="B667" t="s">
        <v>7930</v>
      </c>
      <c r="C667" t="s">
        <v>7199</v>
      </c>
      <c r="D667" t="str" cm="1">
        <f t="array" ref="D667">TRANSPOSE(_xlfn._xlws.FILTER('Controllable Asset Registry'!$A$4:$A$777,IFERROR('Controllable Asset Registry'!$E$4:$E$777=A667,FALSE),"No Equipment in entity"))</f>
        <v>VAV0373</v>
      </c>
    </row>
    <row r="668" spans="1:4" x14ac:dyDescent="0.3">
      <c r="A668" t="s">
        <v>6445</v>
      </c>
      <c r="B668" t="s">
        <v>7931</v>
      </c>
      <c r="C668" t="s">
        <v>7200</v>
      </c>
      <c r="D668" t="str" cm="1">
        <f t="array" ref="D668">TRANSPOSE(_xlfn._xlws.FILTER('Controllable Asset Registry'!$A$4:$A$777,IFERROR('Controllable Asset Registry'!$E$4:$E$777=A668,FALSE),"No Equipment in entity"))</f>
        <v>VAV0374</v>
      </c>
    </row>
    <row r="669" spans="1:4" x14ac:dyDescent="0.3">
      <c r="A669" t="s">
        <v>6446</v>
      </c>
      <c r="B669" t="s">
        <v>7932</v>
      </c>
      <c r="C669" t="s">
        <v>7201</v>
      </c>
      <c r="D669" t="str" cm="1">
        <f t="array" ref="D669">TRANSPOSE(_xlfn._xlws.FILTER('Controllable Asset Registry'!$A$4:$A$777,IFERROR('Controllable Asset Registry'!$E$4:$E$777=A669,FALSE),"No Equipment in entity"))</f>
        <v>VAV0375</v>
      </c>
    </row>
    <row r="670" spans="1:4" x14ac:dyDescent="0.3">
      <c r="A670" t="s">
        <v>6447</v>
      </c>
      <c r="B670" t="s">
        <v>7933</v>
      </c>
      <c r="C670" t="s">
        <v>7202</v>
      </c>
      <c r="D670" t="str" cm="1">
        <f t="array" ref="D670">TRANSPOSE(_xlfn._xlws.FILTER('Controllable Asset Registry'!$A$4:$A$777,IFERROR('Controllable Asset Registry'!$E$4:$E$777=A670,FALSE),"No Equipment in entity"))</f>
        <v>VAV0376</v>
      </c>
    </row>
    <row r="671" spans="1:4" x14ac:dyDescent="0.3">
      <c r="A671" t="s">
        <v>6448</v>
      </c>
      <c r="B671" t="s">
        <v>7934</v>
      </c>
      <c r="C671" t="s">
        <v>7202</v>
      </c>
      <c r="D671" t="str" cm="1">
        <f t="array" ref="D671">TRANSPOSE(_xlfn._xlws.FILTER('Controllable Asset Registry'!$A$4:$A$777,IFERROR('Controllable Asset Registry'!$E$4:$E$777=A671,FALSE),"No Equipment in entity"))</f>
        <v>VAV0377</v>
      </c>
    </row>
    <row r="672" spans="1:4" x14ac:dyDescent="0.3">
      <c r="A672" t="s">
        <v>6449</v>
      </c>
      <c r="B672" t="s">
        <v>7935</v>
      </c>
      <c r="C672" t="s">
        <v>7202</v>
      </c>
      <c r="D672" t="str" cm="1">
        <f t="array" ref="D672">TRANSPOSE(_xlfn._xlws.FILTER('Controllable Asset Registry'!$A$4:$A$777,IFERROR('Controllable Asset Registry'!$E$4:$E$777=A672,FALSE),"No Equipment in entity"))</f>
        <v>VAV0378</v>
      </c>
    </row>
    <row r="673" spans="1:5" x14ac:dyDescent="0.3">
      <c r="A673" t="s">
        <v>6450</v>
      </c>
      <c r="B673" t="s">
        <v>7936</v>
      </c>
      <c r="C673" t="s">
        <v>7202</v>
      </c>
      <c r="D673" t="str" cm="1">
        <f t="array" ref="D673">TRANSPOSE(_xlfn._xlws.FILTER('Controllable Asset Registry'!$A$4:$A$777,IFERROR('Controllable Asset Registry'!$E$4:$E$777=A673,FALSE),"No Equipment in entity"))</f>
        <v>VAV0379</v>
      </c>
    </row>
    <row r="674" spans="1:5" x14ac:dyDescent="0.3">
      <c r="A674" t="s">
        <v>6451</v>
      </c>
      <c r="B674" t="s">
        <v>7937</v>
      </c>
      <c r="C674" t="s">
        <v>7202</v>
      </c>
      <c r="D674" t="str" cm="1">
        <f t="array" ref="D674">TRANSPOSE(_xlfn._xlws.FILTER('Controllable Asset Registry'!$A$4:$A$777,IFERROR('Controllable Asset Registry'!$E$4:$E$777=A674,FALSE),"No Equipment in entity"))</f>
        <v>VAV0380</v>
      </c>
    </row>
    <row r="675" spans="1:5" x14ac:dyDescent="0.3">
      <c r="A675" t="s">
        <v>6452</v>
      </c>
      <c r="B675" t="s">
        <v>7938</v>
      </c>
      <c r="C675" t="s">
        <v>7202</v>
      </c>
      <c r="D675" t="str" cm="1">
        <f t="array" ref="D675">TRANSPOSE(_xlfn._xlws.FILTER('Controllable Asset Registry'!$A$4:$A$777,IFERROR('Controllable Asset Registry'!$E$4:$E$777=A675,FALSE),"No Equipment in entity"))</f>
        <v>VAV0381</v>
      </c>
    </row>
    <row r="676" spans="1:5" x14ac:dyDescent="0.3">
      <c r="A676" t="s">
        <v>6453</v>
      </c>
      <c r="B676" t="s">
        <v>7939</v>
      </c>
      <c r="C676" t="s">
        <v>7202</v>
      </c>
      <c r="D676" t="str" cm="1">
        <f t="array" ref="D676">TRANSPOSE(_xlfn._xlws.FILTER('Controllable Asset Registry'!$A$4:$A$777,IFERROR('Controllable Asset Registry'!$E$4:$E$777=A676,FALSE),"No Equipment in entity"))</f>
        <v>VAV0382</v>
      </c>
    </row>
    <row r="677" spans="1:5" x14ac:dyDescent="0.3">
      <c r="A677" t="s">
        <v>6454</v>
      </c>
      <c r="B677" t="s">
        <v>7940</v>
      </c>
      <c r="C677" t="s">
        <v>7202</v>
      </c>
      <c r="D677" t="str" cm="1">
        <f t="array" ref="D677">TRANSPOSE(_xlfn._xlws.FILTER('Controllable Asset Registry'!$A$4:$A$777,IFERROR('Controllable Asset Registry'!$E$4:$E$777=A677,FALSE),"No Equipment in entity"))</f>
        <v>VAV0383</v>
      </c>
    </row>
    <row r="678" spans="1:5" x14ac:dyDescent="0.3">
      <c r="A678" t="s">
        <v>6455</v>
      </c>
      <c r="B678" t="s">
        <v>7941</v>
      </c>
      <c r="C678" t="s">
        <v>7202</v>
      </c>
      <c r="D678" t="str" cm="1">
        <f t="array" ref="D678">TRANSPOSE(_xlfn._xlws.FILTER('Controllable Asset Registry'!$A$4:$A$777,IFERROR('Controllable Asset Registry'!$E$4:$E$777=A678,FALSE),"No Equipment in entity"))</f>
        <v>VAV0384</v>
      </c>
    </row>
    <row r="679" spans="1:5" x14ac:dyDescent="0.3">
      <c r="A679" t="s">
        <v>6456</v>
      </c>
      <c r="B679" t="s">
        <v>7942</v>
      </c>
      <c r="C679" t="s">
        <v>7041</v>
      </c>
      <c r="D679" t="str" cm="1">
        <f t="array" ref="D679:E679">TRANSPOSE(_xlfn._xlws.FILTER('Controllable Asset Registry'!$A$4:$A$777,IFERROR('Controllable Asset Registry'!$E$4:$E$777=A679,FALSE),"No Equipment in entity"))</f>
        <v>VAV0385</v>
      </c>
      <c r="E679" t="str">
        <v>VAV0386</v>
      </c>
    </row>
    <row r="680" spans="1:5" x14ac:dyDescent="0.3">
      <c r="A680" t="s">
        <v>6457</v>
      </c>
      <c r="B680" t="s">
        <v>7943</v>
      </c>
      <c r="C680" t="s">
        <v>6967</v>
      </c>
      <c r="D680" t="str" cm="1">
        <f t="array" ref="D680">TRANSPOSE(_xlfn._xlws.FILTER('Controllable Asset Registry'!$A$4:$A$777,IFERROR('Controllable Asset Registry'!$E$4:$E$777=A680,FALSE),"No Equipment in entity"))</f>
        <v>VAV0387</v>
      </c>
    </row>
    <row r="681" spans="1:5" x14ac:dyDescent="0.3">
      <c r="A681" t="s">
        <v>6460</v>
      </c>
      <c r="B681" t="s">
        <v>7944</v>
      </c>
      <c r="C681" t="s">
        <v>6967</v>
      </c>
      <c r="D681" t="str" cm="1">
        <f t="array" ref="D681:E681">TRANSPOSE(_xlfn._xlws.FILTER('Controllable Asset Registry'!$A$4:$A$777,IFERROR('Controllable Asset Registry'!$E$4:$E$777=A681,FALSE),"No Equipment in entity"))</f>
        <v>VAV0391</v>
      </c>
      <c r="E681" t="str">
        <v>VAV0392</v>
      </c>
    </row>
    <row r="682" spans="1:5" x14ac:dyDescent="0.3">
      <c r="A682" t="s">
        <v>6119</v>
      </c>
      <c r="B682" t="s">
        <v>7945</v>
      </c>
      <c r="C682" t="s">
        <v>6936</v>
      </c>
      <c r="D682" t="str" cm="1">
        <f t="array" ref="D682">TRANSPOSE(_xlfn._xlws.FILTER('Controllable Asset Registry'!$A$4:$A$777,IFERROR('Controllable Asset Registry'!$E$4:$E$777=A682,FALSE),"No Equipment in entity"))</f>
        <v>FCU0107</v>
      </c>
    </row>
    <row r="683" spans="1:5" x14ac:dyDescent="0.3">
      <c r="A683" t="s">
        <v>6464</v>
      </c>
      <c r="B683" t="s">
        <v>7946</v>
      </c>
      <c r="C683" t="s">
        <v>7200</v>
      </c>
      <c r="D683" t="str" cm="1">
        <f t="array" ref="D683">TRANSPOSE(_xlfn._xlws.FILTER('Controllable Asset Registry'!$A$4:$A$777,IFERROR('Controllable Asset Registry'!$E$4:$E$777=A683,FALSE),"No Equipment in entity"))</f>
        <v>VAV0396</v>
      </c>
    </row>
    <row r="684" spans="1:5" x14ac:dyDescent="0.3">
      <c r="A684" t="s">
        <v>6463</v>
      </c>
      <c r="B684" t="s">
        <v>7947</v>
      </c>
      <c r="C684" t="s">
        <v>7200</v>
      </c>
      <c r="D684" t="str" cm="1">
        <f t="array" ref="D684">TRANSPOSE(_xlfn._xlws.FILTER('Controllable Asset Registry'!$A$4:$A$777,IFERROR('Controllable Asset Registry'!$E$4:$E$777=A684,FALSE),"No Equipment in entity"))</f>
        <v>VAV0395</v>
      </c>
    </row>
    <row r="685" spans="1:5" x14ac:dyDescent="0.3">
      <c r="A685" t="s">
        <v>6120</v>
      </c>
      <c r="B685" t="s">
        <v>7948</v>
      </c>
      <c r="C685" t="s">
        <v>6936</v>
      </c>
      <c r="D685" t="str" cm="1">
        <f t="array" ref="D685">TRANSPOSE(_xlfn._xlws.FILTER('Controllable Asset Registry'!$A$4:$A$777,IFERROR('Controllable Asset Registry'!$E$4:$E$777=A685,FALSE),"No Equipment in entity"))</f>
        <v>FCU0108</v>
      </c>
    </row>
    <row r="686" spans="1:5" x14ac:dyDescent="0.3">
      <c r="A686" t="s">
        <v>6462</v>
      </c>
      <c r="B686" t="s">
        <v>7949</v>
      </c>
      <c r="C686" t="s">
        <v>7200</v>
      </c>
      <c r="D686" t="str" cm="1">
        <f t="array" ref="D686">TRANSPOSE(_xlfn._xlws.FILTER('Controllable Asset Registry'!$A$4:$A$777,IFERROR('Controllable Asset Registry'!$E$4:$E$777=A686,FALSE),"No Equipment in entity"))</f>
        <v>VAV0394</v>
      </c>
    </row>
    <row r="687" spans="1:5" x14ac:dyDescent="0.3">
      <c r="A687" t="s">
        <v>6461</v>
      </c>
      <c r="B687" t="s">
        <v>7950</v>
      </c>
      <c r="C687" t="s">
        <v>5992</v>
      </c>
      <c r="D687" t="str" cm="1">
        <f t="array" ref="D687">TRANSPOSE(_xlfn._xlws.FILTER('Controllable Asset Registry'!$A$4:$A$777,IFERROR('Controllable Asset Registry'!$E$4:$E$777=A687,FALSE),"No Equipment in entity"))</f>
        <v>VAV0393</v>
      </c>
    </row>
    <row r="688" spans="1:5" x14ac:dyDescent="0.3">
      <c r="A688" t="s">
        <v>7203</v>
      </c>
      <c r="B688" t="s">
        <v>7951</v>
      </c>
      <c r="C688" t="s">
        <v>6807</v>
      </c>
      <c r="D688" t="str" cm="1">
        <f t="array" ref="D688">TRANSPOSE(_xlfn._xlws.FILTER('Controllable Asset Registry'!$A$4:$A$777,IFERROR('Controllable Asset Registry'!$E$4:$E$777=A688,FALSE),"No Equipment in entity"))</f>
        <v>No Equipment in entity</v>
      </c>
    </row>
    <row r="689" spans="1:5" x14ac:dyDescent="0.3">
      <c r="A689" t="s">
        <v>7204</v>
      </c>
      <c r="B689" t="s">
        <v>7952</v>
      </c>
      <c r="C689" t="s">
        <v>6965</v>
      </c>
      <c r="D689" t="str" cm="1">
        <f t="array" ref="D689">TRANSPOSE(_xlfn._xlws.FILTER('Controllable Asset Registry'!$A$4:$A$777,IFERROR('Controllable Asset Registry'!$E$4:$E$777=A689,FALSE),"No Equipment in entity"))</f>
        <v>No Equipment in entity</v>
      </c>
    </row>
    <row r="690" spans="1:5" x14ac:dyDescent="0.3">
      <c r="A690" t="s">
        <v>7205</v>
      </c>
      <c r="B690" t="s">
        <v>7953</v>
      </c>
      <c r="C690" t="s">
        <v>6714</v>
      </c>
      <c r="D690" t="str" cm="1">
        <f t="array" ref="D690">TRANSPOSE(_xlfn._xlws.FILTER('Controllable Asset Registry'!$A$4:$A$777,IFERROR('Controllable Asset Registry'!$E$4:$E$777=A690,FALSE),"No Equipment in entity"))</f>
        <v>No Equipment in entity</v>
      </c>
    </row>
    <row r="691" spans="1:5" x14ac:dyDescent="0.3">
      <c r="A691" t="s">
        <v>7206</v>
      </c>
      <c r="B691" t="s">
        <v>7954</v>
      </c>
      <c r="C691" t="s">
        <v>5858</v>
      </c>
      <c r="D691" t="str" cm="1">
        <f t="array" ref="D691">TRANSPOSE(_xlfn._xlws.FILTER('Controllable Asset Registry'!$A$4:$A$777,IFERROR('Controllable Asset Registry'!$E$4:$E$777=A691,FALSE),"No Equipment in entity"))</f>
        <v>No Equipment in entity</v>
      </c>
    </row>
    <row r="692" spans="1:5" x14ac:dyDescent="0.3">
      <c r="A692" t="s">
        <v>6481</v>
      </c>
      <c r="B692" t="s">
        <v>7955</v>
      </c>
      <c r="C692" t="s">
        <v>7207</v>
      </c>
      <c r="D692" t="str" cm="1">
        <f t="array" ref="D692">TRANSPOSE(_xlfn._xlws.FILTER('Controllable Asset Registry'!$A$4:$A$777,IFERROR('Controllable Asset Registry'!$E$4:$E$777=A692,FALSE),"No Equipment in entity"))</f>
        <v>VAV0415</v>
      </c>
    </row>
    <row r="693" spans="1:5" x14ac:dyDescent="0.3">
      <c r="A693" t="s">
        <v>6482</v>
      </c>
      <c r="B693" t="s">
        <v>7956</v>
      </c>
      <c r="C693" t="s">
        <v>7208</v>
      </c>
      <c r="D693" t="str" cm="1">
        <f t="array" ref="D693">TRANSPOSE(_xlfn._xlws.FILTER('Controllable Asset Registry'!$A$4:$A$777,IFERROR('Controllable Asset Registry'!$E$4:$E$777=A693,FALSE),"No Equipment in entity"))</f>
        <v>VAV0416</v>
      </c>
    </row>
    <row r="694" spans="1:5" x14ac:dyDescent="0.3">
      <c r="A694" t="s">
        <v>7209</v>
      </c>
      <c r="B694" t="s">
        <v>7957</v>
      </c>
      <c r="C694" t="s">
        <v>6807</v>
      </c>
      <c r="D694" t="str" cm="1">
        <f t="array" ref="D694">TRANSPOSE(_xlfn._xlws.FILTER('Controllable Asset Registry'!$A$4:$A$777,IFERROR('Controllable Asset Registry'!$E$4:$E$777=A694,FALSE),"No Equipment in entity"))</f>
        <v>No Equipment in entity</v>
      </c>
    </row>
    <row r="695" spans="1:5" x14ac:dyDescent="0.3">
      <c r="A695" t="s">
        <v>6483</v>
      </c>
      <c r="B695" t="s">
        <v>7958</v>
      </c>
      <c r="C695" t="s">
        <v>7208</v>
      </c>
      <c r="D695" t="str" cm="1">
        <f t="array" ref="D695:E695">TRANSPOSE(_xlfn._xlws.FILTER('Controllable Asset Registry'!$A$4:$A$777,IFERROR('Controllable Asset Registry'!$E$4:$E$777=A695,FALSE),"No Equipment in entity"))</f>
        <v>VAV0417</v>
      </c>
      <c r="E695" t="str">
        <v>VAV0418</v>
      </c>
    </row>
    <row r="696" spans="1:5" x14ac:dyDescent="0.3">
      <c r="A696" t="s">
        <v>6484</v>
      </c>
      <c r="B696" t="s">
        <v>7959</v>
      </c>
      <c r="C696" t="s">
        <v>7208</v>
      </c>
      <c r="D696" t="str" cm="1">
        <f t="array" ref="D696:E696">TRANSPOSE(_xlfn._xlws.FILTER('Controllable Asset Registry'!$A$4:$A$777,IFERROR('Controllable Asset Registry'!$E$4:$E$777=A696,FALSE),"No Equipment in entity"))</f>
        <v>VAV0419</v>
      </c>
      <c r="E696" t="str">
        <v>VAV0420</v>
      </c>
    </row>
    <row r="697" spans="1:5" x14ac:dyDescent="0.3">
      <c r="A697" t="s">
        <v>7210</v>
      </c>
      <c r="B697" t="s">
        <v>7960</v>
      </c>
      <c r="C697" t="s">
        <v>7208</v>
      </c>
      <c r="D697" t="str" cm="1">
        <f t="array" ref="D697">TRANSPOSE(_xlfn._xlws.FILTER('Controllable Asset Registry'!$A$4:$A$777,IFERROR('Controllable Asset Registry'!$E$4:$E$777=A697,FALSE),"No Equipment in entity"))</f>
        <v>No Equipment in entity</v>
      </c>
    </row>
    <row r="698" spans="1:5" x14ac:dyDescent="0.3">
      <c r="A698" t="s">
        <v>7211</v>
      </c>
      <c r="B698" t="s">
        <v>7961</v>
      </c>
      <c r="C698" t="s">
        <v>7208</v>
      </c>
      <c r="D698" t="str" cm="1">
        <f t="array" ref="D698">TRANSPOSE(_xlfn._xlws.FILTER('Controllable Asset Registry'!$A$4:$A$777,IFERROR('Controllable Asset Registry'!$E$4:$E$777=A698,FALSE),"No Equipment in entity"))</f>
        <v>No Equipment in entity</v>
      </c>
    </row>
    <row r="699" spans="1:5" x14ac:dyDescent="0.3">
      <c r="A699" t="s">
        <v>6485</v>
      </c>
      <c r="B699" t="s">
        <v>7962</v>
      </c>
      <c r="C699" t="s">
        <v>7212</v>
      </c>
      <c r="D699" t="str" cm="1">
        <f t="array" ref="D699">TRANSPOSE(_xlfn._xlws.FILTER('Controllable Asset Registry'!$A$4:$A$777,IFERROR('Controllable Asset Registry'!$E$4:$E$777=A699,FALSE),"No Equipment in entity"))</f>
        <v>VAV0421</v>
      </c>
    </row>
    <row r="700" spans="1:5" x14ac:dyDescent="0.3">
      <c r="A700" t="s">
        <v>6487</v>
      </c>
      <c r="B700" t="s">
        <v>7963</v>
      </c>
      <c r="C700" t="s">
        <v>7213</v>
      </c>
      <c r="D700" t="str" cm="1">
        <f t="array" ref="D700">TRANSPOSE(_xlfn._xlws.FILTER('Controllable Asset Registry'!$A$4:$A$777,IFERROR('Controllable Asset Registry'!$E$4:$E$777=A700,FALSE),"No Equipment in entity"))</f>
        <v>VAV0423</v>
      </c>
    </row>
    <row r="701" spans="1:5" x14ac:dyDescent="0.3">
      <c r="A701" t="s">
        <v>6488</v>
      </c>
      <c r="B701" t="s">
        <v>7964</v>
      </c>
      <c r="C701" t="s">
        <v>7213</v>
      </c>
      <c r="D701" t="str" cm="1">
        <f t="array" ref="D701">TRANSPOSE(_xlfn._xlws.FILTER('Controllable Asset Registry'!$A$4:$A$777,IFERROR('Controllable Asset Registry'!$E$4:$E$777=A701,FALSE),"No Equipment in entity"))</f>
        <v>VAV0424</v>
      </c>
    </row>
    <row r="702" spans="1:5" x14ac:dyDescent="0.3">
      <c r="A702" t="s">
        <v>6489</v>
      </c>
      <c r="B702" t="s">
        <v>7965</v>
      </c>
      <c r="C702" t="s">
        <v>7214</v>
      </c>
      <c r="D702" t="str" cm="1">
        <f t="array" ref="D702">TRANSPOSE(_xlfn._xlws.FILTER('Controllable Asset Registry'!$A$4:$A$777,IFERROR('Controllable Asset Registry'!$E$4:$E$777=A702,FALSE),"No Equipment in entity"))</f>
        <v>VAV0425</v>
      </c>
    </row>
    <row r="703" spans="1:5" x14ac:dyDescent="0.3">
      <c r="A703" t="s">
        <v>6490</v>
      </c>
      <c r="B703" t="s">
        <v>7966</v>
      </c>
      <c r="C703" t="s">
        <v>7215</v>
      </c>
      <c r="D703" t="str" cm="1">
        <f t="array" ref="D703">TRANSPOSE(_xlfn._xlws.FILTER('Controllable Asset Registry'!$A$4:$A$777,IFERROR('Controllable Asset Registry'!$E$4:$E$777=A703,FALSE),"No Equipment in entity"))</f>
        <v>VAV0426</v>
      </c>
    </row>
    <row r="704" spans="1:5" x14ac:dyDescent="0.3">
      <c r="A704" t="s">
        <v>6491</v>
      </c>
      <c r="B704" t="s">
        <v>7967</v>
      </c>
      <c r="C704" t="s">
        <v>7216</v>
      </c>
      <c r="D704" t="str" cm="1">
        <f t="array" ref="D704">TRANSPOSE(_xlfn._xlws.FILTER('Controllable Asset Registry'!$A$4:$A$777,IFERROR('Controllable Asset Registry'!$E$4:$E$777=A704,FALSE),"No Equipment in entity"))</f>
        <v>VAV0427</v>
      </c>
    </row>
    <row r="705" spans="1:5" x14ac:dyDescent="0.3">
      <c r="A705" t="s">
        <v>6492</v>
      </c>
      <c r="B705" t="s">
        <v>7968</v>
      </c>
      <c r="C705" t="s">
        <v>7217</v>
      </c>
      <c r="D705" t="str" cm="1">
        <f t="array" ref="D705">TRANSPOSE(_xlfn._xlws.FILTER('Controllable Asset Registry'!$A$4:$A$777,IFERROR('Controllable Asset Registry'!$E$4:$E$777=A705,FALSE),"No Equipment in entity"))</f>
        <v>VAV0428</v>
      </c>
    </row>
    <row r="706" spans="1:5" x14ac:dyDescent="0.3">
      <c r="A706" t="s">
        <v>6493</v>
      </c>
      <c r="B706" t="s">
        <v>7969</v>
      </c>
      <c r="C706" t="s">
        <v>7218</v>
      </c>
      <c r="D706" t="str" cm="1">
        <f t="array" ref="D706">TRANSPOSE(_xlfn._xlws.FILTER('Controllable Asset Registry'!$A$4:$A$777,IFERROR('Controllable Asset Registry'!$E$4:$E$777=A706,FALSE),"No Equipment in entity"))</f>
        <v>VAV0429</v>
      </c>
    </row>
    <row r="707" spans="1:5" x14ac:dyDescent="0.3">
      <c r="A707" t="s">
        <v>7219</v>
      </c>
      <c r="B707" t="s">
        <v>7970</v>
      </c>
      <c r="C707" t="s">
        <v>6728</v>
      </c>
      <c r="D707" t="str" cm="1">
        <f t="array" ref="D707">TRANSPOSE(_xlfn._xlws.FILTER('Controllable Asset Registry'!$A$4:$A$777,IFERROR('Controllable Asset Registry'!$E$4:$E$777=A707,FALSE),"No Equipment in entity"))</f>
        <v>No Equipment in entity</v>
      </c>
    </row>
    <row r="708" spans="1:5" x14ac:dyDescent="0.3">
      <c r="A708" t="s">
        <v>7220</v>
      </c>
      <c r="B708" t="s">
        <v>7971</v>
      </c>
      <c r="C708" t="s">
        <v>6725</v>
      </c>
      <c r="D708" t="str" cm="1">
        <f t="array" ref="D708">TRANSPOSE(_xlfn._xlws.FILTER('Controllable Asset Registry'!$A$4:$A$777,IFERROR('Controllable Asset Registry'!$E$4:$E$777=A708,FALSE),"No Equipment in entity"))</f>
        <v>No Equipment in entity</v>
      </c>
    </row>
    <row r="709" spans="1:5" x14ac:dyDescent="0.3">
      <c r="A709" t="s">
        <v>7221</v>
      </c>
      <c r="B709" t="s">
        <v>7972</v>
      </c>
      <c r="C709" t="s">
        <v>6725</v>
      </c>
      <c r="D709" t="str" cm="1">
        <f t="array" ref="D709">TRANSPOSE(_xlfn._xlws.FILTER('Controllable Asset Registry'!$A$4:$A$777,IFERROR('Controllable Asset Registry'!$E$4:$E$777=A709,FALSE),"No Equipment in entity"))</f>
        <v>No Equipment in entity</v>
      </c>
    </row>
    <row r="710" spans="1:5" x14ac:dyDescent="0.3">
      <c r="A710" t="s">
        <v>7222</v>
      </c>
      <c r="B710" t="s">
        <v>7973</v>
      </c>
      <c r="C710" t="s">
        <v>6728</v>
      </c>
      <c r="D710" t="str" cm="1">
        <f t="array" ref="D710">TRANSPOSE(_xlfn._xlws.FILTER('Controllable Asset Registry'!$A$4:$A$777,IFERROR('Controllable Asset Registry'!$E$4:$E$777=A710,FALSE),"No Equipment in entity"))</f>
        <v>No Equipment in entity</v>
      </c>
    </row>
    <row r="711" spans="1:5" x14ac:dyDescent="0.3">
      <c r="A711" t="s">
        <v>7223</v>
      </c>
      <c r="B711" t="s">
        <v>7974</v>
      </c>
      <c r="C711" t="s">
        <v>6725</v>
      </c>
      <c r="D711" t="str" cm="1">
        <f t="array" ref="D711">TRANSPOSE(_xlfn._xlws.FILTER('Controllable Asset Registry'!$A$4:$A$777,IFERROR('Controllable Asset Registry'!$E$4:$E$777=A711,FALSE),"No Equipment in entity"))</f>
        <v>No Equipment in entity</v>
      </c>
    </row>
    <row r="712" spans="1:5" x14ac:dyDescent="0.3">
      <c r="A712" t="s">
        <v>7224</v>
      </c>
      <c r="B712" t="s">
        <v>7975</v>
      </c>
      <c r="C712" t="s">
        <v>6728</v>
      </c>
      <c r="D712" t="str" cm="1">
        <f t="array" ref="D712">TRANSPOSE(_xlfn._xlws.FILTER('Controllable Asset Registry'!$A$4:$A$777,IFERROR('Controllable Asset Registry'!$E$4:$E$777=A712,FALSE),"No Equipment in entity"))</f>
        <v>No Equipment in entity</v>
      </c>
    </row>
    <row r="713" spans="1:5" x14ac:dyDescent="0.3">
      <c r="A713" t="s">
        <v>7225</v>
      </c>
      <c r="B713" t="s">
        <v>7976</v>
      </c>
      <c r="C713" t="s">
        <v>5861</v>
      </c>
      <c r="D713" t="str" cm="1">
        <f t="array" ref="D713">TRANSPOSE(_xlfn._xlws.FILTER('Controllable Asset Registry'!$A$4:$A$777,IFERROR('Controllable Asset Registry'!$E$4:$E$777=A713,FALSE),"No Equipment in entity"))</f>
        <v>No Equipment in entity</v>
      </c>
    </row>
    <row r="714" spans="1:5" x14ac:dyDescent="0.3">
      <c r="A714" t="s">
        <v>7226</v>
      </c>
      <c r="B714" t="s">
        <v>7977</v>
      </c>
      <c r="C714" t="s">
        <v>5861</v>
      </c>
      <c r="D714" t="str" cm="1">
        <f t="array" ref="D714">TRANSPOSE(_xlfn._xlws.FILTER('Controllable Asset Registry'!$A$4:$A$777,IFERROR('Controllable Asset Registry'!$E$4:$E$777=A714,FALSE),"No Equipment in entity"))</f>
        <v>No Equipment in entity</v>
      </c>
    </row>
    <row r="715" spans="1:5" x14ac:dyDescent="0.3">
      <c r="A715" t="s">
        <v>7227</v>
      </c>
      <c r="B715" t="s">
        <v>7978</v>
      </c>
      <c r="C715" t="s">
        <v>5861</v>
      </c>
      <c r="D715" t="str" cm="1">
        <f t="array" ref="D715">TRANSPOSE(_xlfn._xlws.FILTER('Controllable Asset Registry'!$A$4:$A$777,IFERROR('Controllable Asset Registry'!$E$4:$E$777=A715,FALSE),"No Equipment in entity"))</f>
        <v>No Equipment in entity</v>
      </c>
    </row>
    <row r="716" spans="1:5" x14ac:dyDescent="0.3">
      <c r="A716" t="s">
        <v>7228</v>
      </c>
      <c r="B716" t="s">
        <v>7979</v>
      </c>
      <c r="C716" t="s">
        <v>5858</v>
      </c>
      <c r="D716" t="str" cm="1">
        <f t="array" ref="D716">TRANSPOSE(_xlfn._xlws.FILTER('Controllable Asset Registry'!$A$4:$A$777,IFERROR('Controllable Asset Registry'!$E$4:$E$777=A716,FALSE),"No Equipment in entity"))</f>
        <v>No Equipment in entity</v>
      </c>
    </row>
    <row r="717" spans="1:5" x14ac:dyDescent="0.3">
      <c r="A717" t="s">
        <v>6118</v>
      </c>
      <c r="B717" t="s">
        <v>7980</v>
      </c>
      <c r="C717" t="s">
        <v>6734</v>
      </c>
      <c r="D717" t="str" cm="1">
        <f t="array" ref="D717">TRANSPOSE(_xlfn._xlws.FILTER('Controllable Asset Registry'!$A$4:$A$777,IFERROR('Controllable Asset Registry'!$E$4:$E$777=A717,FALSE),"No Equipment in entity"))</f>
        <v>FCU0106</v>
      </c>
    </row>
    <row r="718" spans="1:5" x14ac:dyDescent="0.3">
      <c r="A718" t="s">
        <v>6117</v>
      </c>
      <c r="B718" t="s">
        <v>7981</v>
      </c>
      <c r="C718" t="s">
        <v>6734</v>
      </c>
      <c r="D718" t="str" cm="1">
        <f t="array" ref="D718:E718">TRANSPOSE(_xlfn._xlws.FILTER('Controllable Asset Registry'!$A$4:$A$777,IFERROR('Controllable Asset Registry'!$E$4:$E$777=A718,FALSE),"No Equipment in entity"))</f>
        <v>FCU0104</v>
      </c>
      <c r="E718" t="str">
        <v>FCU0105</v>
      </c>
    </row>
    <row r="719" spans="1:5" x14ac:dyDescent="0.3">
      <c r="A719" t="s">
        <v>7229</v>
      </c>
      <c r="B719" t="s">
        <v>7982</v>
      </c>
      <c r="C719" t="s">
        <v>7119</v>
      </c>
      <c r="D719" t="str" cm="1">
        <f t="array" ref="D719">TRANSPOSE(_xlfn._xlws.FILTER('Controllable Asset Registry'!$A$4:$A$777,IFERROR('Controllable Asset Registry'!$E$4:$E$777=A719,FALSE),"No Equipment in entity"))</f>
        <v>No Equipment in entity</v>
      </c>
    </row>
    <row r="720" spans="1:5" x14ac:dyDescent="0.3">
      <c r="A720" t="s">
        <v>7230</v>
      </c>
      <c r="B720" t="s">
        <v>7983</v>
      </c>
      <c r="C720" t="s">
        <v>6879</v>
      </c>
      <c r="D720" t="str" cm="1">
        <f t="array" ref="D720">TRANSPOSE(_xlfn._xlws.FILTER('Controllable Asset Registry'!$A$4:$A$777,IFERROR('Controllable Asset Registry'!$E$4:$E$777=A720,FALSE),"No Equipment in entity"))</f>
        <v>No Equipment in entity</v>
      </c>
    </row>
    <row r="721" spans="1:8" x14ac:dyDescent="0.3">
      <c r="A721" t="s">
        <v>7231</v>
      </c>
      <c r="B721" t="s">
        <v>7984</v>
      </c>
      <c r="C721" t="s">
        <v>5858</v>
      </c>
      <c r="D721" t="str" cm="1">
        <f t="array" ref="D721">TRANSPOSE(_xlfn._xlws.FILTER('Controllable Asset Registry'!$A$4:$A$777,IFERROR('Controllable Asset Registry'!$E$4:$E$777=A721,FALSE),"No Equipment in entity"))</f>
        <v>No Equipment in entity</v>
      </c>
    </row>
    <row r="722" spans="1:8" x14ac:dyDescent="0.3">
      <c r="A722" t="s">
        <v>6459</v>
      </c>
      <c r="B722" t="s">
        <v>7985</v>
      </c>
      <c r="C722" t="s">
        <v>7033</v>
      </c>
      <c r="D722" t="str" cm="1">
        <f t="array" ref="D722:F722">TRANSPOSE(_xlfn._xlws.FILTER('Controllable Asset Registry'!$A$4:$A$777,IFERROR('Controllable Asset Registry'!$E$4:$E$777=A722,FALSE),"No Equipment in entity"))</f>
        <v>VAV0389</v>
      </c>
      <c r="E722" t="str">
        <v>VAV0390</v>
      </c>
      <c r="F722" t="str">
        <v>VAV0399</v>
      </c>
    </row>
    <row r="723" spans="1:8" x14ac:dyDescent="0.3">
      <c r="A723" t="s">
        <v>6114</v>
      </c>
      <c r="B723" t="s">
        <v>7986</v>
      </c>
      <c r="C723" t="s">
        <v>7122</v>
      </c>
      <c r="D723" t="str" cm="1">
        <f t="array" ref="D723:F723">TRANSPOSE(_xlfn._xlws.FILTER('Controllable Asset Registry'!$A$4:$A$777,IFERROR('Controllable Asset Registry'!$E$4:$E$777=A723,FALSE),"No Equipment in entity"))</f>
        <v>FCU0099</v>
      </c>
      <c r="E723" t="str">
        <v>FCU0100</v>
      </c>
      <c r="F723" t="str">
        <v>FCU0101</v>
      </c>
    </row>
    <row r="724" spans="1:8" x14ac:dyDescent="0.3">
      <c r="A724" t="s">
        <v>6486</v>
      </c>
      <c r="B724" t="s">
        <v>7987</v>
      </c>
      <c r="C724" t="s">
        <v>7074</v>
      </c>
      <c r="D724" t="str" cm="1">
        <f t="array" ref="D724">TRANSPOSE(_xlfn._xlws.FILTER('Controllable Asset Registry'!$A$4:$A$777,IFERROR('Controllable Asset Registry'!$E$4:$E$777=A724,FALSE),"No Equipment in entity"))</f>
        <v>VAV0422</v>
      </c>
    </row>
    <row r="725" spans="1:8" x14ac:dyDescent="0.3">
      <c r="A725" t="s">
        <v>8381</v>
      </c>
      <c r="B725" t="s">
        <v>8382</v>
      </c>
      <c r="C725" t="s">
        <v>6893</v>
      </c>
      <c r="D725" t="str" cm="1">
        <f t="array" ref="D725">TRANSPOSE(_xlfn._xlws.FILTER('Controllable Asset Registry'!$A$4:$A$777,IFERROR('Controllable Asset Registry'!$E$4:$E$777=A725,FALSE),"No Equipment in entity"))</f>
        <v>No Equipment in entity</v>
      </c>
    </row>
    <row r="726" spans="1:8" x14ac:dyDescent="0.3">
      <c r="A726" t="s">
        <v>8383</v>
      </c>
      <c r="B726" t="s">
        <v>8384</v>
      </c>
      <c r="C726" t="s">
        <v>6896</v>
      </c>
      <c r="D726" t="str" cm="1">
        <f t="array" ref="D726">TRANSPOSE(_xlfn._xlws.FILTER('Controllable Asset Registry'!$A$4:$A$777,IFERROR('Controllable Asset Registry'!$E$4:$E$777=A726,FALSE),"No Equipment in entity"))</f>
        <v>No Equipment in entity</v>
      </c>
    </row>
    <row r="727" spans="1:8" x14ac:dyDescent="0.3">
      <c r="A727" t="s">
        <v>8385</v>
      </c>
      <c r="B727" t="s">
        <v>8386</v>
      </c>
      <c r="C727" t="s">
        <v>6899</v>
      </c>
      <c r="D727" t="str" cm="1">
        <f t="array" ref="D727">TRANSPOSE(_xlfn._xlws.FILTER('Controllable Asset Registry'!$A$4:$A$777,IFERROR('Controllable Asset Registry'!$E$4:$E$777=A727,FALSE),"No Equipment in entity"))</f>
        <v>No Equipment in entity</v>
      </c>
    </row>
    <row r="728" spans="1:8" x14ac:dyDescent="0.3">
      <c r="A728" t="s">
        <v>8387</v>
      </c>
      <c r="B728" t="s">
        <v>8388</v>
      </c>
      <c r="C728" t="s">
        <v>6763</v>
      </c>
      <c r="D728" t="str" cm="1">
        <f t="array" ref="D728">TRANSPOSE(_xlfn._xlws.FILTER('Controllable Asset Registry'!$A$4:$A$777,IFERROR('Controllable Asset Registry'!$E$4:$E$777=A728,FALSE),"No Equipment in entity"))</f>
        <v>No Equipment in entity</v>
      </c>
    </row>
    <row r="729" spans="1:8" x14ac:dyDescent="0.3">
      <c r="A729" t="s">
        <v>8389</v>
      </c>
      <c r="B729" t="s">
        <v>8390</v>
      </c>
      <c r="C729" t="s">
        <v>6766</v>
      </c>
      <c r="D729" t="str" cm="1">
        <f t="array" ref="D729">TRANSPOSE(_xlfn._xlws.FILTER('Controllable Asset Registry'!$A$4:$A$777,IFERROR('Controllable Asset Registry'!$E$4:$E$777=A729,FALSE),"No Equipment in entity"))</f>
        <v>No Equipment in entity</v>
      </c>
    </row>
    <row r="730" spans="1:8" x14ac:dyDescent="0.3">
      <c r="A730" t="s">
        <v>8391</v>
      </c>
      <c r="B730" t="s">
        <v>8392</v>
      </c>
      <c r="C730" t="s">
        <v>6769</v>
      </c>
      <c r="D730" t="str" cm="1">
        <f t="array" ref="D730">TRANSPOSE(_xlfn._xlws.FILTER('Controllable Asset Registry'!$A$4:$A$777,IFERROR('Controllable Asset Registry'!$E$4:$E$777=A730,FALSE),"No Equipment in entity"))</f>
        <v>No Equipment in entity</v>
      </c>
    </row>
    <row r="731" spans="1:8" x14ac:dyDescent="0.3">
      <c r="A731" t="s">
        <v>8393</v>
      </c>
      <c r="B731" t="s">
        <v>8394</v>
      </c>
      <c r="C731" t="s">
        <v>6908</v>
      </c>
      <c r="D731" t="str" cm="1">
        <f t="array" ref="D731">TRANSPOSE(_xlfn._xlws.FILTER('Controllable Asset Registry'!$A$4:$A$777,IFERROR('Controllable Asset Registry'!$E$4:$E$777=A731,FALSE),"No Equipment in entity"))</f>
        <v>No Equipment in entity</v>
      </c>
    </row>
    <row r="732" spans="1:8" x14ac:dyDescent="0.3">
      <c r="A732" t="s">
        <v>8395</v>
      </c>
      <c r="B732" t="s">
        <v>8396</v>
      </c>
      <c r="C732" t="s">
        <v>6774</v>
      </c>
      <c r="D732" t="str" cm="1">
        <f t="array" ref="D732">TRANSPOSE(_xlfn._xlws.FILTER('Controllable Asset Registry'!$A$4:$A$777,IFERROR('Controllable Asset Registry'!$E$4:$E$777=A732,FALSE),"No Equipment in entity"))</f>
        <v>No Equipment in entity</v>
      </c>
    </row>
    <row r="733" spans="1:8" x14ac:dyDescent="0.3">
      <c r="A733" t="s">
        <v>8397</v>
      </c>
      <c r="B733" t="s">
        <v>8398</v>
      </c>
      <c r="C733" t="s">
        <v>6776</v>
      </c>
      <c r="D733" t="str" cm="1">
        <f t="array" ref="D733">TRANSPOSE(_xlfn._xlws.FILTER('Controllable Asset Registry'!$A$4:$A$777,IFERROR('Controllable Asset Registry'!$E$4:$E$777=A733,FALSE),"No Equipment in entity"))</f>
        <v>No Equipment in entity</v>
      </c>
    </row>
    <row r="734" spans="1:8" x14ac:dyDescent="0.3">
      <c r="A734" t="s">
        <v>8399</v>
      </c>
      <c r="B734" t="s">
        <v>8400</v>
      </c>
      <c r="C734" t="s">
        <v>6915</v>
      </c>
      <c r="D734" t="str" cm="1">
        <f t="array" ref="D734">TRANSPOSE(_xlfn._xlws.FILTER('Controllable Asset Registry'!$A$4:$A$777,IFERROR('Controllable Asset Registry'!$E$4:$E$777=A734,FALSE),"No Equipment in entity"))</f>
        <v>No Equipment in entity</v>
      </c>
    </row>
    <row r="735" spans="1:8" x14ac:dyDescent="0.3">
      <c r="A735" t="s">
        <v>8401</v>
      </c>
      <c r="B735" t="s">
        <v>8402</v>
      </c>
      <c r="C735" t="s">
        <v>6779</v>
      </c>
      <c r="D735" t="str" cm="1">
        <f t="array" ref="D735">TRANSPOSE(_xlfn._xlws.FILTER('Controllable Asset Registry'!$A$4:$A$777,IFERROR('Controllable Asset Registry'!$E$4:$E$777=A735,FALSE),"No Equipment in entity"))</f>
        <v>No Equipment in entity</v>
      </c>
    </row>
    <row r="736" spans="1:8" x14ac:dyDescent="0.3">
      <c r="A736" t="s">
        <v>6495</v>
      </c>
      <c r="B736" t="s">
        <v>7988</v>
      </c>
      <c r="C736" t="s">
        <v>7232</v>
      </c>
      <c r="D736" t="str" cm="1">
        <f t="array" ref="D736:H736">TRANSPOSE(_xlfn._xlws.FILTER('Controllable Asset Registry'!$A$4:$A$777,IFERROR('Controllable Asset Registry'!$E$4:$E$777=A736,FALSE),"No Equipment in entity"))</f>
        <v>VAV0433</v>
      </c>
      <c r="E736" t="str">
        <v>VAV0434</v>
      </c>
      <c r="F736" t="str">
        <v>VAV0435</v>
      </c>
      <c r="G736" t="str">
        <v>VAV0436</v>
      </c>
      <c r="H736" t="str">
        <v>VAV0437</v>
      </c>
    </row>
    <row r="737" spans="1:8" x14ac:dyDescent="0.3">
      <c r="A737" t="s">
        <v>6496</v>
      </c>
      <c r="B737" t="s">
        <v>7989</v>
      </c>
      <c r="C737" t="s">
        <v>7233</v>
      </c>
      <c r="D737" t="str" cm="1">
        <f t="array" ref="D737">TRANSPOSE(_xlfn._xlws.FILTER('Controllable Asset Registry'!$A$4:$A$777,IFERROR('Controllable Asset Registry'!$E$4:$E$777=A737,FALSE),"No Equipment in entity"))</f>
        <v>VAV0438</v>
      </c>
    </row>
    <row r="738" spans="1:8" x14ac:dyDescent="0.3">
      <c r="A738" t="s">
        <v>7234</v>
      </c>
      <c r="B738" t="s">
        <v>7990</v>
      </c>
      <c r="C738" t="s">
        <v>6807</v>
      </c>
      <c r="D738" t="str" cm="1">
        <f t="array" ref="D738">TRANSPOSE(_xlfn._xlws.FILTER('Controllable Asset Registry'!$A$4:$A$777,IFERROR('Controllable Asset Registry'!$E$4:$E$777=A738,FALSE),"No Equipment in entity"))</f>
        <v>No Equipment in entity</v>
      </c>
    </row>
    <row r="739" spans="1:8" x14ac:dyDescent="0.3">
      <c r="A739" t="s">
        <v>7235</v>
      </c>
      <c r="B739" t="s">
        <v>7991</v>
      </c>
      <c r="C739" t="s">
        <v>7236</v>
      </c>
      <c r="D739" t="str" cm="1">
        <f t="array" ref="D739">TRANSPOSE(_xlfn._xlws.FILTER('Controllable Asset Registry'!$A$4:$A$777,IFERROR('Controllable Asset Registry'!$E$4:$E$777=A739,FALSE),"No Equipment in entity"))</f>
        <v>No Equipment in entity</v>
      </c>
    </row>
    <row r="740" spans="1:8" x14ac:dyDescent="0.3">
      <c r="A740" t="s">
        <v>7237</v>
      </c>
      <c r="B740" t="s">
        <v>7992</v>
      </c>
      <c r="C740" t="s">
        <v>6714</v>
      </c>
      <c r="D740" t="str" cm="1">
        <f t="array" ref="D740">TRANSPOSE(_xlfn._xlws.FILTER('Controllable Asset Registry'!$A$4:$A$777,IFERROR('Controllable Asset Registry'!$E$4:$E$777=A740,FALSE),"No Equipment in entity"))</f>
        <v>No Equipment in entity</v>
      </c>
    </row>
    <row r="741" spans="1:8" x14ac:dyDescent="0.3">
      <c r="A741" t="s">
        <v>7238</v>
      </c>
      <c r="B741" t="s">
        <v>7993</v>
      </c>
      <c r="C741" t="s">
        <v>5858</v>
      </c>
      <c r="D741" t="str" cm="1">
        <f t="array" ref="D741">TRANSPOSE(_xlfn._xlws.FILTER('Controllable Asset Registry'!$A$4:$A$777,IFERROR('Controllable Asset Registry'!$E$4:$E$777=A741,FALSE),"No Equipment in entity"))</f>
        <v>No Equipment in entity</v>
      </c>
    </row>
    <row r="742" spans="1:8" x14ac:dyDescent="0.3">
      <c r="A742" t="s">
        <v>6121</v>
      </c>
      <c r="B742" t="s">
        <v>7994</v>
      </c>
      <c r="C742" t="s">
        <v>6734</v>
      </c>
      <c r="D742" t="str" cm="1">
        <f t="array" ref="D742">TRANSPOSE(_xlfn._xlws.FILTER('Controllable Asset Registry'!$A$4:$A$777,IFERROR('Controllable Asset Registry'!$E$4:$E$777=A742,FALSE),"No Equipment in entity"))</f>
        <v>FCU0109</v>
      </c>
    </row>
    <row r="743" spans="1:8" x14ac:dyDescent="0.3">
      <c r="A743" t="s">
        <v>7239</v>
      </c>
      <c r="B743" t="s">
        <v>7995</v>
      </c>
      <c r="C743" t="s">
        <v>5858</v>
      </c>
      <c r="D743" t="str" cm="1">
        <f t="array" ref="D743">TRANSPOSE(_xlfn._xlws.FILTER('Controllable Asset Registry'!$A$4:$A$777,IFERROR('Controllable Asset Registry'!$E$4:$E$777=A743,FALSE),"No Equipment in entity"))</f>
        <v>No Equipment in entity</v>
      </c>
    </row>
    <row r="744" spans="1:8" x14ac:dyDescent="0.3">
      <c r="A744" t="s">
        <v>7240</v>
      </c>
      <c r="B744" t="s">
        <v>7996</v>
      </c>
      <c r="C744" t="s">
        <v>6876</v>
      </c>
      <c r="D744" t="str" cm="1">
        <f t="array" ref="D744">TRANSPOSE(_xlfn._xlws.FILTER('Controllable Asset Registry'!$A$4:$A$777,IFERROR('Controllable Asset Registry'!$E$4:$E$777=A744,FALSE),"No Equipment in entity"))</f>
        <v>No Equipment in entity</v>
      </c>
    </row>
    <row r="745" spans="1:8" x14ac:dyDescent="0.3">
      <c r="A745" t="s">
        <v>7241</v>
      </c>
      <c r="B745" t="s">
        <v>7997</v>
      </c>
      <c r="C745" t="s">
        <v>6879</v>
      </c>
      <c r="D745" t="str" cm="1">
        <f t="array" ref="D745">TRANSPOSE(_xlfn._xlws.FILTER('Controllable Asset Registry'!$A$4:$A$777,IFERROR('Controllable Asset Registry'!$E$4:$E$777=A745,FALSE),"No Equipment in entity"))</f>
        <v>No Equipment in entity</v>
      </c>
    </row>
    <row r="746" spans="1:8" x14ac:dyDescent="0.3">
      <c r="A746" t="s">
        <v>7242</v>
      </c>
      <c r="B746" t="s">
        <v>7998</v>
      </c>
      <c r="C746" t="s">
        <v>5858</v>
      </c>
      <c r="D746" t="str" cm="1">
        <f t="array" ref="D746">TRANSPOSE(_xlfn._xlws.FILTER('Controllable Asset Registry'!$A$4:$A$777,IFERROR('Controllable Asset Registry'!$E$4:$E$777=A746,FALSE),"No Equipment in entity"))</f>
        <v>No Equipment in entity</v>
      </c>
    </row>
    <row r="747" spans="1:8" x14ac:dyDescent="0.3">
      <c r="A747" t="s">
        <v>7243</v>
      </c>
      <c r="B747" t="s">
        <v>7999</v>
      </c>
      <c r="C747" t="s">
        <v>7122</v>
      </c>
      <c r="D747" t="str" cm="1">
        <f t="array" ref="D747">TRANSPOSE(_xlfn._xlws.FILTER('Controllable Asset Registry'!$A$4:$A$777,IFERROR('Controllable Asset Registry'!$E$4:$E$777=A747,FALSE),"No Equipment in entity"))</f>
        <v>No Equipment in entity</v>
      </c>
    </row>
    <row r="748" spans="1:8" x14ac:dyDescent="0.3">
      <c r="A748" t="s">
        <v>6497</v>
      </c>
      <c r="B748" t="s">
        <v>8000</v>
      </c>
      <c r="C748" t="s">
        <v>7244</v>
      </c>
      <c r="D748" t="str" cm="1">
        <f t="array" ref="D748:H748">TRANSPOSE(_xlfn._xlws.FILTER('Controllable Asset Registry'!$A$4:$A$777,IFERROR('Controllable Asset Registry'!$E$4:$E$777=A748,FALSE),"No Equipment in entity"))</f>
        <v>VAV0439</v>
      </c>
      <c r="E748" t="str">
        <v>VAV0440</v>
      </c>
      <c r="F748" t="str">
        <v>VAV0441</v>
      </c>
      <c r="G748" t="str">
        <v>VAV0442</v>
      </c>
      <c r="H748" t="str">
        <v>VAV0443</v>
      </c>
    </row>
    <row r="749" spans="1:8" x14ac:dyDescent="0.3">
      <c r="A749" t="s">
        <v>8403</v>
      </c>
      <c r="B749" t="s">
        <v>8404</v>
      </c>
      <c r="C749" t="s">
        <v>6893</v>
      </c>
      <c r="D749" t="str" cm="1">
        <f t="array" ref="D749">TRANSPOSE(_xlfn._xlws.FILTER('Controllable Asset Registry'!$A$4:$A$777,IFERROR('Controllable Asset Registry'!$E$4:$E$777=A749,FALSE),"No Equipment in entity"))</f>
        <v>No Equipment in entity</v>
      </c>
    </row>
    <row r="750" spans="1:8" x14ac:dyDescent="0.3">
      <c r="A750" t="s">
        <v>8405</v>
      </c>
      <c r="B750" t="s">
        <v>8406</v>
      </c>
      <c r="C750" t="s">
        <v>6896</v>
      </c>
      <c r="D750" t="str" cm="1">
        <f t="array" ref="D750">TRANSPOSE(_xlfn._xlws.FILTER('Controllable Asset Registry'!$A$4:$A$777,IFERROR('Controllable Asset Registry'!$E$4:$E$777=A750,FALSE),"No Equipment in entity"))</f>
        <v>No Equipment in entity</v>
      </c>
    </row>
    <row r="751" spans="1:8" x14ac:dyDescent="0.3">
      <c r="A751" t="s">
        <v>8407</v>
      </c>
      <c r="B751" t="s">
        <v>8408</v>
      </c>
      <c r="C751" t="s">
        <v>6899</v>
      </c>
      <c r="D751" t="str" cm="1">
        <f t="array" ref="D751">TRANSPOSE(_xlfn._xlws.FILTER('Controllable Asset Registry'!$A$4:$A$777,IFERROR('Controllable Asset Registry'!$E$4:$E$777=A751,FALSE),"No Equipment in entity"))</f>
        <v>No Equipment in entity</v>
      </c>
    </row>
    <row r="752" spans="1:8" x14ac:dyDescent="0.3">
      <c r="A752" t="s">
        <v>8409</v>
      </c>
      <c r="B752" t="s">
        <v>8410</v>
      </c>
      <c r="C752" t="s">
        <v>6763</v>
      </c>
      <c r="D752" t="str" cm="1">
        <f t="array" ref="D752">TRANSPOSE(_xlfn._xlws.FILTER('Controllable Asset Registry'!$A$4:$A$777,IFERROR('Controllable Asset Registry'!$E$4:$E$777=A752,FALSE),"No Equipment in entity"))</f>
        <v>No Equipment in entity</v>
      </c>
    </row>
    <row r="753" spans="1:4" x14ac:dyDescent="0.3">
      <c r="A753" t="s">
        <v>8411</v>
      </c>
      <c r="B753" t="s">
        <v>8412</v>
      </c>
      <c r="C753" t="s">
        <v>6766</v>
      </c>
      <c r="D753" t="str" cm="1">
        <f t="array" ref="D753">TRANSPOSE(_xlfn._xlws.FILTER('Controllable Asset Registry'!$A$4:$A$777,IFERROR('Controllable Asset Registry'!$E$4:$E$777=A753,FALSE),"No Equipment in entity"))</f>
        <v>No Equipment in entity</v>
      </c>
    </row>
    <row r="754" spans="1:4" x14ac:dyDescent="0.3">
      <c r="A754" t="s">
        <v>8413</v>
      </c>
      <c r="B754" t="s">
        <v>8414</v>
      </c>
      <c r="C754" t="s">
        <v>6769</v>
      </c>
      <c r="D754" t="str" cm="1">
        <f t="array" ref="D754">TRANSPOSE(_xlfn._xlws.FILTER('Controllable Asset Registry'!$A$4:$A$777,IFERROR('Controllable Asset Registry'!$E$4:$E$777=A754,FALSE),"No Equipment in entity"))</f>
        <v>No Equipment in entity</v>
      </c>
    </row>
    <row r="755" spans="1:4" x14ac:dyDescent="0.3">
      <c r="A755" t="s">
        <v>8415</v>
      </c>
      <c r="B755" t="s">
        <v>8416</v>
      </c>
      <c r="C755" t="s">
        <v>6908</v>
      </c>
      <c r="D755" t="str" cm="1">
        <f t="array" ref="D755">TRANSPOSE(_xlfn._xlws.FILTER('Controllable Asset Registry'!$A$4:$A$777,IFERROR('Controllable Asset Registry'!$E$4:$E$777=A755,FALSE),"No Equipment in entity"))</f>
        <v>No Equipment in entity</v>
      </c>
    </row>
    <row r="756" spans="1:4" x14ac:dyDescent="0.3">
      <c r="A756" t="s">
        <v>8417</v>
      </c>
      <c r="B756" t="s">
        <v>8418</v>
      </c>
      <c r="C756" t="s">
        <v>6774</v>
      </c>
      <c r="D756" t="str" cm="1">
        <f t="array" ref="D756">TRANSPOSE(_xlfn._xlws.FILTER('Controllable Asset Registry'!$A$4:$A$777,IFERROR('Controllable Asset Registry'!$E$4:$E$777=A756,FALSE),"No Equipment in entity"))</f>
        <v>No Equipment in entity</v>
      </c>
    </row>
    <row r="757" spans="1:4" x14ac:dyDescent="0.3">
      <c r="A757" t="s">
        <v>8419</v>
      </c>
      <c r="B757" t="s">
        <v>8420</v>
      </c>
      <c r="C757" t="s">
        <v>6776</v>
      </c>
      <c r="D757" t="str" cm="1">
        <f t="array" ref="D757">TRANSPOSE(_xlfn._xlws.FILTER('Controllable Asset Registry'!$A$4:$A$777,IFERROR('Controllable Asset Registry'!$E$4:$E$777=A757,FALSE),"No Equipment in entity"))</f>
        <v>No Equipment in entity</v>
      </c>
    </row>
    <row r="758" spans="1:4" x14ac:dyDescent="0.3">
      <c r="A758" t="s">
        <v>8421</v>
      </c>
      <c r="B758" t="s">
        <v>8422</v>
      </c>
      <c r="C758" t="s">
        <v>6915</v>
      </c>
      <c r="D758" t="str" cm="1">
        <f t="array" ref="D758">TRANSPOSE(_xlfn._xlws.FILTER('Controllable Asset Registry'!$A$4:$A$777,IFERROR('Controllable Asset Registry'!$E$4:$E$777=A758,FALSE),"No Equipment in entity"))</f>
        <v>No Equipment in entity</v>
      </c>
    </row>
    <row r="759" spans="1:4" x14ac:dyDescent="0.3">
      <c r="A759" t="s">
        <v>8423</v>
      </c>
      <c r="B759" t="s">
        <v>8424</v>
      </c>
      <c r="C759" t="s">
        <v>6779</v>
      </c>
      <c r="D759" t="str" cm="1">
        <f t="array" ref="D759">TRANSPOSE(_xlfn._xlws.FILTER('Controllable Asset Registry'!$A$4:$A$777,IFERROR('Controllable Asset Registry'!$E$4:$E$777=A759,FALSE),"No Equipment in entity"))</f>
        <v>No Equipment in entity</v>
      </c>
    </row>
    <row r="760" spans="1:4" x14ac:dyDescent="0.3">
      <c r="A760" t="s">
        <v>6530</v>
      </c>
      <c r="B760" t="s">
        <v>8001</v>
      </c>
      <c r="C760" t="s">
        <v>7245</v>
      </c>
      <c r="D760" t="str" cm="1">
        <f t="array" ref="D760">TRANSPOSE(_xlfn._xlws.FILTER('Controllable Asset Registry'!$A$4:$A$777,IFERROR('Controllable Asset Registry'!$E$4:$E$777=A760,FALSE),"No Equipment in entity"))</f>
        <v>VAV0479</v>
      </c>
    </row>
    <row r="761" spans="1:4" x14ac:dyDescent="0.3">
      <c r="A761" t="s">
        <v>6531</v>
      </c>
      <c r="B761" t="s">
        <v>8002</v>
      </c>
      <c r="C761" t="s">
        <v>7246</v>
      </c>
      <c r="D761" t="str" cm="1">
        <f t="array" ref="D761">TRANSPOSE(_xlfn._xlws.FILTER('Controllable Asset Registry'!$A$4:$A$777,IFERROR('Controllable Asset Registry'!$E$4:$E$777=A761,FALSE),"No Equipment in entity"))</f>
        <v>VAV0480</v>
      </c>
    </row>
    <row r="762" spans="1:4" x14ac:dyDescent="0.3">
      <c r="A762" t="s">
        <v>6532</v>
      </c>
      <c r="B762" t="s">
        <v>8003</v>
      </c>
      <c r="C762" t="s">
        <v>7247</v>
      </c>
      <c r="D762" t="str" cm="1">
        <f t="array" ref="D762">TRANSPOSE(_xlfn._xlws.FILTER('Controllable Asset Registry'!$A$4:$A$777,IFERROR('Controllable Asset Registry'!$E$4:$E$777=A762,FALSE),"No Equipment in entity"))</f>
        <v>VAV0481</v>
      </c>
    </row>
    <row r="763" spans="1:4" x14ac:dyDescent="0.3">
      <c r="A763" t="s">
        <v>6533</v>
      </c>
      <c r="B763" t="s">
        <v>8004</v>
      </c>
      <c r="C763" t="s">
        <v>7247</v>
      </c>
      <c r="D763" t="str" cm="1">
        <f t="array" ref="D763">TRANSPOSE(_xlfn._xlws.FILTER('Controllable Asset Registry'!$A$4:$A$777,IFERROR('Controllable Asset Registry'!$E$4:$E$777=A763,FALSE),"No Equipment in entity"))</f>
        <v>VAV0482</v>
      </c>
    </row>
    <row r="764" spans="1:4" x14ac:dyDescent="0.3">
      <c r="A764" t="s">
        <v>6534</v>
      </c>
      <c r="B764" t="s">
        <v>8005</v>
      </c>
      <c r="C764" t="s">
        <v>7247</v>
      </c>
      <c r="D764" t="str" cm="1">
        <f t="array" ref="D764">TRANSPOSE(_xlfn._xlws.FILTER('Controllable Asset Registry'!$A$4:$A$777,IFERROR('Controllable Asset Registry'!$E$4:$E$777=A764,FALSE),"No Equipment in entity"))</f>
        <v>VAV0483</v>
      </c>
    </row>
    <row r="765" spans="1:4" x14ac:dyDescent="0.3">
      <c r="A765" t="s">
        <v>6535</v>
      </c>
      <c r="B765" t="s">
        <v>8006</v>
      </c>
      <c r="C765" t="s">
        <v>7247</v>
      </c>
      <c r="D765" t="str" cm="1">
        <f t="array" ref="D765">TRANSPOSE(_xlfn._xlws.FILTER('Controllable Asset Registry'!$A$4:$A$777,IFERROR('Controllable Asset Registry'!$E$4:$E$777=A765,FALSE),"No Equipment in entity"))</f>
        <v>VAV0484</v>
      </c>
    </row>
    <row r="766" spans="1:4" x14ac:dyDescent="0.3">
      <c r="A766" t="s">
        <v>6536</v>
      </c>
      <c r="B766" t="s">
        <v>8007</v>
      </c>
      <c r="C766" t="s">
        <v>7247</v>
      </c>
      <c r="D766" t="str" cm="1">
        <f t="array" ref="D766">TRANSPOSE(_xlfn._xlws.FILTER('Controllable Asset Registry'!$A$4:$A$777,IFERROR('Controllable Asset Registry'!$E$4:$E$777=A766,FALSE),"No Equipment in entity"))</f>
        <v>VAV0485</v>
      </c>
    </row>
    <row r="767" spans="1:4" x14ac:dyDescent="0.3">
      <c r="A767" t="s">
        <v>6537</v>
      </c>
      <c r="B767" t="s">
        <v>8008</v>
      </c>
      <c r="C767" t="s">
        <v>7248</v>
      </c>
      <c r="D767" t="str" cm="1">
        <f t="array" ref="D767">TRANSPOSE(_xlfn._xlws.FILTER('Controllable Asset Registry'!$A$4:$A$777,IFERROR('Controllable Asset Registry'!$E$4:$E$777=A767,FALSE),"No Equipment in entity"))</f>
        <v>VAV0486</v>
      </c>
    </row>
    <row r="768" spans="1:4" x14ac:dyDescent="0.3">
      <c r="A768" t="s">
        <v>6538</v>
      </c>
      <c r="B768" t="s">
        <v>8009</v>
      </c>
      <c r="C768" t="s">
        <v>7248</v>
      </c>
      <c r="D768" t="str" cm="1">
        <f t="array" ref="D768">TRANSPOSE(_xlfn._xlws.FILTER('Controllable Asset Registry'!$A$4:$A$777,IFERROR('Controllable Asset Registry'!$E$4:$E$777=A768,FALSE),"No Equipment in entity"))</f>
        <v>VAV0487</v>
      </c>
    </row>
    <row r="769" spans="1:5" x14ac:dyDescent="0.3">
      <c r="A769" t="s">
        <v>6539</v>
      </c>
      <c r="B769" t="s">
        <v>8010</v>
      </c>
      <c r="C769" t="s">
        <v>7249</v>
      </c>
      <c r="D769" t="str" cm="1">
        <f t="array" ref="D769">TRANSPOSE(_xlfn._xlws.FILTER('Controllable Asset Registry'!$A$4:$A$777,IFERROR('Controllable Asset Registry'!$E$4:$E$777=A769,FALSE),"No Equipment in entity"))</f>
        <v>VAV0488</v>
      </c>
    </row>
    <row r="770" spans="1:5" x14ac:dyDescent="0.3">
      <c r="A770" t="s">
        <v>6498</v>
      </c>
      <c r="B770" t="s">
        <v>8011</v>
      </c>
      <c r="C770" t="s">
        <v>7250</v>
      </c>
      <c r="D770" t="str" cm="1">
        <f t="array" ref="D770">TRANSPOSE(_xlfn._xlws.FILTER('Controllable Asset Registry'!$A$4:$A$777,IFERROR('Controllable Asset Registry'!$E$4:$E$777=A770,FALSE),"No Equipment in entity"))</f>
        <v>VAV0444</v>
      </c>
    </row>
    <row r="771" spans="1:5" x14ac:dyDescent="0.3">
      <c r="A771" t="s">
        <v>6499</v>
      </c>
      <c r="B771" t="s">
        <v>8012</v>
      </c>
      <c r="C771" t="s">
        <v>7250</v>
      </c>
      <c r="D771" t="str" cm="1">
        <f t="array" ref="D771">TRANSPOSE(_xlfn._xlws.FILTER('Controllable Asset Registry'!$A$4:$A$777,IFERROR('Controllable Asset Registry'!$E$4:$E$777=A771,FALSE),"No Equipment in entity"))</f>
        <v>VAV0445</v>
      </c>
    </row>
    <row r="772" spans="1:5" x14ac:dyDescent="0.3">
      <c r="A772" t="s">
        <v>6500</v>
      </c>
      <c r="B772" t="s">
        <v>8013</v>
      </c>
      <c r="C772" t="s">
        <v>7250</v>
      </c>
      <c r="D772" t="str" cm="1">
        <f t="array" ref="D772">TRANSPOSE(_xlfn._xlws.FILTER('Controllable Asset Registry'!$A$4:$A$777,IFERROR('Controllable Asset Registry'!$E$4:$E$777=A772,FALSE),"No Equipment in entity"))</f>
        <v>VAV0446</v>
      </c>
    </row>
    <row r="773" spans="1:5" x14ac:dyDescent="0.3">
      <c r="A773" t="s">
        <v>6501</v>
      </c>
      <c r="B773" t="s">
        <v>8014</v>
      </c>
      <c r="C773" t="s">
        <v>7250</v>
      </c>
      <c r="D773" t="str" cm="1">
        <f t="array" ref="D773">TRANSPOSE(_xlfn._xlws.FILTER('Controllable Asset Registry'!$A$4:$A$777,IFERROR('Controllable Asset Registry'!$E$4:$E$777=A773,FALSE),"No Equipment in entity"))</f>
        <v>VAV0447</v>
      </c>
    </row>
    <row r="774" spans="1:5" x14ac:dyDescent="0.3">
      <c r="A774" t="s">
        <v>6502</v>
      </c>
      <c r="B774" t="s">
        <v>8015</v>
      </c>
      <c r="C774" t="s">
        <v>7250</v>
      </c>
      <c r="D774" t="str" cm="1">
        <f t="array" ref="D774">TRANSPOSE(_xlfn._xlws.FILTER('Controllable Asset Registry'!$A$4:$A$777,IFERROR('Controllable Asset Registry'!$E$4:$E$777=A774,FALSE),"No Equipment in entity"))</f>
        <v>VAV0448</v>
      </c>
    </row>
    <row r="775" spans="1:5" x14ac:dyDescent="0.3">
      <c r="A775" t="s">
        <v>6503</v>
      </c>
      <c r="B775" t="s">
        <v>8016</v>
      </c>
      <c r="C775" t="s">
        <v>7250</v>
      </c>
      <c r="D775" t="str" cm="1">
        <f t="array" ref="D775">TRANSPOSE(_xlfn._xlws.FILTER('Controllable Asset Registry'!$A$4:$A$777,IFERROR('Controllable Asset Registry'!$E$4:$E$777=A775,FALSE),"No Equipment in entity"))</f>
        <v>VAV0449</v>
      </c>
    </row>
    <row r="776" spans="1:5" x14ac:dyDescent="0.3">
      <c r="A776" t="s">
        <v>6504</v>
      </c>
      <c r="B776" t="s">
        <v>8017</v>
      </c>
      <c r="C776" t="s">
        <v>7250</v>
      </c>
      <c r="D776" t="str" cm="1">
        <f t="array" ref="D776">TRANSPOSE(_xlfn._xlws.FILTER('Controllable Asset Registry'!$A$4:$A$777,IFERROR('Controllable Asset Registry'!$E$4:$E$777=A776,FALSE),"No Equipment in entity"))</f>
        <v>VAV0450</v>
      </c>
    </row>
    <row r="777" spans="1:5" x14ac:dyDescent="0.3">
      <c r="A777" t="s">
        <v>6505</v>
      </c>
      <c r="B777" t="s">
        <v>8018</v>
      </c>
      <c r="C777" t="s">
        <v>7251</v>
      </c>
      <c r="D777" t="str" cm="1">
        <f t="array" ref="D777">TRANSPOSE(_xlfn._xlws.FILTER('Controllable Asset Registry'!$A$4:$A$777,IFERROR('Controllable Asset Registry'!$E$4:$E$777=A777,FALSE),"No Equipment in entity"))</f>
        <v>VAV0451</v>
      </c>
    </row>
    <row r="778" spans="1:5" x14ac:dyDescent="0.3">
      <c r="A778" t="s">
        <v>6506</v>
      </c>
      <c r="B778" t="s">
        <v>8019</v>
      </c>
      <c r="C778" t="s">
        <v>7251</v>
      </c>
      <c r="D778" t="str" cm="1">
        <f t="array" ref="D778">TRANSPOSE(_xlfn._xlws.FILTER('Controllable Asset Registry'!$A$4:$A$777,IFERROR('Controllable Asset Registry'!$E$4:$E$777=A778,FALSE),"No Equipment in entity"))</f>
        <v>VAV0452</v>
      </c>
    </row>
    <row r="779" spans="1:5" x14ac:dyDescent="0.3">
      <c r="A779" t="s">
        <v>6507</v>
      </c>
      <c r="B779" t="s">
        <v>8020</v>
      </c>
      <c r="C779" t="s">
        <v>7251</v>
      </c>
      <c r="D779" t="str" cm="1">
        <f t="array" ref="D779">TRANSPOSE(_xlfn._xlws.FILTER('Controllable Asset Registry'!$A$4:$A$777,IFERROR('Controllable Asset Registry'!$E$4:$E$777=A779,FALSE),"No Equipment in entity"))</f>
        <v>VAV0453</v>
      </c>
    </row>
    <row r="780" spans="1:5" x14ac:dyDescent="0.3">
      <c r="A780" t="s">
        <v>6508</v>
      </c>
      <c r="B780" t="s">
        <v>8021</v>
      </c>
      <c r="C780" t="s">
        <v>7252</v>
      </c>
      <c r="D780" t="str" cm="1">
        <f t="array" ref="D780">TRANSPOSE(_xlfn._xlws.FILTER('Controllable Asset Registry'!$A$4:$A$777,IFERROR('Controllable Asset Registry'!$E$4:$E$777=A780,FALSE),"No Equipment in entity"))</f>
        <v>VAV0454</v>
      </c>
    </row>
    <row r="781" spans="1:5" x14ac:dyDescent="0.3">
      <c r="A781" t="s">
        <v>6509</v>
      </c>
      <c r="B781" t="s">
        <v>8022</v>
      </c>
      <c r="C781" t="s">
        <v>7250</v>
      </c>
      <c r="D781" t="str" cm="1">
        <f t="array" ref="D781">TRANSPOSE(_xlfn._xlws.FILTER('Controllable Asset Registry'!$A$4:$A$777,IFERROR('Controllable Asset Registry'!$E$4:$E$777=A781,FALSE),"No Equipment in entity"))</f>
        <v>VAV0455</v>
      </c>
    </row>
    <row r="782" spans="1:5" x14ac:dyDescent="0.3">
      <c r="A782" t="s">
        <v>6510</v>
      </c>
      <c r="B782" t="s">
        <v>8023</v>
      </c>
      <c r="C782" t="s">
        <v>7251</v>
      </c>
      <c r="D782" t="str" cm="1">
        <f t="array" ref="D782">TRANSPOSE(_xlfn._xlws.FILTER('Controllable Asset Registry'!$A$4:$A$777,IFERROR('Controllable Asset Registry'!$E$4:$E$777=A782,FALSE),"No Equipment in entity"))</f>
        <v>VAV0456</v>
      </c>
    </row>
    <row r="783" spans="1:5" x14ac:dyDescent="0.3">
      <c r="A783" t="s">
        <v>6511</v>
      </c>
      <c r="B783" t="s">
        <v>8024</v>
      </c>
      <c r="C783" t="s">
        <v>7251</v>
      </c>
      <c r="D783" t="str" cm="1">
        <f t="array" ref="D783">TRANSPOSE(_xlfn._xlws.FILTER('Controllable Asset Registry'!$A$4:$A$777,IFERROR('Controllable Asset Registry'!$E$4:$E$777=A783,FALSE),"No Equipment in entity"))</f>
        <v>VAV0457</v>
      </c>
    </row>
    <row r="784" spans="1:5" x14ac:dyDescent="0.3">
      <c r="A784" t="s">
        <v>6512</v>
      </c>
      <c r="B784" t="s">
        <v>8025</v>
      </c>
      <c r="C784" t="s">
        <v>7251</v>
      </c>
      <c r="D784" t="str" cm="1">
        <f t="array" ref="D784:E784">TRANSPOSE(_xlfn._xlws.FILTER('Controllable Asset Registry'!$A$4:$A$777,IFERROR('Controllable Asset Registry'!$E$4:$E$777=A784,FALSE),"No Equipment in entity"))</f>
        <v>VAV0458</v>
      </c>
      <c r="E784" t="str">
        <v>VAV0459</v>
      </c>
    </row>
    <row r="785" spans="1:4" x14ac:dyDescent="0.3">
      <c r="A785" t="s">
        <v>6513</v>
      </c>
      <c r="B785" t="s">
        <v>8026</v>
      </c>
      <c r="C785" t="s">
        <v>7253</v>
      </c>
      <c r="D785" t="str" cm="1">
        <f t="array" ref="D785">TRANSPOSE(_xlfn._xlws.FILTER('Controllable Asset Registry'!$A$4:$A$777,IFERROR('Controllable Asset Registry'!$E$4:$E$777=A785,FALSE),"No Equipment in entity"))</f>
        <v>VAV0460</v>
      </c>
    </row>
    <row r="786" spans="1:4" x14ac:dyDescent="0.3">
      <c r="A786" t="s">
        <v>6514</v>
      </c>
      <c r="B786" t="s">
        <v>8027</v>
      </c>
      <c r="C786" t="s">
        <v>7253</v>
      </c>
      <c r="D786" t="str" cm="1">
        <f t="array" ref="D786">TRANSPOSE(_xlfn._xlws.FILTER('Controllable Asset Registry'!$A$4:$A$777,IFERROR('Controllable Asset Registry'!$E$4:$E$777=A786,FALSE),"No Equipment in entity"))</f>
        <v>VAV0461</v>
      </c>
    </row>
    <row r="787" spans="1:4" x14ac:dyDescent="0.3">
      <c r="A787" t="s">
        <v>6515</v>
      </c>
      <c r="B787" t="s">
        <v>8028</v>
      </c>
      <c r="C787" t="s">
        <v>7253</v>
      </c>
      <c r="D787" t="str" cm="1">
        <f t="array" ref="D787">TRANSPOSE(_xlfn._xlws.FILTER('Controllable Asset Registry'!$A$4:$A$777,IFERROR('Controllable Asset Registry'!$E$4:$E$777=A787,FALSE),"No Equipment in entity"))</f>
        <v>VAV0462</v>
      </c>
    </row>
    <row r="788" spans="1:4" x14ac:dyDescent="0.3">
      <c r="A788" t="s">
        <v>6516</v>
      </c>
      <c r="B788" t="s">
        <v>8029</v>
      </c>
      <c r="C788" t="s">
        <v>7253</v>
      </c>
      <c r="D788" t="str" cm="1">
        <f t="array" ref="D788">TRANSPOSE(_xlfn._xlws.FILTER('Controllable Asset Registry'!$A$4:$A$777,IFERROR('Controllable Asset Registry'!$E$4:$E$777=A788,FALSE),"No Equipment in entity"))</f>
        <v>VAV0463</v>
      </c>
    </row>
    <row r="789" spans="1:4" x14ac:dyDescent="0.3">
      <c r="A789" t="s">
        <v>6517</v>
      </c>
      <c r="B789" t="s">
        <v>8030</v>
      </c>
      <c r="C789" t="s">
        <v>7253</v>
      </c>
      <c r="D789" t="str" cm="1">
        <f t="array" ref="D789">TRANSPOSE(_xlfn._xlws.FILTER('Controllable Asset Registry'!$A$4:$A$777,IFERROR('Controllable Asset Registry'!$E$4:$E$777=A789,FALSE),"No Equipment in entity"))</f>
        <v>VAV0464</v>
      </c>
    </row>
    <row r="790" spans="1:4" x14ac:dyDescent="0.3">
      <c r="A790" t="s">
        <v>6518</v>
      </c>
      <c r="B790" t="s">
        <v>8031</v>
      </c>
      <c r="C790" t="s">
        <v>7254</v>
      </c>
      <c r="D790" t="str" cm="1">
        <f t="array" ref="D790">TRANSPOSE(_xlfn._xlws.FILTER('Controllable Asset Registry'!$A$4:$A$777,IFERROR('Controllable Asset Registry'!$E$4:$E$777=A790,FALSE),"No Equipment in entity"))</f>
        <v>VAV0465</v>
      </c>
    </row>
    <row r="791" spans="1:4" x14ac:dyDescent="0.3">
      <c r="A791" t="s">
        <v>6519</v>
      </c>
      <c r="B791" t="s">
        <v>8032</v>
      </c>
      <c r="C791" t="s">
        <v>7255</v>
      </c>
      <c r="D791" t="str" cm="1">
        <f t="array" ref="D791">TRANSPOSE(_xlfn._xlws.FILTER('Controllable Asset Registry'!$A$4:$A$777,IFERROR('Controllable Asset Registry'!$E$4:$E$777=A791,FALSE),"No Equipment in entity"))</f>
        <v>VAV0466</v>
      </c>
    </row>
    <row r="792" spans="1:4" x14ac:dyDescent="0.3">
      <c r="A792" t="s">
        <v>6520</v>
      </c>
      <c r="B792" t="s">
        <v>8033</v>
      </c>
      <c r="C792" t="s">
        <v>7256</v>
      </c>
      <c r="D792" t="str" cm="1">
        <f t="array" ref="D792">TRANSPOSE(_xlfn._xlws.FILTER('Controllable Asset Registry'!$A$4:$A$777,IFERROR('Controllable Asset Registry'!$E$4:$E$777=A792,FALSE),"No Equipment in entity"))</f>
        <v>VAV0467</v>
      </c>
    </row>
    <row r="793" spans="1:4" x14ac:dyDescent="0.3">
      <c r="A793" t="s">
        <v>6521</v>
      </c>
      <c r="B793" t="s">
        <v>8034</v>
      </c>
      <c r="C793" t="s">
        <v>7256</v>
      </c>
      <c r="D793" t="str" cm="1">
        <f t="array" ref="D793">TRANSPOSE(_xlfn._xlws.FILTER('Controllable Asset Registry'!$A$4:$A$777,IFERROR('Controllable Asset Registry'!$E$4:$E$777=A793,FALSE),"No Equipment in entity"))</f>
        <v>VAV0468</v>
      </c>
    </row>
    <row r="794" spans="1:4" x14ac:dyDescent="0.3">
      <c r="A794" t="s">
        <v>6522</v>
      </c>
      <c r="B794" t="s">
        <v>8035</v>
      </c>
      <c r="C794" t="s">
        <v>7256</v>
      </c>
      <c r="D794" t="str" cm="1">
        <f t="array" ref="D794">TRANSPOSE(_xlfn._xlws.FILTER('Controllable Asset Registry'!$A$4:$A$777,IFERROR('Controllable Asset Registry'!$E$4:$E$777=A794,FALSE),"No Equipment in entity"))</f>
        <v>VAV0469</v>
      </c>
    </row>
    <row r="795" spans="1:4" x14ac:dyDescent="0.3">
      <c r="A795" t="s">
        <v>6523</v>
      </c>
      <c r="B795" t="s">
        <v>8036</v>
      </c>
      <c r="C795" t="s">
        <v>7257</v>
      </c>
      <c r="D795" t="str" cm="1">
        <f t="array" ref="D795">TRANSPOSE(_xlfn._xlws.FILTER('Controllable Asset Registry'!$A$4:$A$777,IFERROR('Controllable Asset Registry'!$E$4:$E$777=A795,FALSE),"No Equipment in entity"))</f>
        <v>VAV0470</v>
      </c>
    </row>
    <row r="796" spans="1:4" x14ac:dyDescent="0.3">
      <c r="A796" t="s">
        <v>6524</v>
      </c>
      <c r="B796" t="s">
        <v>8037</v>
      </c>
      <c r="C796" t="s">
        <v>7258</v>
      </c>
      <c r="D796" t="str" cm="1">
        <f t="array" ref="D796">TRANSPOSE(_xlfn._xlws.FILTER('Controllable Asset Registry'!$A$4:$A$777,IFERROR('Controllable Asset Registry'!$E$4:$E$777=A796,FALSE),"No Equipment in entity"))</f>
        <v>VAV0471</v>
      </c>
    </row>
    <row r="797" spans="1:4" x14ac:dyDescent="0.3">
      <c r="A797" t="s">
        <v>6525</v>
      </c>
      <c r="B797" t="s">
        <v>8038</v>
      </c>
      <c r="C797" t="s">
        <v>7257</v>
      </c>
      <c r="D797" t="str" cm="1">
        <f t="array" ref="D797">TRANSPOSE(_xlfn._xlws.FILTER('Controllable Asset Registry'!$A$4:$A$777,IFERROR('Controllable Asset Registry'!$E$4:$E$777=A797,FALSE),"No Equipment in entity"))</f>
        <v>VAV0472</v>
      </c>
    </row>
    <row r="798" spans="1:4" x14ac:dyDescent="0.3">
      <c r="A798" t="s">
        <v>6527</v>
      </c>
      <c r="B798" t="s">
        <v>8039</v>
      </c>
      <c r="C798" t="s">
        <v>7041</v>
      </c>
      <c r="D798" t="str" cm="1">
        <f t="array" ref="D798">TRANSPOSE(_xlfn._xlws.FILTER('Controllable Asset Registry'!$A$4:$A$777,IFERROR('Controllable Asset Registry'!$E$4:$E$777=A798,FALSE),"No Equipment in entity"))</f>
        <v>VAV0475</v>
      </c>
    </row>
    <row r="799" spans="1:4" x14ac:dyDescent="0.3">
      <c r="A799" t="s">
        <v>6528</v>
      </c>
      <c r="B799" t="s">
        <v>8040</v>
      </c>
      <c r="C799" t="s">
        <v>7259</v>
      </c>
      <c r="D799" t="str" cm="1">
        <f t="array" ref="D799">TRANSPOSE(_xlfn._xlws.FILTER('Controllable Asset Registry'!$A$4:$A$777,IFERROR('Controllable Asset Registry'!$E$4:$E$777=A799,FALSE),"No Equipment in entity"))</f>
        <v>VAV0476</v>
      </c>
    </row>
    <row r="800" spans="1:4" x14ac:dyDescent="0.3">
      <c r="A800" t="s">
        <v>6529</v>
      </c>
      <c r="B800" t="s">
        <v>8041</v>
      </c>
      <c r="C800" t="s">
        <v>7260</v>
      </c>
      <c r="D800" t="str" cm="1">
        <f t="array" ref="D800">TRANSPOSE(_xlfn._xlws.FILTER('Controllable Asset Registry'!$A$4:$A$777,IFERROR('Controllable Asset Registry'!$E$4:$E$777=A800,FALSE),"No Equipment in entity"))</f>
        <v>VAV0477</v>
      </c>
    </row>
    <row r="801" spans="1:7" x14ac:dyDescent="0.3">
      <c r="A801" t="s">
        <v>6139</v>
      </c>
      <c r="B801" t="s">
        <v>8042</v>
      </c>
      <c r="C801" t="s">
        <v>7261</v>
      </c>
      <c r="D801" t="str" cm="1">
        <f t="array" ref="D801">TRANSPOSE(_xlfn._xlws.FILTER('Controllable Asset Registry'!$A$4:$A$777,IFERROR('Controllable Asset Registry'!$E$4:$E$777=A801,FALSE),"No Equipment in entity"))</f>
        <v>FCU0132</v>
      </c>
    </row>
    <row r="802" spans="1:7" x14ac:dyDescent="0.3">
      <c r="A802" t="s">
        <v>7262</v>
      </c>
      <c r="B802" t="s">
        <v>8043</v>
      </c>
      <c r="C802" t="s">
        <v>7263</v>
      </c>
      <c r="D802" t="str" cm="1">
        <f t="array" ref="D802">TRANSPOSE(_xlfn._xlws.FILTER('Controllable Asset Registry'!$A$4:$A$777,IFERROR('Controllable Asset Registry'!$E$4:$E$777=A802,FALSE),"No Equipment in entity"))</f>
        <v>No Equipment in entity</v>
      </c>
    </row>
    <row r="803" spans="1:7" x14ac:dyDescent="0.3">
      <c r="A803" t="s">
        <v>7264</v>
      </c>
      <c r="B803" t="s">
        <v>8044</v>
      </c>
      <c r="C803" t="s">
        <v>7265</v>
      </c>
      <c r="D803" t="str" cm="1">
        <f t="array" ref="D803">TRANSPOSE(_xlfn._xlws.FILTER('Controllable Asset Registry'!$A$4:$A$777,IFERROR('Controllable Asset Registry'!$E$4:$E$777=A803,FALSE),"No Equipment in entity"))</f>
        <v>No Equipment in entity</v>
      </c>
    </row>
    <row r="804" spans="1:7" x14ac:dyDescent="0.3">
      <c r="A804" t="s">
        <v>6541</v>
      </c>
      <c r="B804" t="s">
        <v>8045</v>
      </c>
      <c r="C804" t="s">
        <v>7266</v>
      </c>
      <c r="D804" t="str" cm="1">
        <f t="array" ref="D804">TRANSPOSE(_xlfn._xlws.FILTER('Controllable Asset Registry'!$A$4:$A$777,IFERROR('Controllable Asset Registry'!$E$4:$E$777=A804,FALSE),"No Equipment in entity"))</f>
        <v>VAV0490</v>
      </c>
    </row>
    <row r="805" spans="1:7" x14ac:dyDescent="0.3">
      <c r="A805" t="s">
        <v>6540</v>
      </c>
      <c r="B805" t="s">
        <v>8046</v>
      </c>
      <c r="C805" t="s">
        <v>5992</v>
      </c>
      <c r="D805" t="str" cm="1">
        <f t="array" ref="D805">TRANSPOSE(_xlfn._xlws.FILTER('Controllable Asset Registry'!$A$4:$A$777,IFERROR('Controllable Asset Registry'!$E$4:$E$777=A805,FALSE),"No Equipment in entity"))</f>
        <v>VAV0489</v>
      </c>
    </row>
    <row r="806" spans="1:7" x14ac:dyDescent="0.3">
      <c r="A806" t="s">
        <v>7267</v>
      </c>
      <c r="B806" t="s">
        <v>8047</v>
      </c>
      <c r="C806" t="s">
        <v>5852</v>
      </c>
      <c r="D806" t="str" cm="1">
        <f t="array" ref="D806">TRANSPOSE(_xlfn._xlws.FILTER('Controllable Asset Registry'!$A$4:$A$777,IFERROR('Controllable Asset Registry'!$E$4:$E$777=A806,FALSE),"No Equipment in entity"))</f>
        <v>No Equipment in entity</v>
      </c>
    </row>
    <row r="807" spans="1:7" x14ac:dyDescent="0.3">
      <c r="A807" t="s">
        <v>7268</v>
      </c>
      <c r="B807" t="s">
        <v>8048</v>
      </c>
      <c r="C807" t="s">
        <v>6965</v>
      </c>
      <c r="D807" t="str" cm="1">
        <f t="array" ref="D807">TRANSPOSE(_xlfn._xlws.FILTER('Controllable Asset Registry'!$A$4:$A$777,IFERROR('Controllable Asset Registry'!$E$4:$E$777=A807,FALSE),"No Equipment in entity"))</f>
        <v>No Equipment in entity</v>
      </c>
    </row>
    <row r="808" spans="1:7" x14ac:dyDescent="0.3">
      <c r="A808" t="s">
        <v>6544</v>
      </c>
      <c r="B808" t="s">
        <v>8049</v>
      </c>
      <c r="C808" t="s">
        <v>7269</v>
      </c>
      <c r="D808" t="str" cm="1">
        <f t="array" ref="D808">TRANSPOSE(_xlfn._xlws.FILTER('Controllable Asset Registry'!$A$4:$A$777,IFERROR('Controllable Asset Registry'!$E$4:$E$777=A808,FALSE),"No Equipment in entity"))</f>
        <v>VAV0496</v>
      </c>
    </row>
    <row r="809" spans="1:7" x14ac:dyDescent="0.3">
      <c r="A809" t="s">
        <v>6050</v>
      </c>
      <c r="B809" t="s">
        <v>8050</v>
      </c>
      <c r="C809" t="s">
        <v>7270</v>
      </c>
      <c r="D809" t="str" cm="1">
        <f t="array" ref="D809">TRANSPOSE(_xlfn._xlws.FILTER('Controllable Asset Registry'!$A$4:$A$777,IFERROR('Controllable Asset Registry'!$E$4:$E$777=A809,FALSE),"No Equipment in entity"))</f>
        <v>AHU9_0003</v>
      </c>
    </row>
    <row r="810" spans="1:7" x14ac:dyDescent="0.3">
      <c r="A810" t="s">
        <v>6543</v>
      </c>
      <c r="B810" t="s">
        <v>8051</v>
      </c>
      <c r="C810" t="s">
        <v>7271</v>
      </c>
      <c r="D810" t="str" cm="1">
        <f t="array" ref="D810:G810">TRANSPOSE(_xlfn._xlws.FILTER('Controllable Asset Registry'!$A$4:$A$777,IFERROR('Controllable Asset Registry'!$E$4:$E$777=A810,FALSE),"No Equipment in entity"))</f>
        <v>VAV0493</v>
      </c>
      <c r="E810" t="str">
        <v>VAV0494</v>
      </c>
      <c r="F810" t="str">
        <v>VAV0495</v>
      </c>
      <c r="G810" t="str">
        <v>VAV0497</v>
      </c>
    </row>
    <row r="811" spans="1:7" x14ac:dyDescent="0.3">
      <c r="A811" t="s">
        <v>6049</v>
      </c>
      <c r="B811" t="s">
        <v>8052</v>
      </c>
      <c r="C811" t="s">
        <v>7141</v>
      </c>
      <c r="D811" t="str" cm="1">
        <f t="array" ref="D811:E811">TRANSPOSE(_xlfn._xlws.FILTER('Controllable Asset Registry'!$A$4:$A$777,IFERROR('Controllable Asset Registry'!$E$4:$E$777=A811,FALSE),"No Equipment in entity"))</f>
        <v>AHU9_0001</v>
      </c>
      <c r="E811" t="str">
        <v>AHU9_0002</v>
      </c>
    </row>
    <row r="812" spans="1:7" x14ac:dyDescent="0.3">
      <c r="A812" t="s">
        <v>7272</v>
      </c>
      <c r="B812" t="s">
        <v>8053</v>
      </c>
      <c r="C812" t="s">
        <v>5852</v>
      </c>
      <c r="D812" t="str" cm="1">
        <f t="array" ref="D812">TRANSPOSE(_xlfn._xlws.FILTER('Controllable Asset Registry'!$A$4:$A$777,IFERROR('Controllable Asset Registry'!$E$4:$E$777=A812,FALSE),"No Equipment in entity"))</f>
        <v>No Equipment in entity</v>
      </c>
    </row>
    <row r="813" spans="1:7" x14ac:dyDescent="0.3">
      <c r="A813" t="s">
        <v>7273</v>
      </c>
      <c r="B813" t="s">
        <v>8054</v>
      </c>
      <c r="C813" t="s">
        <v>7274</v>
      </c>
      <c r="D813" t="str" cm="1">
        <f t="array" ref="D813">TRANSPOSE(_xlfn._xlws.FILTER('Controllable Asset Registry'!$A$4:$A$777,IFERROR('Controllable Asset Registry'!$E$4:$E$777=A813,FALSE),"No Equipment in entity"))</f>
        <v>No Equipment in entity</v>
      </c>
    </row>
    <row r="814" spans="1:7" x14ac:dyDescent="0.3">
      <c r="A814" t="s">
        <v>7275</v>
      </c>
      <c r="B814" t="s">
        <v>8055</v>
      </c>
      <c r="C814" t="s">
        <v>6714</v>
      </c>
      <c r="D814" t="str" cm="1">
        <f t="array" ref="D814">TRANSPOSE(_xlfn._xlws.FILTER('Controllable Asset Registry'!$A$4:$A$777,IFERROR('Controllable Asset Registry'!$E$4:$E$777=A814,FALSE),"No Equipment in entity"))</f>
        <v>No Equipment in entity</v>
      </c>
    </row>
    <row r="815" spans="1:7" x14ac:dyDescent="0.3">
      <c r="A815" t="s">
        <v>7276</v>
      </c>
      <c r="B815" t="s">
        <v>8056</v>
      </c>
      <c r="C815" t="s">
        <v>6725</v>
      </c>
      <c r="D815" t="str" cm="1">
        <f t="array" ref="D815">TRANSPOSE(_xlfn._xlws.FILTER('Controllable Asset Registry'!$A$4:$A$777,IFERROR('Controllable Asset Registry'!$E$4:$E$777=A815,FALSE),"No Equipment in entity"))</f>
        <v>No Equipment in entity</v>
      </c>
    </row>
    <row r="816" spans="1:7" x14ac:dyDescent="0.3">
      <c r="A816" t="s">
        <v>7277</v>
      </c>
      <c r="B816" t="s">
        <v>8057</v>
      </c>
      <c r="C816" t="s">
        <v>6728</v>
      </c>
      <c r="D816" t="str" cm="1">
        <f t="array" ref="D816">TRANSPOSE(_xlfn._xlws.FILTER('Controllable Asset Registry'!$A$4:$A$777,IFERROR('Controllable Asset Registry'!$E$4:$E$777=A816,FALSE),"No Equipment in entity"))</f>
        <v>No Equipment in entity</v>
      </c>
    </row>
    <row r="817" spans="1:4" x14ac:dyDescent="0.3">
      <c r="A817" t="s">
        <v>6542</v>
      </c>
      <c r="B817" t="s">
        <v>8058</v>
      </c>
      <c r="C817" t="s">
        <v>6725</v>
      </c>
      <c r="D817" t="str" cm="1">
        <f t="array" ref="D817">TRANSPOSE(_xlfn._xlws.FILTER('Controllable Asset Registry'!$A$4:$A$777,IFERROR('Controllable Asset Registry'!$E$4:$E$777=A817,FALSE),"No Equipment in entity"))</f>
        <v>VAV0491</v>
      </c>
    </row>
    <row r="818" spans="1:4" x14ac:dyDescent="0.3">
      <c r="A818" t="s">
        <v>7278</v>
      </c>
      <c r="B818" t="s">
        <v>8059</v>
      </c>
      <c r="C818" t="s">
        <v>6728</v>
      </c>
      <c r="D818" t="str" cm="1">
        <f t="array" ref="D818">TRANSPOSE(_xlfn._xlws.FILTER('Controllable Asset Registry'!$A$4:$A$777,IFERROR('Controllable Asset Registry'!$E$4:$E$777=A818,FALSE),"No Equipment in entity"))</f>
        <v>No Equipment in entity</v>
      </c>
    </row>
    <row r="819" spans="1:4" x14ac:dyDescent="0.3">
      <c r="A819" t="s">
        <v>7279</v>
      </c>
      <c r="B819" t="s">
        <v>8060</v>
      </c>
      <c r="C819" t="s">
        <v>5861</v>
      </c>
      <c r="D819" t="str" cm="1">
        <f t="array" ref="D819">TRANSPOSE(_xlfn._xlws.FILTER('Controllable Asset Registry'!$A$4:$A$777,IFERROR('Controllable Asset Registry'!$E$4:$E$777=A819,FALSE),"No Equipment in entity"))</f>
        <v>No Equipment in entity</v>
      </c>
    </row>
    <row r="820" spans="1:4" x14ac:dyDescent="0.3">
      <c r="A820" t="s">
        <v>7280</v>
      </c>
      <c r="B820" t="s">
        <v>8061</v>
      </c>
      <c r="C820" t="s">
        <v>5861</v>
      </c>
      <c r="D820" t="str" cm="1">
        <f t="array" ref="D820">TRANSPOSE(_xlfn._xlws.FILTER('Controllable Asset Registry'!$A$4:$A$777,IFERROR('Controllable Asset Registry'!$E$4:$E$777=A820,FALSE),"No Equipment in entity"))</f>
        <v>No Equipment in entity</v>
      </c>
    </row>
    <row r="821" spans="1:4" x14ac:dyDescent="0.3">
      <c r="A821" t="s">
        <v>7281</v>
      </c>
      <c r="B821" t="s">
        <v>8062</v>
      </c>
      <c r="C821" t="s">
        <v>5861</v>
      </c>
      <c r="D821" t="str" cm="1">
        <f t="array" ref="D821">TRANSPOSE(_xlfn._xlws.FILTER('Controllable Asset Registry'!$A$4:$A$777,IFERROR('Controllable Asset Registry'!$E$4:$E$777=A821,FALSE),"No Equipment in entity"))</f>
        <v>No Equipment in entity</v>
      </c>
    </row>
    <row r="822" spans="1:4" x14ac:dyDescent="0.3">
      <c r="A822" t="s">
        <v>7282</v>
      </c>
      <c r="B822" t="s">
        <v>8063</v>
      </c>
      <c r="C822" t="s">
        <v>5861</v>
      </c>
      <c r="D822" t="str" cm="1">
        <f t="array" ref="D822">TRANSPOSE(_xlfn._xlws.FILTER('Controllable Asset Registry'!$A$4:$A$777,IFERROR('Controllable Asset Registry'!$E$4:$E$777=A822,FALSE),"No Equipment in entity"))</f>
        <v>No Equipment in entity</v>
      </c>
    </row>
    <row r="823" spans="1:4" x14ac:dyDescent="0.3">
      <c r="A823" t="s">
        <v>7283</v>
      </c>
      <c r="B823" t="s">
        <v>8064</v>
      </c>
      <c r="C823" t="s">
        <v>5861</v>
      </c>
      <c r="D823" t="str" cm="1">
        <f t="array" ref="D823">TRANSPOSE(_xlfn._xlws.FILTER('Controllable Asset Registry'!$A$4:$A$777,IFERROR('Controllable Asset Registry'!$E$4:$E$777=A823,FALSE),"No Equipment in entity"))</f>
        <v>No Equipment in entity</v>
      </c>
    </row>
    <row r="824" spans="1:4" x14ac:dyDescent="0.3">
      <c r="A824" t="s">
        <v>6123</v>
      </c>
      <c r="B824" t="s">
        <v>8065</v>
      </c>
      <c r="C824" t="s">
        <v>6734</v>
      </c>
      <c r="D824" t="str" cm="1">
        <f t="array" ref="D824">TRANSPOSE(_xlfn._xlws.FILTER('Controllable Asset Registry'!$A$4:$A$777,IFERROR('Controllable Asset Registry'!$E$4:$E$777=A824,FALSE),"No Equipment in entity"))</f>
        <v>FCU0112</v>
      </c>
    </row>
    <row r="825" spans="1:4" x14ac:dyDescent="0.3">
      <c r="A825" t="s">
        <v>7284</v>
      </c>
      <c r="B825" t="s">
        <v>8066</v>
      </c>
      <c r="C825" t="s">
        <v>5858</v>
      </c>
      <c r="D825" t="str" cm="1">
        <f t="array" ref="D825">TRANSPOSE(_xlfn._xlws.FILTER('Controllable Asset Registry'!$A$4:$A$777,IFERROR('Controllable Asset Registry'!$E$4:$E$777=A825,FALSE),"No Equipment in entity"))</f>
        <v>No Equipment in entity</v>
      </c>
    </row>
    <row r="826" spans="1:4" x14ac:dyDescent="0.3">
      <c r="A826" t="s">
        <v>6122</v>
      </c>
      <c r="B826" t="s">
        <v>8067</v>
      </c>
      <c r="C826" t="s">
        <v>6734</v>
      </c>
      <c r="D826" t="str" cm="1">
        <f t="array" ref="D826">TRANSPOSE(_xlfn._xlws.FILTER('Controllable Asset Registry'!$A$4:$A$777,IFERROR('Controllable Asset Registry'!$E$4:$E$777=A826,FALSE),"No Equipment in entity"))</f>
        <v>FCU0110</v>
      </c>
    </row>
    <row r="827" spans="1:4" x14ac:dyDescent="0.3">
      <c r="A827" t="s">
        <v>7285</v>
      </c>
      <c r="B827" t="s">
        <v>8068</v>
      </c>
      <c r="C827" t="s">
        <v>7119</v>
      </c>
      <c r="D827" t="str" cm="1">
        <f t="array" ref="D827">TRANSPOSE(_xlfn._xlws.FILTER('Controllable Asset Registry'!$A$4:$A$777,IFERROR('Controllable Asset Registry'!$E$4:$E$777=A827,FALSE),"No Equipment in entity"))</f>
        <v>No Equipment in entity</v>
      </c>
    </row>
    <row r="828" spans="1:4" x14ac:dyDescent="0.3">
      <c r="A828" t="s">
        <v>7286</v>
      </c>
      <c r="B828" t="s">
        <v>8069</v>
      </c>
      <c r="C828" t="s">
        <v>6879</v>
      </c>
      <c r="D828" t="str" cm="1">
        <f t="array" ref="D828">TRANSPOSE(_xlfn._xlws.FILTER('Controllable Asset Registry'!$A$4:$A$777,IFERROR('Controllable Asset Registry'!$E$4:$E$777=A828,FALSE),"No Equipment in entity"))</f>
        <v>No Equipment in entity</v>
      </c>
    </row>
    <row r="829" spans="1:4" x14ac:dyDescent="0.3">
      <c r="A829" t="s">
        <v>7287</v>
      </c>
      <c r="B829" t="s">
        <v>8070</v>
      </c>
      <c r="C829" t="s">
        <v>5858</v>
      </c>
      <c r="D829" t="str" cm="1">
        <f t="array" ref="D829">TRANSPOSE(_xlfn._xlws.FILTER('Controllable Asset Registry'!$A$4:$A$777,IFERROR('Controllable Asset Registry'!$E$4:$E$777=A829,FALSE),"No Equipment in entity"))</f>
        <v>No Equipment in entity</v>
      </c>
    </row>
    <row r="830" spans="1:4" x14ac:dyDescent="0.3">
      <c r="A830" t="s">
        <v>8425</v>
      </c>
      <c r="B830" t="s">
        <v>8426</v>
      </c>
      <c r="C830" t="s">
        <v>6893</v>
      </c>
      <c r="D830" t="str" cm="1">
        <f t="array" ref="D830">TRANSPOSE(_xlfn._xlws.FILTER('Controllable Asset Registry'!$A$4:$A$777,IFERROR('Controllable Asset Registry'!$E$4:$E$777=A830,FALSE),"No Equipment in entity"))</f>
        <v>No Equipment in entity</v>
      </c>
    </row>
    <row r="831" spans="1:4" x14ac:dyDescent="0.3">
      <c r="A831" t="s">
        <v>8427</v>
      </c>
      <c r="B831" t="s">
        <v>8428</v>
      </c>
      <c r="C831" t="s">
        <v>6896</v>
      </c>
      <c r="D831" t="str" cm="1">
        <f t="array" ref="D831">TRANSPOSE(_xlfn._xlws.FILTER('Controllable Asset Registry'!$A$4:$A$777,IFERROR('Controllable Asset Registry'!$E$4:$E$777=A831,FALSE),"No Equipment in entity"))</f>
        <v>No Equipment in entity</v>
      </c>
    </row>
    <row r="832" spans="1:4" x14ac:dyDescent="0.3">
      <c r="A832" t="s">
        <v>8429</v>
      </c>
      <c r="B832" t="s">
        <v>8430</v>
      </c>
      <c r="C832" t="s">
        <v>6899</v>
      </c>
      <c r="D832" t="str" cm="1">
        <f t="array" ref="D832">TRANSPOSE(_xlfn._xlws.FILTER('Controllable Asset Registry'!$A$4:$A$777,IFERROR('Controllable Asset Registry'!$E$4:$E$777=A832,FALSE),"No Equipment in entity"))</f>
        <v>No Equipment in entity</v>
      </c>
    </row>
    <row r="833" spans="1:6" x14ac:dyDescent="0.3">
      <c r="A833" t="s">
        <v>8431</v>
      </c>
      <c r="B833" t="s">
        <v>8432</v>
      </c>
      <c r="C833" t="s">
        <v>6763</v>
      </c>
      <c r="D833" t="str" cm="1">
        <f t="array" ref="D833">TRANSPOSE(_xlfn._xlws.FILTER('Controllable Asset Registry'!$A$4:$A$777,IFERROR('Controllable Asset Registry'!$E$4:$E$777=A833,FALSE),"No Equipment in entity"))</f>
        <v>No Equipment in entity</v>
      </c>
    </row>
    <row r="834" spans="1:6" x14ac:dyDescent="0.3">
      <c r="A834" t="s">
        <v>8433</v>
      </c>
      <c r="B834" t="s">
        <v>8434</v>
      </c>
      <c r="C834" t="s">
        <v>6766</v>
      </c>
      <c r="D834" t="str" cm="1">
        <f t="array" ref="D834">TRANSPOSE(_xlfn._xlws.FILTER('Controllable Asset Registry'!$A$4:$A$777,IFERROR('Controllable Asset Registry'!$E$4:$E$777=A834,FALSE),"No Equipment in entity"))</f>
        <v>No Equipment in entity</v>
      </c>
    </row>
    <row r="835" spans="1:6" x14ac:dyDescent="0.3">
      <c r="A835" t="s">
        <v>8435</v>
      </c>
      <c r="B835" t="s">
        <v>8436</v>
      </c>
      <c r="C835" t="s">
        <v>6769</v>
      </c>
      <c r="D835" t="str" cm="1">
        <f t="array" ref="D835">TRANSPOSE(_xlfn._xlws.FILTER('Controllable Asset Registry'!$A$4:$A$777,IFERROR('Controllable Asset Registry'!$E$4:$E$777=A835,FALSE),"No Equipment in entity"))</f>
        <v>No Equipment in entity</v>
      </c>
    </row>
    <row r="836" spans="1:6" x14ac:dyDescent="0.3">
      <c r="A836" t="s">
        <v>8437</v>
      </c>
      <c r="B836" t="s">
        <v>8438</v>
      </c>
      <c r="C836" t="s">
        <v>6908</v>
      </c>
      <c r="D836" t="str" cm="1">
        <f t="array" ref="D836">TRANSPOSE(_xlfn._xlws.FILTER('Controllable Asset Registry'!$A$4:$A$777,IFERROR('Controllable Asset Registry'!$E$4:$E$777=A836,FALSE),"No Equipment in entity"))</f>
        <v>No Equipment in entity</v>
      </c>
    </row>
    <row r="837" spans="1:6" x14ac:dyDescent="0.3">
      <c r="A837" t="s">
        <v>8439</v>
      </c>
      <c r="B837" t="s">
        <v>8440</v>
      </c>
      <c r="C837" t="s">
        <v>7288</v>
      </c>
      <c r="D837" t="str" cm="1">
        <f t="array" ref="D837">TRANSPOSE(_xlfn._xlws.FILTER('Controllable Asset Registry'!$A$4:$A$777,IFERROR('Controllable Asset Registry'!$E$4:$E$777=A837,FALSE),"No Equipment in entity"))</f>
        <v>No Equipment in entity</v>
      </c>
    </row>
    <row r="838" spans="1:6" x14ac:dyDescent="0.3">
      <c r="A838" t="s">
        <v>8441</v>
      </c>
      <c r="B838" t="s">
        <v>8442</v>
      </c>
      <c r="C838" t="s">
        <v>7289</v>
      </c>
      <c r="D838" t="str" cm="1">
        <f t="array" ref="D838">TRANSPOSE(_xlfn._xlws.FILTER('Controllable Asset Registry'!$A$4:$A$777,IFERROR('Controllable Asset Registry'!$E$4:$E$777=A838,FALSE),"No Equipment in entity"))</f>
        <v>No Equipment in entity</v>
      </c>
    </row>
    <row r="839" spans="1:6" x14ac:dyDescent="0.3">
      <c r="A839" t="s">
        <v>8443</v>
      </c>
      <c r="B839" t="s">
        <v>8444</v>
      </c>
      <c r="C839" t="s">
        <v>6776</v>
      </c>
      <c r="D839" t="str" cm="1">
        <f t="array" ref="D839">TRANSPOSE(_xlfn._xlws.FILTER('Controllable Asset Registry'!$A$4:$A$777,IFERROR('Controllable Asset Registry'!$E$4:$E$777=A839,FALSE),"No Equipment in entity"))</f>
        <v>No Equipment in entity</v>
      </c>
    </row>
    <row r="840" spans="1:6" x14ac:dyDescent="0.3">
      <c r="A840" t="s">
        <v>8445</v>
      </c>
      <c r="B840" t="s">
        <v>8446</v>
      </c>
      <c r="C840" t="s">
        <v>6915</v>
      </c>
      <c r="D840" t="str" cm="1">
        <f t="array" ref="D840">TRANSPOSE(_xlfn._xlws.FILTER('Controllable Asset Registry'!$A$4:$A$777,IFERROR('Controllable Asset Registry'!$E$4:$E$777=A840,FALSE),"No Equipment in entity"))</f>
        <v>No Equipment in entity</v>
      </c>
    </row>
    <row r="841" spans="1:6" x14ac:dyDescent="0.3">
      <c r="A841" t="s">
        <v>7290</v>
      </c>
      <c r="B841" t="s">
        <v>8071</v>
      </c>
      <c r="C841" t="s">
        <v>7291</v>
      </c>
      <c r="D841" t="str" cm="1">
        <f t="array" ref="D841">TRANSPOSE(_xlfn._xlws.FILTER('Controllable Asset Registry'!$A$4:$A$777,IFERROR('Controllable Asset Registry'!$E$4:$E$777=A841,FALSE),"No Equipment in entity"))</f>
        <v>No Equipment in entity</v>
      </c>
    </row>
    <row r="842" spans="1:6" x14ac:dyDescent="0.3">
      <c r="A842" t="s">
        <v>7292</v>
      </c>
      <c r="B842" t="s">
        <v>8072</v>
      </c>
      <c r="C842" t="s">
        <v>7293</v>
      </c>
      <c r="D842" t="str" cm="1">
        <f t="array" ref="D842">TRANSPOSE(_xlfn._xlws.FILTER('Controllable Asset Registry'!$A$4:$A$777,IFERROR('Controllable Asset Registry'!$E$4:$E$777=A842,FALSE),"No Equipment in entity"))</f>
        <v>No Equipment in entity</v>
      </c>
    </row>
    <row r="843" spans="1:6" x14ac:dyDescent="0.3">
      <c r="A843" t="s">
        <v>7294</v>
      </c>
      <c r="B843" t="s">
        <v>8073</v>
      </c>
      <c r="C843" t="s">
        <v>7295</v>
      </c>
      <c r="D843" t="str" cm="1">
        <f t="array" ref="D843">TRANSPOSE(_xlfn._xlws.FILTER('Controllable Asset Registry'!$A$4:$A$777,IFERROR('Controllable Asset Registry'!$E$4:$E$777=A843,FALSE),"No Equipment in entity"))</f>
        <v>No Equipment in entity</v>
      </c>
    </row>
    <row r="844" spans="1:6" x14ac:dyDescent="0.3">
      <c r="A844" t="s">
        <v>6577</v>
      </c>
      <c r="B844" t="s">
        <v>8074</v>
      </c>
      <c r="C844" t="s">
        <v>7296</v>
      </c>
      <c r="D844" t="str" cm="1">
        <f t="array" ref="D844:F844">TRANSPOSE(_xlfn._xlws.FILTER('Controllable Asset Registry'!$A$4:$A$777,IFERROR('Controllable Asset Registry'!$E$4:$E$777=A844,FALSE),"No Equipment in entity"))</f>
        <v>VAV0530</v>
      </c>
      <c r="E844" t="str">
        <v>VAV0531</v>
      </c>
      <c r="F844" t="str">
        <v>VAV0532</v>
      </c>
    </row>
    <row r="845" spans="1:6" x14ac:dyDescent="0.3">
      <c r="A845" t="s">
        <v>6578</v>
      </c>
      <c r="B845" t="s">
        <v>8075</v>
      </c>
      <c r="C845" t="s">
        <v>7297</v>
      </c>
      <c r="D845" t="str" cm="1">
        <f t="array" ref="D845:E845">TRANSPOSE(_xlfn._xlws.FILTER('Controllable Asset Registry'!$A$4:$A$777,IFERROR('Controllable Asset Registry'!$E$4:$E$777=A845,FALSE),"No Equipment in entity"))</f>
        <v>VAV0533</v>
      </c>
      <c r="E845" t="str">
        <v>VAV0534</v>
      </c>
    </row>
    <row r="846" spans="1:6" x14ac:dyDescent="0.3">
      <c r="A846" t="s">
        <v>6579</v>
      </c>
      <c r="B846" t="s">
        <v>8076</v>
      </c>
      <c r="C846" t="s">
        <v>7298</v>
      </c>
      <c r="D846" t="str" cm="1">
        <f t="array" ref="D846">TRANSPOSE(_xlfn._xlws.FILTER('Controllable Asset Registry'!$A$4:$A$777,IFERROR('Controllable Asset Registry'!$E$4:$E$777=A846,FALSE),"No Equipment in entity"))</f>
        <v>VAV0535</v>
      </c>
    </row>
    <row r="847" spans="1:6" x14ac:dyDescent="0.3">
      <c r="A847" t="s">
        <v>6545</v>
      </c>
      <c r="B847" t="s">
        <v>8077</v>
      </c>
      <c r="C847" t="s">
        <v>7299</v>
      </c>
      <c r="D847" t="str" cm="1">
        <f t="array" ref="D847">TRANSPOSE(_xlfn._xlws.FILTER('Controllable Asset Registry'!$A$4:$A$777,IFERROR('Controllable Asset Registry'!$E$4:$E$777=A847,FALSE),"No Equipment in entity"))</f>
        <v>VAV0498</v>
      </c>
    </row>
    <row r="848" spans="1:6" x14ac:dyDescent="0.3">
      <c r="A848" t="s">
        <v>6546</v>
      </c>
      <c r="B848" t="s">
        <v>8078</v>
      </c>
      <c r="C848" t="s">
        <v>7298</v>
      </c>
      <c r="D848" t="str" cm="1">
        <f t="array" ref="D848">TRANSPOSE(_xlfn._xlws.FILTER('Controllable Asset Registry'!$A$4:$A$777,IFERROR('Controllable Asset Registry'!$E$4:$E$777=A848,FALSE),"No Equipment in entity"))</f>
        <v>VAV0499</v>
      </c>
    </row>
    <row r="849" spans="1:4" x14ac:dyDescent="0.3">
      <c r="A849" t="s">
        <v>6547</v>
      </c>
      <c r="B849" t="s">
        <v>8079</v>
      </c>
      <c r="C849" t="s">
        <v>7300</v>
      </c>
      <c r="D849" t="str" cm="1">
        <f t="array" ref="D849">TRANSPOSE(_xlfn._xlws.FILTER('Controllable Asset Registry'!$A$4:$A$777,IFERROR('Controllable Asset Registry'!$E$4:$E$777=A849,FALSE),"No Equipment in entity"))</f>
        <v>VAV0500</v>
      </c>
    </row>
    <row r="850" spans="1:4" x14ac:dyDescent="0.3">
      <c r="A850" t="s">
        <v>6548</v>
      </c>
      <c r="B850" t="s">
        <v>8080</v>
      </c>
      <c r="C850" t="s">
        <v>7301</v>
      </c>
      <c r="D850" t="str" cm="1">
        <f t="array" ref="D850">TRANSPOSE(_xlfn._xlws.FILTER('Controllable Asset Registry'!$A$4:$A$777,IFERROR('Controllable Asset Registry'!$E$4:$E$777=A850,FALSE),"No Equipment in entity"))</f>
        <v>VAV0501</v>
      </c>
    </row>
    <row r="851" spans="1:4" x14ac:dyDescent="0.3">
      <c r="A851" t="s">
        <v>6549</v>
      </c>
      <c r="B851" t="s">
        <v>8081</v>
      </c>
      <c r="C851" t="s">
        <v>7302</v>
      </c>
      <c r="D851" t="str" cm="1">
        <f t="array" ref="D851">TRANSPOSE(_xlfn._xlws.FILTER('Controllable Asset Registry'!$A$4:$A$777,IFERROR('Controllable Asset Registry'!$E$4:$E$777=A851,FALSE),"No Equipment in entity"))</f>
        <v>VAV0502</v>
      </c>
    </row>
    <row r="852" spans="1:4" x14ac:dyDescent="0.3">
      <c r="A852" t="s">
        <v>6550</v>
      </c>
      <c r="B852" t="s">
        <v>8082</v>
      </c>
      <c r="C852" t="s">
        <v>7302</v>
      </c>
      <c r="D852" t="str" cm="1">
        <f t="array" ref="D852">TRANSPOSE(_xlfn._xlws.FILTER('Controllable Asset Registry'!$A$4:$A$777,IFERROR('Controllable Asset Registry'!$E$4:$E$777=A852,FALSE),"No Equipment in entity"))</f>
        <v>VAV0503</v>
      </c>
    </row>
    <row r="853" spans="1:4" x14ac:dyDescent="0.3">
      <c r="A853" t="s">
        <v>6551</v>
      </c>
      <c r="B853" t="s">
        <v>8083</v>
      </c>
      <c r="C853" t="s">
        <v>7302</v>
      </c>
      <c r="D853" t="str" cm="1">
        <f t="array" ref="D853">TRANSPOSE(_xlfn._xlws.FILTER('Controllable Asset Registry'!$A$4:$A$777,IFERROR('Controllable Asset Registry'!$E$4:$E$777=A853,FALSE),"No Equipment in entity"))</f>
        <v>VAV0504</v>
      </c>
    </row>
    <row r="854" spans="1:4" x14ac:dyDescent="0.3">
      <c r="A854" t="s">
        <v>6552</v>
      </c>
      <c r="B854" t="s">
        <v>8084</v>
      </c>
      <c r="C854" t="s">
        <v>7303</v>
      </c>
      <c r="D854" t="str" cm="1">
        <f t="array" ref="D854">TRANSPOSE(_xlfn._xlws.FILTER('Controllable Asset Registry'!$A$4:$A$777,IFERROR('Controllable Asset Registry'!$E$4:$E$777=A854,FALSE),"No Equipment in entity"))</f>
        <v>VAV0505</v>
      </c>
    </row>
    <row r="855" spans="1:4" x14ac:dyDescent="0.3">
      <c r="A855" t="s">
        <v>6553</v>
      </c>
      <c r="B855" t="s">
        <v>8085</v>
      </c>
      <c r="C855" t="s">
        <v>7303</v>
      </c>
      <c r="D855" t="str" cm="1">
        <f t="array" ref="D855">TRANSPOSE(_xlfn._xlws.FILTER('Controllable Asset Registry'!$A$4:$A$777,IFERROR('Controllable Asset Registry'!$E$4:$E$777=A855,FALSE),"No Equipment in entity"))</f>
        <v>VAV0506</v>
      </c>
    </row>
    <row r="856" spans="1:4" x14ac:dyDescent="0.3">
      <c r="A856" t="s">
        <v>6128</v>
      </c>
      <c r="B856" t="s">
        <v>8086</v>
      </c>
      <c r="C856" t="s">
        <v>6936</v>
      </c>
      <c r="D856" t="str" cm="1">
        <f t="array" ref="D856">TRANSPOSE(_xlfn._xlws.FILTER('Controllable Asset Registry'!$A$4:$A$777,IFERROR('Controllable Asset Registry'!$E$4:$E$777=A856,FALSE),"No Equipment in entity"))</f>
        <v>FCU0117</v>
      </c>
    </row>
    <row r="857" spans="1:4" x14ac:dyDescent="0.3">
      <c r="A857" t="s">
        <v>6554</v>
      </c>
      <c r="B857" t="s">
        <v>8087</v>
      </c>
      <c r="C857" t="s">
        <v>7304</v>
      </c>
      <c r="D857" t="str" cm="1">
        <f t="array" ref="D857">TRANSPOSE(_xlfn._xlws.FILTER('Controllable Asset Registry'!$A$4:$A$777,IFERROR('Controllable Asset Registry'!$E$4:$E$777=A857,FALSE),"No Equipment in entity"))</f>
        <v>VAV0507</v>
      </c>
    </row>
    <row r="858" spans="1:4" x14ac:dyDescent="0.3">
      <c r="A858" t="s">
        <v>6555</v>
      </c>
      <c r="B858" t="s">
        <v>8088</v>
      </c>
      <c r="C858" t="s">
        <v>7305</v>
      </c>
      <c r="D858" t="str" cm="1">
        <f t="array" ref="D858">TRANSPOSE(_xlfn._xlws.FILTER('Controllable Asset Registry'!$A$4:$A$777,IFERROR('Controllable Asset Registry'!$E$4:$E$777=A858,FALSE),"No Equipment in entity"))</f>
        <v>VAV0508</v>
      </c>
    </row>
    <row r="859" spans="1:4" x14ac:dyDescent="0.3">
      <c r="A859" t="s">
        <v>6556</v>
      </c>
      <c r="B859" t="s">
        <v>8089</v>
      </c>
      <c r="C859" t="s">
        <v>7306</v>
      </c>
      <c r="D859" t="str" cm="1">
        <f t="array" ref="D859">TRANSPOSE(_xlfn._xlws.FILTER('Controllable Asset Registry'!$A$4:$A$777,IFERROR('Controllable Asset Registry'!$E$4:$E$777=A859,FALSE),"No Equipment in entity"))</f>
        <v>VAV0509</v>
      </c>
    </row>
    <row r="860" spans="1:4" x14ac:dyDescent="0.3">
      <c r="A860" t="s">
        <v>6557</v>
      </c>
      <c r="B860" t="s">
        <v>8090</v>
      </c>
      <c r="C860" t="s">
        <v>7307</v>
      </c>
      <c r="D860" t="str" cm="1">
        <f t="array" ref="D860">TRANSPOSE(_xlfn._xlws.FILTER('Controllable Asset Registry'!$A$4:$A$777,IFERROR('Controllable Asset Registry'!$E$4:$E$777=A860,FALSE),"No Equipment in entity"))</f>
        <v>VAV0510</v>
      </c>
    </row>
    <row r="861" spans="1:4" x14ac:dyDescent="0.3">
      <c r="A861" t="s">
        <v>6558</v>
      </c>
      <c r="B861" t="s">
        <v>8091</v>
      </c>
      <c r="C861" t="s">
        <v>7308</v>
      </c>
      <c r="D861" t="str" cm="1">
        <f t="array" ref="D861">TRANSPOSE(_xlfn._xlws.FILTER('Controllable Asset Registry'!$A$4:$A$777,IFERROR('Controllable Asset Registry'!$E$4:$E$777=A861,FALSE),"No Equipment in entity"))</f>
        <v>VAV0511</v>
      </c>
    </row>
    <row r="862" spans="1:4" x14ac:dyDescent="0.3">
      <c r="A862" t="s">
        <v>6559</v>
      </c>
      <c r="B862" t="s">
        <v>8092</v>
      </c>
      <c r="C862" t="s">
        <v>7309</v>
      </c>
      <c r="D862" t="str" cm="1">
        <f t="array" ref="D862">TRANSPOSE(_xlfn._xlws.FILTER('Controllable Asset Registry'!$A$4:$A$777,IFERROR('Controllable Asset Registry'!$E$4:$E$777=A862,FALSE),"No Equipment in entity"))</f>
        <v>VAV0512</v>
      </c>
    </row>
    <row r="863" spans="1:4" x14ac:dyDescent="0.3">
      <c r="A863" t="s">
        <v>6560</v>
      </c>
      <c r="B863" t="s">
        <v>8093</v>
      </c>
      <c r="C863" t="s">
        <v>7310</v>
      </c>
      <c r="D863" t="str" cm="1">
        <f t="array" ref="D863">TRANSPOSE(_xlfn._xlws.FILTER('Controllable Asset Registry'!$A$4:$A$777,IFERROR('Controllable Asset Registry'!$E$4:$E$777=A863,FALSE),"No Equipment in entity"))</f>
        <v>VAV0513</v>
      </c>
    </row>
    <row r="864" spans="1:4" x14ac:dyDescent="0.3">
      <c r="A864" t="s">
        <v>6561</v>
      </c>
      <c r="B864" t="s">
        <v>8094</v>
      </c>
      <c r="C864" t="s">
        <v>7310</v>
      </c>
      <c r="D864" t="str" cm="1">
        <f t="array" ref="D864">TRANSPOSE(_xlfn._xlws.FILTER('Controllable Asset Registry'!$A$4:$A$777,IFERROR('Controllable Asset Registry'!$E$4:$E$777=A864,FALSE),"No Equipment in entity"))</f>
        <v>VAV0514</v>
      </c>
    </row>
    <row r="865" spans="1:4" x14ac:dyDescent="0.3">
      <c r="A865" t="s">
        <v>6562</v>
      </c>
      <c r="B865" t="s">
        <v>8095</v>
      </c>
      <c r="C865" t="s">
        <v>7311</v>
      </c>
      <c r="D865" t="str" cm="1">
        <f t="array" ref="D865">TRANSPOSE(_xlfn._xlws.FILTER('Controllable Asset Registry'!$A$4:$A$777,IFERROR('Controllable Asset Registry'!$E$4:$E$777=A865,FALSE),"No Equipment in entity"))</f>
        <v>VAV0515</v>
      </c>
    </row>
    <row r="866" spans="1:4" x14ac:dyDescent="0.3">
      <c r="A866" t="s">
        <v>6563</v>
      </c>
      <c r="B866" t="s">
        <v>8096</v>
      </c>
      <c r="C866" t="s">
        <v>7312</v>
      </c>
      <c r="D866" t="str" cm="1">
        <f t="array" ref="D866">TRANSPOSE(_xlfn._xlws.FILTER('Controllable Asset Registry'!$A$4:$A$777,IFERROR('Controllable Asset Registry'!$E$4:$E$777=A866,FALSE),"No Equipment in entity"))</f>
        <v>VAV0516</v>
      </c>
    </row>
    <row r="867" spans="1:4" x14ac:dyDescent="0.3">
      <c r="A867" t="s">
        <v>6564</v>
      </c>
      <c r="B867" t="s">
        <v>8097</v>
      </c>
      <c r="C867" t="s">
        <v>7313</v>
      </c>
      <c r="D867" t="str" cm="1">
        <f t="array" ref="D867">TRANSPOSE(_xlfn._xlws.FILTER('Controllable Asset Registry'!$A$4:$A$777,IFERROR('Controllable Asset Registry'!$E$4:$E$777=A867,FALSE),"No Equipment in entity"))</f>
        <v>VAV0517</v>
      </c>
    </row>
    <row r="868" spans="1:4" x14ac:dyDescent="0.3">
      <c r="A868" t="s">
        <v>6565</v>
      </c>
      <c r="B868" t="s">
        <v>8098</v>
      </c>
      <c r="C868" t="s">
        <v>7314</v>
      </c>
      <c r="D868" t="str" cm="1">
        <f t="array" ref="D868">TRANSPOSE(_xlfn._xlws.FILTER('Controllable Asset Registry'!$A$4:$A$777,IFERROR('Controllable Asset Registry'!$E$4:$E$777=A868,FALSE),"No Equipment in entity"))</f>
        <v>VAV0518</v>
      </c>
    </row>
    <row r="869" spans="1:4" x14ac:dyDescent="0.3">
      <c r="A869" t="s">
        <v>6566</v>
      </c>
      <c r="B869" t="s">
        <v>8099</v>
      </c>
      <c r="C869" t="s">
        <v>7315</v>
      </c>
      <c r="D869" t="str" cm="1">
        <f t="array" ref="D869">TRANSPOSE(_xlfn._xlws.FILTER('Controllable Asset Registry'!$A$4:$A$777,IFERROR('Controllable Asset Registry'!$E$4:$E$777=A869,FALSE),"No Equipment in entity"))</f>
        <v>VAV0519</v>
      </c>
    </row>
    <row r="870" spans="1:4" x14ac:dyDescent="0.3">
      <c r="A870" t="s">
        <v>6567</v>
      </c>
      <c r="B870" t="s">
        <v>8100</v>
      </c>
      <c r="C870" t="s">
        <v>7316</v>
      </c>
      <c r="D870" t="str" cm="1">
        <f t="array" ref="D870">TRANSPOSE(_xlfn._xlws.FILTER('Controllable Asset Registry'!$A$4:$A$777,IFERROR('Controllable Asset Registry'!$E$4:$E$777=A870,FALSE),"No Equipment in entity"))</f>
        <v>VAV0520</v>
      </c>
    </row>
    <row r="871" spans="1:4" x14ac:dyDescent="0.3">
      <c r="A871" t="s">
        <v>6568</v>
      </c>
      <c r="B871" t="s">
        <v>8101</v>
      </c>
      <c r="C871" t="s">
        <v>7317</v>
      </c>
      <c r="D871" t="str" cm="1">
        <f t="array" ref="D871">TRANSPOSE(_xlfn._xlws.FILTER('Controllable Asset Registry'!$A$4:$A$777,IFERROR('Controllable Asset Registry'!$E$4:$E$777=A871,FALSE),"No Equipment in entity"))</f>
        <v>VAV0521</v>
      </c>
    </row>
    <row r="872" spans="1:4" x14ac:dyDescent="0.3">
      <c r="A872" t="s">
        <v>7318</v>
      </c>
      <c r="B872" t="s">
        <v>8102</v>
      </c>
      <c r="C872" t="s">
        <v>6807</v>
      </c>
      <c r="D872" t="str" cm="1">
        <f t="array" ref="D872">TRANSPOSE(_xlfn._xlws.FILTER('Controllable Asset Registry'!$A$4:$A$777,IFERROR('Controllable Asset Registry'!$E$4:$E$777=A872,FALSE),"No Equipment in entity"))</f>
        <v>No Equipment in entity</v>
      </c>
    </row>
    <row r="873" spans="1:4" x14ac:dyDescent="0.3">
      <c r="A873" t="s">
        <v>6570</v>
      </c>
      <c r="B873" t="s">
        <v>8103</v>
      </c>
      <c r="C873" t="s">
        <v>7319</v>
      </c>
      <c r="D873" t="str" cm="1">
        <f t="array" ref="D873">TRANSPOSE(_xlfn._xlws.FILTER('Controllable Asset Registry'!$A$4:$A$777,IFERROR('Controllable Asset Registry'!$E$4:$E$777=A873,FALSE),"No Equipment in entity"))</f>
        <v>VAV0523</v>
      </c>
    </row>
    <row r="874" spans="1:4" x14ac:dyDescent="0.3">
      <c r="A874" t="s">
        <v>6571</v>
      </c>
      <c r="B874" t="s">
        <v>8104</v>
      </c>
      <c r="C874" t="s">
        <v>7320</v>
      </c>
      <c r="D874" t="str" cm="1">
        <f t="array" ref="D874">TRANSPOSE(_xlfn._xlws.FILTER('Controllable Asset Registry'!$A$4:$A$777,IFERROR('Controllable Asset Registry'!$E$4:$E$777=A874,FALSE),"No Equipment in entity"))</f>
        <v>VAV0524</v>
      </c>
    </row>
    <row r="875" spans="1:4" x14ac:dyDescent="0.3">
      <c r="A875" t="s">
        <v>6572</v>
      </c>
      <c r="B875" t="s">
        <v>8105</v>
      </c>
      <c r="C875" t="s">
        <v>7321</v>
      </c>
      <c r="D875" t="str" cm="1">
        <f t="array" ref="D875">TRANSPOSE(_xlfn._xlws.FILTER('Controllable Asset Registry'!$A$4:$A$777,IFERROR('Controllable Asset Registry'!$E$4:$E$777=A875,FALSE),"No Equipment in entity"))</f>
        <v>VAV0525</v>
      </c>
    </row>
    <row r="876" spans="1:4" x14ac:dyDescent="0.3">
      <c r="A876" t="s">
        <v>6573</v>
      </c>
      <c r="B876" t="s">
        <v>8106</v>
      </c>
      <c r="C876" t="s">
        <v>7322</v>
      </c>
      <c r="D876" t="str" cm="1">
        <f t="array" ref="D876">TRANSPOSE(_xlfn._xlws.FILTER('Controllable Asset Registry'!$A$4:$A$777,IFERROR('Controllable Asset Registry'!$E$4:$E$777=A876,FALSE),"No Equipment in entity"))</f>
        <v>VAV0526</v>
      </c>
    </row>
    <row r="877" spans="1:4" x14ac:dyDescent="0.3">
      <c r="A877" t="s">
        <v>6574</v>
      </c>
      <c r="B877" t="s">
        <v>8107</v>
      </c>
      <c r="C877" t="s">
        <v>7323</v>
      </c>
      <c r="D877" t="str" cm="1">
        <f t="array" ref="D877">TRANSPOSE(_xlfn._xlws.FILTER('Controllable Asset Registry'!$A$4:$A$777,IFERROR('Controllable Asset Registry'!$E$4:$E$777=A877,FALSE),"No Equipment in entity"))</f>
        <v>VAV0527</v>
      </c>
    </row>
    <row r="878" spans="1:4" x14ac:dyDescent="0.3">
      <c r="A878" t="s">
        <v>6575</v>
      </c>
      <c r="B878" t="s">
        <v>8108</v>
      </c>
      <c r="C878" t="s">
        <v>7324</v>
      </c>
      <c r="D878" t="str" cm="1">
        <f t="array" ref="D878">TRANSPOSE(_xlfn._xlws.FILTER('Controllable Asset Registry'!$A$4:$A$777,IFERROR('Controllable Asset Registry'!$E$4:$E$777=A878,FALSE),"No Equipment in entity"))</f>
        <v>VAV0528</v>
      </c>
    </row>
    <row r="879" spans="1:4" x14ac:dyDescent="0.3">
      <c r="A879" t="s">
        <v>6576</v>
      </c>
      <c r="B879" t="s">
        <v>8109</v>
      </c>
      <c r="C879" t="s">
        <v>7325</v>
      </c>
      <c r="D879" t="str" cm="1">
        <f t="array" ref="D879">TRANSPOSE(_xlfn._xlws.FILTER('Controllable Asset Registry'!$A$4:$A$777,IFERROR('Controllable Asset Registry'!$E$4:$E$777=A879,FALSE),"No Equipment in entity"))</f>
        <v>VAV0529</v>
      </c>
    </row>
    <row r="880" spans="1:4" x14ac:dyDescent="0.3">
      <c r="A880" t="s">
        <v>6127</v>
      </c>
      <c r="B880" t="s">
        <v>8110</v>
      </c>
      <c r="C880" t="s">
        <v>6936</v>
      </c>
      <c r="D880" t="str" cm="1">
        <f t="array" ref="D880">TRANSPOSE(_xlfn._xlws.FILTER('Controllable Asset Registry'!$A$4:$A$777,IFERROR('Controllable Asset Registry'!$E$4:$E$777=A880,FALSE),"No Equipment in entity"))</f>
        <v>FCU0116</v>
      </c>
    </row>
    <row r="881" spans="1:5" x14ac:dyDescent="0.3">
      <c r="A881" t="s">
        <v>6582</v>
      </c>
      <c r="B881" t="s">
        <v>8111</v>
      </c>
      <c r="C881" t="s">
        <v>7207</v>
      </c>
      <c r="D881" t="str" cm="1">
        <f t="array" ref="D881:E881">TRANSPOSE(_xlfn._xlws.FILTER('Controllable Asset Registry'!$A$4:$A$777,IFERROR('Controllable Asset Registry'!$E$4:$E$777=A881,FALSE),"No Equipment in entity"))</f>
        <v>VAV0539</v>
      </c>
      <c r="E881" t="str">
        <v>VAV0540</v>
      </c>
    </row>
    <row r="882" spans="1:5" x14ac:dyDescent="0.3">
      <c r="A882" t="s">
        <v>6584</v>
      </c>
      <c r="B882" t="s">
        <v>8112</v>
      </c>
      <c r="C882" t="s">
        <v>7326</v>
      </c>
      <c r="D882" t="str" cm="1">
        <f t="array" ref="D882">TRANSPOSE(_xlfn._xlws.FILTER('Controllable Asset Registry'!$A$4:$A$777,IFERROR('Controllable Asset Registry'!$E$4:$E$777=A882,FALSE),"No Equipment in entity"))</f>
        <v>VAV0547</v>
      </c>
    </row>
    <row r="883" spans="1:5" x14ac:dyDescent="0.3">
      <c r="A883" t="s">
        <v>7327</v>
      </c>
      <c r="B883" t="s">
        <v>8113</v>
      </c>
      <c r="C883" t="s">
        <v>7328</v>
      </c>
      <c r="D883" t="str" cm="1">
        <f t="array" ref="D883">TRANSPOSE(_xlfn._xlws.FILTER('Controllable Asset Registry'!$A$4:$A$777,IFERROR('Controllable Asset Registry'!$E$4:$E$777=A883,FALSE),"No Equipment in entity"))</f>
        <v>No Equipment in entity</v>
      </c>
    </row>
    <row r="884" spans="1:5" x14ac:dyDescent="0.3">
      <c r="A884" t="s">
        <v>7329</v>
      </c>
      <c r="B884" t="s">
        <v>8114</v>
      </c>
      <c r="C884" t="s">
        <v>7330</v>
      </c>
      <c r="D884" t="str" cm="1">
        <f t="array" ref="D884">TRANSPOSE(_xlfn._xlws.FILTER('Controllable Asset Registry'!$A$4:$A$777,IFERROR('Controllable Asset Registry'!$E$4:$E$777=A884,FALSE),"No Equipment in entity"))</f>
        <v>No Equipment in entity</v>
      </c>
    </row>
    <row r="885" spans="1:5" x14ac:dyDescent="0.3">
      <c r="A885" t="s">
        <v>7331</v>
      </c>
      <c r="B885" t="s">
        <v>8115</v>
      </c>
      <c r="C885" t="s">
        <v>7330</v>
      </c>
      <c r="D885" t="str" cm="1">
        <f t="array" ref="D885">TRANSPOSE(_xlfn._xlws.FILTER('Controllable Asset Registry'!$A$4:$A$777,IFERROR('Controllable Asset Registry'!$E$4:$E$777=A885,FALSE),"No Equipment in entity"))</f>
        <v>No Equipment in entity</v>
      </c>
    </row>
    <row r="886" spans="1:5" x14ac:dyDescent="0.3">
      <c r="A886" t="s">
        <v>6580</v>
      </c>
      <c r="B886" t="s">
        <v>8116</v>
      </c>
      <c r="C886" t="s">
        <v>5992</v>
      </c>
      <c r="D886" t="str" cm="1">
        <f t="array" ref="D886:E886">TRANSPOSE(_xlfn._xlws.FILTER('Controllable Asset Registry'!$A$4:$A$777,IFERROR('Controllable Asset Registry'!$E$4:$E$777=A886,FALSE),"No Equipment in entity"))</f>
        <v>VAV0536</v>
      </c>
      <c r="E886" t="str">
        <v>VAV0537</v>
      </c>
    </row>
    <row r="887" spans="1:5" x14ac:dyDescent="0.3">
      <c r="A887" t="s">
        <v>7332</v>
      </c>
      <c r="B887" t="s">
        <v>8117</v>
      </c>
      <c r="C887" t="s">
        <v>5852</v>
      </c>
      <c r="D887" t="str" cm="1">
        <f t="array" ref="D887">TRANSPOSE(_xlfn._xlws.FILTER('Controllable Asset Registry'!$A$4:$A$777,IFERROR('Controllable Asset Registry'!$E$4:$E$777=A887,FALSE),"No Equipment in entity"))</f>
        <v>No Equipment in entity</v>
      </c>
    </row>
    <row r="888" spans="1:5" x14ac:dyDescent="0.3">
      <c r="A888" t="s">
        <v>7333</v>
      </c>
      <c r="B888" t="s">
        <v>8118</v>
      </c>
      <c r="C888" t="s">
        <v>6965</v>
      </c>
      <c r="D888" t="str" cm="1">
        <f t="array" ref="D888">TRANSPOSE(_xlfn._xlws.FILTER('Controllable Asset Registry'!$A$4:$A$777,IFERROR('Controllable Asset Registry'!$E$4:$E$777=A888,FALSE),"No Equipment in entity"))</f>
        <v>No Equipment in entity</v>
      </c>
    </row>
    <row r="889" spans="1:5" x14ac:dyDescent="0.3">
      <c r="A889" t="s">
        <v>6581</v>
      </c>
      <c r="B889" t="s">
        <v>8119</v>
      </c>
      <c r="C889" t="s">
        <v>7334</v>
      </c>
      <c r="D889" t="str" cm="1">
        <f t="array" ref="D889">TRANSPOSE(_xlfn._xlws.FILTER('Controllable Asset Registry'!$A$4:$A$777,IFERROR('Controllable Asset Registry'!$E$4:$E$777=A889,FALSE),"No Equipment in entity"))</f>
        <v>VAV0538</v>
      </c>
    </row>
    <row r="890" spans="1:5" x14ac:dyDescent="0.3">
      <c r="A890" t="s">
        <v>7335</v>
      </c>
      <c r="B890" t="s">
        <v>8120</v>
      </c>
      <c r="C890" t="s">
        <v>7336</v>
      </c>
      <c r="D890" t="str" cm="1">
        <f t="array" ref="D890">TRANSPOSE(_xlfn._xlws.FILTER('Controllable Asset Registry'!$A$4:$A$777,IFERROR('Controllable Asset Registry'!$E$4:$E$777=A890,FALSE),"No Equipment in entity"))</f>
        <v>No Equipment in entity</v>
      </c>
    </row>
    <row r="891" spans="1:5" x14ac:dyDescent="0.3">
      <c r="A891" t="s">
        <v>6129</v>
      </c>
      <c r="B891" t="s">
        <v>8121</v>
      </c>
      <c r="C891" t="s">
        <v>7337</v>
      </c>
      <c r="D891" t="str" cm="1">
        <f t="array" ref="D891">TRANSPOSE(_xlfn._xlws.FILTER('Controllable Asset Registry'!$A$4:$A$777,IFERROR('Controllable Asset Registry'!$E$4:$E$777=A891,FALSE),"No Equipment in entity"))</f>
        <v>FCU0118</v>
      </c>
    </row>
    <row r="892" spans="1:5" x14ac:dyDescent="0.3">
      <c r="A892" t="s">
        <v>6583</v>
      </c>
      <c r="B892" t="s">
        <v>8122</v>
      </c>
      <c r="C892" t="s">
        <v>7338</v>
      </c>
      <c r="D892" t="str" cm="1">
        <f t="array" ref="D892">TRANSPOSE(_xlfn._xlws.FILTER('Controllable Asset Registry'!$A$4:$A$777,IFERROR('Controllable Asset Registry'!$E$4:$E$777=A892,FALSE),"No Equipment in entity"))</f>
        <v>VAV0541</v>
      </c>
    </row>
    <row r="893" spans="1:5" x14ac:dyDescent="0.3">
      <c r="A893" t="s">
        <v>7339</v>
      </c>
      <c r="B893" t="s">
        <v>8123</v>
      </c>
      <c r="C893" t="s">
        <v>6728</v>
      </c>
      <c r="D893" t="str" cm="1">
        <f t="array" ref="D893">TRANSPOSE(_xlfn._xlws.FILTER('Controllable Asset Registry'!$A$4:$A$777,IFERROR('Controllable Asset Registry'!$E$4:$E$777=A893,FALSE),"No Equipment in entity"))</f>
        <v>No Equipment in entity</v>
      </c>
    </row>
    <row r="894" spans="1:5" x14ac:dyDescent="0.3">
      <c r="A894" t="s">
        <v>7340</v>
      </c>
      <c r="B894" t="s">
        <v>8124</v>
      </c>
      <c r="C894" t="s">
        <v>6725</v>
      </c>
      <c r="D894" t="str" cm="1">
        <f t="array" ref="D894">TRANSPOSE(_xlfn._xlws.FILTER('Controllable Asset Registry'!$A$4:$A$777,IFERROR('Controllable Asset Registry'!$E$4:$E$777=A894,FALSE),"No Equipment in entity"))</f>
        <v>No Equipment in entity</v>
      </c>
    </row>
    <row r="895" spans="1:5" x14ac:dyDescent="0.3">
      <c r="A895" t="s">
        <v>7341</v>
      </c>
      <c r="B895" t="s">
        <v>8125</v>
      </c>
      <c r="C895" t="s">
        <v>6725</v>
      </c>
      <c r="D895" t="str" cm="1">
        <f t="array" ref="D895">TRANSPOSE(_xlfn._xlws.FILTER('Controllable Asset Registry'!$A$4:$A$777,IFERROR('Controllable Asset Registry'!$E$4:$E$777=A895,FALSE),"No Equipment in entity"))</f>
        <v>No Equipment in entity</v>
      </c>
    </row>
    <row r="896" spans="1:5" x14ac:dyDescent="0.3">
      <c r="A896" t="s">
        <v>7342</v>
      </c>
      <c r="B896" t="s">
        <v>8126</v>
      </c>
      <c r="C896" t="s">
        <v>6728</v>
      </c>
      <c r="D896" t="str" cm="1">
        <f t="array" ref="D896">TRANSPOSE(_xlfn._xlws.FILTER('Controllable Asset Registry'!$A$4:$A$777,IFERROR('Controllable Asset Registry'!$E$4:$E$777=A896,FALSE),"No Equipment in entity"))</f>
        <v>No Equipment in entity</v>
      </c>
    </row>
    <row r="897" spans="1:9" x14ac:dyDescent="0.3">
      <c r="A897" t="s">
        <v>7343</v>
      </c>
      <c r="B897" t="s">
        <v>8127</v>
      </c>
      <c r="C897" t="s">
        <v>6725</v>
      </c>
      <c r="D897" t="str" cm="1">
        <f t="array" ref="D897">TRANSPOSE(_xlfn._xlws.FILTER('Controllable Asset Registry'!$A$4:$A$777,IFERROR('Controllable Asset Registry'!$E$4:$E$777=A897,FALSE),"No Equipment in entity"))</f>
        <v>No Equipment in entity</v>
      </c>
    </row>
    <row r="898" spans="1:9" x14ac:dyDescent="0.3">
      <c r="A898" t="s">
        <v>7344</v>
      </c>
      <c r="B898" t="s">
        <v>8128</v>
      </c>
      <c r="C898" t="s">
        <v>6728</v>
      </c>
      <c r="D898" t="str" cm="1">
        <f t="array" ref="D898">TRANSPOSE(_xlfn._xlws.FILTER('Controllable Asset Registry'!$A$4:$A$777,IFERROR('Controllable Asset Registry'!$E$4:$E$777=A898,FALSE),"No Equipment in entity"))</f>
        <v>No Equipment in entity</v>
      </c>
    </row>
    <row r="899" spans="1:9" x14ac:dyDescent="0.3">
      <c r="A899" t="s">
        <v>7345</v>
      </c>
      <c r="B899" t="s">
        <v>8129</v>
      </c>
      <c r="C899" t="s">
        <v>5858</v>
      </c>
      <c r="D899" t="str" cm="1">
        <f t="array" ref="D899">TRANSPOSE(_xlfn._xlws.FILTER('Controllable Asset Registry'!$A$4:$A$777,IFERROR('Controllable Asset Registry'!$E$4:$E$777=A899,FALSE),"No Equipment in entity"))</f>
        <v>No Equipment in entity</v>
      </c>
    </row>
    <row r="900" spans="1:9" x14ac:dyDescent="0.3">
      <c r="A900" t="s">
        <v>6126</v>
      </c>
      <c r="B900" t="s">
        <v>8130</v>
      </c>
      <c r="C900" t="s">
        <v>6734</v>
      </c>
      <c r="D900" t="str" cm="1">
        <f t="array" ref="D900">TRANSPOSE(_xlfn._xlws.FILTER('Controllable Asset Registry'!$A$4:$A$777,IFERROR('Controllable Asset Registry'!$E$4:$E$777=A900,FALSE),"No Equipment in entity"))</f>
        <v>FCU0115</v>
      </c>
    </row>
    <row r="901" spans="1:9" x14ac:dyDescent="0.3">
      <c r="A901" t="s">
        <v>7346</v>
      </c>
      <c r="B901" t="s">
        <v>8131</v>
      </c>
      <c r="C901" t="s">
        <v>5858</v>
      </c>
      <c r="D901" t="str" cm="1">
        <f t="array" ref="D901">TRANSPOSE(_xlfn._xlws.FILTER('Controllable Asset Registry'!$A$4:$A$777,IFERROR('Controllable Asset Registry'!$E$4:$E$777=A901,FALSE),"No Equipment in entity"))</f>
        <v>No Equipment in entity</v>
      </c>
    </row>
    <row r="902" spans="1:9" x14ac:dyDescent="0.3">
      <c r="A902" t="s">
        <v>6124</v>
      </c>
      <c r="B902" t="s">
        <v>8132</v>
      </c>
      <c r="C902" t="s">
        <v>6734</v>
      </c>
      <c r="D902" t="str" cm="1">
        <f t="array" ref="D902">TRANSPOSE(_xlfn._xlws.FILTER('Controllable Asset Registry'!$A$4:$A$777,IFERROR('Controllable Asset Registry'!$E$4:$E$777=A902,FALSE),"No Equipment in entity"))</f>
        <v>FCU0113</v>
      </c>
    </row>
    <row r="903" spans="1:9" x14ac:dyDescent="0.3">
      <c r="A903" t="s">
        <v>7347</v>
      </c>
      <c r="B903" t="s">
        <v>8133</v>
      </c>
      <c r="C903" t="s">
        <v>6876</v>
      </c>
      <c r="D903" t="str" cm="1">
        <f t="array" ref="D903">TRANSPOSE(_xlfn._xlws.FILTER('Controllable Asset Registry'!$A$4:$A$777,IFERROR('Controllable Asset Registry'!$E$4:$E$777=A903,FALSE),"No Equipment in entity"))</f>
        <v>No Equipment in entity</v>
      </c>
    </row>
    <row r="904" spans="1:9" x14ac:dyDescent="0.3">
      <c r="A904" t="s">
        <v>7348</v>
      </c>
      <c r="B904" t="s">
        <v>8134</v>
      </c>
      <c r="C904" t="s">
        <v>6879</v>
      </c>
      <c r="D904" t="str" cm="1">
        <f t="array" ref="D904">TRANSPOSE(_xlfn._xlws.FILTER('Controllable Asset Registry'!$A$4:$A$777,IFERROR('Controllable Asset Registry'!$E$4:$E$777=A904,FALSE),"No Equipment in entity"))</f>
        <v>No Equipment in entity</v>
      </c>
    </row>
    <row r="905" spans="1:9" x14ac:dyDescent="0.3">
      <c r="A905" t="s">
        <v>7349</v>
      </c>
      <c r="B905" t="s">
        <v>8135</v>
      </c>
      <c r="C905" t="s">
        <v>5858</v>
      </c>
      <c r="D905" t="str" cm="1">
        <f t="array" ref="D905">TRANSPOSE(_xlfn._xlws.FILTER('Controllable Asset Registry'!$A$4:$A$777,IFERROR('Controllable Asset Registry'!$E$4:$E$777=A905,FALSE),"No Equipment in entity"))</f>
        <v>No Equipment in entity</v>
      </c>
    </row>
    <row r="906" spans="1:9" x14ac:dyDescent="0.3">
      <c r="A906" t="s">
        <v>6569</v>
      </c>
      <c r="B906" t="s">
        <v>8136</v>
      </c>
      <c r="C906" t="s">
        <v>7350</v>
      </c>
      <c r="D906" t="str" cm="1">
        <f t="array" ref="D906:I906">TRANSPOSE(_xlfn._xlws.FILTER('Controllable Asset Registry'!$A$4:$A$777,IFERROR('Controllable Asset Registry'!$E$4:$E$777=A906,FALSE),"No Equipment in entity"))</f>
        <v>VAV0522</v>
      </c>
      <c r="E906" t="str">
        <v>VAV0542</v>
      </c>
      <c r="F906" t="str">
        <v>VAV0543</v>
      </c>
      <c r="G906" t="str">
        <v>VAV0544</v>
      </c>
      <c r="H906" t="str">
        <v>VAV0545</v>
      </c>
      <c r="I906" t="str">
        <v>VAV0546</v>
      </c>
    </row>
    <row r="907" spans="1:9" x14ac:dyDescent="0.3">
      <c r="A907" t="s">
        <v>7351</v>
      </c>
      <c r="B907" t="s">
        <v>8137</v>
      </c>
      <c r="C907" t="s">
        <v>7125</v>
      </c>
      <c r="D907" t="str" cm="1">
        <f t="array" ref="D907">TRANSPOSE(_xlfn._xlws.FILTER('Controllable Asset Registry'!$A$4:$A$777,IFERROR('Controllable Asset Registry'!$E$4:$E$777=A907,FALSE),"No Equipment in entity"))</f>
        <v>No Equipment in entity</v>
      </c>
    </row>
    <row r="908" spans="1:9" x14ac:dyDescent="0.3">
      <c r="A908" t="s">
        <v>7352</v>
      </c>
      <c r="B908" t="s">
        <v>7353</v>
      </c>
      <c r="C908" t="s">
        <v>6893</v>
      </c>
      <c r="D908" t="str" cm="1">
        <f t="array" ref="D908">TRANSPOSE(_xlfn._xlws.FILTER('Controllable Asset Registry'!$A$4:$A$777,IFERROR('Controllable Asset Registry'!$E$4:$E$777=A908,FALSE),"No Equipment in entity"))</f>
        <v>No Equipment in entity</v>
      </c>
    </row>
    <row r="909" spans="1:9" x14ac:dyDescent="0.3">
      <c r="A909" t="s">
        <v>7354</v>
      </c>
      <c r="B909" t="s">
        <v>7355</v>
      </c>
      <c r="C909" t="s">
        <v>6896</v>
      </c>
      <c r="D909" t="str" cm="1">
        <f t="array" ref="D909">TRANSPOSE(_xlfn._xlws.FILTER('Controllable Asset Registry'!$A$4:$A$777,IFERROR('Controllable Asset Registry'!$E$4:$E$777=A909,FALSE),"No Equipment in entity"))</f>
        <v>No Equipment in entity</v>
      </c>
    </row>
    <row r="910" spans="1:9" x14ac:dyDescent="0.3">
      <c r="A910" t="s">
        <v>7356</v>
      </c>
      <c r="B910" t="s">
        <v>7357</v>
      </c>
      <c r="C910" t="s">
        <v>6899</v>
      </c>
      <c r="D910" t="str" cm="1">
        <f t="array" ref="D910">TRANSPOSE(_xlfn._xlws.FILTER('Controllable Asset Registry'!$A$4:$A$777,IFERROR('Controllable Asset Registry'!$E$4:$E$777=A910,FALSE),"No Equipment in entity"))</f>
        <v>No Equipment in entity</v>
      </c>
    </row>
    <row r="911" spans="1:9" x14ac:dyDescent="0.3">
      <c r="A911" t="s">
        <v>7358</v>
      </c>
      <c r="B911" t="s">
        <v>7359</v>
      </c>
      <c r="C911" t="s">
        <v>6763</v>
      </c>
      <c r="D911" t="str" cm="1">
        <f t="array" ref="D911">TRANSPOSE(_xlfn._xlws.FILTER('Controllable Asset Registry'!$A$4:$A$777,IFERROR('Controllable Asset Registry'!$E$4:$E$777=A911,FALSE),"No Equipment in entity"))</f>
        <v>No Equipment in entity</v>
      </c>
    </row>
    <row r="912" spans="1:9" x14ac:dyDescent="0.3">
      <c r="A912" t="s">
        <v>7360</v>
      </c>
      <c r="B912" t="s">
        <v>7361</v>
      </c>
      <c r="C912" t="s">
        <v>6766</v>
      </c>
      <c r="D912" t="str" cm="1">
        <f t="array" ref="D912">TRANSPOSE(_xlfn._xlws.FILTER('Controllable Asset Registry'!$A$4:$A$777,IFERROR('Controllable Asset Registry'!$E$4:$E$777=A912,FALSE),"No Equipment in entity"))</f>
        <v>No Equipment in entity</v>
      </c>
    </row>
    <row r="913" spans="1:4" x14ac:dyDescent="0.3">
      <c r="A913" t="s">
        <v>7362</v>
      </c>
      <c r="B913" t="s">
        <v>7363</v>
      </c>
      <c r="C913" t="s">
        <v>6769</v>
      </c>
      <c r="D913" t="str" cm="1">
        <f t="array" ref="D913">TRANSPOSE(_xlfn._xlws.FILTER('Controllable Asset Registry'!$A$4:$A$777,IFERROR('Controllable Asset Registry'!$E$4:$E$777=A913,FALSE),"No Equipment in entity"))</f>
        <v>No Equipment in entity</v>
      </c>
    </row>
    <row r="914" spans="1:4" x14ac:dyDescent="0.3">
      <c r="A914" t="s">
        <v>7364</v>
      </c>
      <c r="B914" t="s">
        <v>7365</v>
      </c>
      <c r="C914" t="s">
        <v>6908</v>
      </c>
      <c r="D914" t="str" cm="1">
        <f t="array" ref="D914">TRANSPOSE(_xlfn._xlws.FILTER('Controllable Asset Registry'!$A$4:$A$777,IFERROR('Controllable Asset Registry'!$E$4:$E$777=A914,FALSE),"No Equipment in entity"))</f>
        <v>No Equipment in entity</v>
      </c>
    </row>
    <row r="915" spans="1:4" x14ac:dyDescent="0.3">
      <c r="A915" t="s">
        <v>7366</v>
      </c>
      <c r="B915" t="s">
        <v>7367</v>
      </c>
      <c r="C915" t="s">
        <v>6774</v>
      </c>
      <c r="D915" t="str" cm="1">
        <f t="array" ref="D915">TRANSPOSE(_xlfn._xlws.FILTER('Controllable Asset Registry'!$A$4:$A$777,IFERROR('Controllable Asset Registry'!$E$4:$E$777=A915,FALSE),"No Equipment in entity"))</f>
        <v>No Equipment in entity</v>
      </c>
    </row>
    <row r="916" spans="1:4" x14ac:dyDescent="0.3">
      <c r="A916" t="s">
        <v>7368</v>
      </c>
      <c r="B916" t="s">
        <v>7369</v>
      </c>
      <c r="C916" t="s">
        <v>6776</v>
      </c>
      <c r="D916" t="str" cm="1">
        <f t="array" ref="D916">TRANSPOSE(_xlfn._xlws.FILTER('Controllable Asset Registry'!$A$4:$A$777,IFERROR('Controllable Asset Registry'!$E$4:$E$777=A916,FALSE),"No Equipment in entity"))</f>
        <v>No Equipment in entity</v>
      </c>
    </row>
    <row r="917" spans="1:4" x14ac:dyDescent="0.3">
      <c r="A917" t="s">
        <v>7370</v>
      </c>
      <c r="B917" t="s">
        <v>7371</v>
      </c>
      <c r="C917" t="s">
        <v>6915</v>
      </c>
      <c r="D917" t="str" cm="1">
        <f t="array" ref="D917">TRANSPOSE(_xlfn._xlws.FILTER('Controllable Asset Registry'!$A$4:$A$777,IFERROR('Controllable Asset Registry'!$E$4:$E$777=A917,FALSE),"No Equipment in entity"))</f>
        <v>No Equipment in entity</v>
      </c>
    </row>
    <row r="918" spans="1:4" x14ac:dyDescent="0.3">
      <c r="A918" t="s">
        <v>7372</v>
      </c>
      <c r="B918" t="s">
        <v>7373</v>
      </c>
      <c r="C918" t="s">
        <v>6779</v>
      </c>
      <c r="D918" t="str" cm="1">
        <f t="array" ref="D918">TRANSPOSE(_xlfn._xlws.FILTER('Controllable Asset Registry'!$A$4:$A$777,IFERROR('Controllable Asset Registry'!$E$4:$E$777=A918,FALSE),"No Equipment in entity"))</f>
        <v>No Equipment in entity</v>
      </c>
    </row>
    <row r="919" spans="1:4" x14ac:dyDescent="0.3">
      <c r="A919" t="s">
        <v>6601</v>
      </c>
      <c r="B919" t="s">
        <v>8138</v>
      </c>
      <c r="C919" t="s">
        <v>7374</v>
      </c>
      <c r="D919" t="str" cm="1">
        <f t="array" ref="D919">TRANSPOSE(_xlfn._xlws.FILTER('Controllable Asset Registry'!$A$4:$A$777,IFERROR('Controllable Asset Registry'!$E$4:$E$777=A919,FALSE),"No Equipment in entity"))</f>
        <v>VAV0568</v>
      </c>
    </row>
    <row r="920" spans="1:4" x14ac:dyDescent="0.3">
      <c r="A920" t="s">
        <v>6602</v>
      </c>
      <c r="B920" t="s">
        <v>8139</v>
      </c>
      <c r="C920" t="s">
        <v>7375</v>
      </c>
      <c r="D920" t="str" cm="1">
        <f t="array" ref="D920">TRANSPOSE(_xlfn._xlws.FILTER('Controllable Asset Registry'!$A$4:$A$777,IFERROR('Controllable Asset Registry'!$E$4:$E$777=A920,FALSE),"No Equipment in entity"))</f>
        <v>VAV0570</v>
      </c>
    </row>
    <row r="921" spans="1:4" x14ac:dyDescent="0.3">
      <c r="A921" t="s">
        <v>6603</v>
      </c>
      <c r="B921" t="s">
        <v>8140</v>
      </c>
      <c r="C921" t="s">
        <v>7376</v>
      </c>
      <c r="D921" t="str" cm="1">
        <f t="array" ref="D921">TRANSPOSE(_xlfn._xlws.FILTER('Controllable Asset Registry'!$A$4:$A$777,IFERROR('Controllable Asset Registry'!$E$4:$E$777=A921,FALSE),"No Equipment in entity"))</f>
        <v>VAV0571</v>
      </c>
    </row>
    <row r="922" spans="1:4" x14ac:dyDescent="0.3">
      <c r="A922" t="s">
        <v>6604</v>
      </c>
      <c r="B922" t="s">
        <v>8141</v>
      </c>
      <c r="C922" t="s">
        <v>7377</v>
      </c>
      <c r="D922" t="str" cm="1">
        <f t="array" ref="D922">TRANSPOSE(_xlfn._xlws.FILTER('Controllable Asset Registry'!$A$4:$A$777,IFERROR('Controllable Asset Registry'!$E$4:$E$777=A922,FALSE),"No Equipment in entity"))</f>
        <v>VAV0573</v>
      </c>
    </row>
    <row r="923" spans="1:4" x14ac:dyDescent="0.3">
      <c r="A923" t="s">
        <v>6605</v>
      </c>
      <c r="B923" t="s">
        <v>8142</v>
      </c>
      <c r="C923" t="s">
        <v>7378</v>
      </c>
      <c r="D923" t="str" cm="1">
        <f t="array" ref="D923">TRANSPOSE(_xlfn._xlws.FILTER('Controllable Asset Registry'!$A$4:$A$777,IFERROR('Controllable Asset Registry'!$E$4:$E$777=A923,FALSE),"No Equipment in entity"))</f>
        <v>VAV0574</v>
      </c>
    </row>
    <row r="924" spans="1:4" x14ac:dyDescent="0.3">
      <c r="A924" t="s">
        <v>6606</v>
      </c>
      <c r="B924" t="s">
        <v>8143</v>
      </c>
      <c r="C924" t="s">
        <v>7379</v>
      </c>
      <c r="D924" t="str" cm="1">
        <f t="array" ref="D924">TRANSPOSE(_xlfn._xlws.FILTER('Controllable Asset Registry'!$A$4:$A$777,IFERROR('Controllable Asset Registry'!$E$4:$E$777=A924,FALSE),"No Equipment in entity"))</f>
        <v>VAV0575</v>
      </c>
    </row>
    <row r="925" spans="1:4" x14ac:dyDescent="0.3">
      <c r="A925" t="s">
        <v>6618</v>
      </c>
      <c r="B925" t="s">
        <v>8144</v>
      </c>
      <c r="C925" t="s">
        <v>7380</v>
      </c>
      <c r="D925" t="str" cm="1">
        <f t="array" ref="D925">TRANSPOSE(_xlfn._xlws.FILTER('Controllable Asset Registry'!$A$4:$A$777,IFERROR('Controllable Asset Registry'!$E$4:$E$777=A925,FALSE),"No Equipment in entity"))</f>
        <v>VAV0602</v>
      </c>
    </row>
    <row r="926" spans="1:4" x14ac:dyDescent="0.3">
      <c r="A926" t="s">
        <v>6607</v>
      </c>
      <c r="B926" t="s">
        <v>8145</v>
      </c>
      <c r="C926" t="s">
        <v>7380</v>
      </c>
      <c r="D926" t="str" cm="1">
        <f t="array" ref="D926">TRANSPOSE(_xlfn._xlws.FILTER('Controllable Asset Registry'!$A$4:$A$777,IFERROR('Controllable Asset Registry'!$E$4:$E$777=A926,FALSE),"No Equipment in entity"))</f>
        <v>VAV0576</v>
      </c>
    </row>
    <row r="927" spans="1:4" x14ac:dyDescent="0.3">
      <c r="A927" t="s">
        <v>6608</v>
      </c>
      <c r="B927" t="s">
        <v>8146</v>
      </c>
      <c r="C927" t="s">
        <v>7381</v>
      </c>
      <c r="D927" t="str" cm="1">
        <f t="array" ref="D927">TRANSPOSE(_xlfn._xlws.FILTER('Controllable Asset Registry'!$A$4:$A$777,IFERROR('Controllable Asset Registry'!$E$4:$E$777=A927,FALSE),"No Equipment in entity"))</f>
        <v>VAV0577</v>
      </c>
    </row>
    <row r="928" spans="1:4" x14ac:dyDescent="0.3">
      <c r="A928" t="s">
        <v>6609</v>
      </c>
      <c r="B928" t="s">
        <v>8147</v>
      </c>
      <c r="C928" t="s">
        <v>7382</v>
      </c>
      <c r="D928" t="str" cm="1">
        <f t="array" ref="D928">TRANSPOSE(_xlfn._xlws.FILTER('Controllable Asset Registry'!$A$4:$A$777,IFERROR('Controllable Asset Registry'!$E$4:$E$777=A928,FALSE),"No Equipment in entity"))</f>
        <v>VAV0578</v>
      </c>
    </row>
    <row r="929" spans="1:5" x14ac:dyDescent="0.3">
      <c r="A929" t="s">
        <v>6610</v>
      </c>
      <c r="B929" t="s">
        <v>8148</v>
      </c>
      <c r="C929" t="s">
        <v>7381</v>
      </c>
      <c r="D929" t="str" cm="1">
        <f t="array" ref="D929">TRANSPOSE(_xlfn._xlws.FILTER('Controllable Asset Registry'!$A$4:$A$777,IFERROR('Controllable Asset Registry'!$E$4:$E$777=A929,FALSE),"No Equipment in entity"))</f>
        <v>VAV0579</v>
      </c>
    </row>
    <row r="930" spans="1:5" x14ac:dyDescent="0.3">
      <c r="A930" t="s">
        <v>6589</v>
      </c>
      <c r="B930" t="s">
        <v>8149</v>
      </c>
      <c r="C930" t="s">
        <v>7383</v>
      </c>
      <c r="D930" t="str" cm="1">
        <f t="array" ref="D930">TRANSPOSE(_xlfn._xlws.FILTER('Controllable Asset Registry'!$A$4:$A$777,IFERROR('Controllable Asset Registry'!$E$4:$E$777=A930,FALSE),"No Equipment in entity"))</f>
        <v>VAV0552</v>
      </c>
    </row>
    <row r="931" spans="1:5" x14ac:dyDescent="0.3">
      <c r="A931" t="s">
        <v>6590</v>
      </c>
      <c r="B931" t="s">
        <v>8150</v>
      </c>
      <c r="C931" t="s">
        <v>7384</v>
      </c>
      <c r="D931" t="str" cm="1">
        <f t="array" ref="D931">TRANSPOSE(_xlfn._xlws.FILTER('Controllable Asset Registry'!$A$4:$A$777,IFERROR('Controllable Asset Registry'!$E$4:$E$777=A931,FALSE),"No Equipment in entity"))</f>
        <v>VAV0553</v>
      </c>
    </row>
    <row r="932" spans="1:5" x14ac:dyDescent="0.3">
      <c r="A932" t="s">
        <v>6591</v>
      </c>
      <c r="B932" t="s">
        <v>8151</v>
      </c>
      <c r="C932" t="s">
        <v>7385</v>
      </c>
      <c r="D932" t="str" cm="1">
        <f t="array" ref="D932">TRANSPOSE(_xlfn._xlws.FILTER('Controllable Asset Registry'!$A$4:$A$777,IFERROR('Controllable Asset Registry'!$E$4:$E$777=A932,FALSE),"No Equipment in entity"))</f>
        <v>VAV0554</v>
      </c>
    </row>
    <row r="933" spans="1:5" x14ac:dyDescent="0.3">
      <c r="A933" t="s">
        <v>6592</v>
      </c>
      <c r="B933" t="s">
        <v>8152</v>
      </c>
      <c r="C933" t="s">
        <v>7384</v>
      </c>
      <c r="D933" t="str" cm="1">
        <f t="array" ref="D933">TRANSPOSE(_xlfn._xlws.FILTER('Controllable Asset Registry'!$A$4:$A$777,IFERROR('Controllable Asset Registry'!$E$4:$E$777=A933,FALSE),"No Equipment in entity"))</f>
        <v>VAV0555</v>
      </c>
    </row>
    <row r="934" spans="1:5" x14ac:dyDescent="0.3">
      <c r="A934" t="s">
        <v>6593</v>
      </c>
      <c r="B934" t="s">
        <v>8153</v>
      </c>
      <c r="C934" t="s">
        <v>7386</v>
      </c>
      <c r="D934" t="str" cm="1">
        <f t="array" ref="D934">TRANSPOSE(_xlfn._xlws.FILTER('Controllable Asset Registry'!$A$4:$A$777,IFERROR('Controllable Asset Registry'!$E$4:$E$777=A934,FALSE),"No Equipment in entity"))</f>
        <v>VAV0556</v>
      </c>
    </row>
    <row r="935" spans="1:5" x14ac:dyDescent="0.3">
      <c r="A935" t="s">
        <v>6594</v>
      </c>
      <c r="B935" t="s">
        <v>8154</v>
      </c>
      <c r="C935" t="s">
        <v>7387</v>
      </c>
      <c r="D935" t="str" cm="1">
        <f t="array" ref="D935">TRANSPOSE(_xlfn._xlws.FILTER('Controllable Asset Registry'!$A$4:$A$777,IFERROR('Controllable Asset Registry'!$E$4:$E$777=A935,FALSE),"No Equipment in entity"))</f>
        <v>VAV0557</v>
      </c>
    </row>
    <row r="936" spans="1:5" x14ac:dyDescent="0.3">
      <c r="A936" t="s">
        <v>6595</v>
      </c>
      <c r="B936" t="s">
        <v>8155</v>
      </c>
      <c r="C936" t="s">
        <v>7388</v>
      </c>
      <c r="D936" t="str" cm="1">
        <f t="array" ref="D936">TRANSPOSE(_xlfn._xlws.FILTER('Controllable Asset Registry'!$A$4:$A$777,IFERROR('Controllable Asset Registry'!$E$4:$E$777=A936,FALSE),"No Equipment in entity"))</f>
        <v>VAV0559</v>
      </c>
    </row>
    <row r="937" spans="1:5" x14ac:dyDescent="0.3">
      <c r="A937" t="s">
        <v>6596</v>
      </c>
      <c r="B937" t="s">
        <v>8156</v>
      </c>
      <c r="C937" t="s">
        <v>7389</v>
      </c>
      <c r="D937" t="str" cm="1">
        <f t="array" ref="D937">TRANSPOSE(_xlfn._xlws.FILTER('Controllable Asset Registry'!$A$4:$A$777,IFERROR('Controllable Asset Registry'!$E$4:$E$777=A937,FALSE),"No Equipment in entity"))</f>
        <v>VAV0560</v>
      </c>
    </row>
    <row r="938" spans="1:5" x14ac:dyDescent="0.3">
      <c r="A938" t="s">
        <v>6597</v>
      </c>
      <c r="B938" t="s">
        <v>8157</v>
      </c>
      <c r="C938" t="s">
        <v>7388</v>
      </c>
      <c r="D938" t="str" cm="1">
        <f t="array" ref="D938">TRANSPOSE(_xlfn._xlws.FILTER('Controllable Asset Registry'!$A$4:$A$777,IFERROR('Controllable Asset Registry'!$E$4:$E$777=A938,FALSE),"No Equipment in entity"))</f>
        <v>VAV0561</v>
      </c>
    </row>
    <row r="939" spans="1:5" x14ac:dyDescent="0.3">
      <c r="A939" t="s">
        <v>6598</v>
      </c>
      <c r="B939" t="s">
        <v>8158</v>
      </c>
      <c r="C939" t="s">
        <v>7390</v>
      </c>
      <c r="D939" t="str" cm="1">
        <f t="array" ref="D939">TRANSPOSE(_xlfn._xlws.FILTER('Controllable Asset Registry'!$A$4:$A$777,IFERROR('Controllable Asset Registry'!$E$4:$E$777=A939,FALSE),"No Equipment in entity"))</f>
        <v>VAV0562</v>
      </c>
    </row>
    <row r="940" spans="1:5" x14ac:dyDescent="0.3">
      <c r="A940" t="s">
        <v>6599</v>
      </c>
      <c r="B940" t="s">
        <v>8159</v>
      </c>
      <c r="C940" t="s">
        <v>7391</v>
      </c>
      <c r="D940" t="str" cm="1">
        <f t="array" ref="D940:E940">TRANSPOSE(_xlfn._xlws.FILTER('Controllable Asset Registry'!$A$4:$A$777,IFERROR('Controllable Asset Registry'!$E$4:$E$777=A940,FALSE),"No Equipment in entity"))</f>
        <v>VAV0564</v>
      </c>
      <c r="E940" t="str">
        <v>VAV0565</v>
      </c>
    </row>
    <row r="941" spans="1:5" x14ac:dyDescent="0.3">
      <c r="A941" t="s">
        <v>6600</v>
      </c>
      <c r="B941" t="s">
        <v>8160</v>
      </c>
      <c r="C941" t="s">
        <v>7392</v>
      </c>
      <c r="D941" t="str" cm="1">
        <f t="array" ref="D941">TRANSPOSE(_xlfn._xlws.FILTER('Controllable Asset Registry'!$A$4:$A$777,IFERROR('Controllable Asset Registry'!$E$4:$E$777=A941,FALSE),"No Equipment in entity"))</f>
        <v>VAV0567</v>
      </c>
    </row>
    <row r="942" spans="1:5" x14ac:dyDescent="0.3">
      <c r="A942" t="s">
        <v>7393</v>
      </c>
      <c r="B942" t="s">
        <v>8161</v>
      </c>
      <c r="C942" t="s">
        <v>7337</v>
      </c>
      <c r="D942" t="str" cm="1">
        <f t="array" ref="D942">TRANSPOSE(_xlfn._xlws.FILTER('Controllable Asset Registry'!$A$4:$A$777,IFERROR('Controllable Asset Registry'!$E$4:$E$777=A942,FALSE),"No Equipment in entity"))</f>
        <v>No Equipment in entity</v>
      </c>
    </row>
    <row r="943" spans="1:5" x14ac:dyDescent="0.3">
      <c r="A943" t="s">
        <v>6620</v>
      </c>
      <c r="B943" t="s">
        <v>8162</v>
      </c>
      <c r="C943" t="s">
        <v>7394</v>
      </c>
      <c r="D943" t="str" cm="1">
        <f t="array" ref="D943:E943">TRANSPOSE(_xlfn._xlws.FILTER('Controllable Asset Registry'!$A$4:$A$777,IFERROR('Controllable Asset Registry'!$E$4:$E$777=A943,FALSE),"No Equipment in entity"))</f>
        <v>VAV0605</v>
      </c>
      <c r="E943" t="str">
        <v>VAV0606</v>
      </c>
    </row>
    <row r="944" spans="1:5" x14ac:dyDescent="0.3">
      <c r="A944" t="s">
        <v>7395</v>
      </c>
      <c r="B944" t="s">
        <v>8163</v>
      </c>
      <c r="C944" t="s">
        <v>6807</v>
      </c>
      <c r="D944" t="str" cm="1">
        <f t="array" ref="D944">TRANSPOSE(_xlfn._xlws.FILTER('Controllable Asset Registry'!$A$4:$A$777,IFERROR('Controllable Asset Registry'!$E$4:$E$777=A944,FALSE),"No Equipment in entity"))</f>
        <v>No Equipment in entity</v>
      </c>
    </row>
    <row r="945" spans="1:7" x14ac:dyDescent="0.3">
      <c r="A945" t="s">
        <v>7396</v>
      </c>
      <c r="B945" t="s">
        <v>8164</v>
      </c>
      <c r="C945" t="s">
        <v>6965</v>
      </c>
      <c r="D945" t="str" cm="1">
        <f t="array" ref="D945">TRANSPOSE(_xlfn._xlws.FILTER('Controllable Asset Registry'!$A$4:$A$777,IFERROR('Controllable Asset Registry'!$E$4:$E$777=A945,FALSE),"No Equipment in entity"))</f>
        <v>No Equipment in entity</v>
      </c>
    </row>
    <row r="946" spans="1:7" x14ac:dyDescent="0.3">
      <c r="A946" t="s">
        <v>6132</v>
      </c>
      <c r="B946" t="s">
        <v>8165</v>
      </c>
      <c r="C946" t="s">
        <v>7397</v>
      </c>
      <c r="D946" t="str" cm="1">
        <f t="array" ref="D946">TRANSPOSE(_xlfn._xlws.FILTER('Controllable Asset Registry'!$A$4:$A$777,IFERROR('Controllable Asset Registry'!$E$4:$E$777=A946,FALSE),"No Equipment in entity"))</f>
        <v>FCU0122</v>
      </c>
    </row>
    <row r="947" spans="1:7" x14ac:dyDescent="0.3">
      <c r="A947" t="s">
        <v>6134</v>
      </c>
      <c r="B947" t="s">
        <v>8166</v>
      </c>
      <c r="C947" t="s">
        <v>7398</v>
      </c>
      <c r="D947" t="str" cm="1">
        <f t="array" ref="D947">TRANSPOSE(_xlfn._xlws.FILTER('Controllable Asset Registry'!$A$4:$A$777,IFERROR('Controllable Asset Registry'!$E$4:$E$777=A947,FALSE),"No Equipment in entity"))</f>
        <v>FCU0124</v>
      </c>
    </row>
    <row r="948" spans="1:7" x14ac:dyDescent="0.3">
      <c r="A948" t="s">
        <v>6133</v>
      </c>
      <c r="B948" t="s">
        <v>8167</v>
      </c>
      <c r="C948" t="s">
        <v>6936</v>
      </c>
      <c r="D948" t="str" cm="1">
        <f t="array" ref="D948">TRANSPOSE(_xlfn._xlws.FILTER('Controllable Asset Registry'!$A$4:$A$777,IFERROR('Controllable Asset Registry'!$E$4:$E$777=A948,FALSE),"No Equipment in entity"))</f>
        <v>FCU0123</v>
      </c>
    </row>
    <row r="949" spans="1:7" x14ac:dyDescent="0.3">
      <c r="A949" t="s">
        <v>6131</v>
      </c>
      <c r="B949" t="s">
        <v>8168</v>
      </c>
      <c r="C949" t="s">
        <v>6714</v>
      </c>
      <c r="D949" t="str" cm="1">
        <f t="array" ref="D949">TRANSPOSE(_xlfn._xlws.FILTER('Controllable Asset Registry'!$A$4:$A$777,IFERROR('Controllable Asset Registry'!$E$4:$E$777=A949,FALSE),"No Equipment in entity"))</f>
        <v>FCU0121</v>
      </c>
    </row>
    <row r="950" spans="1:7" x14ac:dyDescent="0.3">
      <c r="A950" t="s">
        <v>6612</v>
      </c>
      <c r="B950" t="s">
        <v>8169</v>
      </c>
      <c r="C950" t="s">
        <v>7399</v>
      </c>
      <c r="D950" t="str" cm="1">
        <f t="array" ref="D950:E950">TRANSPOSE(_xlfn._xlws.FILTER('Controllable Asset Registry'!$A$4:$A$777,IFERROR('Controllable Asset Registry'!$E$4:$E$777=A950,FALSE),"No Equipment in entity"))</f>
        <v>VAV0582</v>
      </c>
      <c r="E950" t="str">
        <v>VAV0583</v>
      </c>
    </row>
    <row r="951" spans="1:7" x14ac:dyDescent="0.3">
      <c r="A951" t="s">
        <v>6613</v>
      </c>
      <c r="B951" t="s">
        <v>8170</v>
      </c>
      <c r="C951" t="s">
        <v>7400</v>
      </c>
      <c r="D951" t="str" cm="1">
        <f t="array" ref="D951:G951">TRANSPOSE(_xlfn._xlws.FILTER('Controllable Asset Registry'!$A$4:$A$777,IFERROR('Controllable Asset Registry'!$E$4:$E$777=A951,FALSE),"No Equipment in entity"))</f>
        <v>VAV0584</v>
      </c>
      <c r="E951" t="str">
        <v>VAV0585</v>
      </c>
      <c r="F951" t="str">
        <v>VAV0586</v>
      </c>
      <c r="G951" t="str">
        <v>VAV0587</v>
      </c>
    </row>
    <row r="952" spans="1:7" x14ac:dyDescent="0.3">
      <c r="A952" t="s">
        <v>6614</v>
      </c>
      <c r="B952" t="s">
        <v>8171</v>
      </c>
      <c r="C952" t="s">
        <v>7401</v>
      </c>
      <c r="D952" t="str" cm="1">
        <f t="array" ref="D952:E952">TRANSPOSE(_xlfn._xlws.FILTER('Controllable Asset Registry'!$A$4:$A$777,IFERROR('Controllable Asset Registry'!$E$4:$E$777=A952,FALSE),"No Equipment in entity"))</f>
        <v>VAV0588</v>
      </c>
      <c r="E952" t="str">
        <v>VAV0589</v>
      </c>
    </row>
    <row r="953" spans="1:7" x14ac:dyDescent="0.3">
      <c r="A953" t="s">
        <v>6615</v>
      </c>
      <c r="B953" t="s">
        <v>8172</v>
      </c>
      <c r="C953" t="s">
        <v>7402</v>
      </c>
      <c r="D953" t="str" cm="1">
        <f t="array" ref="D953:E953">TRANSPOSE(_xlfn._xlws.FILTER('Controllable Asset Registry'!$A$4:$A$777,IFERROR('Controllable Asset Registry'!$E$4:$E$777=A953,FALSE),"No Equipment in entity"))</f>
        <v>VAV0590</v>
      </c>
      <c r="E953" t="str">
        <v>VAV0591</v>
      </c>
    </row>
    <row r="954" spans="1:7" x14ac:dyDescent="0.3">
      <c r="A954" t="s">
        <v>7403</v>
      </c>
      <c r="B954" t="s">
        <v>8173</v>
      </c>
      <c r="C954" t="s">
        <v>6725</v>
      </c>
      <c r="D954" t="str" cm="1">
        <f t="array" ref="D954">TRANSPOSE(_xlfn._xlws.FILTER('Controllable Asset Registry'!$A$4:$A$777,IFERROR('Controllable Asset Registry'!$E$4:$E$777=A954,FALSE),"No Equipment in entity"))</f>
        <v>No Equipment in entity</v>
      </c>
    </row>
    <row r="955" spans="1:7" x14ac:dyDescent="0.3">
      <c r="A955" t="s">
        <v>7404</v>
      </c>
      <c r="B955" t="s">
        <v>8174</v>
      </c>
      <c r="C955" t="s">
        <v>6728</v>
      </c>
      <c r="D955" t="str" cm="1">
        <f t="array" ref="D955">TRANSPOSE(_xlfn._xlws.FILTER('Controllable Asset Registry'!$A$4:$A$777,IFERROR('Controllable Asset Registry'!$E$4:$E$777=A955,FALSE),"No Equipment in entity"))</f>
        <v>No Equipment in entity</v>
      </c>
    </row>
    <row r="956" spans="1:7" x14ac:dyDescent="0.3">
      <c r="A956" t="s">
        <v>7405</v>
      </c>
      <c r="B956" t="s">
        <v>8175</v>
      </c>
      <c r="C956" t="s">
        <v>7406</v>
      </c>
      <c r="D956" t="str" cm="1">
        <f t="array" ref="D956">TRANSPOSE(_xlfn._xlws.FILTER('Controllable Asset Registry'!$A$4:$A$777,IFERROR('Controllable Asset Registry'!$E$4:$E$777=A956,FALSE),"No Equipment in entity"))</f>
        <v>No Equipment in entity</v>
      </c>
    </row>
    <row r="957" spans="1:7" x14ac:dyDescent="0.3">
      <c r="A957" t="s">
        <v>7407</v>
      </c>
      <c r="B957" t="s">
        <v>8176</v>
      </c>
      <c r="C957" t="s">
        <v>5861</v>
      </c>
      <c r="D957" t="str" cm="1">
        <f t="array" ref="D957">TRANSPOSE(_xlfn._xlws.FILTER('Controllable Asset Registry'!$A$4:$A$777,IFERROR('Controllable Asset Registry'!$E$4:$E$777=A957,FALSE),"No Equipment in entity"))</f>
        <v>No Equipment in entity</v>
      </c>
    </row>
    <row r="958" spans="1:7" x14ac:dyDescent="0.3">
      <c r="A958" t="s">
        <v>7408</v>
      </c>
      <c r="B958" t="s">
        <v>8177</v>
      </c>
      <c r="C958" t="s">
        <v>5861</v>
      </c>
      <c r="D958" t="str" cm="1">
        <f t="array" ref="D958">TRANSPOSE(_xlfn._xlws.FILTER('Controllable Asset Registry'!$A$4:$A$777,IFERROR('Controllable Asset Registry'!$E$4:$E$777=A958,FALSE),"No Equipment in entity"))</f>
        <v>No Equipment in entity</v>
      </c>
    </row>
    <row r="959" spans="1:7" x14ac:dyDescent="0.3">
      <c r="A959" t="s">
        <v>7409</v>
      </c>
      <c r="B959" t="s">
        <v>8178</v>
      </c>
      <c r="C959" t="s">
        <v>5861</v>
      </c>
      <c r="D959" t="str" cm="1">
        <f t="array" ref="D959">TRANSPOSE(_xlfn._xlws.FILTER('Controllable Asset Registry'!$A$4:$A$777,IFERROR('Controllable Asset Registry'!$E$4:$E$777=A959,FALSE),"No Equipment in entity"))</f>
        <v>No Equipment in entity</v>
      </c>
    </row>
    <row r="960" spans="1:7" x14ac:dyDescent="0.3">
      <c r="A960" t="s">
        <v>7410</v>
      </c>
      <c r="B960" t="s">
        <v>8179</v>
      </c>
      <c r="C960" t="s">
        <v>5861</v>
      </c>
      <c r="D960" t="str" cm="1">
        <f t="array" ref="D960">TRANSPOSE(_xlfn._xlws.FILTER('Controllable Asset Registry'!$A$4:$A$777,IFERROR('Controllable Asset Registry'!$E$4:$E$777=A960,FALSE),"No Equipment in entity"))</f>
        <v>No Equipment in entity</v>
      </c>
    </row>
    <row r="961" spans="1:5" x14ac:dyDescent="0.3">
      <c r="A961" t="s">
        <v>7411</v>
      </c>
      <c r="B961" t="s">
        <v>8180</v>
      </c>
      <c r="C961" t="s">
        <v>5861</v>
      </c>
      <c r="D961" t="str" cm="1">
        <f t="array" ref="D961">TRANSPOSE(_xlfn._xlws.FILTER('Controllable Asset Registry'!$A$4:$A$777,IFERROR('Controllable Asset Registry'!$E$4:$E$777=A961,FALSE),"No Equipment in entity"))</f>
        <v>No Equipment in entity</v>
      </c>
    </row>
    <row r="962" spans="1:5" x14ac:dyDescent="0.3">
      <c r="A962" t="s">
        <v>7412</v>
      </c>
      <c r="B962" t="s">
        <v>8181</v>
      </c>
      <c r="C962" t="s">
        <v>5861</v>
      </c>
      <c r="D962" t="str" cm="1">
        <f t="array" ref="D962">TRANSPOSE(_xlfn._xlws.FILTER('Controllable Asset Registry'!$A$4:$A$777,IFERROR('Controllable Asset Registry'!$E$4:$E$777=A962,FALSE),"No Equipment in entity"))</f>
        <v>No Equipment in entity</v>
      </c>
    </row>
    <row r="963" spans="1:5" x14ac:dyDescent="0.3">
      <c r="A963" t="s">
        <v>7413</v>
      </c>
      <c r="B963" t="s">
        <v>8182</v>
      </c>
      <c r="C963" t="s">
        <v>5861</v>
      </c>
      <c r="D963" t="str" cm="1">
        <f t="array" ref="D963">TRANSPOSE(_xlfn._xlws.FILTER('Controllable Asset Registry'!$A$4:$A$777,IFERROR('Controllable Asset Registry'!$E$4:$E$777=A963,FALSE),"No Equipment in entity"))</f>
        <v>No Equipment in entity</v>
      </c>
    </row>
    <row r="964" spans="1:5" x14ac:dyDescent="0.3">
      <c r="A964" t="s">
        <v>7414</v>
      </c>
      <c r="B964" t="s">
        <v>8183</v>
      </c>
      <c r="C964" t="s">
        <v>5861</v>
      </c>
      <c r="D964" t="str" cm="1">
        <f t="array" ref="D964">TRANSPOSE(_xlfn._xlws.FILTER('Controllable Asset Registry'!$A$4:$A$777,IFERROR('Controllable Asset Registry'!$E$4:$E$777=A964,FALSE),"No Equipment in entity"))</f>
        <v>No Equipment in entity</v>
      </c>
    </row>
    <row r="965" spans="1:5" x14ac:dyDescent="0.3">
      <c r="A965" t="s">
        <v>7415</v>
      </c>
      <c r="B965" t="s">
        <v>8184</v>
      </c>
      <c r="C965" t="s">
        <v>5861</v>
      </c>
      <c r="D965" t="str" cm="1">
        <f t="array" ref="D965">TRANSPOSE(_xlfn._xlws.FILTER('Controllable Asset Registry'!$A$4:$A$777,IFERROR('Controllable Asset Registry'!$E$4:$E$777=A965,FALSE),"No Equipment in entity"))</f>
        <v>No Equipment in entity</v>
      </c>
    </row>
    <row r="966" spans="1:5" x14ac:dyDescent="0.3">
      <c r="A966" t="s">
        <v>7416</v>
      </c>
      <c r="B966" t="s">
        <v>8185</v>
      </c>
      <c r="C966" t="s">
        <v>5858</v>
      </c>
      <c r="D966" t="str" cm="1">
        <f t="array" ref="D966">TRANSPOSE(_xlfn._xlws.FILTER('Controllable Asset Registry'!$A$4:$A$777,IFERROR('Controllable Asset Registry'!$E$4:$E$777=A966,FALSE),"No Equipment in entity"))</f>
        <v>No Equipment in entity</v>
      </c>
    </row>
    <row r="967" spans="1:5" x14ac:dyDescent="0.3">
      <c r="A967" t="s">
        <v>6135</v>
      </c>
      <c r="B967" t="s">
        <v>8186</v>
      </c>
      <c r="C967" t="s">
        <v>6734</v>
      </c>
      <c r="D967" t="str" cm="1">
        <f t="array" ref="D967">TRANSPOSE(_xlfn._xlws.FILTER('Controllable Asset Registry'!$A$4:$A$777,IFERROR('Controllable Asset Registry'!$E$4:$E$777=A967,FALSE),"No Equipment in entity"))</f>
        <v>FCU0125</v>
      </c>
    </row>
    <row r="968" spans="1:5" x14ac:dyDescent="0.3">
      <c r="A968" t="s">
        <v>7417</v>
      </c>
      <c r="B968" t="s">
        <v>8187</v>
      </c>
      <c r="C968" t="s">
        <v>5858</v>
      </c>
      <c r="D968" t="str" cm="1">
        <f t="array" ref="D968">TRANSPOSE(_xlfn._xlws.FILTER('Controllable Asset Registry'!$A$4:$A$777,IFERROR('Controllable Asset Registry'!$E$4:$E$777=A968,FALSE),"No Equipment in entity"))</f>
        <v>No Equipment in entity</v>
      </c>
    </row>
    <row r="969" spans="1:5" x14ac:dyDescent="0.3">
      <c r="A969" t="s">
        <v>6130</v>
      </c>
      <c r="B969" t="s">
        <v>8188</v>
      </c>
      <c r="C969" t="s">
        <v>6734</v>
      </c>
      <c r="D969" t="str" cm="1">
        <f t="array" ref="D969:E969">TRANSPOSE(_xlfn._xlws.FILTER('Controllable Asset Registry'!$A$4:$A$777,IFERROR('Controllable Asset Registry'!$E$4:$E$777=A969,FALSE),"No Equipment in entity"))</f>
        <v>FCU0119</v>
      </c>
      <c r="E969" t="str">
        <v>FCU0120</v>
      </c>
    </row>
    <row r="970" spans="1:5" x14ac:dyDescent="0.3">
      <c r="A970" t="s">
        <v>7418</v>
      </c>
      <c r="B970" t="s">
        <v>8189</v>
      </c>
      <c r="C970" t="s">
        <v>7119</v>
      </c>
      <c r="D970" t="str" cm="1">
        <f t="array" ref="D970">TRANSPOSE(_xlfn._xlws.FILTER('Controllable Asset Registry'!$A$4:$A$777,IFERROR('Controllable Asset Registry'!$E$4:$E$777=A970,FALSE),"No Equipment in entity"))</f>
        <v>No Equipment in entity</v>
      </c>
    </row>
    <row r="971" spans="1:5" x14ac:dyDescent="0.3">
      <c r="A971" t="s">
        <v>7419</v>
      </c>
      <c r="B971" t="s">
        <v>8190</v>
      </c>
      <c r="C971" t="s">
        <v>6879</v>
      </c>
      <c r="D971" t="str" cm="1">
        <f t="array" ref="D971">TRANSPOSE(_xlfn._xlws.FILTER('Controllable Asset Registry'!$A$4:$A$777,IFERROR('Controllable Asset Registry'!$E$4:$E$777=A971,FALSE),"No Equipment in entity"))</f>
        <v>No Equipment in entity</v>
      </c>
    </row>
    <row r="972" spans="1:5" x14ac:dyDescent="0.3">
      <c r="A972" t="s">
        <v>7420</v>
      </c>
      <c r="B972" t="s">
        <v>8191</v>
      </c>
      <c r="C972" t="s">
        <v>5858</v>
      </c>
      <c r="D972" t="str" cm="1">
        <f t="array" ref="D972">TRANSPOSE(_xlfn._xlws.FILTER('Controllable Asset Registry'!$A$4:$A$777,IFERROR('Controllable Asset Registry'!$E$4:$E$777=A972,FALSE),"No Equipment in entity"))</f>
        <v>No Equipment in entity</v>
      </c>
    </row>
    <row r="973" spans="1:5" x14ac:dyDescent="0.3">
      <c r="A973" t="s">
        <v>7421</v>
      </c>
      <c r="B973" t="s">
        <v>8192</v>
      </c>
      <c r="C973" t="s">
        <v>7422</v>
      </c>
      <c r="D973" t="str" cm="1">
        <f t="array" ref="D973">TRANSPOSE(_xlfn._xlws.FILTER('Controllable Asset Registry'!$A$4:$A$777,IFERROR('Controllable Asset Registry'!$E$4:$E$777=A973,FALSE),"No Equipment in entity"))</f>
        <v>No Equipment in entity</v>
      </c>
    </row>
    <row r="974" spans="1:5" x14ac:dyDescent="0.3">
      <c r="A974" t="s">
        <v>7423</v>
      </c>
      <c r="B974" t="s">
        <v>8193</v>
      </c>
      <c r="C974" t="s">
        <v>7125</v>
      </c>
      <c r="D974" t="str" cm="1">
        <f t="array" ref="D974">TRANSPOSE(_xlfn._xlws.FILTER('Controllable Asset Registry'!$A$4:$A$777,IFERROR('Controllable Asset Registry'!$E$4:$E$777=A974,FALSE),"No Equipment in entity"))</f>
        <v>No Equipment in entity</v>
      </c>
    </row>
    <row r="975" spans="1:5" x14ac:dyDescent="0.3">
      <c r="A975" t="s">
        <v>7424</v>
      </c>
      <c r="B975" t="s">
        <v>8194</v>
      </c>
      <c r="C975" t="s">
        <v>7425</v>
      </c>
      <c r="D975" t="str" cm="1">
        <f t="array" ref="D975">TRANSPOSE(_xlfn._xlws.FILTER('Controllable Asset Registry'!$A$4:$A$777,IFERROR('Controllable Asset Registry'!$E$4:$E$777=A975,FALSE),"No Equipment in entity"))</f>
        <v>No Equipment in entity</v>
      </c>
    </row>
    <row r="976" spans="1:5" x14ac:dyDescent="0.3">
      <c r="A976" t="s">
        <v>7426</v>
      </c>
      <c r="B976" t="s">
        <v>7427</v>
      </c>
      <c r="C976" t="s">
        <v>6893</v>
      </c>
      <c r="D976" t="str" cm="1">
        <f t="array" ref="D976">TRANSPOSE(_xlfn._xlws.FILTER('Controllable Asset Registry'!$A$4:$A$777,IFERROR('Controllable Asset Registry'!$E$4:$E$777=A976,FALSE),"No Equipment in entity"))</f>
        <v>No Equipment in entity</v>
      </c>
    </row>
    <row r="977" spans="1:12" x14ac:dyDescent="0.3">
      <c r="A977" t="s">
        <v>7428</v>
      </c>
      <c r="B977" t="s">
        <v>7429</v>
      </c>
      <c r="C977" t="s">
        <v>6896</v>
      </c>
      <c r="D977" t="str" cm="1">
        <f t="array" ref="D977">TRANSPOSE(_xlfn._xlws.FILTER('Controllable Asset Registry'!$A$4:$A$777,IFERROR('Controllable Asset Registry'!$E$4:$E$777=A977,FALSE),"No Equipment in entity"))</f>
        <v>No Equipment in entity</v>
      </c>
    </row>
    <row r="978" spans="1:12" x14ac:dyDescent="0.3">
      <c r="A978" t="s">
        <v>7430</v>
      </c>
      <c r="B978" t="s">
        <v>7431</v>
      </c>
      <c r="C978" t="s">
        <v>6899</v>
      </c>
      <c r="D978" t="str" cm="1">
        <f t="array" ref="D978">TRANSPOSE(_xlfn._xlws.FILTER('Controllable Asset Registry'!$A$4:$A$777,IFERROR('Controllable Asset Registry'!$E$4:$E$777=A978,FALSE),"No Equipment in entity"))</f>
        <v>No Equipment in entity</v>
      </c>
    </row>
    <row r="979" spans="1:12" x14ac:dyDescent="0.3">
      <c r="A979" t="s">
        <v>7432</v>
      </c>
      <c r="B979" t="s">
        <v>7433</v>
      </c>
      <c r="C979" t="s">
        <v>6763</v>
      </c>
      <c r="D979" t="str" cm="1">
        <f t="array" ref="D979">TRANSPOSE(_xlfn._xlws.FILTER('Controllable Asset Registry'!$A$4:$A$777,IFERROR('Controllable Asset Registry'!$E$4:$E$777=A979,FALSE),"No Equipment in entity"))</f>
        <v>No Equipment in entity</v>
      </c>
    </row>
    <row r="980" spans="1:12" x14ac:dyDescent="0.3">
      <c r="A980" t="s">
        <v>7434</v>
      </c>
      <c r="B980" t="s">
        <v>7435</v>
      </c>
      <c r="C980" t="s">
        <v>6766</v>
      </c>
      <c r="D980" t="str" cm="1">
        <f t="array" ref="D980">TRANSPOSE(_xlfn._xlws.FILTER('Controllable Asset Registry'!$A$4:$A$777,IFERROR('Controllable Asset Registry'!$E$4:$E$777=A980,FALSE),"No Equipment in entity"))</f>
        <v>No Equipment in entity</v>
      </c>
    </row>
    <row r="981" spans="1:12" x14ac:dyDescent="0.3">
      <c r="A981" t="s">
        <v>7436</v>
      </c>
      <c r="B981" t="s">
        <v>7437</v>
      </c>
      <c r="C981" t="s">
        <v>6769</v>
      </c>
      <c r="D981" t="str" cm="1">
        <f t="array" ref="D981">TRANSPOSE(_xlfn._xlws.FILTER('Controllable Asset Registry'!$A$4:$A$777,IFERROR('Controllable Asset Registry'!$E$4:$E$777=A981,FALSE),"No Equipment in entity"))</f>
        <v>No Equipment in entity</v>
      </c>
    </row>
    <row r="982" spans="1:12" x14ac:dyDescent="0.3">
      <c r="A982" t="s">
        <v>7438</v>
      </c>
      <c r="B982" t="s">
        <v>7439</v>
      </c>
      <c r="C982" t="s">
        <v>6776</v>
      </c>
      <c r="D982" t="str" cm="1">
        <f t="array" ref="D982">TRANSPOSE(_xlfn._xlws.FILTER('Controllable Asset Registry'!$A$4:$A$777,IFERROR('Controllable Asset Registry'!$E$4:$E$777=A982,FALSE),"No Equipment in entity"))</f>
        <v>No Equipment in entity</v>
      </c>
    </row>
    <row r="983" spans="1:12" x14ac:dyDescent="0.3">
      <c r="A983" t="s">
        <v>7440</v>
      </c>
      <c r="B983" t="s">
        <v>7441</v>
      </c>
      <c r="C983" t="s">
        <v>6915</v>
      </c>
      <c r="D983" t="str" cm="1">
        <f t="array" ref="D983">TRANSPOSE(_xlfn._xlws.FILTER('Controllable Asset Registry'!$A$4:$A$777,IFERROR('Controllable Asset Registry'!$E$4:$E$777=A983,FALSE),"No Equipment in entity"))</f>
        <v>No Equipment in entity</v>
      </c>
    </row>
    <row r="984" spans="1:12" x14ac:dyDescent="0.3">
      <c r="A984" t="s">
        <v>7442</v>
      </c>
      <c r="B984" t="s">
        <v>7443</v>
      </c>
      <c r="C984" t="s">
        <v>6779</v>
      </c>
      <c r="D984" t="str" cm="1">
        <f t="array" ref="D984">TRANSPOSE(_xlfn._xlws.FILTER('Controllable Asset Registry'!$A$4:$A$777,IFERROR('Controllable Asset Registry'!$E$4:$E$777=A984,FALSE),"No Equipment in entity"))</f>
        <v>No Equipment in entity</v>
      </c>
    </row>
    <row r="985" spans="1:12" x14ac:dyDescent="0.3">
      <c r="A985" t="s">
        <v>8213</v>
      </c>
      <c r="B985" t="s">
        <v>8447</v>
      </c>
      <c r="C985" t="s">
        <v>7444</v>
      </c>
      <c r="D985" t="str" cm="1">
        <f t="array" ref="D985:L985">TRANSPOSE(_xlfn._xlws.FILTER('Controllable Asset Registry'!$A$4:$A$777,IFERROR('Controllable Asset Registry'!$E$4:$E$777=A985,FALSE),"No Equipment in entity"))</f>
        <v>AHU12_0001</v>
      </c>
      <c r="E985" t="str">
        <v>AHU12_0002</v>
      </c>
      <c r="F985" t="str">
        <v>AHU12_0003</v>
      </c>
      <c r="G985" t="str">
        <v>AHU12_0004</v>
      </c>
      <c r="H985" t="str">
        <v>AHU12_0006</v>
      </c>
      <c r="I985" t="str">
        <v>AHU12_0007</v>
      </c>
      <c r="J985" t="str">
        <v>AHU12_0008</v>
      </c>
      <c r="K985" t="str">
        <v>AHU12_0009</v>
      </c>
      <c r="L985" t="str">
        <v>AHU12_0010</v>
      </c>
    </row>
    <row r="986" spans="1:12" x14ac:dyDescent="0.3">
      <c r="A986" t="s">
        <v>6076</v>
      </c>
      <c r="B986" t="s">
        <v>8195</v>
      </c>
      <c r="C986" t="s">
        <v>7125</v>
      </c>
      <c r="D986" t="str" cm="1">
        <f t="array" ref="D986:F986">TRANSPOSE(_xlfn._xlws.FILTER('Controllable Asset Registry'!$A$4:$A$777,IFERROR('Controllable Asset Registry'!$E$4:$E$777=A986,FALSE),"No Equipment in entity"))</f>
        <v>FCU0025</v>
      </c>
      <c r="E986" t="str">
        <v>FCU0026</v>
      </c>
      <c r="F986" t="str">
        <v>FCU0027</v>
      </c>
    </row>
    <row r="987" spans="1:12" x14ac:dyDescent="0.3">
      <c r="A987" t="s">
        <v>8214</v>
      </c>
      <c r="B987">
        <v>5.2140000000000004</v>
      </c>
      <c r="C987" t="s">
        <v>7107</v>
      </c>
      <c r="D987" t="str" cm="1">
        <f t="array" ref="D987:E987">TRANSPOSE(_xlfn._xlws.FILTER('Controllable Asset Registry'!$A$4:$A$777,IFERROR('Controllable Asset Registry'!$E$4:$E$777=A987,FALSE),"No Equipment in entity"))</f>
        <v>FCU0075</v>
      </c>
      <c r="E987" t="str">
        <v>FCU0076</v>
      </c>
    </row>
    <row r="988" spans="1:12" x14ac:dyDescent="0.3">
      <c r="A988" t="s">
        <v>8215</v>
      </c>
      <c r="B988">
        <v>4.1100000000000003</v>
      </c>
      <c r="C988" t="s">
        <v>6936</v>
      </c>
      <c r="D988" t="str" cm="1">
        <f t="array" ref="D988">TRANSPOSE(_xlfn._xlws.FILTER('Controllable Asset Registry'!$A$4:$A$777,IFERROR('Controllable Asset Registry'!$E$4:$E$777=A988,FALSE),"No Equipment in entity"))</f>
        <v>FCU0084</v>
      </c>
    </row>
    <row r="989" spans="1:12" x14ac:dyDescent="0.3">
      <c r="A989" t="s">
        <v>6136</v>
      </c>
      <c r="B989" t="s">
        <v>8196</v>
      </c>
      <c r="C989" t="s">
        <v>7445</v>
      </c>
      <c r="D989" t="str" cm="1">
        <f t="array" ref="D989:E989">TRANSPOSE(_xlfn._xlws.FILTER('Controllable Asset Registry'!$A$4:$A$777,IFERROR('Controllable Asset Registry'!$E$4:$E$777=A989,FALSE),"No Equipment in entity"))</f>
        <v>FCU0126</v>
      </c>
      <c r="E989" t="str">
        <v>FCU0127</v>
      </c>
    </row>
    <row r="990" spans="1:12" x14ac:dyDescent="0.3">
      <c r="A990" t="s">
        <v>6137</v>
      </c>
      <c r="B990" t="s">
        <v>8197</v>
      </c>
      <c r="C990" t="s">
        <v>7445</v>
      </c>
      <c r="D990" t="str" cm="1">
        <f t="array" ref="D990:E990">TRANSPOSE(_xlfn._xlws.FILTER('Controllable Asset Registry'!$A$4:$A$777,IFERROR('Controllable Asset Registry'!$E$4:$E$777=A990,FALSE),"No Equipment in entity"))</f>
        <v>FCU0128</v>
      </c>
      <c r="E990" t="str">
        <v>FCU0129</v>
      </c>
    </row>
    <row r="991" spans="1:12" x14ac:dyDescent="0.3">
      <c r="A991" t="s">
        <v>6138</v>
      </c>
      <c r="B991" t="s">
        <v>8198</v>
      </c>
      <c r="C991" t="s">
        <v>7445</v>
      </c>
      <c r="D991" t="str" cm="1">
        <f t="array" ref="D991">TRANSPOSE(_xlfn._xlws.FILTER('Controllable Asset Registry'!$A$4:$A$777,IFERROR('Controllable Asset Registry'!$E$4:$E$777=A991,FALSE),"No Equipment in entity"))</f>
        <v>FCU0130</v>
      </c>
    </row>
    <row r="992" spans="1:12" x14ac:dyDescent="0.3">
      <c r="A992" t="s">
        <v>6140</v>
      </c>
      <c r="B992" t="s">
        <v>5905</v>
      </c>
      <c r="C992" t="s">
        <v>7446</v>
      </c>
      <c r="D992" t="str" cm="1">
        <f t="array" ref="D992">TRANSPOSE(_xlfn._xlws.FILTER('Controllable Asset Registry'!$A$4:$A$777,IFERROR('Controllable Asset Registry'!$E$4:$E$777=A992,FALSE),"No Equipment in entity"))</f>
        <v>VAV0001</v>
      </c>
    </row>
    <row r="993" spans="1:6" x14ac:dyDescent="0.3">
      <c r="A993" t="s">
        <v>8217</v>
      </c>
      <c r="B993" t="s">
        <v>8448</v>
      </c>
      <c r="C993" t="s">
        <v>5835</v>
      </c>
      <c r="D993" t="str" cm="1">
        <f t="array" ref="D993">TRANSPOSE(_xlfn._xlws.FILTER('Controllable Asset Registry'!$A$4:$A$777,IFERROR('Controllable Asset Registry'!$E$4:$E$777=A993,FALSE),"No Equipment in entity"))</f>
        <v>VAV0030</v>
      </c>
    </row>
    <row r="994" spans="1:6" x14ac:dyDescent="0.3">
      <c r="A994" t="s">
        <v>6164</v>
      </c>
      <c r="B994" t="s">
        <v>7447</v>
      </c>
      <c r="C994" t="s">
        <v>6798</v>
      </c>
      <c r="D994" t="str" cm="1">
        <f t="array" ref="D994">TRANSPOSE(_xlfn._xlws.FILTER('Controllable Asset Registry'!$A$4:$A$777,IFERROR('Controllable Asset Registry'!$E$4:$E$777=A994,FALSE),"No Equipment in entity"))</f>
        <v>VAV0031</v>
      </c>
    </row>
    <row r="995" spans="1:6" x14ac:dyDescent="0.3">
      <c r="A995" t="s">
        <v>6172</v>
      </c>
      <c r="B995" t="s">
        <v>7448</v>
      </c>
      <c r="C995" t="s">
        <v>7449</v>
      </c>
      <c r="D995" t="str" cm="1">
        <f t="array" ref="D995">TRANSPOSE(_xlfn._xlws.FILTER('Controllable Asset Registry'!$A$4:$A$777,IFERROR('Controllable Asset Registry'!$E$4:$E$777=A995,FALSE),"No Equipment in entity"))</f>
        <v>VAV0039</v>
      </c>
    </row>
    <row r="996" spans="1:6" x14ac:dyDescent="0.3">
      <c r="A996" t="s">
        <v>6178</v>
      </c>
      <c r="B996" t="s">
        <v>7450</v>
      </c>
      <c r="C996" t="s">
        <v>7451</v>
      </c>
      <c r="D996" t="str" cm="1">
        <f t="array" ref="D996">TRANSPOSE(_xlfn._xlws.FILTER('Controllable Asset Registry'!$A$4:$A$777,IFERROR('Controllable Asset Registry'!$E$4:$E$777=A996,FALSE),"No Equipment in entity"))</f>
        <v>VAV0046</v>
      </c>
    </row>
    <row r="997" spans="1:6" x14ac:dyDescent="0.3">
      <c r="A997" t="s">
        <v>6179</v>
      </c>
      <c r="B997" t="s">
        <v>7452</v>
      </c>
      <c r="C997" t="s">
        <v>7451</v>
      </c>
      <c r="D997" t="str" cm="1">
        <f t="array" ref="D997">TRANSPOSE(_xlfn._xlws.FILTER('Controllable Asset Registry'!$A$4:$A$777,IFERROR('Controllable Asset Registry'!$E$4:$E$777=A997,FALSE),"No Equipment in entity"))</f>
        <v>VAV0047</v>
      </c>
    </row>
    <row r="998" spans="1:6" x14ac:dyDescent="0.3">
      <c r="A998" t="s">
        <v>6200</v>
      </c>
      <c r="B998" t="s">
        <v>8199</v>
      </c>
      <c r="C998" t="s">
        <v>6920</v>
      </c>
      <c r="D998" t="str" cm="1">
        <f t="array" ref="D998">TRANSPOSE(_xlfn._xlws.FILTER('Controllable Asset Registry'!$A$4:$A$777,IFERROR('Controllable Asset Registry'!$E$4:$E$777=A998,FALSE),"No Equipment in entity"))</f>
        <v>VAV0072</v>
      </c>
    </row>
    <row r="999" spans="1:6" x14ac:dyDescent="0.3">
      <c r="A999" t="s">
        <v>6208</v>
      </c>
      <c r="B999" t="s">
        <v>8200</v>
      </c>
      <c r="C999" t="s">
        <v>7453</v>
      </c>
      <c r="D999" t="str" cm="1">
        <f t="array" ref="D999:F999">TRANSPOSE(_xlfn._xlws.FILTER('Controllable Asset Registry'!$A$4:$A$777,IFERROR('Controllable Asset Registry'!$E$4:$E$777=A999,FALSE),"No Equipment in entity"))</f>
        <v>VAV0080</v>
      </c>
      <c r="E999" t="str">
        <v>VAV0081</v>
      </c>
      <c r="F999" t="str">
        <v>VAV0082</v>
      </c>
    </row>
    <row r="1000" spans="1:6" x14ac:dyDescent="0.3">
      <c r="A1000" t="s">
        <v>6243</v>
      </c>
      <c r="B1000" t="s">
        <v>7454</v>
      </c>
      <c r="C1000" t="s">
        <v>7455</v>
      </c>
      <c r="D1000" t="str" cm="1">
        <f t="array" ref="D1000">TRANSPOSE(_xlfn._xlws.FILTER('Controllable Asset Registry'!$A$4:$A$777,IFERROR('Controllable Asset Registry'!$E$4:$E$777=A1000,FALSE),"No Equipment in entity"))</f>
        <v>VAV0128</v>
      </c>
    </row>
    <row r="1001" spans="1:6" x14ac:dyDescent="0.3">
      <c r="A1001" t="s">
        <v>6267</v>
      </c>
      <c r="B1001" t="s">
        <v>7456</v>
      </c>
      <c r="C1001" t="s">
        <v>7455</v>
      </c>
      <c r="D1001" t="str" cm="1">
        <f t="array" ref="D1001">TRANSPOSE(_xlfn._xlws.FILTER('Controllable Asset Registry'!$A$4:$A$777,IFERROR('Controllable Asset Registry'!$E$4:$E$777=A1001,FALSE),"No Equipment in entity"))</f>
        <v>VAV0155</v>
      </c>
    </row>
    <row r="1002" spans="1:6" x14ac:dyDescent="0.3">
      <c r="A1002" t="s">
        <v>6285</v>
      </c>
      <c r="B1002" t="s">
        <v>7457</v>
      </c>
      <c r="C1002" t="s">
        <v>7455</v>
      </c>
      <c r="D1002" t="str" cm="1">
        <f t="array" ref="D1002">TRANSPOSE(_xlfn._xlws.FILTER('Controllable Asset Registry'!$A$4:$A$777,IFERROR('Controllable Asset Registry'!$E$4:$E$777=A1002,FALSE),"No Equipment in entity"))</f>
        <v>VAV0175</v>
      </c>
    </row>
    <row r="1003" spans="1:6" x14ac:dyDescent="0.3">
      <c r="A1003" t="s">
        <v>6287</v>
      </c>
      <c r="B1003" t="s">
        <v>8201</v>
      </c>
      <c r="C1003" t="s">
        <v>6931</v>
      </c>
      <c r="D1003" t="str" cm="1">
        <f t="array" ref="D1003">TRANSPOSE(_xlfn._xlws.FILTER('Controllable Asset Registry'!$A$4:$A$777,IFERROR('Controllable Asset Registry'!$E$4:$E$777=A1003,FALSE),"No Equipment in entity"))</f>
        <v>VAV0177</v>
      </c>
    </row>
    <row r="1004" spans="1:6" x14ac:dyDescent="0.3">
      <c r="A1004" t="s">
        <v>6288</v>
      </c>
      <c r="B1004" t="s">
        <v>7458</v>
      </c>
      <c r="C1004" t="s">
        <v>7459</v>
      </c>
      <c r="D1004" t="str" cm="1">
        <f t="array" ref="D1004">TRANSPOSE(_xlfn._xlws.FILTER('Controllable Asset Registry'!$A$4:$A$777,IFERROR('Controllable Asset Registry'!$E$4:$E$777=A1004,FALSE),"No Equipment in entity"))</f>
        <v>VAV0178</v>
      </c>
    </row>
    <row r="1005" spans="1:6" x14ac:dyDescent="0.3">
      <c r="A1005" t="s">
        <v>6308</v>
      </c>
      <c r="B1005" t="s">
        <v>7460</v>
      </c>
      <c r="C1005" t="s">
        <v>7455</v>
      </c>
      <c r="D1005" t="str" cm="1">
        <f t="array" ref="D1005">TRANSPOSE(_xlfn._xlws.FILTER('Controllable Asset Registry'!$A$4:$A$777,IFERROR('Controllable Asset Registry'!$E$4:$E$777=A1005,FALSE),"No Equipment in entity"))</f>
        <v>VAV0202</v>
      </c>
    </row>
    <row r="1006" spans="1:6" x14ac:dyDescent="0.3">
      <c r="A1006" t="s">
        <v>6309</v>
      </c>
      <c r="B1006" t="s">
        <v>7461</v>
      </c>
      <c r="C1006" t="s">
        <v>7455</v>
      </c>
      <c r="D1006" t="str" cm="1">
        <f t="array" ref="D1006">TRANSPOSE(_xlfn._xlws.FILTER('Controllable Asset Registry'!$A$4:$A$777,IFERROR('Controllable Asset Registry'!$E$4:$E$777=A1006,FALSE),"No Equipment in entity"))</f>
        <v>VAV0203</v>
      </c>
    </row>
    <row r="1007" spans="1:6" x14ac:dyDescent="0.3">
      <c r="A1007" t="s">
        <v>8218</v>
      </c>
      <c r="B1007">
        <v>4.0039999999999996</v>
      </c>
      <c r="C1007" t="s">
        <v>7462</v>
      </c>
      <c r="D1007" t="str" cm="1">
        <f t="array" ref="D1007">TRANSPOSE(_xlfn._xlws.FILTER('Controllable Asset Registry'!$A$4:$A$777,IFERROR('Controllable Asset Registry'!$E$4:$E$777=A1007,FALSE),"No Equipment in entity"))</f>
        <v>VAV0222</v>
      </c>
    </row>
    <row r="1008" spans="1:6" x14ac:dyDescent="0.3">
      <c r="A1008" t="s">
        <v>8219</v>
      </c>
      <c r="B1008" t="s">
        <v>8449</v>
      </c>
      <c r="C1008" t="s">
        <v>7455</v>
      </c>
      <c r="D1008" t="str" cm="1">
        <f t="array" ref="D1008">TRANSPOSE(_xlfn._xlws.FILTER('Controllable Asset Registry'!$A$4:$A$777,IFERROR('Controllable Asset Registry'!$E$4:$E$777=A1008,FALSE),"No Equipment in entity"))</f>
        <v>VAV0233</v>
      </c>
    </row>
    <row r="1009" spans="1:7" x14ac:dyDescent="0.3">
      <c r="A1009" t="s">
        <v>8220</v>
      </c>
      <c r="B1009" t="s">
        <v>8450</v>
      </c>
      <c r="C1009" t="s">
        <v>7455</v>
      </c>
      <c r="D1009" t="str" cm="1">
        <f t="array" ref="D1009">TRANSPOSE(_xlfn._xlws.FILTER('Controllable Asset Registry'!$A$4:$A$777,IFERROR('Controllable Asset Registry'!$E$4:$E$777=A1009,FALSE),"No Equipment in entity"))</f>
        <v>VAV0234</v>
      </c>
    </row>
    <row r="1010" spans="1:7" x14ac:dyDescent="0.3">
      <c r="A1010" t="s">
        <v>8221</v>
      </c>
      <c r="B1010">
        <v>4.0030000000000001</v>
      </c>
      <c r="C1010" t="s">
        <v>7463</v>
      </c>
      <c r="D1010" t="str" cm="1">
        <f t="array" ref="D1010">TRANSPOSE(_xlfn._xlws.FILTER('Controllable Asset Registry'!$A$4:$A$777,IFERROR('Controllable Asset Registry'!$E$4:$E$777=A1010,FALSE),"No Equipment in entity"))</f>
        <v>VAV0243</v>
      </c>
    </row>
    <row r="1011" spans="1:7" x14ac:dyDescent="0.3">
      <c r="A1011" t="s">
        <v>8222</v>
      </c>
      <c r="B1011" t="s">
        <v>8451</v>
      </c>
      <c r="C1011" t="s">
        <v>7455</v>
      </c>
      <c r="D1011" t="str" cm="1">
        <f t="array" ref="D1011">TRANSPOSE(_xlfn._xlws.FILTER('Controllable Asset Registry'!$A$4:$A$777,IFERROR('Controllable Asset Registry'!$E$4:$E$777=A1011,FALSE),"No Equipment in entity"))</f>
        <v>VAV0244</v>
      </c>
    </row>
    <row r="1012" spans="1:7" x14ac:dyDescent="0.3">
      <c r="A1012" t="s">
        <v>8223</v>
      </c>
      <c r="B1012" t="s">
        <v>8452</v>
      </c>
      <c r="C1012" t="s">
        <v>7455</v>
      </c>
      <c r="D1012" t="str" cm="1">
        <f t="array" ref="D1012">TRANSPOSE(_xlfn._xlws.FILTER('Controllable Asset Registry'!$A$4:$A$777,IFERROR('Controllable Asset Registry'!$E$4:$E$777=A1012,FALSE),"No Equipment in entity"))</f>
        <v>VAV0245</v>
      </c>
    </row>
    <row r="1013" spans="1:7" x14ac:dyDescent="0.3">
      <c r="A1013" t="s">
        <v>8224</v>
      </c>
      <c r="B1013" t="s">
        <v>8453</v>
      </c>
      <c r="C1013" t="s">
        <v>7455</v>
      </c>
      <c r="D1013" t="str" cm="1">
        <f t="array" ref="D1013">TRANSPOSE(_xlfn._xlws.FILTER('Controllable Asset Registry'!$A$4:$A$777,IFERROR('Controllable Asset Registry'!$E$4:$E$777=A1013,FALSE),"No Equipment in entity"))</f>
        <v>VAV0246</v>
      </c>
    </row>
    <row r="1014" spans="1:7" x14ac:dyDescent="0.3">
      <c r="A1014" t="s">
        <v>8225</v>
      </c>
      <c r="B1014" t="s">
        <v>8454</v>
      </c>
      <c r="C1014" t="s">
        <v>7455</v>
      </c>
      <c r="D1014" t="str" cm="1">
        <f t="array" ref="D1014">TRANSPOSE(_xlfn._xlws.FILTER('Controllable Asset Registry'!$A$4:$A$777,IFERROR('Controllable Asset Registry'!$E$4:$E$777=A1014,FALSE),"No Equipment in entity"))</f>
        <v>VAV0247</v>
      </c>
    </row>
    <row r="1015" spans="1:7" x14ac:dyDescent="0.3">
      <c r="A1015" t="s">
        <v>8226</v>
      </c>
      <c r="B1015">
        <v>4.1029999999999998</v>
      </c>
      <c r="C1015" t="s">
        <v>7089</v>
      </c>
      <c r="D1015" t="str" cm="1">
        <f t="array" ref="D1015">TRANSPOSE(_xlfn._xlws.FILTER('Controllable Asset Registry'!$A$4:$A$777,IFERROR('Controllable Asset Registry'!$E$4:$E$777=A1015,FALSE),"No Equipment in entity"))</f>
        <v>VAV0248</v>
      </c>
    </row>
    <row r="1016" spans="1:7" x14ac:dyDescent="0.3">
      <c r="A1016" t="s">
        <v>6371</v>
      </c>
      <c r="B1016" t="s">
        <v>8202</v>
      </c>
      <c r="C1016" t="s">
        <v>7129</v>
      </c>
      <c r="D1016" t="str" cm="1">
        <f t="array" ref="D1016">TRANSPOSE(_xlfn._xlws.FILTER('Controllable Asset Registry'!$A$4:$A$777,IFERROR('Controllable Asset Registry'!$E$4:$E$777=A1016,FALSE),"No Equipment in entity"))</f>
        <v>VAV0283</v>
      </c>
    </row>
    <row r="1017" spans="1:7" x14ac:dyDescent="0.3">
      <c r="A1017" t="s">
        <v>8231</v>
      </c>
      <c r="B1017" t="s">
        <v>8455</v>
      </c>
      <c r="C1017" t="s">
        <v>5835</v>
      </c>
      <c r="D1017" t="str" cm="1">
        <f t="array" ref="D1017:G1017">TRANSPOSE(_xlfn._xlws.FILTER('Controllable Asset Registry'!$A$4:$A$777,IFERROR('Controllable Asset Registry'!$E$4:$E$777=A1017,FALSE),"No Equipment in entity"))</f>
        <v>VAV0318</v>
      </c>
      <c r="E1017" t="str">
        <v>VAV0319</v>
      </c>
      <c r="F1017" t="str">
        <v>VAV0320</v>
      </c>
      <c r="G1017" t="str">
        <v>VAV0321</v>
      </c>
    </row>
    <row r="1018" spans="1:7" x14ac:dyDescent="0.3">
      <c r="A1018" t="s">
        <v>6458</v>
      </c>
      <c r="B1018" t="s">
        <v>7464</v>
      </c>
      <c r="C1018" t="s">
        <v>7455</v>
      </c>
      <c r="D1018" t="str" cm="1">
        <f t="array" ref="D1018">TRANSPOSE(_xlfn._xlws.FILTER('Controllable Asset Registry'!$A$4:$A$777,IFERROR('Controllable Asset Registry'!$E$4:$E$777=A1018,FALSE),"No Equipment in entity"))</f>
        <v>VAV0388</v>
      </c>
    </row>
    <row r="1019" spans="1:7" x14ac:dyDescent="0.3">
      <c r="A1019" t="s">
        <v>6494</v>
      </c>
      <c r="B1019" t="s">
        <v>8203</v>
      </c>
      <c r="C1019" t="s">
        <v>7041</v>
      </c>
      <c r="D1019" t="str" cm="1">
        <f t="array" ref="D1019:F1019">TRANSPOSE(_xlfn._xlws.FILTER('Controllable Asset Registry'!$A$4:$A$777,IFERROR('Controllable Asset Registry'!$E$4:$E$777=A1019,FALSE),"No Equipment in entity"))</f>
        <v>VAV0430</v>
      </c>
      <c r="E1019" t="str">
        <v>VAV0431</v>
      </c>
      <c r="F1019" t="str">
        <v>VAV0432</v>
      </c>
    </row>
    <row r="1020" spans="1:7" x14ac:dyDescent="0.3">
      <c r="A1020" t="s">
        <v>6526</v>
      </c>
      <c r="B1020" t="s">
        <v>8204</v>
      </c>
      <c r="C1020" t="s">
        <v>7350</v>
      </c>
      <c r="D1020" t="str" cm="1">
        <f t="array" ref="D1020:G1020">TRANSPOSE(_xlfn._xlws.FILTER('Controllable Asset Registry'!$A$4:$A$777,IFERROR('Controllable Asset Registry'!$E$4:$E$777=A1020,FALSE),"No Equipment in entity"))</f>
        <v>VAV0473</v>
      </c>
      <c r="E1020" t="str">
        <v>VAV0474</v>
      </c>
      <c r="F1020" t="str">
        <v>VAV0478</v>
      </c>
      <c r="G1020" t="str">
        <v>VAV0492</v>
      </c>
    </row>
    <row r="1021" spans="1:7" x14ac:dyDescent="0.3">
      <c r="A1021" t="s">
        <v>6585</v>
      </c>
      <c r="B1021" t="s">
        <v>7465</v>
      </c>
      <c r="C1021" t="s">
        <v>7455</v>
      </c>
      <c r="D1021" t="str" cm="1">
        <f t="array" ref="D1021">TRANSPOSE(_xlfn._xlws.FILTER('Controllable Asset Registry'!$A$4:$A$777,IFERROR('Controllable Asset Registry'!$E$4:$E$777=A1021,FALSE),"No Equipment in entity"))</f>
        <v>VAV0548</v>
      </c>
    </row>
    <row r="1022" spans="1:7" x14ac:dyDescent="0.3">
      <c r="A1022" t="s">
        <v>6586</v>
      </c>
      <c r="B1022" t="s">
        <v>7466</v>
      </c>
      <c r="C1022" t="s">
        <v>7455</v>
      </c>
      <c r="D1022" t="str" cm="1">
        <f t="array" ref="D1022">TRANSPOSE(_xlfn._xlws.FILTER('Controllable Asset Registry'!$A$4:$A$777,IFERROR('Controllable Asset Registry'!$E$4:$E$777=A1022,FALSE),"No Equipment in entity"))</f>
        <v>VAV0549</v>
      </c>
    </row>
    <row r="1023" spans="1:7" x14ac:dyDescent="0.3">
      <c r="A1023" t="s">
        <v>6587</v>
      </c>
      <c r="B1023" t="s">
        <v>7467</v>
      </c>
      <c r="C1023" t="s">
        <v>7455</v>
      </c>
      <c r="D1023" t="str" cm="1">
        <f t="array" ref="D1023">TRANSPOSE(_xlfn._xlws.FILTER('Controllable Asset Registry'!$A$4:$A$777,IFERROR('Controllable Asset Registry'!$E$4:$E$777=A1023,FALSE),"No Equipment in entity"))</f>
        <v>VAV0550</v>
      </c>
    </row>
    <row r="1024" spans="1:7" x14ac:dyDescent="0.3">
      <c r="A1024" t="s">
        <v>6588</v>
      </c>
      <c r="B1024" t="s">
        <v>7468</v>
      </c>
      <c r="C1024" t="s">
        <v>7455</v>
      </c>
      <c r="D1024" t="str" cm="1">
        <f t="array" ref="D1024">TRANSPOSE(_xlfn._xlws.FILTER('Controllable Asset Registry'!$A$4:$A$777,IFERROR('Controllable Asset Registry'!$E$4:$E$777=A1024,FALSE),"No Equipment in entity"))</f>
        <v>VAV0551</v>
      </c>
    </row>
    <row r="1025" spans="1:7" x14ac:dyDescent="0.3">
      <c r="A1025" t="s">
        <v>6611</v>
      </c>
      <c r="B1025" t="s">
        <v>8205</v>
      </c>
      <c r="C1025" t="s">
        <v>7469</v>
      </c>
      <c r="D1025" t="str" cm="1">
        <f t="array" ref="D1025:E1025">TRANSPOSE(_xlfn._xlws.FILTER('Controllable Asset Registry'!$A$4:$A$777,IFERROR('Controllable Asset Registry'!$E$4:$E$777=A1025,FALSE),"No Equipment in entity"))</f>
        <v>VAV0580</v>
      </c>
      <c r="E1025" t="str">
        <v>VAV0581</v>
      </c>
    </row>
    <row r="1026" spans="1:7" x14ac:dyDescent="0.3">
      <c r="A1026" t="s">
        <v>8232</v>
      </c>
      <c r="B1026" t="s">
        <v>8456</v>
      </c>
      <c r="C1026" t="s">
        <v>7261</v>
      </c>
      <c r="D1026" t="str" cm="1">
        <f t="array" ref="D1026:F1026">TRANSPOSE(_xlfn._xlws.FILTER('Controllable Asset Registry'!$A$4:$A$777,IFERROR('Controllable Asset Registry'!$E$4:$E$777=A1026,FALSE),"No Equipment in entity"))</f>
        <v>VAV0592</v>
      </c>
      <c r="E1026" t="str">
        <v>VAV0593</v>
      </c>
      <c r="F1026" t="str">
        <v>VAV0594</v>
      </c>
    </row>
    <row r="1027" spans="1:7" x14ac:dyDescent="0.3">
      <c r="A1027" t="s">
        <v>6616</v>
      </c>
      <c r="B1027" t="s">
        <v>7470</v>
      </c>
      <c r="C1027" t="s">
        <v>7471</v>
      </c>
      <c r="D1027" t="str" cm="1">
        <f t="array" ref="D1027">TRANSPOSE(_xlfn._xlws.FILTER('Controllable Asset Registry'!$A$4:$A$777,IFERROR('Controllable Asset Registry'!$E$4:$E$777=A1027,FALSE),"No Equipment in entity"))</f>
        <v>VAV0595</v>
      </c>
    </row>
    <row r="1028" spans="1:7" x14ac:dyDescent="0.3">
      <c r="A1028" t="s">
        <v>8233</v>
      </c>
      <c r="B1028" t="s">
        <v>8457</v>
      </c>
      <c r="C1028" t="s">
        <v>7455</v>
      </c>
      <c r="D1028" t="str" cm="1">
        <f t="array" ref="D1028">TRANSPOSE(_xlfn._xlws.FILTER('Controllable Asset Registry'!$A$4:$A$777,IFERROR('Controllable Asset Registry'!$E$4:$E$777=A1028,FALSE),"No Equipment in entity"))</f>
        <v>VAV0596</v>
      </c>
    </row>
    <row r="1029" spans="1:7" x14ac:dyDescent="0.3">
      <c r="A1029" t="s">
        <v>8234</v>
      </c>
      <c r="B1029" t="s">
        <v>8458</v>
      </c>
      <c r="C1029" t="s">
        <v>7455</v>
      </c>
      <c r="D1029" t="str" cm="1">
        <f t="array" ref="D1029">TRANSPOSE(_xlfn._xlws.FILTER('Controllable Asset Registry'!$A$4:$A$777,IFERROR('Controllable Asset Registry'!$E$4:$E$777=A1029,FALSE),"No Equipment in entity"))</f>
        <v>VAV0597</v>
      </c>
    </row>
    <row r="1030" spans="1:7" x14ac:dyDescent="0.3">
      <c r="A1030" t="s">
        <v>8235</v>
      </c>
      <c r="B1030" t="s">
        <v>8459</v>
      </c>
      <c r="C1030" t="s">
        <v>7455</v>
      </c>
      <c r="D1030" t="str" cm="1">
        <f t="array" ref="D1030">TRANSPOSE(_xlfn._xlws.FILTER('Controllable Asset Registry'!$A$4:$A$777,IFERROR('Controllable Asset Registry'!$E$4:$E$777=A1030,FALSE),"No Equipment in entity"))</f>
        <v>VAV0598</v>
      </c>
    </row>
    <row r="1031" spans="1:7" x14ac:dyDescent="0.3">
      <c r="A1031" t="s">
        <v>8236</v>
      </c>
      <c r="B1031" t="s">
        <v>8460</v>
      </c>
      <c r="C1031" t="s">
        <v>7455</v>
      </c>
      <c r="D1031" t="str" cm="1">
        <f t="array" ref="D1031">TRANSPOSE(_xlfn._xlws.FILTER('Controllable Asset Registry'!$A$4:$A$777,IFERROR('Controllable Asset Registry'!$E$4:$E$777=A1031,FALSE),"No Equipment in entity"))</f>
        <v>VAV0599</v>
      </c>
    </row>
    <row r="1032" spans="1:7" x14ac:dyDescent="0.3">
      <c r="A1032" t="s">
        <v>8237</v>
      </c>
      <c r="B1032" t="s">
        <v>8461</v>
      </c>
      <c r="C1032" t="s">
        <v>7455</v>
      </c>
      <c r="D1032" t="str" cm="1">
        <f t="array" ref="D1032">TRANSPOSE(_xlfn._xlws.FILTER('Controllable Asset Registry'!$A$4:$A$777,IFERROR('Controllable Asset Registry'!$E$4:$E$777=A1032,FALSE),"No Equipment in entity"))</f>
        <v>VAV0600</v>
      </c>
    </row>
    <row r="1033" spans="1:7" x14ac:dyDescent="0.3">
      <c r="A1033" t="s">
        <v>6617</v>
      </c>
      <c r="B1033" t="s">
        <v>7472</v>
      </c>
      <c r="C1033" t="s">
        <v>7455</v>
      </c>
      <c r="D1033" t="str" cm="1">
        <f t="array" ref="D1033">TRANSPOSE(_xlfn._xlws.FILTER('Controllable Asset Registry'!$A$4:$A$777,IFERROR('Controllable Asset Registry'!$E$4:$E$777=A1033,FALSE),"No Equipment in entity"))</f>
        <v>VAV0601</v>
      </c>
    </row>
    <row r="1034" spans="1:7" x14ac:dyDescent="0.3">
      <c r="A1034" t="s">
        <v>6619</v>
      </c>
      <c r="B1034" t="s">
        <v>8206</v>
      </c>
      <c r="C1034" t="s">
        <v>7473</v>
      </c>
      <c r="D1034" t="str" cm="1">
        <f t="array" ref="D1034:E1034">TRANSPOSE(_xlfn._xlws.FILTER('Controllable Asset Registry'!$A$4:$A$777,IFERROR('Controllable Asset Registry'!$E$4:$E$777=A1034,FALSE),"No Equipment in entity"))</f>
        <v>VAV0603</v>
      </c>
      <c r="E1034" t="str">
        <v>VAV0604</v>
      </c>
    </row>
    <row r="1035" spans="1:7" x14ac:dyDescent="0.3">
      <c r="A1035" t="s">
        <v>6623</v>
      </c>
      <c r="B1035" t="s">
        <v>8207</v>
      </c>
      <c r="C1035" t="s">
        <v>7400</v>
      </c>
      <c r="D1035" t="str" cm="1">
        <f t="array" ref="D1035:E1035">TRANSPOSE(_xlfn._xlws.FILTER('Controllable Asset Registry'!$A$4:$A$777,IFERROR('Controllable Asset Registry'!$E$4:$E$777=A1035,FALSE),"No Equipment in entity"))</f>
        <v>VAV/12/01</v>
      </c>
      <c r="E1035" t="str">
        <v>VAV/12/02</v>
      </c>
    </row>
    <row r="1036" spans="1:7" x14ac:dyDescent="0.3">
      <c r="A1036" t="s">
        <v>6624</v>
      </c>
      <c r="B1036" t="s">
        <v>8208</v>
      </c>
      <c r="C1036" t="s">
        <v>7400</v>
      </c>
      <c r="D1036" t="str" cm="1">
        <f t="array" ref="D1036:G1036">TRANSPOSE(_xlfn._xlws.FILTER('Controllable Asset Registry'!$A$4:$A$777,IFERROR('Controllable Asset Registry'!$E$4:$E$777=A1036,FALSE),"No Equipment in entity"))</f>
        <v>VAV/12/03</v>
      </c>
      <c r="E1036" t="str">
        <v>VAV/12/04</v>
      </c>
      <c r="F1036" t="str">
        <v>VAV/12/05</v>
      </c>
      <c r="G1036" t="str">
        <v>VAV/12/06</v>
      </c>
    </row>
    <row r="1037" spans="1:7" x14ac:dyDescent="0.3">
      <c r="A1037" t="s">
        <v>6625</v>
      </c>
      <c r="B1037" t="s">
        <v>8209</v>
      </c>
      <c r="C1037" t="s">
        <v>7401</v>
      </c>
      <c r="D1037" t="str" cm="1">
        <f t="array" ref="D1037:E1037">TRANSPOSE(_xlfn._xlws.FILTER('Controllable Asset Registry'!$A$4:$A$777,IFERROR('Controllable Asset Registry'!$E$4:$E$777=A1037,FALSE),"No Equipment in entity"))</f>
        <v>VAV/12/07</v>
      </c>
      <c r="E1037" t="str">
        <v>VAV/12/08</v>
      </c>
    </row>
    <row r="1038" spans="1:7" x14ac:dyDescent="0.3">
      <c r="A1038" t="s">
        <v>6626</v>
      </c>
      <c r="B1038" t="s">
        <v>8210</v>
      </c>
      <c r="C1038" t="s">
        <v>7401</v>
      </c>
      <c r="D1038" t="str" cm="1">
        <f t="array" ref="D1038:E1038">TRANSPOSE(_xlfn._xlws.FILTER('Controllable Asset Registry'!$A$4:$A$777,IFERROR('Controllable Asset Registry'!$E$4:$E$777=A1038,FALSE),"No Equipment in entity"))</f>
        <v>VAV/12/09</v>
      </c>
      <c r="E1038" t="str">
        <v>VAV/12/10</v>
      </c>
    </row>
    <row r="1039" spans="1:7" x14ac:dyDescent="0.3">
      <c r="A1039" t="s">
        <v>6627</v>
      </c>
      <c r="B1039" t="s">
        <v>8211</v>
      </c>
      <c r="C1039" t="s">
        <v>7474</v>
      </c>
      <c r="D1039" t="str" cm="1">
        <f t="array" ref="D1039">TRANSPOSE(_xlfn._xlws.FILTER('Controllable Asset Registry'!$A$4:$A$777,IFERROR('Controllable Asset Registry'!$E$4:$E$777=A1039,FALSE),"No Equipment in entity"))</f>
        <v>VAV/12/11</v>
      </c>
    </row>
    <row r="1040" spans="1:7" x14ac:dyDescent="0.3">
      <c r="A1040" t="s">
        <v>6628</v>
      </c>
      <c r="B1040" t="s">
        <v>8212</v>
      </c>
      <c r="C1040" t="s">
        <v>5861</v>
      </c>
      <c r="D1040" t="str" cm="1">
        <f t="array" ref="D1040:E1040">TRANSPOSE(_xlfn._xlws.FILTER('Controllable Asset Registry'!$A$4:$A$777,IFERROR('Controllable Asset Registry'!$E$4:$E$777=A1040,FALSE),"No Equipment in entity"))</f>
        <v>VAV/12/12</v>
      </c>
      <c r="E1040" t="str">
        <v>VAV/12/13</v>
      </c>
    </row>
    <row r="1041" spans="1:4" x14ac:dyDescent="0.3">
      <c r="A1041" t="s">
        <v>8216</v>
      </c>
      <c r="B1041" t="s">
        <v>8462</v>
      </c>
      <c r="C1041" t="s">
        <v>7475</v>
      </c>
      <c r="D1041" t="str" cm="1">
        <f t="array" ref="D1041">TRANSPOSE(_xlfn._xlws.FILTER('Controllable Asset Registry'!$A$4:$A$777,IFERROR('Controllable Asset Registry'!$E$4:$E$777=A1041,FALSE),"No Equipment in entity"))</f>
        <v>FCU0131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DABCD-D3C6-413C-8798-66418C1604AB}">
  <dimension ref="A1:U353"/>
  <sheetViews>
    <sheetView tabSelected="1" zoomScale="70" zoomScaleNormal="70" workbookViewId="0">
      <selection activeCell="O24" sqref="O24"/>
    </sheetView>
  </sheetViews>
  <sheetFormatPr defaultRowHeight="14.4" x14ac:dyDescent="0.3"/>
  <cols>
    <col min="1" max="1" width="57.44140625" bestFit="1" customWidth="1"/>
    <col min="3" max="3" width="41.6640625" bestFit="1" customWidth="1"/>
    <col min="4" max="4" width="21.109375" bestFit="1" customWidth="1"/>
    <col min="5" max="5" width="16.88671875" bestFit="1" customWidth="1"/>
    <col min="6" max="13" width="16" bestFit="1" customWidth="1"/>
    <col min="14" max="14" width="33.88671875" bestFit="1" customWidth="1"/>
    <col min="15" max="15" width="21.109375" bestFit="1" customWidth="1"/>
    <col min="16" max="23" width="12.33203125" bestFit="1" customWidth="1"/>
    <col min="24" max="24" width="2.21875" bestFit="1" customWidth="1"/>
    <col min="25" max="25" width="26.88671875" bestFit="1" customWidth="1"/>
    <col min="38" max="38" width="33.88671875" bestFit="1" customWidth="1"/>
    <col min="39" max="39" width="5.5546875" bestFit="1" customWidth="1"/>
  </cols>
  <sheetData>
    <row r="1" spans="1:19" x14ac:dyDescent="0.3">
      <c r="A1" t="s">
        <v>6629</v>
      </c>
      <c r="B1" t="s">
        <v>9229</v>
      </c>
      <c r="C1" t="s">
        <v>9230</v>
      </c>
    </row>
    <row r="2" spans="1:19" x14ac:dyDescent="0.3">
      <c r="A2" t="str">
        <f t="shared" ref="A2:A65" si="0">"entity:QNL_"&amp;B2&amp;"_"&amp;C2</f>
        <v>entity:QNL_B_228_M1_HVAC_SHAFT</v>
      </c>
      <c r="B2" s="38" t="s">
        <v>8471</v>
      </c>
      <c r="C2" t="s">
        <v>8472</v>
      </c>
      <c r="D2" t="str" cm="1">
        <f t="array" ref="D2">TRANSPOSE(_xlfn._xlws.FILTER('Controllable Asset Registry'!$A$779:$A$1329,IFERROR('Controllable Asset Registry'!$E$779:$E$1329=A2,FALSE),"No Equipment in entity"))</f>
        <v>No Equipment in entity</v>
      </c>
    </row>
    <row r="3" spans="1:19" x14ac:dyDescent="0.3">
      <c r="A3" t="str">
        <f t="shared" si="0"/>
        <v>entity:QNL_B_229_E1_ELEC_SHAFT</v>
      </c>
      <c r="B3" s="38" t="s">
        <v>8473</v>
      </c>
      <c r="C3" t="s">
        <v>8474</v>
      </c>
      <c r="D3" t="str" cm="1">
        <f t="array" ref="D3">TRANSPOSE(_xlfn._xlws.FILTER('Controllable Asset Registry'!$A$779:$A$1329,IFERROR('Controllable Asset Registry'!$E$779:$E$1329=A3,FALSE),"No Equipment in entity"))</f>
        <v>No Equipment in entity</v>
      </c>
    </row>
    <row r="4" spans="1:19" x14ac:dyDescent="0.3">
      <c r="A4" t="str">
        <f t="shared" si="0"/>
        <v>entity:QNL_B_230_REFR_STORE</v>
      </c>
      <c r="B4" s="38" t="s">
        <v>8475</v>
      </c>
      <c r="C4" t="s">
        <v>8476</v>
      </c>
      <c r="D4" t="str" cm="1">
        <f t="array" ref="D4">TRANSPOSE(_xlfn._xlws.FILTER('Controllable Asset Registry'!$A$779:$A$1329,IFERROR('Controllable Asset Registry'!$E$779:$E$1329=A4,FALSE),"No Equipment in entity"))</f>
        <v>No Equipment in entity</v>
      </c>
    </row>
    <row r="5" spans="1:19" x14ac:dyDescent="0.3">
      <c r="A5" t="str">
        <f t="shared" si="0"/>
        <v>entity:QNL_B_231_DISH_WASING</v>
      </c>
      <c r="B5" s="38" t="s">
        <v>8477</v>
      </c>
      <c r="C5" t="s">
        <v>8478</v>
      </c>
      <c r="D5" t="str" cm="1">
        <f t="array" ref="D5">TRANSPOSE(_xlfn._xlws.FILTER('Controllable Asset Registry'!$A$779:$A$1329,IFERROR('Controllable Asset Registry'!$E$779:$E$1329=A5,FALSE),"No Equipment in entity"))</f>
        <v>No Equipment in entity</v>
      </c>
    </row>
    <row r="6" spans="1:19" x14ac:dyDescent="0.3">
      <c r="A6" t="str">
        <f t="shared" si="0"/>
        <v>entity:QNL_B_232_DRY_STORE</v>
      </c>
      <c r="B6" s="38" t="s">
        <v>8479</v>
      </c>
      <c r="C6" t="s">
        <v>8480</v>
      </c>
      <c r="D6" t="str" cm="1">
        <f t="array" ref="D6">TRANSPOSE(_xlfn._xlws.FILTER('Controllable Asset Registry'!$A$779:$A$1329,IFERROR('Controllable Asset Registry'!$E$779:$E$1329=A6,FALSE),"No Equipment in entity"))</f>
        <v>No Equipment in entity</v>
      </c>
    </row>
    <row r="7" spans="1:19" x14ac:dyDescent="0.3">
      <c r="A7" t="str">
        <f t="shared" si="0"/>
        <v>entity:QNL_B_233_WC5_RISER</v>
      </c>
      <c r="B7" s="38" t="s">
        <v>8481</v>
      </c>
      <c r="C7" t="s">
        <v>8482</v>
      </c>
      <c r="D7" t="str" cm="1">
        <f t="array" ref="D7">TRANSPOSE(_xlfn._xlws.FILTER('Controllable Asset Registry'!$A$779:$A$1329,IFERROR('Controllable Asset Registry'!$E$779:$E$1329=A7,FALSE),"No Equipment in entity"))</f>
        <v>No Equipment in entity</v>
      </c>
    </row>
    <row r="8" spans="1:19" x14ac:dyDescent="0.3">
      <c r="A8" t="str">
        <f t="shared" si="0"/>
        <v>entity:QNL_B_234_E3_ELEC_SHAFT</v>
      </c>
      <c r="B8" s="38" t="s">
        <v>8483</v>
      </c>
      <c r="C8" t="s">
        <v>8484</v>
      </c>
      <c r="D8" t="str" cm="1">
        <f t="array" ref="D8">TRANSPOSE(_xlfn._xlws.FILTER('Controllable Asset Registry'!$A$779:$A$1329,IFERROR('Controllable Asset Registry'!$E$779:$E$1329=A8,FALSE),"No Equipment in entity"))</f>
        <v>No Equipment in entity</v>
      </c>
    </row>
    <row r="9" spans="1:19" x14ac:dyDescent="0.3">
      <c r="A9" t="str">
        <f t="shared" si="0"/>
        <v>entity:QNL_B_235_M2_HVAC_SHAFT_ABOVE</v>
      </c>
      <c r="B9" s="38" t="s">
        <v>8485</v>
      </c>
      <c r="C9" t="s">
        <v>8486</v>
      </c>
      <c r="D9" t="str" cm="1">
        <f t="array" ref="D9">TRANSPOSE(_xlfn._xlws.FILTER('Controllable Asset Registry'!$A$779:$A$1329,IFERROR('Controllable Asset Registry'!$E$779:$E$1329=A9,FALSE),"No Equipment in entity"))</f>
        <v>No Equipment in entity</v>
      </c>
    </row>
    <row r="10" spans="1:19" x14ac:dyDescent="0.3">
      <c r="A10" t="str">
        <f t="shared" si="0"/>
        <v>entity:QNL_B_236_WC1_RISER</v>
      </c>
      <c r="B10" s="38" t="s">
        <v>8487</v>
      </c>
      <c r="C10" t="s">
        <v>8488</v>
      </c>
      <c r="D10" t="str" cm="1">
        <f t="array" ref="D10">TRANSPOSE(_xlfn._xlws.FILTER('Controllable Asset Registry'!$A$779:$A$1329,IFERROR('Controllable Asset Registry'!$E$779:$E$1329=A10,FALSE),"No Equipment in entity"))</f>
        <v>No Equipment in entity</v>
      </c>
    </row>
    <row r="11" spans="1:19" x14ac:dyDescent="0.3">
      <c r="A11" t="str">
        <f t="shared" si="0"/>
        <v>entity:QNL_B_237_CORRIDOR</v>
      </c>
      <c r="B11" s="38" t="s">
        <v>8489</v>
      </c>
      <c r="C11" t="s">
        <v>5835</v>
      </c>
      <c r="D11" t="str" cm="1">
        <f t="array" ref="D11">TRANSPOSE(_xlfn._xlws.FILTER('Controllable Asset Registry'!$A$779:$A$1329,IFERROR('Controllable Asset Registry'!$E$779:$E$1329=A11,FALSE),"No Equipment in entity"))</f>
        <v>No Equipment in entity</v>
      </c>
    </row>
    <row r="12" spans="1:19" x14ac:dyDescent="0.3">
      <c r="A12" t="str">
        <f t="shared" si="0"/>
        <v>entity:QNL_B_238_M3_HVAC_SHAFT</v>
      </c>
      <c r="B12" s="38" t="s">
        <v>8490</v>
      </c>
      <c r="C12" t="s">
        <v>8491</v>
      </c>
      <c r="D12" t="str" cm="1">
        <f t="array" ref="D12">TRANSPOSE(_xlfn._xlws.FILTER('Controllable Asset Registry'!$A$779:$A$1329,IFERROR('Controllable Asset Registry'!$E$779:$E$1329=A12,FALSE),"No Equipment in entity"))</f>
        <v>No Equipment in entity</v>
      </c>
    </row>
    <row r="13" spans="1:19" x14ac:dyDescent="0.3">
      <c r="A13" t="str">
        <f t="shared" si="0"/>
        <v>entity:QNL_B_001_TECH_SERVICES_AND_COLLECTIONS_OFFICE</v>
      </c>
      <c r="B13" s="38" t="s">
        <v>9152</v>
      </c>
      <c r="C13" t="s">
        <v>9203</v>
      </c>
      <c r="D13" t="str" cm="1">
        <f t="array" ref="D13:S13">TRANSPOSE(_xlfn._xlws.FILTER('Controllable Asset Registry'!$A$779:$A$1329,IFERROR('Controllable Asset Registry'!$E$779:$E$1329=A13,FALSE),"No Equipment in entity"))</f>
        <v>VAV_B_S11_003</v>
      </c>
      <c r="E13" t="str">
        <v>VAV_B_S11_004</v>
      </c>
      <c r="F13" t="str">
        <v>VAV_B_S11_005</v>
      </c>
      <c r="G13" t="str">
        <v>VAV_B_S11_006</v>
      </c>
      <c r="H13" t="str">
        <v>VAV_B_S11_007</v>
      </c>
      <c r="I13" t="str">
        <v>VAV_B_S11_008</v>
      </c>
      <c r="J13" t="str">
        <v>VAV_B_S11_009</v>
      </c>
      <c r="K13" t="str">
        <v>VAV_B_S11_010</v>
      </c>
      <c r="L13" t="str">
        <v>VAV_B_S11_013</v>
      </c>
      <c r="M13" t="str">
        <v>VAV_B_S11_014</v>
      </c>
      <c r="N13" t="str">
        <v>VAV_B_S11_015</v>
      </c>
      <c r="O13" t="str">
        <v>VAV_B_S11_016</v>
      </c>
      <c r="P13" t="str">
        <v>VAV_B_S11_017</v>
      </c>
      <c r="Q13" t="str">
        <v>VAV_B_S11_018</v>
      </c>
      <c r="R13" t="str">
        <v>VAV_B_S11_019</v>
      </c>
      <c r="S13" t="str">
        <v>VAV_B_S11_020</v>
      </c>
    </row>
    <row r="14" spans="1:19" x14ac:dyDescent="0.3">
      <c r="A14" t="str">
        <f t="shared" si="0"/>
        <v>entity:QNL_B_002_KITCHEN</v>
      </c>
      <c r="B14" s="38" t="s">
        <v>8493</v>
      </c>
      <c r="C14" t="s">
        <v>5948</v>
      </c>
      <c r="D14" t="str" cm="1">
        <f t="array" ref="D14">TRANSPOSE(_xlfn._xlws.FILTER('Controllable Asset Registry'!$A$779:$A$1329,IFERROR('Controllable Asset Registry'!$E$779:$E$1329=A14,FALSE),"No Equipment in entity"))</f>
        <v>VAV_B_S11_024</v>
      </c>
    </row>
    <row r="15" spans="1:19" x14ac:dyDescent="0.3">
      <c r="A15" t="str">
        <f t="shared" si="0"/>
        <v>entity:QNL_B_003_FINANCE_COORDINATOR_&amp;_BUSINESS_SUPPORT_OFCR</v>
      </c>
      <c r="B15" s="38" t="s">
        <v>8495</v>
      </c>
      <c r="C15" t="s">
        <v>8496</v>
      </c>
      <c r="D15" t="str" cm="1">
        <f t="array" ref="D15:E15">TRANSPOSE(_xlfn._xlws.FILTER('Controllable Asset Registry'!$A$779:$A$1329,IFERROR('Controllable Asset Registry'!$E$779:$E$1329=A15,FALSE),"No Equipment in entity"))</f>
        <v>VAV_B_S11_026</v>
      </c>
      <c r="E15" t="str">
        <v>VAV_B_S11_027</v>
      </c>
    </row>
    <row r="16" spans="1:19" x14ac:dyDescent="0.3">
      <c r="A16" t="str">
        <f t="shared" si="0"/>
        <v>entity:QNL_B_004_ANALOG_RESOURCES</v>
      </c>
      <c r="B16" s="38" t="s">
        <v>8498</v>
      </c>
      <c r="C16" t="s">
        <v>8499</v>
      </c>
      <c r="D16" t="str" cm="1">
        <f t="array" ref="D16">TRANSPOSE(_xlfn._xlws.FILTER('Controllable Asset Registry'!$A$779:$A$1329,IFERROR('Controllable Asset Registry'!$E$779:$E$1329=A16,FALSE),"No Equipment in entity"))</f>
        <v>VAV_B_S11_028</v>
      </c>
    </row>
    <row r="17" spans="1:7" x14ac:dyDescent="0.3">
      <c r="A17" t="str">
        <f t="shared" si="0"/>
        <v>entity:QNL_B_005_DIGITAL_RESOURCES</v>
      </c>
      <c r="B17" s="38" t="s">
        <v>8501</v>
      </c>
      <c r="C17" t="s">
        <v>8502</v>
      </c>
      <c r="D17" t="str" cm="1">
        <f t="array" ref="D17">TRANSPOSE(_xlfn._xlws.FILTER('Controllable Asset Registry'!$A$779:$A$1329,IFERROR('Controllable Asset Registry'!$E$779:$E$1329=A17,FALSE),"No Equipment in entity"))</f>
        <v>VAV_B_S11_029</v>
      </c>
    </row>
    <row r="18" spans="1:7" x14ac:dyDescent="0.3">
      <c r="A18" t="str">
        <f t="shared" si="0"/>
        <v>entity:QNL_B_006_BUDGET_&amp;_PAYMENT_1</v>
      </c>
      <c r="B18" s="38" t="s">
        <v>8504</v>
      </c>
      <c r="C18" t="s">
        <v>8505</v>
      </c>
      <c r="D18" t="str" cm="1">
        <f t="array" ref="D18">TRANSPOSE(_xlfn._xlws.FILTER('Controllable Asset Registry'!$A$779:$A$1329,IFERROR('Controllable Asset Registry'!$E$779:$E$1329=A18,FALSE),"No Equipment in entity"))</f>
        <v>VAV_B_S11_030</v>
      </c>
    </row>
    <row r="19" spans="1:7" x14ac:dyDescent="0.3">
      <c r="A19" t="str">
        <f t="shared" si="0"/>
        <v>entity:QNL_B_007_BUDGET_&amp;_PAYMENT_2</v>
      </c>
      <c r="B19" s="38" t="s">
        <v>8507</v>
      </c>
      <c r="C19" t="s">
        <v>8508</v>
      </c>
      <c r="D19" t="str" cm="1">
        <f t="array" ref="D19">TRANSPOSE(_xlfn._xlws.FILTER('Controllable Asset Registry'!$A$779:$A$1329,IFERROR('Controllable Asset Registry'!$E$779:$E$1329=A19,FALSE),"No Equipment in entity"))</f>
        <v>VAV_B_S11_031</v>
      </c>
    </row>
    <row r="20" spans="1:7" x14ac:dyDescent="0.3">
      <c r="A20" t="str">
        <f t="shared" si="0"/>
        <v>entity:QNL_B_008_RECEIVING_AREA</v>
      </c>
      <c r="B20" s="38" t="s">
        <v>8510</v>
      </c>
      <c r="C20" t="s">
        <v>8511</v>
      </c>
      <c r="D20" t="str" cm="1">
        <f t="array" ref="D20:G20">TRANSPOSE(_xlfn._xlws.FILTER('Controllable Asset Registry'!$A$779:$A$1329,IFERROR('Controllable Asset Registry'!$E$779:$E$1329=A20,FALSE),"No Equipment in entity"))</f>
        <v>VAV_B_S11_043</v>
      </c>
      <c r="E20" t="str">
        <v>VAV_B_S11_044</v>
      </c>
      <c r="F20" t="str">
        <v>VAV_B_S11_045</v>
      </c>
      <c r="G20" t="str">
        <v>VAV_B_S11_046</v>
      </c>
    </row>
    <row r="21" spans="1:7" x14ac:dyDescent="0.3">
      <c r="A21" t="str">
        <f t="shared" si="0"/>
        <v>entity:QNL_B_009_RECEPTION_&amp;_LOUNGE</v>
      </c>
      <c r="B21" s="38" t="s">
        <v>8513</v>
      </c>
      <c r="C21" t="s">
        <v>8514</v>
      </c>
      <c r="D21" t="str" cm="1">
        <f t="array" ref="D21:F21">TRANSPOSE(_xlfn._xlws.FILTER('Controllable Asset Registry'!$A$779:$A$1329,IFERROR('Controllable Asset Registry'!$E$779:$E$1329=A21,FALSE),"No Equipment in entity"))</f>
        <v>VAV_B_S11_021</v>
      </c>
      <c r="E21" t="str">
        <v>VAV_B_S11_022</v>
      </c>
      <c r="F21" t="str">
        <v>VAV_B_S11_023</v>
      </c>
    </row>
    <row r="22" spans="1:7" x14ac:dyDescent="0.3">
      <c r="A22" t="str">
        <f t="shared" si="0"/>
        <v>entity:QNL_B_010_PATIO_GARDEN</v>
      </c>
      <c r="B22" s="38" t="s">
        <v>8515</v>
      </c>
      <c r="C22" t="s">
        <v>8516</v>
      </c>
      <c r="D22" t="str" cm="1">
        <f t="array" ref="D22">TRANSPOSE(_xlfn._xlws.FILTER('Controllable Asset Registry'!$A$779:$A$1329,IFERROR('Controllable Asset Registry'!$E$779:$E$1329=A22,FALSE),"No Equipment in entity"))</f>
        <v>No Equipment in entity</v>
      </c>
    </row>
    <row r="23" spans="1:7" x14ac:dyDescent="0.3">
      <c r="A23" t="str">
        <f t="shared" si="0"/>
        <v>entity:QNL_B_020_ENGINEERING</v>
      </c>
      <c r="B23" s="38" t="s">
        <v>8518</v>
      </c>
      <c r="C23" t="s">
        <v>8519</v>
      </c>
      <c r="D23" t="str" cm="1">
        <f t="array" ref="D23">TRANSPOSE(_xlfn._xlws.FILTER('Controllable Asset Registry'!$A$779:$A$1329,IFERROR('Controllable Asset Registry'!$E$779:$E$1329=A23,FALSE),"No Equipment in entity"))</f>
        <v>VAV_B_S11_034</v>
      </c>
    </row>
    <row r="24" spans="1:7" x14ac:dyDescent="0.3">
      <c r="A24" t="str">
        <f t="shared" si="0"/>
        <v>entity:QNL_B_021_ARABIC_STUDIES</v>
      </c>
      <c r="B24" s="38" t="s">
        <v>8521</v>
      </c>
      <c r="C24" t="s">
        <v>8522</v>
      </c>
      <c r="D24" t="str" cm="1">
        <f t="array" ref="D24">TRANSPOSE(_xlfn._xlws.FILTER('Controllable Asset Registry'!$A$779:$A$1329,IFERROR('Controllable Asset Registry'!$E$779:$E$1329=A24,FALSE),"No Equipment in entity"))</f>
        <v>VAV_B_S11_035</v>
      </c>
    </row>
    <row r="25" spans="1:7" x14ac:dyDescent="0.3">
      <c r="A25" t="str">
        <f t="shared" si="0"/>
        <v>entity:QNL_B_022_LICENSING_EXPERT</v>
      </c>
      <c r="B25" s="38" t="s">
        <v>8524</v>
      </c>
      <c r="C25" t="s">
        <v>8525</v>
      </c>
      <c r="D25" t="str" cm="1">
        <f t="array" ref="D25">TRANSPOSE(_xlfn._xlws.FILTER('Controllable Asset Registry'!$A$779:$A$1329,IFERROR('Controllable Asset Registry'!$E$779:$E$1329=A25,FALSE),"No Equipment in entity"))</f>
        <v>VAV_B_S11_036</v>
      </c>
    </row>
    <row r="26" spans="1:7" x14ac:dyDescent="0.3">
      <c r="A26" t="str">
        <f t="shared" si="0"/>
        <v>entity:QNL_B_023_ARTS_&amp;_HUMANITIES</v>
      </c>
      <c r="B26" s="38" t="s">
        <v>8527</v>
      </c>
      <c r="C26" t="s">
        <v>8528</v>
      </c>
      <c r="D26" t="str" cm="1">
        <f t="array" ref="D26">TRANSPOSE(_xlfn._xlws.FILTER('Controllable Asset Registry'!$A$779:$A$1329,IFERROR('Controllable Asset Registry'!$E$779:$E$1329=A26,FALSE),"No Equipment in entity"))</f>
        <v>VAV_B_S11_037</v>
      </c>
    </row>
    <row r="27" spans="1:7" x14ac:dyDescent="0.3">
      <c r="A27" t="str">
        <f t="shared" si="0"/>
        <v>entity:QNL_B_024_AD_COLLECTIONS</v>
      </c>
      <c r="B27" s="38" t="s">
        <v>8530</v>
      </c>
      <c r="C27" t="s">
        <v>8531</v>
      </c>
      <c r="D27" t="str" cm="1">
        <f t="array" ref="D27:E27">TRANSPOSE(_xlfn._xlws.FILTER('Controllable Asset Registry'!$A$779:$A$1329,IFERROR('Controllable Asset Registry'!$E$779:$E$1329=A27,FALSE),"No Equipment in entity"))</f>
        <v>VAV_B_S11_032</v>
      </c>
      <c r="E27" t="str">
        <v>VAV_B_S11_033</v>
      </c>
    </row>
    <row r="28" spans="1:7" x14ac:dyDescent="0.3">
      <c r="A28" t="str">
        <f t="shared" si="0"/>
        <v>entity:QNL_B_025_SOCIAL_SCIENCES</v>
      </c>
      <c r="B28" s="38" t="s">
        <v>8533</v>
      </c>
      <c r="C28" t="s">
        <v>8534</v>
      </c>
      <c r="D28" t="str" cm="1">
        <f t="array" ref="D28">TRANSPOSE(_xlfn._xlws.FILTER('Controllable Asset Registry'!$A$779:$A$1329,IFERROR('Controllable Asset Registry'!$E$779:$E$1329=A28,FALSE),"No Equipment in entity"))</f>
        <v>VAV_B_S11_040</v>
      </c>
    </row>
    <row r="29" spans="1:7" x14ac:dyDescent="0.3">
      <c r="A29" t="str">
        <f t="shared" si="0"/>
        <v>entity:QNL_B_026_BUSINESS_&amp;_COMPUTING</v>
      </c>
      <c r="B29" s="38" t="s">
        <v>8536</v>
      </c>
      <c r="C29" t="s">
        <v>8537</v>
      </c>
      <c r="D29" t="str" cm="1">
        <f t="array" ref="D29">TRANSPOSE(_xlfn._xlws.FILTER('Controllable Asset Registry'!$A$779:$A$1329,IFERROR('Controllable Asset Registry'!$E$779:$E$1329=A29,FALSE),"No Equipment in entity"))</f>
        <v>VAV_B_S11_039</v>
      </c>
    </row>
    <row r="30" spans="1:7" x14ac:dyDescent="0.3">
      <c r="A30" t="str">
        <f t="shared" si="0"/>
        <v>entity:QNL_B_027_PROCUREMENT_SPC_PROCUREMENT_OFCR</v>
      </c>
      <c r="B30" s="38" t="s">
        <v>8539</v>
      </c>
      <c r="C30" t="s">
        <v>8540</v>
      </c>
      <c r="D30" t="str" cm="1">
        <f t="array" ref="D30">TRANSPOSE(_xlfn._xlws.FILTER('Controllable Asset Registry'!$A$779:$A$1329,IFERROR('Controllable Asset Registry'!$E$779:$E$1329=A30,FALSE),"No Equipment in entity"))</f>
        <v>VAV_B_S11_038</v>
      </c>
    </row>
    <row r="31" spans="1:7" x14ac:dyDescent="0.3">
      <c r="A31" t="str">
        <f t="shared" si="0"/>
        <v>entity:QNL_B_028_STORAGE</v>
      </c>
      <c r="B31" s="38" t="s">
        <v>8542</v>
      </c>
      <c r="C31" t="s">
        <v>5852</v>
      </c>
      <c r="D31" t="str" cm="1">
        <f t="array" ref="D31">TRANSPOSE(_xlfn._xlws.FILTER('Controllable Asset Registry'!$A$779:$A$1329,IFERROR('Controllable Asset Registry'!$E$779:$E$1329=A31,FALSE),"No Equipment in entity"))</f>
        <v>VAV_B_S11_025</v>
      </c>
    </row>
    <row r="32" spans="1:7" x14ac:dyDescent="0.3">
      <c r="A32" t="str">
        <f t="shared" si="0"/>
        <v>entity:QNL_B_029_LITERATURE_&amp;_ANGUAGE</v>
      </c>
      <c r="B32" s="38" t="s">
        <v>8544</v>
      </c>
      <c r="C32" t="s">
        <v>8545</v>
      </c>
      <c r="D32" t="str" cm="1">
        <f t="array" ref="D32">TRANSPOSE(_xlfn._xlws.FILTER('Controllable Asset Registry'!$A$779:$A$1329,IFERROR('Controllable Asset Registry'!$E$779:$E$1329=A32,FALSE),"No Equipment in entity"))</f>
        <v>VAV_B_S11_041</v>
      </c>
    </row>
    <row r="33" spans="1:12" x14ac:dyDescent="0.3">
      <c r="A33" t="str">
        <f t="shared" si="0"/>
        <v>entity:QNL_B_030_SNR_P_COORDINATOR_&amp;_P_COORDINATOR</v>
      </c>
      <c r="B33" s="38" t="s">
        <v>8547</v>
      </c>
      <c r="C33" t="s">
        <v>8548</v>
      </c>
      <c r="D33" t="str" cm="1">
        <f t="array" ref="D33">TRANSPOSE(_xlfn._xlws.FILTER('Controllable Asset Registry'!$A$779:$A$1329,IFERROR('Controllable Asset Registry'!$E$779:$E$1329=A33,FALSE),"No Equipment in entity"))</f>
        <v>VAV_B_S11_042</v>
      </c>
    </row>
    <row r="34" spans="1:12" x14ac:dyDescent="0.3">
      <c r="A34" t="str">
        <f t="shared" si="0"/>
        <v>entity:QNL_B_031_JANITORS_ROOM</v>
      </c>
      <c r="B34" s="38" t="s">
        <v>8549</v>
      </c>
      <c r="C34" t="s">
        <v>8550</v>
      </c>
      <c r="D34" t="str" cm="1">
        <f t="array" ref="D34">TRANSPOSE(_xlfn._xlws.FILTER('Controllable Asset Registry'!$A$779:$A$1329,IFERROR('Controllable Asset Registry'!$E$779:$E$1329=A34,FALSE),"No Equipment in entity"))</f>
        <v>No Equipment in entity</v>
      </c>
    </row>
    <row r="35" spans="1:12" x14ac:dyDescent="0.3">
      <c r="A35" t="str">
        <f t="shared" si="0"/>
        <v>entity:QNL_B_032_REST_ROOM_MEN</v>
      </c>
      <c r="B35" s="38" t="s">
        <v>8551</v>
      </c>
      <c r="C35" t="s">
        <v>8552</v>
      </c>
      <c r="D35" t="str" cm="1">
        <f t="array" ref="D35">TRANSPOSE(_xlfn._xlws.FILTER('Controllable Asset Registry'!$A$779:$A$1329,IFERROR('Controllable Asset Registry'!$E$779:$E$1329=A35,FALSE),"No Equipment in entity"))</f>
        <v>No Equipment in entity</v>
      </c>
    </row>
    <row r="36" spans="1:12" x14ac:dyDescent="0.3">
      <c r="A36" t="str">
        <f t="shared" si="0"/>
        <v>entity:QNL_B_034_MEETING_ROOM</v>
      </c>
      <c r="B36" s="38" t="s">
        <v>8554</v>
      </c>
      <c r="C36" t="s">
        <v>7041</v>
      </c>
      <c r="D36" t="str" cm="1">
        <f t="array" ref="D36:E36">TRANSPOSE(_xlfn._xlws.FILTER('Controllable Asset Registry'!$A$779:$A$1329,IFERROR('Controllable Asset Registry'!$E$779:$E$1329=A36,FALSE),"No Equipment in entity"))</f>
        <v>VAV_B_S13_001</v>
      </c>
      <c r="E36" t="str">
        <v>VAV_B_S13_002</v>
      </c>
    </row>
    <row r="37" spans="1:12" x14ac:dyDescent="0.3">
      <c r="A37" t="str">
        <f t="shared" si="0"/>
        <v>entity:QNL_B036_REST_REST_ROOM_WOMEN</v>
      </c>
      <c r="B37" s="38" t="s">
        <v>8555</v>
      </c>
      <c r="C37" t="s">
        <v>8556</v>
      </c>
      <c r="D37" t="str" cm="1">
        <f t="array" ref="D37">TRANSPOSE(_xlfn._xlws.FILTER('Controllable Asset Registry'!$A$779:$A$1329,IFERROR('Controllable Asset Registry'!$E$779:$E$1329=A37,FALSE),"No Equipment in entity"))</f>
        <v>No Equipment in entity</v>
      </c>
    </row>
    <row r="38" spans="1:12" x14ac:dyDescent="0.3">
      <c r="A38" t="str">
        <f t="shared" si="0"/>
        <v>entity:QNL_B036_COR_CORRIDOR_4A</v>
      </c>
      <c r="B38" s="38" t="s">
        <v>8557</v>
      </c>
      <c r="C38" t="s">
        <v>8558</v>
      </c>
      <c r="D38" t="str" cm="1">
        <f t="array" ref="D38">TRANSPOSE(_xlfn._xlws.FILTER('Controllable Asset Registry'!$A$779:$A$1329,IFERROR('Controllable Asset Registry'!$E$779:$E$1329=A38,FALSE),"No Equipment in entity"))</f>
        <v>No Equipment in entity</v>
      </c>
    </row>
    <row r="39" spans="1:12" x14ac:dyDescent="0.3">
      <c r="A39" t="str">
        <f t="shared" si="0"/>
        <v>entity:QNL_B_040_OFFICE</v>
      </c>
      <c r="B39" s="38" t="s">
        <v>8560</v>
      </c>
      <c r="C39" t="s">
        <v>8561</v>
      </c>
      <c r="D39" t="str" cm="1">
        <f t="array" ref="D39">TRANSPOSE(_xlfn._xlws.FILTER('Controllable Asset Registry'!$A$779:$A$1329,IFERROR('Controllable Asset Registry'!$E$779:$E$1329=A39,FALSE),"No Equipment in entity"))</f>
        <v>VAV_B_S14_001</v>
      </c>
    </row>
    <row r="40" spans="1:12" x14ac:dyDescent="0.3">
      <c r="A40" t="str">
        <f t="shared" si="0"/>
        <v>entity:QNL_B_041_DIGITIZATION_ROOM</v>
      </c>
      <c r="B40" s="38" t="s">
        <v>8563</v>
      </c>
      <c r="C40" t="s">
        <v>8564</v>
      </c>
      <c r="D40" t="str" cm="1">
        <f t="array" ref="D40:L40">TRANSPOSE(_xlfn._xlws.FILTER('Controllable Asset Registry'!$A$779:$A$1329,IFERROR('Controllable Asset Registry'!$E$779:$E$1329=A40,FALSE),"No Equipment in entity"))</f>
        <v>VAV_B_S14_004</v>
      </c>
      <c r="E40" t="str">
        <v>VAV_B_S14_005</v>
      </c>
      <c r="F40" t="str">
        <v>VAV_B_S14_006</v>
      </c>
      <c r="G40" t="str">
        <v>VAV_B_S14_009</v>
      </c>
      <c r="H40" t="str">
        <v>VAV_B_S14_010</v>
      </c>
      <c r="I40" t="str">
        <v>VAV_B_S14_011</v>
      </c>
      <c r="J40" t="str">
        <v>VAV_B_S14_012</v>
      </c>
      <c r="K40" t="str">
        <v>VAV_B_S14_015</v>
      </c>
      <c r="L40" t="str">
        <v>VAV_B_S14_016</v>
      </c>
    </row>
    <row r="41" spans="1:12" x14ac:dyDescent="0.3">
      <c r="A41" t="str">
        <f t="shared" si="0"/>
        <v>entity:QNL_B_042_RECEPTION_&amp;_LOUNGE</v>
      </c>
      <c r="B41" s="38" t="s">
        <v>8565</v>
      </c>
      <c r="C41" t="s">
        <v>8514</v>
      </c>
      <c r="D41" t="str" cm="1">
        <f t="array" ref="D41">TRANSPOSE(_xlfn._xlws.FILTER('Controllable Asset Registry'!$A$779:$A$1329,IFERROR('Controllable Asset Registry'!$E$779:$E$1329=A41,FALSE),"No Equipment in entity"))</f>
        <v>No Equipment in entity</v>
      </c>
    </row>
    <row r="42" spans="1:12" x14ac:dyDescent="0.3">
      <c r="A42" t="str">
        <f t="shared" si="0"/>
        <v>entity:QNL_B_043_BINDING_&amp;_PRESERVATION_SPACE</v>
      </c>
      <c r="B42" s="38" t="s">
        <v>8567</v>
      </c>
      <c r="C42" t="s">
        <v>8568</v>
      </c>
      <c r="D42" t="str" cm="1">
        <f t="array" ref="D42:L42">TRANSPOSE(_xlfn._xlws.FILTER('Controllable Asset Registry'!$A$779:$A$1329,IFERROR('Controllable Asset Registry'!$E$779:$E$1329=A42,FALSE),"No Equipment in entity"))</f>
        <v>VAV_B_S14_042</v>
      </c>
      <c r="E42" t="str">
        <v>VAV_B_S14_043</v>
      </c>
      <c r="F42" t="str">
        <v>VAV_B_S14_044</v>
      </c>
      <c r="G42" t="str">
        <v>VAV_B_S14_045</v>
      </c>
      <c r="H42" t="str">
        <v>VAV_B_S14_046</v>
      </c>
      <c r="I42" t="str">
        <v>VAV_B_S14_048</v>
      </c>
      <c r="J42" t="str">
        <v>VAV_B_S14_049</v>
      </c>
      <c r="K42" t="str">
        <v>VAV_B_S14_050</v>
      </c>
      <c r="L42" t="str">
        <v>VAV_B_S14_051</v>
      </c>
    </row>
    <row r="43" spans="1:12" x14ac:dyDescent="0.3">
      <c r="A43" t="str">
        <f t="shared" si="0"/>
        <v>entity:QNL_B044_BOH_B_O_H_KITCHEN</v>
      </c>
      <c r="B43" s="38" t="s">
        <v>8569</v>
      </c>
      <c r="C43" t="s">
        <v>8570</v>
      </c>
      <c r="D43" t="str" cm="1">
        <f t="array" ref="D43">TRANSPOSE(_xlfn._xlws.FILTER('Controllable Asset Registry'!$A$779:$A$1329,IFERROR('Controllable Asset Registry'!$E$779:$E$1329=A43,FALSE),"No Equipment in entity"))</f>
        <v>No Equipment in entity</v>
      </c>
    </row>
    <row r="44" spans="1:12" x14ac:dyDescent="0.3">
      <c r="A44" t="str">
        <f t="shared" si="0"/>
        <v>entity:QNL_B044_FIN_FINE_BINDING</v>
      </c>
      <c r="B44" s="38" t="s">
        <v>8571</v>
      </c>
      <c r="C44" t="s">
        <v>8572</v>
      </c>
      <c r="D44" t="str" cm="1">
        <f t="array" ref="D44">TRANSPOSE(_xlfn._xlws.FILTER('Controllable Asset Registry'!$A$779:$A$1329,IFERROR('Controllable Asset Registry'!$E$779:$E$1329=A44,FALSE),"No Equipment in entity"))</f>
        <v>No Equipment in entity</v>
      </c>
    </row>
    <row r="45" spans="1:12" x14ac:dyDescent="0.3">
      <c r="A45" t="str">
        <f t="shared" si="0"/>
        <v>entity:QNL_B046_RES_REST_ROOM_MEN</v>
      </c>
      <c r="B45" s="38" t="s">
        <v>8573</v>
      </c>
      <c r="C45" t="s">
        <v>8552</v>
      </c>
      <c r="D45" t="str" cm="1">
        <f t="array" ref="D45">TRANSPOSE(_xlfn._xlws.FILTER('Controllable Asset Registry'!$A$779:$A$1329,IFERROR('Controllable Asset Registry'!$E$779:$E$1329=A45,FALSE),"No Equipment in entity"))</f>
        <v>No Equipment in entity</v>
      </c>
    </row>
    <row r="46" spans="1:12" x14ac:dyDescent="0.3">
      <c r="A46" t="str">
        <f t="shared" si="0"/>
        <v>entity:QNL_B046_ITT_ITTIGATION_CONTROL_ROOM</v>
      </c>
      <c r="B46" s="38" t="s">
        <v>8575</v>
      </c>
      <c r="C46" t="s">
        <v>8576</v>
      </c>
      <c r="D46" t="str" cm="1">
        <f t="array" ref="D46">TRANSPOSE(_xlfn._xlws.FILTER('Controllable Asset Registry'!$A$779:$A$1329,IFERROR('Controllable Asset Registry'!$E$779:$E$1329=A46,FALSE),"No Equipment in entity"))</f>
        <v>DX_B11</v>
      </c>
    </row>
    <row r="47" spans="1:12" x14ac:dyDescent="0.3">
      <c r="A47" t="str">
        <f t="shared" si="0"/>
        <v>entity:QNL_B_047_REST_ROOM_WOMEN</v>
      </c>
      <c r="B47" s="38" t="s">
        <v>8577</v>
      </c>
      <c r="C47" t="s">
        <v>8556</v>
      </c>
      <c r="D47" t="str" cm="1">
        <f t="array" ref="D47">TRANSPOSE(_xlfn._xlws.FILTER('Controllable Asset Registry'!$A$779:$A$1329,IFERROR('Controllable Asset Registry'!$E$779:$E$1329=A47,FALSE),"No Equipment in entity"))</f>
        <v>No Equipment in entity</v>
      </c>
    </row>
    <row r="48" spans="1:12" x14ac:dyDescent="0.3">
      <c r="A48" t="str">
        <f t="shared" si="0"/>
        <v>entity:QNL_B_048_QTEL_ROOM</v>
      </c>
      <c r="B48" s="38" t="s">
        <v>8579</v>
      </c>
      <c r="C48" t="s">
        <v>8580</v>
      </c>
      <c r="D48" t="str" cm="1">
        <f t="array" ref="D48:E48">TRANSPOSE(_xlfn._xlws.FILTER('Controllable Asset Registry'!$A$779:$A$1329,IFERROR('Controllable Asset Registry'!$E$779:$E$1329=A48,FALSE),"No Equipment in entity"))</f>
        <v>CCU_B01</v>
      </c>
      <c r="E48" t="str">
        <v>CCU_B02</v>
      </c>
    </row>
    <row r="49" spans="1:13" x14ac:dyDescent="0.3">
      <c r="A49" t="str">
        <f t="shared" si="0"/>
        <v>entity:QNL_B_049_MEP_KITCHEN</v>
      </c>
      <c r="B49" s="38" t="s">
        <v>8582</v>
      </c>
      <c r="C49" t="s">
        <v>8583</v>
      </c>
      <c r="D49" t="str" cm="1">
        <f t="array" ref="D49">TRANSPOSE(_xlfn._xlws.FILTER('Controllable Asset Registry'!$A$779:$A$1329,IFERROR('Controllable Asset Registry'!$E$779:$E$1329=A49,FALSE),"No Equipment in entity"))</f>
        <v>KEF_B019</v>
      </c>
    </row>
    <row r="50" spans="1:13" x14ac:dyDescent="0.3">
      <c r="A50" t="str">
        <f t="shared" si="0"/>
        <v>entity:QNL_B-04B_ST-04B</v>
      </c>
      <c r="B50" s="38" t="s">
        <v>8584</v>
      </c>
      <c r="C50" t="s">
        <v>8585</v>
      </c>
      <c r="D50" t="str" cm="1">
        <f t="array" ref="D50">TRANSPOSE(_xlfn._xlws.FILTER('Controllable Asset Registry'!$A$779:$A$1329,IFERROR('Controllable Asset Registry'!$E$779:$E$1329=A50,FALSE),"No Equipment in entity"))</f>
        <v>No Equipment in entity</v>
      </c>
    </row>
    <row r="51" spans="1:13" x14ac:dyDescent="0.3">
      <c r="A51" t="str">
        <f t="shared" si="0"/>
        <v>entity:QNL_B_050_TELECOM_ROOM</v>
      </c>
      <c r="B51" s="38" t="s">
        <v>8587</v>
      </c>
      <c r="C51" t="s">
        <v>8588</v>
      </c>
      <c r="D51" t="str" cm="1">
        <f t="array" ref="D51:E51">TRANSPOSE(_xlfn._xlws.FILTER('Controllable Asset Registry'!$A$779:$A$1329,IFERROR('Controllable Asset Registry'!$E$779:$E$1329=A51,FALSE),"No Equipment in entity"))</f>
        <v>CCU_B03</v>
      </c>
      <c r="E51" t="str">
        <v>CCU_B04</v>
      </c>
    </row>
    <row r="52" spans="1:13" x14ac:dyDescent="0.3">
      <c r="A52" t="str">
        <f t="shared" si="0"/>
        <v>entity:QNL_B_051_STORAGE</v>
      </c>
      <c r="B52" s="38" t="s">
        <v>8590</v>
      </c>
      <c r="C52" t="s">
        <v>5852</v>
      </c>
      <c r="D52" t="str" cm="1">
        <f t="array" ref="D52">TRANSPOSE(_xlfn._xlws.FILTER('Controllable Asset Registry'!$A$779:$A$1329,IFERROR('Controllable Asset Registry'!$E$779:$E$1329=A52,FALSE),"No Equipment in entity"))</f>
        <v>CAV_B_S14_001</v>
      </c>
    </row>
    <row r="53" spans="1:13" x14ac:dyDescent="0.3">
      <c r="A53" t="str">
        <f t="shared" si="0"/>
        <v>entity:QNL_B_053_CORRIDORS</v>
      </c>
      <c r="B53" s="38" t="s">
        <v>8591</v>
      </c>
      <c r="C53" t="s">
        <v>8592</v>
      </c>
      <c r="D53" t="str" cm="1">
        <f t="array" ref="D53">TRANSPOSE(_xlfn._xlws.FILTER('Controllable Asset Registry'!$A$779:$A$1329,IFERROR('Controllable Asset Registry'!$E$779:$E$1329=A53,FALSE),"No Equipment in entity"))</f>
        <v>No Equipment in entity</v>
      </c>
    </row>
    <row r="54" spans="1:13" x14ac:dyDescent="0.3">
      <c r="A54" t="str">
        <f t="shared" si="0"/>
        <v>entity:QNL_B_054_PATIO_GARDEN</v>
      </c>
      <c r="B54" s="38" t="s">
        <v>8593</v>
      </c>
      <c r="C54" t="s">
        <v>8516</v>
      </c>
      <c r="D54" t="str" cm="1">
        <f t="array" ref="D54">TRANSPOSE(_xlfn._xlws.FILTER('Controllable Asset Registry'!$A$779:$A$1329,IFERROR('Controllable Asset Registry'!$E$779:$E$1329=A54,FALSE),"No Equipment in entity"))</f>
        <v>No Equipment in entity</v>
      </c>
    </row>
    <row r="55" spans="1:13" x14ac:dyDescent="0.3">
      <c r="A55" t="str">
        <f t="shared" si="0"/>
        <v>entity:QNL_B057_DIG_OFFICE_DIG_INIT</v>
      </c>
      <c r="B55" s="38" t="s">
        <v>8594</v>
      </c>
      <c r="C55" t="s">
        <v>8595</v>
      </c>
      <c r="D55" t="str" cm="1">
        <f t="array" ref="D55">TRANSPOSE(_xlfn._xlws.FILTER('Controllable Asset Registry'!$A$779:$A$1329,IFERROR('Controllable Asset Registry'!$E$779:$E$1329=A55,FALSE),"No Equipment in entity"))</f>
        <v>No Equipment in entity</v>
      </c>
    </row>
    <row r="56" spans="1:13" x14ac:dyDescent="0.3">
      <c r="A56" t="str">
        <f t="shared" si="0"/>
        <v>entity:QNL_B057_AD_OFFICE_AD_FOR_LIT</v>
      </c>
      <c r="B56" s="38" t="s">
        <v>8596</v>
      </c>
      <c r="C56" t="s">
        <v>8597</v>
      </c>
      <c r="D56" t="str" cm="1">
        <f t="array" ref="D56">TRANSPOSE(_xlfn._xlws.FILTER('Controllable Asset Registry'!$A$779:$A$1329,IFERROR('Controllable Asset Registry'!$E$779:$E$1329=A56,FALSE),"No Equipment in entity"))</f>
        <v>No Equipment in entity</v>
      </c>
    </row>
    <row r="57" spans="1:13" x14ac:dyDescent="0.3">
      <c r="A57" t="str">
        <f t="shared" si="0"/>
        <v>entity:QNL_B_058_SHELL_SPACE</v>
      </c>
      <c r="B57" s="38" t="s">
        <v>8599</v>
      </c>
      <c r="C57" t="s">
        <v>6967</v>
      </c>
      <c r="D57" t="str" cm="1">
        <f t="array" ref="D57:E57">TRANSPOSE(_xlfn._xlws.FILTER('Controllable Asset Registry'!$A$779:$A$1329,IFERROR('Controllable Asset Registry'!$E$779:$E$1329=A57,FALSE),"No Equipment in entity"))</f>
        <v>VAV_B_S14_007</v>
      </c>
      <c r="E57" t="str">
        <v>VAV_B_S14_013</v>
      </c>
    </row>
    <row r="58" spans="1:13" x14ac:dyDescent="0.3">
      <c r="A58" t="str">
        <f t="shared" si="0"/>
        <v>entity:QNL_B_060_MAINTENANCE</v>
      </c>
      <c r="B58" s="38" t="s">
        <v>8600</v>
      </c>
      <c r="C58" t="s">
        <v>8601</v>
      </c>
      <c r="D58" t="str" cm="1">
        <f t="array" ref="D58">TRANSPOSE(_xlfn._xlws.FILTER('Controllable Asset Registry'!$A$779:$A$1329,IFERROR('Controllable Asset Registry'!$E$779:$E$1329=A58,FALSE),"No Equipment in entity"))</f>
        <v>No Equipment in entity</v>
      </c>
    </row>
    <row r="59" spans="1:13" x14ac:dyDescent="0.3">
      <c r="A59" t="str">
        <f t="shared" si="0"/>
        <v>entity:QNL_B_062_IDF_CORRIDOR</v>
      </c>
      <c r="B59" s="38" t="s">
        <v>8603</v>
      </c>
      <c r="C59" t="s">
        <v>8604</v>
      </c>
      <c r="D59" t="str" cm="1">
        <f t="array" ref="D59">TRANSPOSE(_xlfn._xlws.FILTER('Controllable Asset Registry'!$A$779:$A$1329,IFERROR('Controllable Asset Registry'!$E$779:$E$1329=A59,FALSE),"No Equipment in entity"))</f>
        <v>FCU_B_003</v>
      </c>
    </row>
    <row r="60" spans="1:13" x14ac:dyDescent="0.3">
      <c r="A60" t="str">
        <f t="shared" si="0"/>
        <v>entity:QNL_B_063_PLANT_ROOM_01</v>
      </c>
      <c r="B60" s="38" t="s">
        <v>8606</v>
      </c>
      <c r="C60" t="s">
        <v>8607</v>
      </c>
      <c r="D60" t="str" cm="1">
        <f t="array" ref="D60:M60">TRANSPOSE(_xlfn._xlws.FILTER('Controllable Asset Registry'!$A$779:$A$1329,IFERROR('Controllable Asset Registry'!$E$779:$E$1329=A60,FALSE),"No Equipment in entity"))</f>
        <v>AHUB002</v>
      </c>
      <c r="E60" t="str">
        <v>AHUB011</v>
      </c>
      <c r="F60" t="str">
        <v>AHUB012</v>
      </c>
      <c r="G60" t="str">
        <v>FCU_B_011</v>
      </c>
      <c r="H60" t="str">
        <v>FCU_B_012</v>
      </c>
      <c r="I60" t="str">
        <v>CAV_B_S12_002</v>
      </c>
      <c r="J60" t="str">
        <v>CAV_B_S12_003</v>
      </c>
      <c r="K60" t="str">
        <v>CAV_B_S15_001</v>
      </c>
      <c r="L60" t="str">
        <v>CAV_B_S15_002</v>
      </c>
      <c r="M60" t="str">
        <v>CAV_B_S15_003</v>
      </c>
    </row>
    <row r="61" spans="1:13" x14ac:dyDescent="0.3">
      <c r="A61" t="str">
        <f t="shared" si="0"/>
        <v>entity:QNL_B_065_VENTLATON</v>
      </c>
      <c r="B61" s="38" t="s">
        <v>8608</v>
      </c>
      <c r="C61" t="s">
        <v>8609</v>
      </c>
      <c r="D61" t="str" cm="1">
        <f t="array" ref="D61">TRANSPOSE(_xlfn._xlws.FILTER('Controllable Asset Registry'!$A$779:$A$1329,IFERROR('Controllable Asset Registry'!$E$779:$E$1329=A61,FALSE),"No Equipment in entity"))</f>
        <v>No Equipment in entity</v>
      </c>
    </row>
    <row r="62" spans="1:13" x14ac:dyDescent="0.3">
      <c r="A62" t="str">
        <f t="shared" si="0"/>
        <v>entity:QNL_B_066_CORRIDOR</v>
      </c>
      <c r="B62" s="38" t="s">
        <v>8610</v>
      </c>
      <c r="C62" t="s">
        <v>5835</v>
      </c>
      <c r="D62" t="str" cm="1">
        <f t="array" ref="D62">TRANSPOSE(_xlfn._xlws.FILTER('Controllable Asset Registry'!$A$779:$A$1329,IFERROR('Controllable Asset Registry'!$E$779:$E$1329=A62,FALSE),"No Equipment in entity"))</f>
        <v>No Equipment in entity</v>
      </c>
    </row>
    <row r="63" spans="1:13" x14ac:dyDescent="0.3">
      <c r="A63" t="str">
        <f t="shared" si="0"/>
        <v>entity:QNL_B_067_VENTLATON</v>
      </c>
      <c r="B63" s="38" t="s">
        <v>8611</v>
      </c>
      <c r="C63" t="s">
        <v>8609</v>
      </c>
      <c r="D63" t="str" cm="1">
        <f t="array" ref="D63">TRANSPOSE(_xlfn._xlws.FILTER('Controllable Asset Registry'!$A$779:$A$1329,IFERROR('Controllable Asset Registry'!$E$779:$E$1329=A63,FALSE),"No Equipment in entity"))</f>
        <v>No Equipment in entity</v>
      </c>
    </row>
    <row r="64" spans="1:13" x14ac:dyDescent="0.3">
      <c r="A64" t="str">
        <f t="shared" si="0"/>
        <v>entity:QNL_B_068_CORRIDOR</v>
      </c>
      <c r="B64" s="38" t="s">
        <v>8612</v>
      </c>
      <c r="C64" t="s">
        <v>5835</v>
      </c>
      <c r="D64" t="str" cm="1">
        <f t="array" ref="D64">TRANSPOSE(_xlfn._xlws.FILTER('Controllable Asset Registry'!$A$779:$A$1329,IFERROR('Controllable Asset Registry'!$E$779:$E$1329=A64,FALSE),"No Equipment in entity"))</f>
        <v>No Equipment in entity</v>
      </c>
    </row>
    <row r="65" spans="1:14" x14ac:dyDescent="0.3">
      <c r="A65" t="str">
        <f t="shared" si="0"/>
        <v>entity:QNL_B_070_PLANT_ROOM_02</v>
      </c>
      <c r="B65" s="38" t="s">
        <v>8614</v>
      </c>
      <c r="C65" t="s">
        <v>8615</v>
      </c>
      <c r="D65" t="str" cm="1">
        <f t="array" ref="D65:N65">TRANSPOSE(_xlfn._xlws.FILTER('Controllable Asset Registry'!$A$779:$A$1329,IFERROR('Controllable Asset Registry'!$E$779:$E$1329=A65,FALSE),"No Equipment in entity"))</f>
        <v>AHUB003</v>
      </c>
      <c r="E65" t="str">
        <v>AHUB010</v>
      </c>
      <c r="F65" t="str">
        <v>AHUB013</v>
      </c>
      <c r="G65" t="str">
        <v>FCU_B_013</v>
      </c>
      <c r="H65" t="str">
        <v>FCU_B_014</v>
      </c>
      <c r="I65" t="str">
        <v>CAV_B_S13_010</v>
      </c>
      <c r="J65" t="str">
        <v>CAV_B_S13_011</v>
      </c>
      <c r="K65" t="str">
        <v>EF_BBV01</v>
      </c>
      <c r="L65" t="str">
        <v>EF_BBV02</v>
      </c>
      <c r="M65" t="str">
        <v>TEF_B02A</v>
      </c>
      <c r="N65" t="str">
        <v>TEF_B02B</v>
      </c>
    </row>
    <row r="66" spans="1:14" x14ac:dyDescent="0.3">
      <c r="A66" t="str">
        <f t="shared" ref="A66:A129" si="1">"entity:QNL_"&amp;B66&amp;"_"&amp;C66</f>
        <v>entity:QNL_B_071_FIRE_COMMAND_ROOM</v>
      </c>
      <c r="B66" s="38" t="s">
        <v>8617</v>
      </c>
      <c r="C66" t="s">
        <v>8618</v>
      </c>
      <c r="D66" t="str" cm="1">
        <f t="array" ref="D66:F66">TRANSPOSE(_xlfn._xlws.FILTER('Controllable Asset Registry'!$A$779:$A$1329,IFERROR('Controllable Asset Registry'!$E$779:$E$1329=A66,FALSE),"No Equipment in entity"))</f>
        <v>FCU_B_006</v>
      </c>
      <c r="E66" t="str">
        <v>CAV_B_S13_012</v>
      </c>
      <c r="F66" t="str">
        <v>EF_B14</v>
      </c>
    </row>
    <row r="67" spans="1:14" x14ac:dyDescent="0.3">
      <c r="A67" t="str">
        <f t="shared" si="1"/>
        <v>entity:QNL_B_072_SPRIMKLERS_PUMPS_&amp;_ZONES_VALVES</v>
      </c>
      <c r="B67" s="38" t="s">
        <v>8620</v>
      </c>
      <c r="C67" t="s">
        <v>8621</v>
      </c>
      <c r="D67" t="str" cm="1">
        <f t="array" ref="D67:F67">TRANSPOSE(_xlfn._xlws.FILTER('Controllable Asset Registry'!$A$779:$A$1329,IFERROR('Controllable Asset Registry'!$E$779:$E$1329=A67,FALSE),"No Equipment in entity"))</f>
        <v>FCU_B_007</v>
      </c>
      <c r="E67" t="str">
        <v>CAV_B_S13_021</v>
      </c>
      <c r="F67" t="str">
        <v>EF_B13</v>
      </c>
    </row>
    <row r="68" spans="1:14" x14ac:dyDescent="0.3">
      <c r="A68" t="str">
        <f t="shared" si="1"/>
        <v>entity:QNL_B_080_GENERATOR</v>
      </c>
      <c r="B68" s="38" t="s">
        <v>8623</v>
      </c>
      <c r="C68" t="s">
        <v>5805</v>
      </c>
      <c r="D68" t="str" cm="1">
        <f t="array" ref="D68:E68">TRANSPOSE(_xlfn._xlws.FILTER('Controllable Asset Registry'!$A$779:$A$1329,IFERROR('Controllable Asset Registry'!$E$779:$E$1329=A68,FALSE),"No Equipment in entity"))</f>
        <v>EF_B09</v>
      </c>
      <c r="E68" t="str">
        <v>ELEC_Gen</v>
      </c>
    </row>
    <row r="69" spans="1:14" x14ac:dyDescent="0.3">
      <c r="A69" t="str">
        <f t="shared" si="1"/>
        <v>entity:QNL_B_081_MV_ROOM</v>
      </c>
      <c r="B69" s="38" t="s">
        <v>8625</v>
      </c>
      <c r="C69" t="s">
        <v>8626</v>
      </c>
      <c r="D69" t="str" cm="1">
        <f t="array" ref="D69:E69">TRANSPOSE(_xlfn._xlws.FILTER('Controllable Asset Registry'!$A$779:$A$1329,IFERROR('Controllable Asset Registry'!$E$779:$E$1329=A69,FALSE),"No Equipment in entity"))</f>
        <v>DX_B01</v>
      </c>
      <c r="E69" t="str">
        <v>DX_B02</v>
      </c>
    </row>
    <row r="70" spans="1:14" x14ac:dyDescent="0.3">
      <c r="A70" t="str">
        <f t="shared" si="1"/>
        <v>entity:QNL_B_082_TRANSFORMER_ROOM</v>
      </c>
      <c r="B70" s="38" t="s">
        <v>8628</v>
      </c>
      <c r="C70" t="s">
        <v>8629</v>
      </c>
      <c r="D70" t="str" cm="1">
        <f t="array" ref="D70:F70">TRANSPOSE(_xlfn._xlws.FILTER('Controllable Asset Registry'!$A$779:$A$1329,IFERROR('Controllable Asset Registry'!$E$779:$E$1329=A70,FALSE),"No Equipment in entity"))</f>
        <v>DX_B03</v>
      </c>
      <c r="E70" t="str">
        <v>DX_B04</v>
      </c>
      <c r="F70" t="str">
        <v>DX_B14</v>
      </c>
    </row>
    <row r="71" spans="1:14" x14ac:dyDescent="0.3">
      <c r="A71" t="str">
        <f t="shared" si="1"/>
        <v>entity:QNL_B_084_UPS_BATTERY_ROOM</v>
      </c>
      <c r="B71" s="38" t="s">
        <v>8631</v>
      </c>
      <c r="C71" t="s">
        <v>8632</v>
      </c>
      <c r="D71" t="str" cm="1">
        <f t="array" ref="D71:F71">TRANSPOSE(_xlfn._xlws.FILTER('Controllable Asset Registry'!$A$779:$A$1329,IFERROR('Controllable Asset Registry'!$E$779:$E$1329=A71,FALSE),"No Equipment in entity"))</f>
        <v>CAV_B_S13_020</v>
      </c>
      <c r="E71" t="str">
        <v>DX_B08</v>
      </c>
      <c r="F71" t="str">
        <v>DX_B09</v>
      </c>
    </row>
    <row r="72" spans="1:14" x14ac:dyDescent="0.3">
      <c r="A72" t="str">
        <f t="shared" si="1"/>
        <v>entity:QNL_B_085_FUMIGATION_ROOM</v>
      </c>
      <c r="B72" s="38" t="s">
        <v>8634</v>
      </c>
      <c r="C72" t="s">
        <v>8635</v>
      </c>
      <c r="D72" t="str" cm="1">
        <f t="array" ref="D72:F72">TRANSPOSE(_xlfn._xlws.FILTER('Controllable Asset Registry'!$A$779:$A$1329,IFERROR('Controllable Asset Registry'!$E$779:$E$1329=A72,FALSE),"No Equipment in entity"))</f>
        <v>FCU_B_002</v>
      </c>
      <c r="E72" t="str">
        <v>VAV_B_S13_006</v>
      </c>
      <c r="F72" t="str">
        <v>EF_B05</v>
      </c>
    </row>
    <row r="73" spans="1:14" x14ac:dyDescent="0.3">
      <c r="A73" t="str">
        <f t="shared" si="1"/>
        <v>entity:QNL_B_086_FREEZE_AREA</v>
      </c>
      <c r="B73" s="38" t="s">
        <v>8636</v>
      </c>
      <c r="C73" t="s">
        <v>8637</v>
      </c>
      <c r="D73" t="str" cm="1">
        <f t="array" ref="D73">TRANSPOSE(_xlfn._xlws.FILTER('Controllable Asset Registry'!$A$779:$A$1329,IFERROR('Controllable Asset Registry'!$E$779:$E$1329=A73,FALSE),"No Equipment in entity"))</f>
        <v>No Equipment in entity</v>
      </c>
    </row>
    <row r="74" spans="1:14" x14ac:dyDescent="0.3">
      <c r="A74" t="str">
        <f t="shared" si="1"/>
        <v>entity:QNL_B_087_GAS_SUPPRESSION_ROOM</v>
      </c>
      <c r="B74" s="38" t="s">
        <v>8639</v>
      </c>
      <c r="C74" t="s">
        <v>8640</v>
      </c>
      <c r="D74" t="str" cm="1">
        <f t="array" ref="D74:E74">TRANSPOSE(_xlfn._xlws.FILTER('Controllable Asset Registry'!$A$779:$A$1329,IFERROR('Controllable Asset Registry'!$E$779:$E$1329=A74,FALSE),"No Equipment in entity"))</f>
        <v>FCU_B_008</v>
      </c>
      <c r="E74" t="str">
        <v>CAV_B_S13_013</v>
      </c>
    </row>
    <row r="75" spans="1:14" x14ac:dyDescent="0.3">
      <c r="A75" t="str">
        <f t="shared" si="1"/>
        <v>entity:QNL_B_088_PEOPLE_MOVER_PLANT</v>
      </c>
      <c r="B75" s="38" t="s">
        <v>8642</v>
      </c>
      <c r="C75" t="s">
        <v>8643</v>
      </c>
      <c r="D75" t="str" cm="1">
        <f t="array" ref="D75:E75">TRANSPOSE(_xlfn._xlws.FILTER('Controllable Asset Registry'!$A$779:$A$1329,IFERROR('Controllable Asset Registry'!$E$779:$E$1329=A75,FALSE),"No Equipment in entity"))</f>
        <v>FCU_B_009</v>
      </c>
      <c r="E75" t="str">
        <v>CAV_B_S13_014</v>
      </c>
    </row>
    <row r="76" spans="1:14" x14ac:dyDescent="0.3">
      <c r="A76" t="str">
        <f t="shared" si="1"/>
        <v>entity:QNL_B_089_SERVER_ROOM</v>
      </c>
      <c r="B76" s="38" t="s">
        <v>8645</v>
      </c>
      <c r="C76" t="s">
        <v>6680</v>
      </c>
      <c r="D76" t="str" cm="1">
        <f t="array" ref="D76:G76">TRANSPOSE(_xlfn._xlws.FILTER('Controllable Asset Registry'!$A$779:$A$1329,IFERROR('Controllable Asset Registry'!$E$779:$E$1329=A76,FALSE),"No Equipment in entity"))</f>
        <v>CAV_B_S13_015</v>
      </c>
      <c r="E76" t="str">
        <v>CCU_B05</v>
      </c>
      <c r="F76" t="str">
        <v>CCU_B06</v>
      </c>
      <c r="G76" t="str">
        <v>CCU_B07</v>
      </c>
    </row>
    <row r="77" spans="1:14" x14ac:dyDescent="0.3">
      <c r="A77" t="str">
        <f t="shared" si="1"/>
        <v>entity:QNL_B_091_FUEL_ROOM</v>
      </c>
      <c r="B77" s="38" t="s">
        <v>8647</v>
      </c>
      <c r="C77" t="s">
        <v>8648</v>
      </c>
      <c r="D77" t="str" cm="1">
        <f t="array" ref="D77">TRANSPOSE(_xlfn._xlws.FILTER('Controllable Asset Registry'!$A$779:$A$1329,IFERROR('Controllable Asset Registry'!$E$779:$E$1329=A77,FALSE),"No Equipment in entity"))</f>
        <v>EF_B11</v>
      </c>
    </row>
    <row r="78" spans="1:14" x14ac:dyDescent="0.3">
      <c r="A78" t="str">
        <f t="shared" si="1"/>
        <v>entity:QNL_B_092_STORAGE</v>
      </c>
      <c r="B78" s="38" t="s">
        <v>8650</v>
      </c>
      <c r="C78" t="s">
        <v>5852</v>
      </c>
      <c r="D78" t="str" cm="1">
        <f t="array" ref="D78">TRANSPOSE(_xlfn._xlws.FILTER('Controllable Asset Registry'!$A$779:$A$1329,IFERROR('Controllable Asset Registry'!$E$779:$E$1329=A78,FALSE),"No Equipment in entity"))</f>
        <v>DX_B20</v>
      </c>
    </row>
    <row r="79" spans="1:14" x14ac:dyDescent="0.3">
      <c r="A79" t="str">
        <f t="shared" si="1"/>
        <v>entity:QNL_B_0924_FUEL_TANK_CHERRY_PICKER_PANKING</v>
      </c>
      <c r="B79" s="38" t="s">
        <v>8651</v>
      </c>
      <c r="C79" t="s">
        <v>8652</v>
      </c>
      <c r="D79" t="str" cm="1">
        <f t="array" ref="D79">TRANSPOSE(_xlfn._xlws.FILTER('Controllable Asset Registry'!$A$779:$A$1329,IFERROR('Controllable Asset Registry'!$E$779:$E$1329=A79,FALSE),"No Equipment in entity"))</f>
        <v>No Equipment in entity</v>
      </c>
    </row>
    <row r="80" spans="1:14" x14ac:dyDescent="0.3">
      <c r="A80" t="str">
        <f t="shared" si="1"/>
        <v>entity:QNL_B_093_TRANSH_CHAMBER</v>
      </c>
      <c r="B80" s="38" t="s">
        <v>8654</v>
      </c>
      <c r="C80" t="s">
        <v>8655</v>
      </c>
      <c r="D80" t="str" cm="1">
        <f t="array" ref="D80:F80">TRANSPOSE(_xlfn._xlws.FILTER('Controllable Asset Registry'!$A$779:$A$1329,IFERROR('Controllable Asset Registry'!$E$779:$E$1329=A80,FALSE),"No Equipment in entity"))</f>
        <v>DX_B13</v>
      </c>
      <c r="E80" t="str">
        <v>DX_B15</v>
      </c>
      <c r="F80" t="str">
        <v>EF_B10</v>
      </c>
    </row>
    <row r="81" spans="1:15" x14ac:dyDescent="0.3">
      <c r="A81" t="str">
        <f t="shared" si="1"/>
        <v>entity:QNL_B_095_EMERGENCY_LIGHTING_BATTERY_ROOM</v>
      </c>
      <c r="B81" s="38" t="s">
        <v>8657</v>
      </c>
      <c r="C81" t="s">
        <v>8658</v>
      </c>
      <c r="D81" t="str" cm="1">
        <f t="array" ref="D81:E81">TRANSPOSE(_xlfn._xlws.FILTER('Controllable Asset Registry'!$A$779:$A$1329,IFERROR('Controllable Asset Registry'!$E$779:$E$1329=A81,FALSE),"No Equipment in entity"))</f>
        <v>DX_B07</v>
      </c>
      <c r="E81" t="str">
        <v>DX_B16</v>
      </c>
    </row>
    <row r="82" spans="1:15" x14ac:dyDescent="0.3">
      <c r="A82" t="str">
        <f t="shared" si="1"/>
        <v>entity:QNL_B_100_LOADING_DOCK</v>
      </c>
      <c r="B82" s="38" t="s">
        <v>8659</v>
      </c>
      <c r="C82" t="s">
        <v>8660</v>
      </c>
      <c r="D82" t="str" cm="1">
        <f t="array" ref="D82">TRANSPOSE(_xlfn._xlws.FILTER('Controllable Asset Registry'!$A$779:$A$1329,IFERROR('Controllable Asset Registry'!$E$779:$E$1329=A82,FALSE),"No Equipment in entity"))</f>
        <v>No Equipment in entity</v>
      </c>
    </row>
    <row r="83" spans="1:15" x14ac:dyDescent="0.3">
      <c r="A83" t="str">
        <f t="shared" si="1"/>
        <v>entity:QNL_B_101_SHIPPING_CLERK</v>
      </c>
      <c r="B83" s="38" t="s">
        <v>8662</v>
      </c>
      <c r="C83" t="s">
        <v>8663</v>
      </c>
      <c r="D83" t="str" cm="1">
        <f t="array" ref="D83">TRANSPOSE(_xlfn._xlws.FILTER('Controllable Asset Registry'!$A$779:$A$1329,IFERROR('Controllable Asset Registry'!$E$779:$E$1329=A83,FALSE),"No Equipment in entity"))</f>
        <v>VAV_B_S13_007</v>
      </c>
    </row>
    <row r="84" spans="1:15" x14ac:dyDescent="0.3">
      <c r="A84" t="str">
        <f t="shared" si="1"/>
        <v>entity:QNL_B_102_SECURITY_&amp;_BMS</v>
      </c>
      <c r="B84" s="38" t="s">
        <v>8665</v>
      </c>
      <c r="C84" t="s">
        <v>8666</v>
      </c>
      <c r="D84" t="str" cm="1">
        <f t="array" ref="D84">TRANSPOSE(_xlfn._xlws.FILTER('Controllable Asset Registry'!$A$779:$A$1329,IFERROR('Controllable Asset Registry'!$E$779:$E$1329=A84,FALSE),"No Equipment in entity"))</f>
        <v>DX_B10</v>
      </c>
    </row>
    <row r="85" spans="1:15" x14ac:dyDescent="0.3">
      <c r="A85" t="str">
        <f t="shared" si="1"/>
        <v>entity:QNL_B_103_PROCESSING_ROOM</v>
      </c>
      <c r="B85" s="38" t="s">
        <v>8668</v>
      </c>
      <c r="C85" t="s">
        <v>8669</v>
      </c>
      <c r="D85" t="str" cm="1">
        <f t="array" ref="D85:E85">TRANSPOSE(_xlfn._xlws.FILTER('Controllable Asset Registry'!$A$779:$A$1329,IFERROR('Controllable Asset Registry'!$E$779:$E$1329=A85,FALSE),"No Equipment in entity"))</f>
        <v>VAV_B_S13_003</v>
      </c>
      <c r="E85" t="str">
        <v>VAV_B_S13_004</v>
      </c>
    </row>
    <row r="86" spans="1:15" x14ac:dyDescent="0.3">
      <c r="A86" t="str">
        <f t="shared" si="1"/>
        <v>entity:QNL_B_104_STORAGE</v>
      </c>
      <c r="B86" s="38" t="s">
        <v>8671</v>
      </c>
      <c r="C86" t="s">
        <v>5852</v>
      </c>
      <c r="D86" t="str" cm="1">
        <f t="array" ref="D86">TRANSPOSE(_xlfn._xlws.FILTER('Controllable Asset Registry'!$A$779:$A$1329,IFERROR('Controllable Asset Registry'!$E$779:$E$1329=A86,FALSE),"No Equipment in entity"))</f>
        <v>CAV_B_S13_009</v>
      </c>
    </row>
    <row r="87" spans="1:15" x14ac:dyDescent="0.3">
      <c r="A87" t="str">
        <f t="shared" si="1"/>
        <v>entity:QNL_B106_RES_REST_ROOM_SECURITY</v>
      </c>
      <c r="B87" s="38" t="s">
        <v>8673</v>
      </c>
      <c r="C87" t="s">
        <v>8674</v>
      </c>
      <c r="D87" t="str" cm="1">
        <f t="array" ref="D87">TRANSPOSE(_xlfn._xlws.FILTER('Controllable Asset Registry'!$A$779:$A$1329,IFERROR('Controllable Asset Registry'!$E$779:$E$1329=A87,FALSE),"No Equipment in entity"))</f>
        <v>DX_B22</v>
      </c>
    </row>
    <row r="88" spans="1:15" x14ac:dyDescent="0.3">
      <c r="A88" t="str">
        <f t="shared" si="1"/>
        <v>entity:QNL_B106_SEC_SECURITY_STORES_SECURITY_UPS</v>
      </c>
      <c r="B88" s="38" t="s">
        <v>8675</v>
      </c>
      <c r="C88" t="s">
        <v>8676</v>
      </c>
      <c r="D88" t="str" cm="1">
        <f t="array" ref="D88">TRANSPOSE(_xlfn._xlws.FILTER('Controllable Asset Registry'!$A$779:$A$1329,IFERROR('Controllable Asset Registry'!$E$779:$E$1329=A88,FALSE),"No Equipment in entity"))</f>
        <v>No Equipment in entity</v>
      </c>
    </row>
    <row r="89" spans="1:15" x14ac:dyDescent="0.3">
      <c r="A89" t="str">
        <f t="shared" si="1"/>
        <v>entity:QNL_B_107_SECURITY_EQUIPMENT_ROOM</v>
      </c>
      <c r="B89" s="38" t="s">
        <v>8678</v>
      </c>
      <c r="C89" t="s">
        <v>8679</v>
      </c>
      <c r="D89" t="str" cm="1">
        <f t="array" ref="D89:E89">TRANSPOSE(_xlfn._xlws.FILTER('Controllable Asset Registry'!$A$779:$A$1329,IFERROR('Controllable Asset Registry'!$E$779:$E$1329=A89,FALSE),"No Equipment in entity"))</f>
        <v>DX_B12</v>
      </c>
      <c r="E89" t="str">
        <v>DX_B23</v>
      </c>
    </row>
    <row r="90" spans="1:15" x14ac:dyDescent="0.3">
      <c r="A90" t="str">
        <f t="shared" si="1"/>
        <v>entity:QNL_B_108_TOILET</v>
      </c>
      <c r="B90" s="38" t="s">
        <v>8680</v>
      </c>
      <c r="C90" t="s">
        <v>5861</v>
      </c>
      <c r="D90" t="str" cm="1">
        <f t="array" ref="D90">TRANSPOSE(_xlfn._xlws.FILTER('Controllable Asset Registry'!$A$779:$A$1329,IFERROR('Controllable Asset Registry'!$E$779:$E$1329=A90,FALSE),"No Equipment in entity"))</f>
        <v>No Equipment in entity</v>
      </c>
    </row>
    <row r="91" spans="1:15" x14ac:dyDescent="0.3">
      <c r="A91" t="str">
        <f t="shared" si="1"/>
        <v>entity:QNL_B_109_LOADING_AREA</v>
      </c>
      <c r="B91" s="38" t="s">
        <v>8682</v>
      </c>
      <c r="C91" t="s">
        <v>8683</v>
      </c>
      <c r="D91" t="str" cm="1">
        <f t="array" ref="D91:G91">TRANSPOSE(_xlfn._xlws.FILTER('Controllable Asset Registry'!$A$779:$A$1329,IFERROR('Controllable Asset Registry'!$E$779:$E$1329=A91,FALSE),"No Equipment in entity"))</f>
        <v>EF_B07</v>
      </c>
      <c r="E91" t="str">
        <v>EF_B08</v>
      </c>
      <c r="F91" t="str">
        <v>EF_B15</v>
      </c>
      <c r="G91" t="str">
        <v>EF_B16</v>
      </c>
    </row>
    <row r="92" spans="1:15" x14ac:dyDescent="0.3">
      <c r="A92" t="str">
        <f t="shared" si="1"/>
        <v>entity:QNL_B_110_PLANT_ROOM_03</v>
      </c>
      <c r="B92" s="38" t="s">
        <v>8685</v>
      </c>
      <c r="C92" t="s">
        <v>8686</v>
      </c>
      <c r="D92" t="str" cm="1">
        <f t="array" ref="D92:O92">TRANSPOSE(_xlfn._xlws.FILTER('Controllable Asset Registry'!$A$779:$A$1329,IFERROR('Controllable Asset Registry'!$E$779:$E$1329=A92,FALSE),"No Equipment in entity"))</f>
        <v>AHUB004</v>
      </c>
      <c r="E92" t="str">
        <v>AHUB009</v>
      </c>
      <c r="F92" t="str">
        <v>AHUB014</v>
      </c>
      <c r="G92" t="str">
        <v>AHUB015</v>
      </c>
      <c r="H92" t="str">
        <v>FCU_B_015</v>
      </c>
      <c r="I92" t="str">
        <v>FCU_B_016</v>
      </c>
      <c r="J92" t="str">
        <v>FCU_B_017</v>
      </c>
      <c r="K92" t="str">
        <v>CAV_B_S14_003</v>
      </c>
      <c r="L92" t="str">
        <v>CAV_B_S14_004</v>
      </c>
      <c r="M92" t="str">
        <v>CAV_B_S14_005</v>
      </c>
      <c r="N92" t="str">
        <v>TEF_B01A</v>
      </c>
      <c r="O92" t="str">
        <v>TEF_B01B</v>
      </c>
    </row>
    <row r="93" spans="1:15" x14ac:dyDescent="0.3">
      <c r="A93" t="str">
        <f t="shared" si="1"/>
        <v>entity:QNL_B_111_STORAGE</v>
      </c>
      <c r="B93" s="38" t="s">
        <v>8687</v>
      </c>
      <c r="C93" t="s">
        <v>5852</v>
      </c>
      <c r="D93" t="str" cm="1">
        <f t="array" ref="D93">TRANSPOSE(_xlfn._xlws.FILTER('Controllable Asset Registry'!$A$779:$A$1329,IFERROR('Controllable Asset Registry'!$E$779:$E$1329=A93,FALSE),"No Equipment in entity"))</f>
        <v>No Equipment in entity</v>
      </c>
    </row>
    <row r="94" spans="1:15" x14ac:dyDescent="0.3">
      <c r="A94" t="str">
        <f t="shared" si="1"/>
        <v>entity:QNL_B_112_CORRIDOR</v>
      </c>
      <c r="B94" s="38" t="s">
        <v>8688</v>
      </c>
      <c r="C94" t="s">
        <v>5835</v>
      </c>
      <c r="D94" t="str" cm="1">
        <f t="array" ref="D94">TRANSPOSE(_xlfn._xlws.FILTER('Controllable Asset Registry'!$A$779:$A$1329,IFERROR('Controllable Asset Registry'!$E$779:$E$1329=A94,FALSE),"No Equipment in entity"))</f>
        <v>No Equipment in entity</v>
      </c>
    </row>
    <row r="95" spans="1:15" x14ac:dyDescent="0.3">
      <c r="A95" t="str">
        <f t="shared" si="1"/>
        <v>entity:QNL_B_113_MAINTENANCE</v>
      </c>
      <c r="B95" s="38" t="s">
        <v>8689</v>
      </c>
      <c r="C95" t="s">
        <v>8601</v>
      </c>
      <c r="D95" t="str" cm="1">
        <f t="array" ref="D95">TRANSPOSE(_xlfn._xlws.FILTER('Controllable Asset Registry'!$A$779:$A$1329,IFERROR('Controllable Asset Registry'!$E$779:$E$1329=A95,FALSE),"No Equipment in entity"))</f>
        <v>No Equipment in entity</v>
      </c>
    </row>
    <row r="96" spans="1:15" x14ac:dyDescent="0.3">
      <c r="A96" t="str">
        <f t="shared" si="1"/>
        <v>entity:QNL_B_114_VENTLATON</v>
      </c>
      <c r="B96" s="38" t="s">
        <v>8690</v>
      </c>
      <c r="C96" t="s">
        <v>8609</v>
      </c>
      <c r="D96" t="str" cm="1">
        <f t="array" ref="D96">TRANSPOSE(_xlfn._xlws.FILTER('Controllable Asset Registry'!$A$779:$A$1329,IFERROR('Controllable Asset Registry'!$E$779:$E$1329=A96,FALSE),"No Equipment in entity"))</f>
        <v>No Equipment in entity</v>
      </c>
    </row>
    <row r="97" spans="1:8" x14ac:dyDescent="0.3">
      <c r="A97" t="str">
        <f t="shared" si="1"/>
        <v>entity:QNL_B_115_CORRIDOR</v>
      </c>
      <c r="B97" s="38" t="s">
        <v>8691</v>
      </c>
      <c r="C97" t="s">
        <v>5835</v>
      </c>
      <c r="D97" t="str" cm="1">
        <f t="array" ref="D97">TRANSPOSE(_xlfn._xlws.FILTER('Controllable Asset Registry'!$A$779:$A$1329,IFERROR('Controllable Asset Registry'!$E$779:$E$1329=A97,FALSE),"No Equipment in entity"))</f>
        <v>No Equipment in entity</v>
      </c>
    </row>
    <row r="98" spans="1:8" x14ac:dyDescent="0.3">
      <c r="A98" t="str">
        <f t="shared" si="1"/>
        <v>entity:QNL_B_116_VENTLATON</v>
      </c>
      <c r="B98" s="38" t="s">
        <v>8692</v>
      </c>
      <c r="C98" t="s">
        <v>8609</v>
      </c>
      <c r="D98" t="str" cm="1">
        <f t="array" ref="D98">TRANSPOSE(_xlfn._xlws.FILTER('Controllable Asset Registry'!$A$779:$A$1329,IFERROR('Controllable Asset Registry'!$E$779:$E$1329=A98,FALSE),"No Equipment in entity"))</f>
        <v>No Equipment in entity</v>
      </c>
    </row>
    <row r="99" spans="1:8" x14ac:dyDescent="0.3">
      <c r="A99" t="str">
        <f t="shared" si="1"/>
        <v>entity:QNL_B_120_COMPACT_SHELVING_-MAIN_COLLECTION</v>
      </c>
      <c r="B99" s="38" t="s">
        <v>8694</v>
      </c>
      <c r="C99" t="s">
        <v>8695</v>
      </c>
      <c r="D99" t="str" cm="1">
        <f t="array" ref="D99:E99">TRANSPOSE(_xlfn._xlws.FILTER('Controllable Asset Registry'!$A$779:$A$1329,IFERROR('Controllable Asset Registry'!$E$779:$E$1329=A99,FALSE),"No Equipment in entity"))</f>
        <v>TEF_B03A</v>
      </c>
      <c r="E99" t="str">
        <v>TEF_B03B</v>
      </c>
    </row>
    <row r="100" spans="1:8" x14ac:dyDescent="0.3">
      <c r="A100" t="str">
        <f t="shared" si="1"/>
        <v>entity:QNL_B_121_SORTING_SHELVING_ROOM</v>
      </c>
      <c r="B100" s="38" t="s">
        <v>8697</v>
      </c>
      <c r="C100" t="s">
        <v>8698</v>
      </c>
      <c r="D100" t="str" cm="1">
        <f t="array" ref="D100:E100">TRANSPOSE(_xlfn._xlws.FILTER('Controllable Asset Registry'!$A$779:$A$1329,IFERROR('Controllable Asset Registry'!$E$779:$E$1329=A100,FALSE),"No Equipment in entity"))</f>
        <v>FCU_B_027</v>
      </c>
      <c r="E100" t="str">
        <v>FCU_B_028</v>
      </c>
    </row>
    <row r="101" spans="1:8" x14ac:dyDescent="0.3">
      <c r="A101" t="str">
        <f t="shared" si="1"/>
        <v>entity:QNL_B_122_IT_OFFICE</v>
      </c>
      <c r="B101" s="38" t="s">
        <v>8700</v>
      </c>
      <c r="C101" t="s">
        <v>8701</v>
      </c>
      <c r="D101" t="str" cm="1">
        <f t="array" ref="D101">TRANSPOSE(_xlfn._xlws.FILTER('Controllable Asset Registry'!$A$779:$A$1329,IFERROR('Controllable Asset Registry'!$E$779:$E$1329=A101,FALSE),"No Equipment in entity"))</f>
        <v>FCU_B_036</v>
      </c>
    </row>
    <row r="102" spans="1:8" x14ac:dyDescent="0.3">
      <c r="A102" t="str">
        <f t="shared" si="1"/>
        <v>entity:QNL_B_132_SHELL_SPACE-SPECIAL_COLLECTION</v>
      </c>
      <c r="B102" s="38" t="s">
        <v>8703</v>
      </c>
      <c r="C102" t="s">
        <v>8704</v>
      </c>
      <c r="D102" t="str" cm="1">
        <f t="array" ref="D102:G102">TRANSPOSE(_xlfn._xlws.FILTER('Controllable Asset Registry'!$A$779:$A$1329,IFERROR('Controllable Asset Registry'!$E$779:$E$1329=A102,FALSE),"No Equipment in entity"))</f>
        <v>FCU_B_032</v>
      </c>
      <c r="E102" t="str">
        <v>FCU_B_033</v>
      </c>
      <c r="F102" t="str">
        <v>FCU_B_034</v>
      </c>
      <c r="G102" t="str">
        <v>FCU_B_035</v>
      </c>
    </row>
    <row r="103" spans="1:8" x14ac:dyDescent="0.3">
      <c r="A103" t="str">
        <f t="shared" si="1"/>
        <v>entity:QNL_B141_HLP_HL_PLANT_ROOM</v>
      </c>
      <c r="B103" s="38" t="s">
        <v>8705</v>
      </c>
      <c r="C103" t="s">
        <v>8706</v>
      </c>
      <c r="D103" t="str" cm="1">
        <f t="array" ref="D103">TRANSPOSE(_xlfn._xlws.FILTER('Controllable Asset Registry'!$A$779:$A$1329,IFERROR('Controllable Asset Registry'!$E$779:$E$1329=A103,FALSE),"No Equipment in entity"))</f>
        <v>No Equipment in entity</v>
      </c>
    </row>
    <row r="104" spans="1:8" x14ac:dyDescent="0.3">
      <c r="A104" t="str">
        <f t="shared" si="1"/>
        <v>entity:QNL_B141_VAU_VAULT</v>
      </c>
      <c r="B104" s="38" t="s">
        <v>8708</v>
      </c>
      <c r="C104" t="s">
        <v>8709</v>
      </c>
      <c r="D104" t="str" cm="1">
        <f t="array" ref="D104:E104">TRANSPOSE(_xlfn._xlws.FILTER('Controllable Asset Registry'!$A$779:$A$1329,IFERROR('Controllable Asset Registry'!$E$779:$E$1329=A104,FALSE),"No Equipment in entity"))</f>
        <v>CCU_B08</v>
      </c>
      <c r="E104" t="str">
        <v>CCU_B09</v>
      </c>
    </row>
    <row r="105" spans="1:8" x14ac:dyDescent="0.3">
      <c r="A105" t="str">
        <f t="shared" si="1"/>
        <v>entity:QNL_B_142_CORRIDOR</v>
      </c>
      <c r="B105" s="38" t="s">
        <v>8710</v>
      </c>
      <c r="C105" t="s">
        <v>5835</v>
      </c>
      <c r="D105" t="str" cm="1">
        <f t="array" ref="D105">TRANSPOSE(_xlfn._xlws.FILTER('Controllable Asset Registry'!$A$779:$A$1329,IFERROR('Controllable Asset Registry'!$E$779:$E$1329=A105,FALSE),"No Equipment in entity"))</f>
        <v>No Equipment in entity</v>
      </c>
    </row>
    <row r="106" spans="1:8" x14ac:dyDescent="0.3">
      <c r="A106" t="str">
        <f t="shared" si="1"/>
        <v>entity:QNL_B_143_HERITAGE_COLLECTION</v>
      </c>
      <c r="B106" s="38" t="s">
        <v>8711</v>
      </c>
      <c r="C106" t="s">
        <v>8712</v>
      </c>
      <c r="D106" t="str" cm="1">
        <f t="array" ref="D106">TRANSPOSE(_xlfn._xlws.FILTER('Controllable Asset Registry'!$A$779:$A$1329,IFERROR('Controllable Asset Registry'!$E$779:$E$1329=A106,FALSE),"No Equipment in entity"))</f>
        <v>No Equipment in entity</v>
      </c>
    </row>
    <row r="107" spans="1:8" x14ac:dyDescent="0.3">
      <c r="A107" t="str">
        <f t="shared" si="1"/>
        <v>entity:QNL_B_144_PANTRY</v>
      </c>
      <c r="B107" s="38" t="s">
        <v>8713</v>
      </c>
      <c r="C107" t="s">
        <v>6807</v>
      </c>
      <c r="D107" t="str" cm="1">
        <f t="array" ref="D107">TRANSPOSE(_xlfn._xlws.FILTER('Controllable Asset Registry'!$A$779:$A$1329,IFERROR('Controllable Asset Registry'!$E$779:$E$1329=A107,FALSE),"No Equipment in entity"))</f>
        <v>No Equipment in entity</v>
      </c>
    </row>
    <row r="108" spans="1:8" x14ac:dyDescent="0.3">
      <c r="A108" t="str">
        <f t="shared" si="1"/>
        <v>entity:QNL_B_145_LOBY_&amp;_CSECURITY</v>
      </c>
      <c r="B108" s="38" t="s">
        <v>8715</v>
      </c>
      <c r="C108" t="s">
        <v>8716</v>
      </c>
      <c r="D108" t="str" cm="1">
        <f t="array" ref="D108:H108">TRANSPOSE(_xlfn._xlws.FILTER('Controllable Asset Registry'!$A$779:$A$1329,IFERROR('Controllable Asset Registry'!$E$779:$E$1329=A108,FALSE),"No Equipment in entity"))</f>
        <v>FCU_B_029</v>
      </c>
      <c r="E108" t="str">
        <v>FCU_B_038</v>
      </c>
      <c r="F108" t="str">
        <v>VAV_B_S15_002</v>
      </c>
      <c r="G108" t="str">
        <v>VAV_B_S15_003</v>
      </c>
      <c r="H108" t="str">
        <v>VAV_B_S15_004</v>
      </c>
    </row>
    <row r="109" spans="1:8" x14ac:dyDescent="0.3">
      <c r="A109" t="str">
        <f t="shared" si="1"/>
        <v>entity:QNL_B_146_VIP_REST_ROOM</v>
      </c>
      <c r="B109" s="38" t="s">
        <v>8717</v>
      </c>
      <c r="C109" t="s">
        <v>8718</v>
      </c>
      <c r="D109" t="str" cm="1">
        <f t="array" ref="D109">TRANSPOSE(_xlfn._xlws.FILTER('Controllable Asset Registry'!$A$779:$A$1329,IFERROR('Controllable Asset Registry'!$E$779:$E$1329=A109,FALSE),"No Equipment in entity"))</f>
        <v>No Equipment in entity</v>
      </c>
    </row>
    <row r="110" spans="1:8" x14ac:dyDescent="0.3">
      <c r="A110" t="str">
        <f t="shared" si="1"/>
        <v>entity:QNL_B_147_VIP_REST_ROOM</v>
      </c>
      <c r="B110" s="38" t="s">
        <v>8719</v>
      </c>
      <c r="C110" t="s">
        <v>8718</v>
      </c>
      <c r="D110" t="str" cm="1">
        <f t="array" ref="D110">TRANSPOSE(_xlfn._xlws.FILTER('Controllable Asset Registry'!$A$779:$A$1329,IFERROR('Controllable Asset Registry'!$E$779:$E$1329=A110,FALSE),"No Equipment in entity"))</f>
        <v>No Equipment in entity</v>
      </c>
    </row>
    <row r="111" spans="1:8" x14ac:dyDescent="0.3">
      <c r="A111" t="str">
        <f t="shared" si="1"/>
        <v>entity:QNL_B_148_VIP_MAJLIS</v>
      </c>
      <c r="B111" s="38" t="s">
        <v>8720</v>
      </c>
      <c r="C111" t="s">
        <v>8721</v>
      </c>
      <c r="D111" t="str" cm="1">
        <f t="array" ref="D111">TRANSPOSE(_xlfn._xlws.FILTER('Controllable Asset Registry'!$A$779:$A$1329,IFERROR('Controllable Asset Registry'!$E$779:$E$1329=A111,FALSE),"No Equipment in entity"))</f>
        <v>No Equipment in entity</v>
      </c>
    </row>
    <row r="112" spans="1:8" x14ac:dyDescent="0.3">
      <c r="A112" t="str">
        <f t="shared" si="1"/>
        <v>entity:QNL_B_149_DIRECTOR_HEAD</v>
      </c>
      <c r="B112" s="38" t="s">
        <v>8723</v>
      </c>
      <c r="C112" t="s">
        <v>8724</v>
      </c>
      <c r="D112" t="str" cm="1">
        <f t="array" ref="D112:G112">TRANSPOSE(_xlfn._xlws.FILTER('Controllable Asset Registry'!$A$779:$A$1329,IFERROR('Controllable Asset Registry'!$E$779:$E$1329=A112,FALSE),"No Equipment in entity"))</f>
        <v>VAV_B_S15_009</v>
      </c>
      <c r="E112" t="str">
        <v>VAV_B_S15_010</v>
      </c>
      <c r="F112" t="str">
        <v>VAV_B_S15_011</v>
      </c>
      <c r="G112" t="str">
        <v>VAV_B_S15_012</v>
      </c>
    </row>
    <row r="113" spans="1:6" x14ac:dyDescent="0.3">
      <c r="A113" t="str">
        <f t="shared" si="1"/>
        <v>entity:QNL_B_150_ASSISTANT_HEAD</v>
      </c>
      <c r="B113" s="38" t="s">
        <v>8725</v>
      </c>
      <c r="C113" t="s">
        <v>8726</v>
      </c>
      <c r="D113" t="str" cm="1">
        <f t="array" ref="D113">TRANSPOSE(_xlfn._xlws.FILTER('Controllable Asset Registry'!$A$779:$A$1329,IFERROR('Controllable Asset Registry'!$E$779:$E$1329=A113,FALSE),"No Equipment in entity"))</f>
        <v>No Equipment in entity</v>
      </c>
    </row>
    <row r="114" spans="1:6" x14ac:dyDescent="0.3">
      <c r="A114" t="str">
        <f t="shared" si="1"/>
        <v>entity:QNL_B_151_RESEARCH_&amp;_DOC-RCRDS_MGMT</v>
      </c>
      <c r="B114" s="38" t="s">
        <v>8728</v>
      </c>
      <c r="C114" t="s">
        <v>8729</v>
      </c>
      <c r="D114" t="str" cm="1">
        <f t="array" ref="D114:E114">TRANSPOSE(_xlfn._xlws.FILTER('Controllable Asset Registry'!$A$779:$A$1329,IFERROR('Controllable Asset Registry'!$E$779:$E$1329=A114,FALSE),"No Equipment in entity"))</f>
        <v>VAV_B_S15_008</v>
      </c>
      <c r="E114" t="str">
        <v>VAV_B_S15_013</v>
      </c>
    </row>
    <row r="115" spans="1:6" x14ac:dyDescent="0.3">
      <c r="A115" t="str">
        <f t="shared" si="1"/>
        <v>entity:QNL_B_152_SECURITY_ROOM</v>
      </c>
      <c r="B115" s="38" t="s">
        <v>8731</v>
      </c>
      <c r="C115" t="s">
        <v>8732</v>
      </c>
      <c r="D115" t="str" cm="1">
        <f t="array" ref="D115">TRANSPOSE(_xlfn._xlws.FILTER('Controllable Asset Registry'!$A$779:$A$1329,IFERROR('Controllable Asset Registry'!$E$779:$E$1329=A115,FALSE),"No Equipment in entity"))</f>
        <v>VAV_B_S15_007</v>
      </c>
    </row>
    <row r="116" spans="1:6" x14ac:dyDescent="0.3">
      <c r="A116" t="str">
        <f t="shared" si="1"/>
        <v>entity:QNL_B_153_PROF_LIBRARIAN</v>
      </c>
      <c r="B116" s="38" t="s">
        <v>8734</v>
      </c>
      <c r="C116" t="s">
        <v>8735</v>
      </c>
      <c r="D116" t="str" cm="1">
        <f t="array" ref="D116:F116">TRANSPOSE(_xlfn._xlws.FILTER('Controllable Asset Registry'!$A$779:$A$1329,IFERROR('Controllable Asset Registry'!$E$779:$E$1329=A116,FALSE),"No Equipment in entity"))</f>
        <v>VAV_B_S15_001</v>
      </c>
      <c r="E116" t="str">
        <v>VAV_B_S15_005</v>
      </c>
      <c r="F116" t="str">
        <v>VAV_B_S15_006</v>
      </c>
    </row>
    <row r="117" spans="1:6" x14ac:dyDescent="0.3">
      <c r="A117" t="str">
        <f t="shared" si="1"/>
        <v>entity:QNL_B_155_FACULTY_CARRELS</v>
      </c>
      <c r="B117" s="38" t="s">
        <v>8737</v>
      </c>
      <c r="C117" t="s">
        <v>8738</v>
      </c>
      <c r="D117" t="str" cm="1">
        <f t="array" ref="D117">TRANSPOSE(_xlfn._xlws.FILTER('Controllable Asset Registry'!$A$779:$A$1329,IFERROR('Controllable Asset Registry'!$E$779:$E$1329=A117,FALSE),"No Equipment in entity"))</f>
        <v>FCU_B_001</v>
      </c>
    </row>
    <row r="118" spans="1:6" x14ac:dyDescent="0.3">
      <c r="A118" t="str">
        <f t="shared" si="1"/>
        <v>entity:QNL_B_156_FACULTY_CARRELS</v>
      </c>
      <c r="B118" s="38" t="s">
        <v>8739</v>
      </c>
      <c r="C118" t="s">
        <v>8738</v>
      </c>
      <c r="D118" t="str" cm="1">
        <f t="array" ref="D118">TRANSPOSE(_xlfn._xlws.FILTER('Controllable Asset Registry'!$A$779:$A$1329,IFERROR('Controllable Asset Registry'!$E$779:$E$1329=A118,FALSE),"No Equipment in entity"))</f>
        <v>No Equipment in entity</v>
      </c>
    </row>
    <row r="119" spans="1:6" x14ac:dyDescent="0.3">
      <c r="A119" t="str">
        <f t="shared" si="1"/>
        <v>entity:QNL_B_157_FACULTY_CARRELS</v>
      </c>
      <c r="B119" s="38" t="s">
        <v>8740</v>
      </c>
      <c r="C119" t="s">
        <v>8738</v>
      </c>
      <c r="D119" t="str" cm="1">
        <f t="array" ref="D119">TRANSPOSE(_xlfn._xlws.FILTER('Controllable Asset Registry'!$A$779:$A$1329,IFERROR('Controllable Asset Registry'!$E$779:$E$1329=A119,FALSE),"No Equipment in entity"))</f>
        <v>No Equipment in entity</v>
      </c>
    </row>
    <row r="120" spans="1:6" x14ac:dyDescent="0.3">
      <c r="A120" t="str">
        <f t="shared" si="1"/>
        <v>entity:QNL_B_158_FACULTY_CARRELS</v>
      </c>
      <c r="B120" s="38" t="s">
        <v>8741</v>
      </c>
      <c r="C120" t="s">
        <v>8738</v>
      </c>
      <c r="D120" t="str" cm="1">
        <f t="array" ref="D120">TRANSPOSE(_xlfn._xlws.FILTER('Controllable Asset Registry'!$A$779:$A$1329,IFERROR('Controllable Asset Registry'!$E$779:$E$1329=A120,FALSE),"No Equipment in entity"))</f>
        <v>No Equipment in entity</v>
      </c>
    </row>
    <row r="121" spans="1:6" x14ac:dyDescent="0.3">
      <c r="A121" t="str">
        <f t="shared" si="1"/>
        <v>entity:QNL_B_159_FACULTY_CARRELS</v>
      </c>
      <c r="B121" s="38" t="s">
        <v>8742</v>
      </c>
      <c r="C121" t="s">
        <v>8738</v>
      </c>
      <c r="D121" t="str" cm="1">
        <f t="array" ref="D121">TRANSPOSE(_xlfn._xlws.FILTER('Controllable Asset Registry'!$A$779:$A$1329,IFERROR('Controllable Asset Registry'!$E$779:$E$1329=A121,FALSE),"No Equipment in entity"))</f>
        <v>No Equipment in entity</v>
      </c>
    </row>
    <row r="122" spans="1:6" x14ac:dyDescent="0.3">
      <c r="A122" t="str">
        <f t="shared" si="1"/>
        <v>entity:QNL_B_160_FACULTY_CARRELS</v>
      </c>
      <c r="B122" s="38" t="s">
        <v>8743</v>
      </c>
      <c r="C122" t="s">
        <v>8738</v>
      </c>
      <c r="D122" t="str" cm="1">
        <f t="array" ref="D122">TRANSPOSE(_xlfn._xlws.FILTER('Controllable Asset Registry'!$A$779:$A$1329,IFERROR('Controllable Asset Registry'!$E$779:$E$1329=A122,FALSE),"No Equipment in entity"))</f>
        <v>No Equipment in entity</v>
      </c>
    </row>
    <row r="123" spans="1:6" x14ac:dyDescent="0.3">
      <c r="A123" t="str">
        <f t="shared" si="1"/>
        <v>entity:QNL_B_161_FACULTY_CARRELS</v>
      </c>
      <c r="B123" s="38" t="s">
        <v>8744</v>
      </c>
      <c r="C123" t="s">
        <v>8738</v>
      </c>
      <c r="D123" t="str" cm="1">
        <f t="array" ref="D123">TRANSPOSE(_xlfn._xlws.FILTER('Controllable Asset Registry'!$A$779:$A$1329,IFERROR('Controllable Asset Registry'!$E$779:$E$1329=A123,FALSE),"No Equipment in entity"))</f>
        <v>No Equipment in entity</v>
      </c>
    </row>
    <row r="124" spans="1:6" x14ac:dyDescent="0.3">
      <c r="A124" t="str">
        <f t="shared" si="1"/>
        <v>entity:QNL_B_162_FACULTY_CARRELS</v>
      </c>
      <c r="B124" s="38" t="s">
        <v>8745</v>
      </c>
      <c r="C124" t="s">
        <v>8738</v>
      </c>
      <c r="D124" t="str" cm="1">
        <f t="array" ref="D124">TRANSPOSE(_xlfn._xlws.FILTER('Controllable Asset Registry'!$A$779:$A$1329,IFERROR('Controllable Asset Registry'!$E$779:$E$1329=A124,FALSE),"No Equipment in entity"))</f>
        <v>No Equipment in entity</v>
      </c>
    </row>
    <row r="125" spans="1:6" x14ac:dyDescent="0.3">
      <c r="A125" t="str">
        <f t="shared" si="1"/>
        <v>entity:QNL_B_163_FACULTY_CARRELS</v>
      </c>
      <c r="B125" s="38" t="s">
        <v>8746</v>
      </c>
      <c r="C125" t="s">
        <v>8738</v>
      </c>
      <c r="D125" t="str" cm="1">
        <f t="array" ref="D125">TRANSPOSE(_xlfn._xlws.FILTER('Controllable Asset Registry'!$A$779:$A$1329,IFERROR('Controllable Asset Registry'!$E$779:$E$1329=A125,FALSE),"No Equipment in entity"))</f>
        <v>No Equipment in entity</v>
      </c>
    </row>
    <row r="126" spans="1:6" x14ac:dyDescent="0.3">
      <c r="A126" t="str">
        <f t="shared" si="1"/>
        <v>entity:QNL_B_164_FACULTY_CARRELS</v>
      </c>
      <c r="B126" s="38" t="s">
        <v>8747</v>
      </c>
      <c r="C126" t="s">
        <v>8738</v>
      </c>
      <c r="D126" t="str" cm="1">
        <f t="array" ref="D126">TRANSPOSE(_xlfn._xlws.FILTER('Controllable Asset Registry'!$A$779:$A$1329,IFERROR('Controllable Asset Registry'!$E$779:$E$1329=A126,FALSE),"No Equipment in entity"))</f>
        <v>No Equipment in entity</v>
      </c>
    </row>
    <row r="127" spans="1:6" x14ac:dyDescent="0.3">
      <c r="A127" t="str">
        <f t="shared" si="1"/>
        <v>entity:QNL_B_165_FACULTY_CARRELS</v>
      </c>
      <c r="B127" s="38" t="s">
        <v>8748</v>
      </c>
      <c r="C127" t="s">
        <v>8738</v>
      </c>
      <c r="D127" t="str" cm="1">
        <f t="array" ref="D127">TRANSPOSE(_xlfn._xlws.FILTER('Controllable Asset Registry'!$A$779:$A$1329,IFERROR('Controllable Asset Registry'!$E$779:$E$1329=A127,FALSE),"No Equipment in entity"))</f>
        <v>No Equipment in entity</v>
      </c>
    </row>
    <row r="128" spans="1:6" x14ac:dyDescent="0.3">
      <c r="A128" t="str">
        <f t="shared" si="1"/>
        <v>entity:QNL_B_166_FACULTY_CARRELS</v>
      </c>
      <c r="B128" s="38" t="s">
        <v>8749</v>
      </c>
      <c r="C128" t="s">
        <v>8738</v>
      </c>
      <c r="D128" t="str" cm="1">
        <f t="array" ref="D128">TRANSPOSE(_xlfn._xlws.FILTER('Controllable Asset Registry'!$A$779:$A$1329,IFERROR('Controllable Asset Registry'!$E$779:$E$1329=A128,FALSE),"No Equipment in entity"))</f>
        <v>No Equipment in entity</v>
      </c>
    </row>
    <row r="129" spans="1:12" x14ac:dyDescent="0.3">
      <c r="A129" t="str">
        <f t="shared" si="1"/>
        <v>entity:QNL_B_167_FACULTY_CARRELS</v>
      </c>
      <c r="B129" s="38" t="s">
        <v>8750</v>
      </c>
      <c r="C129" t="s">
        <v>8738</v>
      </c>
      <c r="D129" t="str" cm="1">
        <f t="array" ref="D129">TRANSPOSE(_xlfn._xlws.FILTER('Controllable Asset Registry'!$A$779:$A$1329,IFERROR('Controllable Asset Registry'!$E$779:$E$1329=A129,FALSE),"No Equipment in entity"))</f>
        <v>No Equipment in entity</v>
      </c>
    </row>
    <row r="130" spans="1:12" x14ac:dyDescent="0.3">
      <c r="A130" t="str">
        <f t="shared" ref="A130:A193" si="2">"entity:QNL_"&amp;B130&amp;"_"&amp;C130</f>
        <v>entity:QNL_B_168_FACULTY_CARRELS</v>
      </c>
      <c r="B130" s="38" t="s">
        <v>8751</v>
      </c>
      <c r="C130" t="s">
        <v>8738</v>
      </c>
      <c r="D130" t="str" cm="1">
        <f t="array" ref="D130">TRANSPOSE(_xlfn._xlws.FILTER('Controllable Asset Registry'!$A$779:$A$1329,IFERROR('Controllable Asset Registry'!$E$779:$E$1329=A130,FALSE),"No Equipment in entity"))</f>
        <v>No Equipment in entity</v>
      </c>
    </row>
    <row r="131" spans="1:12" x14ac:dyDescent="0.3">
      <c r="A131" t="str">
        <f t="shared" si="2"/>
        <v>entity:QNL_B_169_FACULTY_CARRELS</v>
      </c>
      <c r="B131" s="38" t="s">
        <v>8752</v>
      </c>
      <c r="C131" t="s">
        <v>8738</v>
      </c>
      <c r="D131" t="str" cm="1">
        <f t="array" ref="D131">TRANSPOSE(_xlfn._xlws.FILTER('Controllable Asset Registry'!$A$779:$A$1329,IFERROR('Controllable Asset Registry'!$E$779:$E$1329=A131,FALSE),"No Equipment in entity"))</f>
        <v>No Equipment in entity</v>
      </c>
    </row>
    <row r="132" spans="1:12" x14ac:dyDescent="0.3">
      <c r="A132" t="str">
        <f t="shared" si="2"/>
        <v>entity:QNL_B_200_DIGITIZATION</v>
      </c>
      <c r="B132" s="38" t="s">
        <v>8754</v>
      </c>
      <c r="C132" t="s">
        <v>8755</v>
      </c>
      <c r="D132" t="str" cm="1">
        <f t="array" ref="D132:L132">TRANSPOSE(_xlfn._xlws.FILTER('Controllable Asset Registry'!$A$779:$A$1329,IFERROR('Controllable Asset Registry'!$E$779:$E$1329=A132,FALSE),"No Equipment in entity"))</f>
        <v>VAV_B_S10_001</v>
      </c>
      <c r="E132" t="str">
        <v>VAV_B_S10_002</v>
      </c>
      <c r="F132" t="str">
        <v>VAV_B_S10_003</v>
      </c>
      <c r="G132" t="str">
        <v>VAV_B_S10_004</v>
      </c>
      <c r="H132" t="str">
        <v>VAV_B_S10_005</v>
      </c>
      <c r="I132" t="str">
        <v>VAV_B_S10_006</v>
      </c>
      <c r="J132" t="str">
        <v>VAV_B_S10_007</v>
      </c>
      <c r="K132" t="str">
        <v>VAV_B_S10_008</v>
      </c>
      <c r="L132" t="str">
        <v>VAV_B_S10_024</v>
      </c>
    </row>
    <row r="133" spans="1:12" x14ac:dyDescent="0.3">
      <c r="A133" t="str">
        <f t="shared" si="2"/>
        <v>entity:QNL_B_201_REST_ROOM_MEN</v>
      </c>
      <c r="B133" s="38" t="s">
        <v>8756</v>
      </c>
      <c r="C133" t="s">
        <v>8552</v>
      </c>
      <c r="D133" t="str" cm="1">
        <f t="array" ref="D133">TRANSPOSE(_xlfn._xlws.FILTER('Controllable Asset Registry'!$A$779:$A$1329,IFERROR('Controllable Asset Registry'!$E$779:$E$1329=A133,FALSE),"No Equipment in entity"))</f>
        <v>No Equipment in entity</v>
      </c>
    </row>
    <row r="134" spans="1:12" x14ac:dyDescent="0.3">
      <c r="A134" t="str">
        <f t="shared" si="2"/>
        <v>entity:QNL_B_202_REST_ROOM_WOMEN</v>
      </c>
      <c r="B134" s="38" t="s">
        <v>8757</v>
      </c>
      <c r="C134" t="s">
        <v>8556</v>
      </c>
      <c r="D134" t="str" cm="1">
        <f t="array" ref="D134">TRANSPOSE(_xlfn._xlws.FILTER('Controllable Asset Registry'!$A$779:$A$1329,IFERROR('Controllable Asset Registry'!$E$779:$E$1329=A134,FALSE),"No Equipment in entity"))</f>
        <v>No Equipment in entity</v>
      </c>
    </row>
    <row r="135" spans="1:12" x14ac:dyDescent="0.3">
      <c r="A135" t="str">
        <f t="shared" si="2"/>
        <v>entity:QNL_B_203_STORAGE_ROOM</v>
      </c>
      <c r="B135" s="38" t="s">
        <v>8758</v>
      </c>
      <c r="C135" t="s">
        <v>6852</v>
      </c>
      <c r="D135" t="str" cm="1">
        <f t="array" ref="D135">TRANSPOSE(_xlfn._xlws.FILTER('Controllable Asset Registry'!$A$779:$A$1329,IFERROR('Controllable Asset Registry'!$E$779:$E$1329=A135,FALSE),"No Equipment in entity"))</f>
        <v>No Equipment in entity</v>
      </c>
    </row>
    <row r="136" spans="1:12" x14ac:dyDescent="0.3">
      <c r="A136" t="str">
        <f t="shared" si="2"/>
        <v>entity:QNL_B_204_TECHNICAL_SERVICES</v>
      </c>
      <c r="B136" s="38" t="s">
        <v>8760</v>
      </c>
      <c r="C136" t="s">
        <v>8761</v>
      </c>
      <c r="D136" t="str" cm="1">
        <f t="array" ref="D136:F136">TRANSPOSE(_xlfn._xlws.FILTER('Controllable Asset Registry'!$A$779:$A$1329,IFERROR('Controllable Asset Registry'!$E$779:$E$1329=A136,FALSE),"No Equipment in entity"))</f>
        <v>VAV_B_S10_009</v>
      </c>
      <c r="E136" t="str">
        <v>VAV_B_S10_010</v>
      </c>
      <c r="F136" t="str">
        <v>VAV_B_S10_011</v>
      </c>
    </row>
    <row r="137" spans="1:12" x14ac:dyDescent="0.3">
      <c r="A137" t="str">
        <f t="shared" si="2"/>
        <v>entity:QNL_B_205_INSTRUCTION_PRESENTATION</v>
      </c>
      <c r="B137" s="38" t="s">
        <v>8763</v>
      </c>
      <c r="C137" t="s">
        <v>8764</v>
      </c>
      <c r="D137" t="str" cm="1">
        <f t="array" ref="D137:F137">TRANSPOSE(_xlfn._xlws.FILTER('Controllable Asset Registry'!$A$779:$A$1329,IFERROR('Controllable Asset Registry'!$E$779:$E$1329=A137,FALSE),"No Equipment in entity"))</f>
        <v>VAV_B_S10_016</v>
      </c>
      <c r="E137" t="str">
        <v>VAV_B_S10_017</v>
      </c>
      <c r="F137" t="str">
        <v>VAV_B_S10_018</v>
      </c>
    </row>
    <row r="138" spans="1:12" x14ac:dyDescent="0.3">
      <c r="A138" t="str">
        <f t="shared" si="2"/>
        <v>entity:QNL_B_206_INSTRUCTION_OUTREACH</v>
      </c>
      <c r="B138" s="38" t="s">
        <v>8766</v>
      </c>
      <c r="C138" t="s">
        <v>8767</v>
      </c>
      <c r="D138" t="str" cm="1">
        <f t="array" ref="D138">TRANSPOSE(_xlfn._xlws.FILTER('Controllable Asset Registry'!$A$779:$A$1329,IFERROR('Controllable Asset Registry'!$E$779:$E$1329=A138,FALSE),"No Equipment in entity"))</f>
        <v>VAV_B_S10_015</v>
      </c>
    </row>
    <row r="139" spans="1:12" x14ac:dyDescent="0.3">
      <c r="A139" t="str">
        <f t="shared" si="2"/>
        <v>entity:QNL_B_207_PRESEARCHERS_READING_AREA</v>
      </c>
      <c r="B139" s="38" t="s">
        <v>8769</v>
      </c>
      <c r="C139" t="s">
        <v>8770</v>
      </c>
      <c r="D139" t="str" cm="1">
        <f t="array" ref="D139:G139">TRANSPOSE(_xlfn._xlws.FILTER('Controllable Asset Registry'!$A$779:$A$1329,IFERROR('Controllable Asset Registry'!$E$779:$E$1329=A139,FALSE),"No Equipment in entity"))</f>
        <v>VAV_B_S10_020</v>
      </c>
      <c r="E139" t="str">
        <v>VAV_B_S10_021</v>
      </c>
      <c r="F139" t="str">
        <v>VAV_B_S10_022</v>
      </c>
      <c r="G139" t="str">
        <v>VAV_B_S10_023</v>
      </c>
    </row>
    <row r="140" spans="1:12" x14ac:dyDescent="0.3">
      <c r="A140" t="str">
        <f t="shared" si="2"/>
        <v>entity:QNL_B_208_PROF_LIBRARIAN</v>
      </c>
      <c r="B140" s="38" t="s">
        <v>8772</v>
      </c>
      <c r="C140" t="s">
        <v>8735</v>
      </c>
      <c r="D140" t="str" cm="1">
        <f t="array" ref="D140">TRANSPOSE(_xlfn._xlws.FILTER('Controllable Asset Registry'!$A$779:$A$1329,IFERROR('Controllable Asset Registry'!$E$779:$E$1329=A140,FALSE),"No Equipment in entity"))</f>
        <v>VAV_B_S10_019</v>
      </c>
    </row>
    <row r="141" spans="1:12" x14ac:dyDescent="0.3">
      <c r="A141" t="str">
        <f t="shared" si="2"/>
        <v>entity:QNL_B_209_CONSERVATION_WORK_AREA</v>
      </c>
      <c r="B141" s="38" t="s">
        <v>8774</v>
      </c>
      <c r="C141" t="s">
        <v>8775</v>
      </c>
      <c r="D141" t="str" cm="1">
        <f t="array" ref="D141:F141">TRANSPOSE(_xlfn._xlws.FILTER('Controllable Asset Registry'!$A$779:$A$1329,IFERROR('Controllable Asset Registry'!$E$779:$E$1329=A141,FALSE),"No Equipment in entity"))</f>
        <v>VAV_B_S10_012</v>
      </c>
      <c r="E141" t="str">
        <v>VAV_B_S10_013</v>
      </c>
      <c r="F141" t="str">
        <v>VAV_B_S10_014</v>
      </c>
    </row>
    <row r="142" spans="1:12" x14ac:dyDescent="0.3">
      <c r="A142" t="str">
        <f t="shared" si="2"/>
        <v>entity:QNL_B_210_FM_STORAGE</v>
      </c>
      <c r="B142" s="38" t="s">
        <v>8777</v>
      </c>
      <c r="C142" t="s">
        <v>6645</v>
      </c>
      <c r="D142" t="str" cm="1">
        <f t="array" ref="D142:E142">TRANSPOSE(_xlfn._xlws.FILTER('Controllable Asset Registry'!$A$779:$A$1329,IFERROR('Controllable Asset Registry'!$E$779:$E$1329=A142,FALSE),"No Equipment in entity"))</f>
        <v>FCU_B_022</v>
      </c>
      <c r="E142" t="str">
        <v>FCU_B_023</v>
      </c>
    </row>
    <row r="143" spans="1:12" x14ac:dyDescent="0.3">
      <c r="A143" t="str">
        <f t="shared" si="2"/>
        <v>entity:QNL_B_211_PH_PLANT_ROOM</v>
      </c>
      <c r="B143" s="38" t="s">
        <v>8779</v>
      </c>
      <c r="C143" t="s">
        <v>8780</v>
      </c>
      <c r="D143" t="str" cm="1">
        <f t="array" ref="D143:E143">TRANSPOSE(_xlfn._xlws.FILTER('Controllable Asset Registry'!$A$779:$A$1329,IFERROR('Controllable Asset Registry'!$E$779:$E$1329=A143,FALSE),"No Equipment in entity"))</f>
        <v>FCU_B_024</v>
      </c>
      <c r="E143" t="str">
        <v>HEX05</v>
      </c>
    </row>
    <row r="144" spans="1:12" x14ac:dyDescent="0.3">
      <c r="A144" t="str">
        <f t="shared" si="2"/>
        <v>entity:QNL_B_213_MISTING_SYSTEM</v>
      </c>
      <c r="B144" s="38" t="s">
        <v>8781</v>
      </c>
      <c r="C144" t="s">
        <v>8782</v>
      </c>
      <c r="D144" t="str" cm="1">
        <f t="array" ref="D144">TRANSPOSE(_xlfn._xlws.FILTER('Controllable Asset Registry'!$A$779:$A$1329,IFERROR('Controllable Asset Registry'!$E$779:$E$1329=A144,FALSE),"No Equipment in entity"))</f>
        <v>No Equipment in entity</v>
      </c>
    </row>
    <row r="145" spans="1:21" x14ac:dyDescent="0.3">
      <c r="A145" t="str">
        <f t="shared" si="2"/>
        <v>entity:QNL_B214_COR_CORRIDOR6</v>
      </c>
      <c r="B145" s="38" t="s">
        <v>8783</v>
      </c>
      <c r="C145" t="s">
        <v>8784</v>
      </c>
      <c r="D145" t="str" cm="1">
        <f t="array" ref="D145">TRANSPOSE(_xlfn._xlws.FILTER('Controllable Asset Registry'!$A$779:$A$1329,IFERROR('Controllable Asset Registry'!$E$779:$E$1329=A145,FALSE),"No Equipment in entity"))</f>
        <v>No Equipment in entity</v>
      </c>
    </row>
    <row r="146" spans="1:21" x14ac:dyDescent="0.3">
      <c r="A146" t="str">
        <f t="shared" si="2"/>
        <v>entity:QNL_B214_IDF_IDF_ROOM</v>
      </c>
      <c r="B146" s="38" t="s">
        <v>8785</v>
      </c>
      <c r="C146" t="s">
        <v>6734</v>
      </c>
      <c r="D146" t="str" cm="1">
        <f t="array" ref="D146">TRANSPOSE(_xlfn._xlws.FILTER('Controllable Asset Registry'!$A$779:$A$1329,IFERROR('Controllable Asset Registry'!$E$779:$E$1329=A146,FALSE),"No Equipment in entity"))</f>
        <v>No Equipment in entity</v>
      </c>
    </row>
    <row r="147" spans="1:21" x14ac:dyDescent="0.3">
      <c r="A147" t="str">
        <f t="shared" si="2"/>
        <v>entity:QNL_B_215_IDF_FM_STORAGE</v>
      </c>
      <c r="B147" s="38" t="s">
        <v>8787</v>
      </c>
      <c r="C147" t="s">
        <v>8788</v>
      </c>
      <c r="D147" t="str" cm="1">
        <f t="array" ref="D147">TRANSPOSE(_xlfn._xlws.FILTER('Controllable Asset Registry'!$A$779:$A$1329,IFERROR('Controllable Asset Registry'!$E$779:$E$1329=A147,FALSE),"No Equipment in entity"))</f>
        <v>FCU_B_004</v>
      </c>
    </row>
    <row r="148" spans="1:21" x14ac:dyDescent="0.3">
      <c r="A148" t="str">
        <f t="shared" si="2"/>
        <v>entity:QNL_B_215A_IDF</v>
      </c>
      <c r="B148" s="38" t="s">
        <v>8790</v>
      </c>
      <c r="C148" t="s">
        <v>8791</v>
      </c>
      <c r="D148" t="str" cm="1">
        <f t="array" ref="D148:E148">TRANSPOSE(_xlfn._xlws.FILTER('Controllable Asset Registry'!$A$779:$A$1329,IFERROR('Controllable Asset Registry'!$E$779:$E$1329=A148,FALSE),"No Equipment in entity"))</f>
        <v>FCU_B_031</v>
      </c>
      <c r="E148" t="str">
        <v>FCU_B_037</v>
      </c>
    </row>
    <row r="149" spans="1:21" x14ac:dyDescent="0.3">
      <c r="A149" t="str">
        <f t="shared" si="2"/>
        <v>entity:QNL_B_220_PLANT_ROOM_04</v>
      </c>
      <c r="B149" s="38" t="s">
        <v>8793</v>
      </c>
      <c r="C149" t="s">
        <v>8794</v>
      </c>
      <c r="D149" t="str" cm="1">
        <f t="array" ref="D149:U149">TRANSPOSE(_xlfn._xlws.FILTER('Controllable Asset Registry'!$A$779:$A$1329,IFERROR('Controllable Asset Registry'!$E$779:$E$1329=A149,FALSE),"No Equipment in entity"))</f>
        <v>AHUB001</v>
      </c>
      <c r="E149" t="str">
        <v>AHUB005</v>
      </c>
      <c r="F149" t="str">
        <v>AHUB006</v>
      </c>
      <c r="G149" t="str">
        <v>AHUB007</v>
      </c>
      <c r="H149" t="str">
        <v>AHUB008</v>
      </c>
      <c r="I149" t="str">
        <v>FCU_B_018</v>
      </c>
      <c r="J149" t="str">
        <v>FCU_B_019</v>
      </c>
      <c r="K149" t="str">
        <v>FCU_B_020</v>
      </c>
      <c r="L149" t="str">
        <v>FCU_B_021</v>
      </c>
      <c r="M149" t="str">
        <v>HEX01</v>
      </c>
      <c r="N149" t="str">
        <v>HEX02</v>
      </c>
      <c r="O149" t="str">
        <v>HEX03</v>
      </c>
      <c r="P149" t="str">
        <v>HEX04</v>
      </c>
      <c r="Q149" t="str">
        <v>CHW_P01</v>
      </c>
      <c r="R149" t="str">
        <v>CHW_P02</v>
      </c>
      <c r="S149" t="str">
        <v>CHW_P03</v>
      </c>
      <c r="T149" t="str">
        <v>CHW_P04</v>
      </c>
      <c r="U149" t="str">
        <v>CHWPU_P01</v>
      </c>
    </row>
    <row r="150" spans="1:21" x14ac:dyDescent="0.3">
      <c r="A150" t="str">
        <f t="shared" si="2"/>
        <v>entity:QNL_B_221_MAINTENANCE</v>
      </c>
      <c r="B150" s="38" t="s">
        <v>8795</v>
      </c>
      <c r="C150" t="s">
        <v>8601</v>
      </c>
      <c r="D150" t="str" cm="1">
        <f t="array" ref="D150">TRANSPOSE(_xlfn._xlws.FILTER('Controllable Asset Registry'!$A$779:$A$1329,IFERROR('Controllable Asset Registry'!$E$779:$E$1329=A150,FALSE),"No Equipment in entity"))</f>
        <v>No Equipment in entity</v>
      </c>
    </row>
    <row r="151" spans="1:21" x14ac:dyDescent="0.3">
      <c r="A151" t="str">
        <f t="shared" si="2"/>
        <v>entity:QNL_B_222_IDF</v>
      </c>
      <c r="B151" s="38" t="s">
        <v>8797</v>
      </c>
      <c r="C151" t="s">
        <v>8791</v>
      </c>
      <c r="D151" t="str" cm="1">
        <f t="array" ref="D151:E151">TRANSPOSE(_xlfn._xlws.FILTER('Controllable Asset Registry'!$A$779:$A$1329,IFERROR('Controllable Asset Registry'!$E$779:$E$1329=A151,FALSE),"No Equipment in entity"))</f>
        <v>CCU_B10</v>
      </c>
      <c r="E151" t="str">
        <v>CCU_B11</v>
      </c>
    </row>
    <row r="152" spans="1:21" x14ac:dyDescent="0.3">
      <c r="A152" t="str">
        <f t="shared" si="2"/>
        <v>entity:QNL_B_223_VENTILATON</v>
      </c>
      <c r="B152" s="38" t="s">
        <v>8798</v>
      </c>
      <c r="C152" t="s">
        <v>8799</v>
      </c>
      <c r="D152" t="str" cm="1">
        <f t="array" ref="D152">TRANSPOSE(_xlfn._xlws.FILTER('Controllable Asset Registry'!$A$779:$A$1329,IFERROR('Controllable Asset Registry'!$E$779:$E$1329=A152,FALSE),"No Equipment in entity"))</f>
        <v>No Equipment in entity</v>
      </c>
    </row>
    <row r="153" spans="1:21" x14ac:dyDescent="0.3">
      <c r="A153" t="str">
        <f t="shared" si="2"/>
        <v>entity:QNL_B_224_CORRIDOR</v>
      </c>
      <c r="B153" s="38" t="s">
        <v>8800</v>
      </c>
      <c r="C153" t="s">
        <v>5835</v>
      </c>
      <c r="D153" t="str" cm="1">
        <f t="array" ref="D153">TRANSPOSE(_xlfn._xlws.FILTER('Controllable Asset Registry'!$A$779:$A$1329,IFERROR('Controllable Asset Registry'!$E$779:$E$1329=A153,FALSE),"No Equipment in entity"))</f>
        <v>No Equipment in entity</v>
      </c>
    </row>
    <row r="154" spans="1:21" x14ac:dyDescent="0.3">
      <c r="A154" t="str">
        <f t="shared" si="2"/>
        <v>entity:QNL_B_225_VENTILATON</v>
      </c>
      <c r="B154" s="38" t="s">
        <v>8801</v>
      </c>
      <c r="C154" t="s">
        <v>8799</v>
      </c>
      <c r="D154" t="str" cm="1">
        <f t="array" ref="D154">TRANSPOSE(_xlfn._xlws.FILTER('Controllable Asset Registry'!$A$779:$A$1329,IFERROR('Controllable Asset Registry'!$E$779:$E$1329=A154,FALSE),"No Equipment in entity"))</f>
        <v>No Equipment in entity</v>
      </c>
    </row>
    <row r="155" spans="1:21" x14ac:dyDescent="0.3">
      <c r="A155" t="str">
        <f t="shared" si="2"/>
        <v>entity:QNL_B_226_PUMP_ROOM</v>
      </c>
      <c r="B155" s="38" t="s">
        <v>8803</v>
      </c>
      <c r="C155" t="s">
        <v>8804</v>
      </c>
      <c r="D155" t="str" cm="1">
        <f t="array" ref="D155">TRANSPOSE(_xlfn._xlws.FILTER('Controllable Asset Registry'!$A$779:$A$1329,IFERROR('Controllable Asset Registry'!$E$779:$E$1329=A155,FALSE),"No Equipment in entity"))</f>
        <v>FCU_B_030</v>
      </c>
    </row>
    <row r="156" spans="1:21" x14ac:dyDescent="0.3">
      <c r="A156" t="str">
        <f t="shared" si="2"/>
        <v>entity:QNL_B_227_CORRIDOR</v>
      </c>
      <c r="B156" s="38" t="s">
        <v>8805</v>
      </c>
      <c r="C156" t="s">
        <v>5835</v>
      </c>
      <c r="D156" t="str" cm="1">
        <f t="array" ref="D156">TRANSPOSE(_xlfn._xlws.FILTER('Controllable Asset Registry'!$A$779:$A$1329,IFERROR('Controllable Asset Registry'!$E$779:$E$1329=A156,FALSE),"No Equipment in entity"))</f>
        <v>No Equipment in entity</v>
      </c>
    </row>
    <row r="157" spans="1:21" x14ac:dyDescent="0.3">
      <c r="A157" t="str">
        <f t="shared" si="2"/>
        <v>entity:QNL_B-AT-04A_ST-04A</v>
      </c>
      <c r="B157" s="38" t="s">
        <v>8806</v>
      </c>
      <c r="C157" t="s">
        <v>8807</v>
      </c>
      <c r="D157" t="str" cm="1">
        <f t="array" ref="D157">TRANSPOSE(_xlfn._xlws.FILTER('Controllable Asset Registry'!$A$779:$A$1329,IFERROR('Controllable Asset Registry'!$E$779:$E$1329=A157,FALSE),"No Equipment in entity"))</f>
        <v>No Equipment in entity</v>
      </c>
    </row>
    <row r="158" spans="1:21" x14ac:dyDescent="0.3">
      <c r="A158" t="str">
        <f t="shared" si="2"/>
        <v>entity:QNL_B-L-1_L-1</v>
      </c>
      <c r="B158" s="38" t="s">
        <v>8808</v>
      </c>
      <c r="C158" t="s">
        <v>8809</v>
      </c>
      <c r="D158" t="str" cm="1">
        <f t="array" ref="D158">TRANSPOSE(_xlfn._xlws.FILTER('Controllable Asset Registry'!$A$779:$A$1329,IFERROR('Controllable Asset Registry'!$E$779:$E$1329=A158,FALSE),"No Equipment in entity"))</f>
        <v>No Equipment in entity</v>
      </c>
    </row>
    <row r="159" spans="1:21" x14ac:dyDescent="0.3">
      <c r="A159" t="str">
        <f t="shared" si="2"/>
        <v>entity:QNL_B-L-15_L-15</v>
      </c>
      <c r="B159" s="38" t="s">
        <v>8810</v>
      </c>
      <c r="C159" t="s">
        <v>8811</v>
      </c>
      <c r="D159" t="str" cm="1">
        <f t="array" ref="D159">TRANSPOSE(_xlfn._xlws.FILTER('Controllable Asset Registry'!$A$779:$A$1329,IFERROR('Controllable Asset Registry'!$E$779:$E$1329=A159,FALSE),"No Equipment in entity"))</f>
        <v>No Equipment in entity</v>
      </c>
    </row>
    <row r="160" spans="1:21" x14ac:dyDescent="0.3">
      <c r="A160" t="str">
        <f t="shared" si="2"/>
        <v>entity:QNL_B-L-2_L-2</v>
      </c>
      <c r="B160" s="38" t="s">
        <v>8812</v>
      </c>
      <c r="C160" t="s">
        <v>8813</v>
      </c>
      <c r="D160" t="str" cm="1">
        <f t="array" ref="D160">TRANSPOSE(_xlfn._xlws.FILTER('Controllable Asset Registry'!$A$779:$A$1329,IFERROR('Controllable Asset Registry'!$E$779:$E$1329=A160,FALSE),"No Equipment in entity"))</f>
        <v>No Equipment in entity</v>
      </c>
    </row>
    <row r="161" spans="1:4" x14ac:dyDescent="0.3">
      <c r="A161" t="str">
        <f t="shared" si="2"/>
        <v>entity:QNL_B-L-3_L-3</v>
      </c>
      <c r="B161" s="38" t="s">
        <v>8814</v>
      </c>
      <c r="C161" t="s">
        <v>8815</v>
      </c>
      <c r="D161" t="str" cm="1">
        <f t="array" ref="D161">TRANSPOSE(_xlfn._xlws.FILTER('Controllable Asset Registry'!$A$779:$A$1329,IFERROR('Controllable Asset Registry'!$E$779:$E$1329=A161,FALSE),"No Equipment in entity"))</f>
        <v>No Equipment in entity</v>
      </c>
    </row>
    <row r="162" spans="1:4" x14ac:dyDescent="0.3">
      <c r="A162" t="str">
        <f t="shared" si="2"/>
        <v>entity:QNL_B-L-4_L-4</v>
      </c>
      <c r="B162" s="38" t="s">
        <v>8816</v>
      </c>
      <c r="C162" t="s">
        <v>8817</v>
      </c>
      <c r="D162" t="str" cm="1">
        <f t="array" ref="D162">TRANSPOSE(_xlfn._xlws.FILTER('Controllable Asset Registry'!$A$779:$A$1329,IFERROR('Controllable Asset Registry'!$E$779:$E$1329=A162,FALSE),"No Equipment in entity"))</f>
        <v>No Equipment in entity</v>
      </c>
    </row>
    <row r="163" spans="1:4" x14ac:dyDescent="0.3">
      <c r="A163" t="str">
        <f t="shared" si="2"/>
        <v>entity:QNL_B-ST-01_ST-01</v>
      </c>
      <c r="B163" s="38" t="s">
        <v>8818</v>
      </c>
      <c r="C163" t="s">
        <v>7288</v>
      </c>
      <c r="D163" t="str" cm="1">
        <f t="array" ref="D163">TRANSPOSE(_xlfn._xlws.FILTER('Controllable Asset Registry'!$A$779:$A$1329,IFERROR('Controllable Asset Registry'!$E$779:$E$1329=A163,FALSE),"No Equipment in entity"))</f>
        <v>No Equipment in entity</v>
      </c>
    </row>
    <row r="164" spans="1:4" x14ac:dyDescent="0.3">
      <c r="A164" t="str">
        <f t="shared" si="2"/>
        <v>entity:QNL_B-ST-02_ST-02</v>
      </c>
      <c r="B164" s="38" t="s">
        <v>8819</v>
      </c>
      <c r="C164" t="s">
        <v>8820</v>
      </c>
      <c r="D164" t="str" cm="1">
        <f t="array" ref="D164">TRANSPOSE(_xlfn._xlws.FILTER('Controllable Asset Registry'!$A$779:$A$1329,IFERROR('Controllable Asset Registry'!$E$779:$E$1329=A164,FALSE),"No Equipment in entity"))</f>
        <v>No Equipment in entity</v>
      </c>
    </row>
    <row r="165" spans="1:4" x14ac:dyDescent="0.3">
      <c r="A165" t="str">
        <f t="shared" si="2"/>
        <v>entity:QNL_B-ST-03_ST-03</v>
      </c>
      <c r="B165" s="38" t="s">
        <v>8821</v>
      </c>
      <c r="C165" t="s">
        <v>8822</v>
      </c>
      <c r="D165" t="str" cm="1">
        <f t="array" ref="D165">TRANSPOSE(_xlfn._xlws.FILTER('Controllable Asset Registry'!$A$779:$A$1329,IFERROR('Controllable Asset Registry'!$E$779:$E$1329=A165,FALSE),"No Equipment in entity"))</f>
        <v>No Equipment in entity</v>
      </c>
    </row>
    <row r="166" spans="1:4" x14ac:dyDescent="0.3">
      <c r="A166" t="str">
        <f t="shared" si="2"/>
        <v>entity:QNL_B-ST-05_ST-05</v>
      </c>
      <c r="B166" s="38" t="s">
        <v>8823</v>
      </c>
      <c r="C166" t="s">
        <v>8824</v>
      </c>
      <c r="D166" t="str" cm="1">
        <f t="array" ref="D166">TRANSPOSE(_xlfn._xlws.FILTER('Controllable Asset Registry'!$A$779:$A$1329,IFERROR('Controllable Asset Registry'!$E$779:$E$1329=A166,FALSE),"No Equipment in entity"))</f>
        <v>No Equipment in entity</v>
      </c>
    </row>
    <row r="167" spans="1:4" x14ac:dyDescent="0.3">
      <c r="A167" t="str">
        <f t="shared" si="2"/>
        <v>entity:QNL_B-ST-11_ST-11</v>
      </c>
      <c r="B167" s="38" t="s">
        <v>8825</v>
      </c>
      <c r="C167" t="s">
        <v>8826</v>
      </c>
      <c r="D167" t="str" cm="1">
        <f t="array" ref="D167">TRANSPOSE(_xlfn._xlws.FILTER('Controllable Asset Registry'!$A$779:$A$1329,IFERROR('Controllable Asset Registry'!$E$779:$E$1329=A167,FALSE),"No Equipment in entity"))</f>
        <v>No Equipment in entity</v>
      </c>
    </row>
    <row r="168" spans="1:4" x14ac:dyDescent="0.3">
      <c r="A168" t="str">
        <f t="shared" si="2"/>
        <v>entity:QNL_B-ST-12_ST-12</v>
      </c>
      <c r="B168" s="38" t="s">
        <v>8827</v>
      </c>
      <c r="C168" t="s">
        <v>8828</v>
      </c>
      <c r="D168" t="str" cm="1">
        <f t="array" ref="D168">TRANSPOSE(_xlfn._xlws.FILTER('Controllable Asset Registry'!$A$779:$A$1329,IFERROR('Controllable Asset Registry'!$E$779:$E$1329=A168,FALSE),"No Equipment in entity"))</f>
        <v>No Equipment in entity</v>
      </c>
    </row>
    <row r="169" spans="1:4" x14ac:dyDescent="0.3">
      <c r="A169" t="str">
        <f t="shared" si="2"/>
        <v>entity:QNL_ST-04_ST-04</v>
      </c>
      <c r="B169" s="38" t="s">
        <v>7289</v>
      </c>
      <c r="C169" t="s">
        <v>7289</v>
      </c>
      <c r="D169" t="str" cm="1">
        <f t="array" ref="D169">TRANSPOSE(_xlfn._xlws.FILTER('Controllable Asset Registry'!$A$779:$A$1329,IFERROR('Controllable Asset Registry'!$E$779:$E$1329=A169,FALSE),"No Equipment in entity"))</f>
        <v>No Equipment in entity</v>
      </c>
    </row>
    <row r="170" spans="1:4" x14ac:dyDescent="0.3">
      <c r="A170" t="str">
        <f t="shared" si="2"/>
        <v>entity:QNL_L1_154_CORRIDOR</v>
      </c>
      <c r="B170" s="38" t="s">
        <v>8829</v>
      </c>
      <c r="C170" t="s">
        <v>5835</v>
      </c>
      <c r="D170" t="str" cm="1">
        <f t="array" ref="D170">TRANSPOSE(_xlfn._xlws.FILTER('Controllable Asset Registry'!$A$779:$A$1329,IFERROR('Controllable Asset Registry'!$E$779:$E$1329=A170,FALSE),"No Equipment in entity"))</f>
        <v>No Equipment in entity</v>
      </c>
    </row>
    <row r="171" spans="1:4" x14ac:dyDescent="0.3">
      <c r="A171" t="str">
        <f t="shared" si="2"/>
        <v>entity:QNL_L1_155_SECURITY_ROOM</v>
      </c>
      <c r="B171" s="38" t="s">
        <v>8830</v>
      </c>
      <c r="C171" t="s">
        <v>8732</v>
      </c>
      <c r="D171" t="str" cm="1">
        <f t="array" ref="D171">TRANSPOSE(_xlfn._xlws.FILTER('Controllable Asset Registry'!$A$779:$A$1329,IFERROR('Controllable Asset Registry'!$E$779:$E$1329=A171,FALSE),"No Equipment in entity"))</f>
        <v>No Equipment in entity</v>
      </c>
    </row>
    <row r="172" spans="1:4" x14ac:dyDescent="0.3">
      <c r="A172" t="str">
        <f t="shared" si="2"/>
        <v>entity:QNL_L1_156_M2_HVAC_SHAFT</v>
      </c>
      <c r="B172" s="38" t="s">
        <v>8831</v>
      </c>
      <c r="C172" t="s">
        <v>8832</v>
      </c>
      <c r="D172" t="str" cm="1">
        <f t="array" ref="D172">TRANSPOSE(_xlfn._xlws.FILTER('Controllable Asset Registry'!$A$779:$A$1329,IFERROR('Controllable Asset Registry'!$E$779:$E$1329=A172,FALSE),"No Equipment in entity"))</f>
        <v>No Equipment in entity</v>
      </c>
    </row>
    <row r="173" spans="1:4" x14ac:dyDescent="0.3">
      <c r="A173" t="str">
        <f t="shared" si="2"/>
        <v>entity:QNL_L1_157_E2_ELEC_SHAFT</v>
      </c>
      <c r="B173" s="38" t="s">
        <v>8833</v>
      </c>
      <c r="C173" t="s">
        <v>8834</v>
      </c>
      <c r="D173" t="str" cm="1">
        <f t="array" ref="D173">TRANSPOSE(_xlfn._xlws.FILTER('Controllable Asset Registry'!$A$779:$A$1329,IFERROR('Controllable Asset Registry'!$E$779:$E$1329=A173,FALSE),"No Equipment in entity"))</f>
        <v>No Equipment in entity</v>
      </c>
    </row>
    <row r="174" spans="1:4" x14ac:dyDescent="0.3">
      <c r="A174" t="str">
        <f t="shared" si="2"/>
        <v>entity:QNL_L1_158_M1_HVAC_SHAFT</v>
      </c>
      <c r="B174" s="38" t="s">
        <v>8835</v>
      </c>
      <c r="C174" t="s">
        <v>8472</v>
      </c>
      <c r="D174" t="str" cm="1">
        <f t="array" ref="D174">TRANSPOSE(_xlfn._xlws.FILTER('Controllable Asset Registry'!$A$779:$A$1329,IFERROR('Controllable Asset Registry'!$E$779:$E$1329=A174,FALSE),"No Equipment in entity"))</f>
        <v>No Equipment in entity</v>
      </c>
    </row>
    <row r="175" spans="1:4" x14ac:dyDescent="0.3">
      <c r="A175" t="str">
        <f t="shared" si="2"/>
        <v>entity:QNL_L1_159_E1_ELEC_SHAFT</v>
      </c>
      <c r="B175" s="38" t="s">
        <v>8836</v>
      </c>
      <c r="C175" t="s">
        <v>8474</v>
      </c>
      <c r="D175" t="str" cm="1">
        <f t="array" ref="D175">TRANSPOSE(_xlfn._xlws.FILTER('Controllable Asset Registry'!$A$779:$A$1329,IFERROR('Controllable Asset Registry'!$E$779:$E$1329=A175,FALSE),"No Equipment in entity"))</f>
        <v>No Equipment in entity</v>
      </c>
    </row>
    <row r="176" spans="1:4" x14ac:dyDescent="0.3">
      <c r="A176" t="str">
        <f t="shared" si="2"/>
        <v>entity:QNL_L1_160_M3_HVAC_SHAFT</v>
      </c>
      <c r="B176" s="38" t="s">
        <v>8837</v>
      </c>
      <c r="C176" t="s">
        <v>8491</v>
      </c>
      <c r="D176" t="str" cm="1">
        <f t="array" ref="D176">TRANSPOSE(_xlfn._xlws.FILTER('Controllable Asset Registry'!$A$779:$A$1329,IFERROR('Controllable Asset Registry'!$E$779:$E$1329=A176,FALSE),"No Equipment in entity"))</f>
        <v>No Equipment in entity</v>
      </c>
    </row>
    <row r="177" spans="1:12" x14ac:dyDescent="0.3">
      <c r="A177" t="str">
        <f t="shared" si="2"/>
        <v>entity:QNL_L1_161_N2_PIPE_SHAFT</v>
      </c>
      <c r="B177" s="38" t="s">
        <v>8838</v>
      </c>
      <c r="C177" t="s">
        <v>8839</v>
      </c>
      <c r="D177" t="str" cm="1">
        <f t="array" ref="D177">TRANSPOSE(_xlfn._xlws.FILTER('Controllable Asset Registry'!$A$779:$A$1329,IFERROR('Controllable Asset Registry'!$E$779:$E$1329=A177,FALSE),"No Equipment in entity"))</f>
        <v>No Equipment in entity</v>
      </c>
    </row>
    <row r="178" spans="1:12" x14ac:dyDescent="0.3">
      <c r="A178" t="str">
        <f t="shared" si="2"/>
        <v>entity:QNL_L1_162_STORE</v>
      </c>
      <c r="B178" s="38" t="s">
        <v>8840</v>
      </c>
      <c r="C178" t="s">
        <v>8841</v>
      </c>
      <c r="D178" t="str" cm="1">
        <f t="array" ref="D178">TRANSPOSE(_xlfn._xlws.FILTER('Controllable Asset Registry'!$A$779:$A$1329,IFERROR('Controllable Asset Registry'!$E$779:$E$1329=A178,FALSE),"No Equipment in entity"))</f>
        <v>No Equipment in entity</v>
      </c>
    </row>
    <row r="179" spans="1:12" x14ac:dyDescent="0.3">
      <c r="A179" t="str">
        <f t="shared" si="2"/>
        <v>entity:QNL_L1_001_OPEN_READING_AREA</v>
      </c>
      <c r="B179" s="38" t="s">
        <v>8843</v>
      </c>
      <c r="C179" t="s">
        <v>8844</v>
      </c>
      <c r="D179" t="str" cm="1">
        <f t="array" ref="D179:L179">TRANSPOSE(_xlfn._xlws.FILTER('Controllable Asset Registry'!$A$779:$A$1329,IFERROR('Controllable Asset Registry'!$E$779:$E$1329=A179,FALSE),"No Equipment in entity"))</f>
        <v>VAV_2F_S12_001</v>
      </c>
      <c r="E179" t="str">
        <v>VAV_2F_S12_002</v>
      </c>
      <c r="F179" t="str">
        <v>VAV_2F_S12_003</v>
      </c>
      <c r="G179" t="str">
        <v>VAV_2F_S12_004</v>
      </c>
      <c r="H179" t="str">
        <v>VAV_2F_S12_005</v>
      </c>
      <c r="I179" t="str">
        <v>VAV_2F_S12_006</v>
      </c>
      <c r="J179" t="str">
        <v>VAV_2F_S12_007</v>
      </c>
      <c r="K179" t="str">
        <v>VAV_2F_S12_008</v>
      </c>
      <c r="L179" t="str">
        <v>VAV_2F_S12_009</v>
      </c>
    </row>
    <row r="180" spans="1:12" x14ac:dyDescent="0.3">
      <c r="A180" t="str">
        <f t="shared" si="2"/>
        <v>entity:QNL_L1_002_BRAILLE_READER</v>
      </c>
      <c r="B180" s="38" t="s">
        <v>8846</v>
      </c>
      <c r="C180" t="s">
        <v>8847</v>
      </c>
      <c r="D180" t="str" cm="1">
        <f t="array" ref="D180:E180">TRANSPOSE(_xlfn._xlws.FILTER('Controllable Asset Registry'!$A$779:$A$1329,IFERROR('Controllable Asset Registry'!$E$779:$E$1329=A180,FALSE),"No Equipment in entity"))</f>
        <v>VAV_2F_S12_010</v>
      </c>
      <c r="E180" t="str">
        <v>VAV_2F_S12_011</v>
      </c>
    </row>
    <row r="181" spans="1:12" x14ac:dyDescent="0.3">
      <c r="A181" t="str">
        <f t="shared" si="2"/>
        <v>entity:QNL_L1_002A_GREEM_ROOM</v>
      </c>
      <c r="B181" s="38" t="s">
        <v>8849</v>
      </c>
      <c r="C181" t="s">
        <v>8850</v>
      </c>
      <c r="D181" t="str" cm="1">
        <f t="array" ref="D181:E181">TRANSPOSE(_xlfn._xlws.FILTER('Controllable Asset Registry'!$A$779:$A$1329,IFERROR('Controllable Asset Registry'!$E$779:$E$1329=A181,FALSE),"No Equipment in entity"))</f>
        <v>VAV_1F_S15_039</v>
      </c>
      <c r="E181" t="str">
        <v>VAV_1F_S15_040</v>
      </c>
    </row>
    <row r="182" spans="1:12" x14ac:dyDescent="0.3">
      <c r="A182" t="str">
        <f t="shared" si="2"/>
        <v>entity:QNL_L1_003_TUTORING_HEAD</v>
      </c>
      <c r="B182" s="38" t="s">
        <v>8852</v>
      </c>
      <c r="C182" t="s">
        <v>8853</v>
      </c>
      <c r="D182" t="str" cm="1">
        <f t="array" ref="D182">TRANSPOSE(_xlfn._xlws.FILTER('Controllable Asset Registry'!$A$779:$A$1329,IFERROR('Controllable Asset Registry'!$E$779:$E$1329=A182,FALSE),"No Equipment in entity"))</f>
        <v>VAV_2F_S12_012</v>
      </c>
    </row>
    <row r="183" spans="1:12" x14ac:dyDescent="0.3">
      <c r="A183" t="str">
        <f t="shared" si="2"/>
        <v>entity:QNL_L1_004_WRITING_ROOM1</v>
      </c>
      <c r="B183" s="38" t="s">
        <v>8855</v>
      </c>
      <c r="C183" t="s">
        <v>8856</v>
      </c>
      <c r="D183" t="str" cm="1">
        <f t="array" ref="D183">TRANSPOSE(_xlfn._xlws.FILTER('Controllable Asset Registry'!$A$779:$A$1329,IFERROR('Controllable Asset Registry'!$E$779:$E$1329=A183,FALSE),"No Equipment in entity"))</f>
        <v>VAV_2F_S12_013</v>
      </c>
    </row>
    <row r="184" spans="1:12" x14ac:dyDescent="0.3">
      <c r="A184" t="str">
        <f t="shared" si="2"/>
        <v>entity:QNL_L1_005_WRITING_ROOM2</v>
      </c>
      <c r="B184" s="38" t="s">
        <v>8858</v>
      </c>
      <c r="C184" t="s">
        <v>8859</v>
      </c>
      <c r="D184" t="str" cm="1">
        <f t="array" ref="D184:E184">TRANSPOSE(_xlfn._xlws.FILTER('Controllable Asset Registry'!$A$779:$A$1329,IFERROR('Controllable Asset Registry'!$E$779:$E$1329=A184,FALSE),"No Equipment in entity"))</f>
        <v>VAV_2F_S12_014</v>
      </c>
      <c r="E184" t="str">
        <v>VAV_2F_S12_015</v>
      </c>
    </row>
    <row r="185" spans="1:12" x14ac:dyDescent="0.3">
      <c r="A185" t="str">
        <f t="shared" si="2"/>
        <v>entity:QNL_L1_006_WRITING_HEAD</v>
      </c>
      <c r="B185" s="38" t="s">
        <v>8860</v>
      </c>
      <c r="C185" t="s">
        <v>8861</v>
      </c>
      <c r="D185" t="str" cm="1">
        <f t="array" ref="D185">TRANSPOSE(_xlfn._xlws.FILTER('Controllable Asset Registry'!$A$779:$A$1329,IFERROR('Controllable Asset Registry'!$E$779:$E$1329=A185,FALSE),"No Equipment in entity"))</f>
        <v>No Equipment in entity</v>
      </c>
    </row>
    <row r="186" spans="1:12" x14ac:dyDescent="0.3">
      <c r="A186" t="str">
        <f t="shared" si="2"/>
        <v>entity:QNL_L1_007_STUDENT_CARRLES</v>
      </c>
      <c r="B186" s="38" t="s">
        <v>8863</v>
      </c>
      <c r="C186" t="s">
        <v>8864</v>
      </c>
      <c r="D186" t="str" cm="1">
        <f t="array" ref="D186:H186">TRANSPOSE(_xlfn._xlws.FILTER('Controllable Asset Registry'!$A$779:$A$1329,IFERROR('Controllable Asset Registry'!$E$779:$E$1329=A186,FALSE),"No Equipment in entity"))</f>
        <v>VAV_2F_S12_016</v>
      </c>
      <c r="E186" t="str">
        <v>VAV_2F_S12_017</v>
      </c>
      <c r="F186" t="str">
        <v>VAV_2F_S12_018</v>
      </c>
      <c r="G186" t="str">
        <v>VAV_2F_S12_019</v>
      </c>
      <c r="H186" t="str">
        <v>VAV_2F_S12_020</v>
      </c>
    </row>
    <row r="187" spans="1:12" x14ac:dyDescent="0.3">
      <c r="A187" t="str">
        <f t="shared" si="2"/>
        <v>entity:QNL_L1_020_INFO_LITERACY_INSTR1</v>
      </c>
      <c r="B187" s="38" t="s">
        <v>8866</v>
      </c>
      <c r="C187" t="s">
        <v>8867</v>
      </c>
      <c r="D187" t="str" cm="1">
        <f t="array" ref="D187:E187">TRANSPOSE(_xlfn._xlws.FILTER('Controllable Asset Registry'!$A$779:$A$1329,IFERROR('Controllable Asset Registry'!$E$779:$E$1329=A187,FALSE),"No Equipment in entity"))</f>
        <v>VAV_1F_S11_004</v>
      </c>
      <c r="E187" t="str">
        <v>VAV_1F_S11_005</v>
      </c>
    </row>
    <row r="188" spans="1:12" x14ac:dyDescent="0.3">
      <c r="A188" t="str">
        <f t="shared" si="2"/>
        <v>entity:QNL_L1_021_INFO_LITERACY_INSTR2</v>
      </c>
      <c r="B188" s="38" t="s">
        <v>8869</v>
      </c>
      <c r="C188" t="s">
        <v>8870</v>
      </c>
      <c r="D188" t="str" cm="1">
        <f t="array" ref="D188:K188">TRANSPOSE(_xlfn._xlws.FILTER('Controllable Asset Registry'!$A$779:$A$1329,IFERROR('Controllable Asset Registry'!$E$779:$E$1329=A188,FALSE),"No Equipment in entity"))</f>
        <v>VAV_1F_S11_006</v>
      </c>
      <c r="E188" t="str">
        <v>VAV_1F_S11_007</v>
      </c>
      <c r="F188" t="str">
        <v>VAV_1F_S11_008</v>
      </c>
      <c r="G188" t="str">
        <v>VAV_1F_S11_009</v>
      </c>
      <c r="H188" t="str">
        <v>VAV_1F_S11_010</v>
      </c>
      <c r="I188" t="str">
        <v>VAV_1F_S11_011</v>
      </c>
      <c r="J188" t="str">
        <v>VAV_1F_S11_012</v>
      </c>
      <c r="K188" t="str">
        <v>VAV_1F_S11_013</v>
      </c>
    </row>
    <row r="189" spans="1:12" x14ac:dyDescent="0.3">
      <c r="A189" t="str">
        <f t="shared" si="2"/>
        <v>entity:QNL_L1_022_COMPUTER_CLASSROOM</v>
      </c>
      <c r="B189" s="38" t="s">
        <v>8872</v>
      </c>
      <c r="C189" t="s">
        <v>8873</v>
      </c>
      <c r="D189" t="str" cm="1">
        <f t="array" ref="D189:K189">TRANSPOSE(_xlfn._xlws.FILTER('Controllable Asset Registry'!$A$779:$A$1329,IFERROR('Controllable Asset Registry'!$E$779:$E$1329=A189,FALSE),"No Equipment in entity"))</f>
        <v>VAV_1F_S11_014</v>
      </c>
      <c r="E189" t="str">
        <v>VAV_1F_S11_015</v>
      </c>
      <c r="F189" t="str">
        <v>VAV_1F_S11_016</v>
      </c>
      <c r="G189" t="str">
        <v>VAV_1F_S11_017</v>
      </c>
      <c r="H189" t="str">
        <v>VAV_1F_S11_018</v>
      </c>
      <c r="I189" t="str">
        <v>VAV_1F_S11_019</v>
      </c>
      <c r="J189" t="str">
        <v>VAV_1F_S11_020</v>
      </c>
      <c r="K189" t="str">
        <v>VAV_1F_S11_021</v>
      </c>
    </row>
    <row r="190" spans="1:12" x14ac:dyDescent="0.3">
      <c r="A190" t="str">
        <f t="shared" si="2"/>
        <v>entity:QNL_L1023_1_CORRIDOR</v>
      </c>
      <c r="B190" s="38" t="s">
        <v>8874</v>
      </c>
      <c r="C190" t="s">
        <v>5835</v>
      </c>
      <c r="D190" t="str" cm="1">
        <f t="array" ref="D190">TRANSPOSE(_xlfn._xlws.FILTER('Controllable Asset Registry'!$A$779:$A$1329,IFERROR('Controllable Asset Registry'!$E$779:$E$1329=A190,FALSE),"No Equipment in entity"))</f>
        <v>No Equipment in entity</v>
      </c>
    </row>
    <row r="191" spans="1:12" x14ac:dyDescent="0.3">
      <c r="A191" t="str">
        <f t="shared" si="2"/>
        <v>entity:QNL_L1023_2_CORRIDOR</v>
      </c>
      <c r="B191" s="38" t="s">
        <v>8876</v>
      </c>
      <c r="C191" t="s">
        <v>5835</v>
      </c>
      <c r="D191" t="str" cm="1">
        <f t="array" ref="D191:G191">TRANSPOSE(_xlfn._xlws.FILTER('Controllable Asset Registry'!$A$779:$A$1329,IFERROR('Controllable Asset Registry'!$E$779:$E$1329=A191,FALSE),"No Equipment in entity"))</f>
        <v>VAV_1F_S11_087</v>
      </c>
      <c r="E191" t="str">
        <v>VAV_1F_S11_088</v>
      </c>
      <c r="F191" t="str">
        <v>VAV_1F_S11_089</v>
      </c>
      <c r="G191" t="str">
        <v>VAV_1F_S11_090</v>
      </c>
    </row>
    <row r="192" spans="1:12" x14ac:dyDescent="0.3">
      <c r="A192" t="str">
        <f t="shared" si="2"/>
        <v>entity:QNL_L1023_3_CORRIDOR</v>
      </c>
      <c r="B192" s="38" t="s">
        <v>8877</v>
      </c>
      <c r="C192" t="s">
        <v>5835</v>
      </c>
      <c r="D192" t="str" cm="1">
        <f t="array" ref="D192">TRANSPOSE(_xlfn._xlws.FILTER('Controllable Asset Registry'!$A$779:$A$1329,IFERROR('Controllable Asset Registry'!$E$779:$E$1329=A192,FALSE),"No Equipment in entity"))</f>
        <v>No Equipment in entity</v>
      </c>
    </row>
    <row r="193" spans="1:12" x14ac:dyDescent="0.3">
      <c r="A193" t="str">
        <f t="shared" si="2"/>
        <v>entity:QNL_L1_024_REST_ROOM_MEN</v>
      </c>
      <c r="B193" s="38" t="s">
        <v>8878</v>
      </c>
      <c r="C193" t="s">
        <v>8552</v>
      </c>
      <c r="D193" t="str" cm="1">
        <f t="array" ref="D193">TRANSPOSE(_xlfn._xlws.FILTER('Controllable Asset Registry'!$A$779:$A$1329,IFERROR('Controllable Asset Registry'!$E$779:$E$1329=A193,FALSE),"No Equipment in entity"))</f>
        <v>No Equipment in entity</v>
      </c>
    </row>
    <row r="194" spans="1:12" x14ac:dyDescent="0.3">
      <c r="A194" t="str">
        <f t="shared" ref="A194:A257" si="3">"entity:QNL_"&amp;B194&amp;"_"&amp;C194</f>
        <v>entity:QNL_L1_025_REST_ROOM_WOMEN</v>
      </c>
      <c r="B194" s="38" t="s">
        <v>8879</v>
      </c>
      <c r="C194" t="s">
        <v>8556</v>
      </c>
      <c r="D194" t="str" cm="1">
        <f t="array" ref="D194">TRANSPOSE(_xlfn._xlws.FILTER('Controllable Asset Registry'!$A$779:$A$1329,IFERROR('Controllable Asset Registry'!$E$779:$E$1329=A194,FALSE),"No Equipment in entity"))</f>
        <v>No Equipment in entity</v>
      </c>
    </row>
    <row r="195" spans="1:12" x14ac:dyDescent="0.3">
      <c r="A195" t="str">
        <f t="shared" si="3"/>
        <v>entity:QNL_L1_026_GROUP_STUDY_ROOM1</v>
      </c>
      <c r="B195" s="38" t="s">
        <v>8881</v>
      </c>
      <c r="C195" t="s">
        <v>8882</v>
      </c>
      <c r="D195" t="str" cm="1">
        <f t="array" ref="D195">TRANSPOSE(_xlfn._xlws.FILTER('Controllable Asset Registry'!$A$779:$A$1329,IFERROR('Controllable Asset Registry'!$E$779:$E$1329=A195,FALSE),"No Equipment in entity"))</f>
        <v>VAV_1F_S11_001</v>
      </c>
    </row>
    <row r="196" spans="1:12" x14ac:dyDescent="0.3">
      <c r="A196" t="str">
        <f t="shared" si="3"/>
        <v>entity:QNL_L1_027_GROUP_STUDY_ROOM2</v>
      </c>
      <c r="B196" s="38" t="s">
        <v>8884</v>
      </c>
      <c r="C196" t="s">
        <v>8885</v>
      </c>
      <c r="D196" t="str" cm="1">
        <f t="array" ref="D196">TRANSPOSE(_xlfn._xlws.FILTER('Controllable Asset Registry'!$A$779:$A$1329,IFERROR('Controllable Asset Registry'!$E$779:$E$1329=A196,FALSE),"No Equipment in entity"))</f>
        <v>VAV_1F_S11_002</v>
      </c>
    </row>
    <row r="197" spans="1:12" x14ac:dyDescent="0.3">
      <c r="A197" t="str">
        <f t="shared" si="3"/>
        <v>entity:QNL_L1_028_GROUP_STUDY_ROOM3</v>
      </c>
      <c r="B197" s="38" t="s">
        <v>8887</v>
      </c>
      <c r="C197" t="s">
        <v>8888</v>
      </c>
      <c r="D197" t="str" cm="1">
        <f t="array" ref="D197">TRANSPOSE(_xlfn._xlws.FILTER('Controllable Asset Registry'!$A$779:$A$1329,IFERROR('Controllable Asset Registry'!$E$779:$E$1329=A197,FALSE),"No Equipment in entity"))</f>
        <v>VAV_1F_S11_003</v>
      </c>
    </row>
    <row r="198" spans="1:12" x14ac:dyDescent="0.3">
      <c r="A198" t="str">
        <f t="shared" si="3"/>
        <v>entity:QNL_L1_029_GROUP_STUDY_ROOM4</v>
      </c>
      <c r="B198" s="38" t="s">
        <v>8890</v>
      </c>
      <c r="C198" t="s">
        <v>8891</v>
      </c>
      <c r="D198" t="str" cm="1">
        <f t="array" ref="D198">TRANSPOSE(_xlfn._xlws.FILTER('Controllable Asset Registry'!$A$779:$A$1329,IFERROR('Controllable Asset Registry'!$E$779:$E$1329=A198,FALSE),"No Equipment in entity"))</f>
        <v>VAV_1F_S11_022</v>
      </c>
    </row>
    <row r="199" spans="1:12" x14ac:dyDescent="0.3">
      <c r="A199" t="str">
        <f t="shared" si="3"/>
        <v>entity:QNL_L1_030_ICT_ROOM_02</v>
      </c>
      <c r="B199" s="38" t="s">
        <v>8893</v>
      </c>
      <c r="C199" t="s">
        <v>8894</v>
      </c>
      <c r="D199" t="str" cm="1">
        <f t="array" ref="D199">TRANSPOSE(_xlfn._xlws.FILTER('Controllable Asset Registry'!$A$779:$A$1329,IFERROR('Controllable Asset Registry'!$E$779:$E$1329=A199,FALSE),"No Equipment in entity"))</f>
        <v>FCU_1F_002</v>
      </c>
    </row>
    <row r="200" spans="1:12" x14ac:dyDescent="0.3">
      <c r="A200" t="str">
        <f t="shared" si="3"/>
        <v>entity:QNL_L1_040_HEAD_LIBRARIAN_OFFICE</v>
      </c>
      <c r="B200" s="38" t="s">
        <v>8896</v>
      </c>
      <c r="C200" t="s">
        <v>8897</v>
      </c>
      <c r="D200" t="str" cm="1">
        <f t="array" ref="D200">TRANSPOSE(_xlfn._xlws.FILTER('Controllable Asset Registry'!$A$779:$A$1329,IFERROR('Controllable Asset Registry'!$E$779:$E$1329=A200,FALSE),"No Equipment in entity"))</f>
        <v>VAV_1F_S15_005</v>
      </c>
    </row>
    <row r="201" spans="1:12" x14ac:dyDescent="0.3">
      <c r="A201" t="str">
        <f t="shared" si="3"/>
        <v>entity:QNL_L1_041_MULTPURPOSE_ROOM</v>
      </c>
      <c r="B201" s="38" t="s">
        <v>8899</v>
      </c>
      <c r="C201" t="s">
        <v>8900</v>
      </c>
      <c r="D201" t="str" cm="1">
        <f t="array" ref="D201:F201">TRANSPOSE(_xlfn._xlws.FILTER('Controllable Asset Registry'!$A$779:$A$1329,IFERROR('Controllable Asset Registry'!$E$779:$E$1329=A201,FALSE),"No Equipment in entity"))</f>
        <v>VAV_1F_S15_096</v>
      </c>
      <c r="E201" t="str">
        <v>VAV_1F_S15_097</v>
      </c>
      <c r="F201" t="str">
        <v>VAV_1F_S15_098</v>
      </c>
    </row>
    <row r="202" spans="1:12" x14ac:dyDescent="0.3">
      <c r="A202" t="str">
        <f t="shared" si="3"/>
        <v>entity:QNL_L1_042_LOBBY</v>
      </c>
      <c r="B202" s="38" t="s">
        <v>8901</v>
      </c>
      <c r="C202" t="s">
        <v>6026</v>
      </c>
      <c r="D202" t="str" cm="1">
        <f t="array" ref="D202">TRANSPOSE(_xlfn._xlws.FILTER('Controllable Asset Registry'!$A$779:$A$1329,IFERROR('Controllable Asset Registry'!$E$779:$E$1329=A202,FALSE),"No Equipment in entity"))</f>
        <v>No Equipment in entity</v>
      </c>
    </row>
    <row r="203" spans="1:12" x14ac:dyDescent="0.3">
      <c r="A203" t="str">
        <f t="shared" si="3"/>
        <v>entity:QNL_L1_043_BABY_CHAN</v>
      </c>
      <c r="B203" s="38" t="s">
        <v>8902</v>
      </c>
      <c r="C203" t="s">
        <v>8903</v>
      </c>
      <c r="D203" t="str" cm="1">
        <f t="array" ref="D203">TRANSPOSE(_xlfn._xlws.FILTER('Controllable Asset Registry'!$A$779:$A$1329,IFERROR('Controllable Asset Registry'!$E$779:$E$1329=A203,FALSE),"No Equipment in entity"))</f>
        <v>No Equipment in entity</v>
      </c>
    </row>
    <row r="204" spans="1:12" x14ac:dyDescent="0.3">
      <c r="A204" t="str">
        <f t="shared" si="3"/>
        <v>entity:QNL_L1_044_BREAST_FEEDING</v>
      </c>
      <c r="B204" s="38" t="s">
        <v>8904</v>
      </c>
      <c r="C204" t="s">
        <v>8905</v>
      </c>
      <c r="D204" t="str" cm="1">
        <f t="array" ref="D204">TRANSPOSE(_xlfn._xlws.FILTER('Controllable Asset Registry'!$A$779:$A$1329,IFERROR('Controllable Asset Registry'!$E$779:$E$1329=A204,FALSE),"No Equipment in entity"))</f>
        <v>No Equipment in entity</v>
      </c>
    </row>
    <row r="205" spans="1:12" x14ac:dyDescent="0.3">
      <c r="A205" t="str">
        <f t="shared" si="3"/>
        <v>entity:QNL_L1_045_FEMALE_TOILET</v>
      </c>
      <c r="B205" s="38" t="s">
        <v>8906</v>
      </c>
      <c r="C205" t="s">
        <v>6728</v>
      </c>
      <c r="D205" t="str" cm="1">
        <f t="array" ref="D205">TRANSPOSE(_xlfn._xlws.FILTER('Controllable Asset Registry'!$A$779:$A$1329,IFERROR('Controllable Asset Registry'!$E$779:$E$1329=A205,FALSE),"No Equipment in entity"))</f>
        <v>No Equipment in entity</v>
      </c>
    </row>
    <row r="206" spans="1:12" x14ac:dyDescent="0.3">
      <c r="A206" t="str">
        <f t="shared" si="3"/>
        <v>entity:QNL_L1_046_MALE_TOILET</v>
      </c>
      <c r="B206" s="38" t="s">
        <v>8907</v>
      </c>
      <c r="C206" t="s">
        <v>6725</v>
      </c>
      <c r="D206" t="str" cm="1">
        <f t="array" ref="D206">TRANSPOSE(_xlfn._xlws.FILTER('Controllable Asset Registry'!$A$779:$A$1329,IFERROR('Controllable Asset Registry'!$E$779:$E$1329=A206,FALSE),"No Equipment in entity"))</f>
        <v>No Equipment in entity</v>
      </c>
    </row>
    <row r="207" spans="1:12" x14ac:dyDescent="0.3">
      <c r="A207" t="str">
        <f t="shared" si="3"/>
        <v>entity:QNL_L1_047_CHILDREN_LIBRARY_-_PRE_SCHOOL_READING_&amp;_PLAYING</v>
      </c>
      <c r="B207" s="38" t="s">
        <v>8909</v>
      </c>
      <c r="C207" t="s">
        <v>8910</v>
      </c>
      <c r="D207" t="str" cm="1">
        <f t="array" ref="D207:L207">TRANSPOSE(_xlfn._xlws.FILTER('Controllable Asset Registry'!$A$779:$A$1329,IFERROR('Controllable Asset Registry'!$E$779:$E$1329=A207,FALSE),"No Equipment in entity"))</f>
        <v>VAV_1F_S15_006</v>
      </c>
      <c r="E207" t="str">
        <v>VAV_1F_S15_007</v>
      </c>
      <c r="F207" t="str">
        <v>VAV_1F_S15_008</v>
      </c>
      <c r="G207" t="str">
        <v>VAV_1F_S15_009</v>
      </c>
      <c r="H207" t="str">
        <v>VAV_1F_S15_010</v>
      </c>
      <c r="I207" t="str">
        <v>VAV_1F_S15_011</v>
      </c>
      <c r="J207" t="str">
        <v>CAV_1F_S11_006</v>
      </c>
      <c r="K207" t="str">
        <v>CAV_1F_S11_008</v>
      </c>
      <c r="L207" t="str">
        <v>CAV_1F_S11_009</v>
      </c>
    </row>
    <row r="208" spans="1:12" x14ac:dyDescent="0.3">
      <c r="A208" t="str">
        <f t="shared" si="3"/>
        <v>entity:QNL_L1_048_STAFF_OFFICE</v>
      </c>
      <c r="B208" s="38" t="s">
        <v>8912</v>
      </c>
      <c r="C208" t="s">
        <v>8913</v>
      </c>
      <c r="D208" t="str" cm="1">
        <f t="array" ref="D208:E208">TRANSPOSE(_xlfn._xlws.FILTER('Controllable Asset Registry'!$A$779:$A$1329,IFERROR('Controllable Asset Registry'!$E$779:$E$1329=A208,FALSE),"No Equipment in entity"))</f>
        <v>VAV_1F_S15_012</v>
      </c>
      <c r="E208" t="str">
        <v>VAV_1F_S15_039S</v>
      </c>
    </row>
    <row r="209" spans="1:7" x14ac:dyDescent="0.3">
      <c r="A209" t="str">
        <f t="shared" si="3"/>
        <v>entity:QNL_L1_049_STORAGE</v>
      </c>
      <c r="B209" s="38" t="s">
        <v>8914</v>
      </c>
      <c r="C209" t="s">
        <v>5852</v>
      </c>
      <c r="D209" t="str" cm="1">
        <f t="array" ref="D209">TRANSPOSE(_xlfn._xlws.FILTER('Controllable Asset Registry'!$A$779:$A$1329,IFERROR('Controllable Asset Registry'!$E$779:$E$1329=A209,FALSE),"No Equipment in entity"))</f>
        <v>No Equipment in entity</v>
      </c>
    </row>
    <row r="210" spans="1:7" x14ac:dyDescent="0.3">
      <c r="A210" t="str">
        <f t="shared" si="3"/>
        <v>entity:QNL_L1_050_STROLLER_PARKING</v>
      </c>
      <c r="B210" s="38" t="s">
        <v>8915</v>
      </c>
      <c r="C210" t="s">
        <v>8916</v>
      </c>
      <c r="D210" t="str" cm="1">
        <f t="array" ref="D210">TRANSPOSE(_xlfn._xlws.FILTER('Controllable Asset Registry'!$A$779:$A$1329,IFERROR('Controllable Asset Registry'!$E$779:$E$1329=A210,FALSE),"No Equipment in entity"))</f>
        <v>No Equipment in entity</v>
      </c>
    </row>
    <row r="211" spans="1:7" x14ac:dyDescent="0.3">
      <c r="A211" t="str">
        <f t="shared" si="3"/>
        <v>entity:QNL_L1_061_REST_ROOM_MEN</v>
      </c>
      <c r="B211" s="38" t="s">
        <v>8917</v>
      </c>
      <c r="C211" t="s">
        <v>8552</v>
      </c>
      <c r="D211" t="str" cm="1">
        <f t="array" ref="D211">TRANSPOSE(_xlfn._xlws.FILTER('Controllable Asset Registry'!$A$779:$A$1329,IFERROR('Controllable Asset Registry'!$E$779:$E$1329=A211,FALSE),"No Equipment in entity"))</f>
        <v>No Equipment in entity</v>
      </c>
    </row>
    <row r="212" spans="1:7" x14ac:dyDescent="0.3">
      <c r="A212" t="str">
        <f t="shared" si="3"/>
        <v>entity:QNL_L1_062_REST_ROOM_WOMEN</v>
      </c>
      <c r="B212" s="38" t="s">
        <v>8918</v>
      </c>
      <c r="C212" t="s">
        <v>8556</v>
      </c>
      <c r="D212" t="str" cm="1">
        <f t="array" ref="D212">TRANSPOSE(_xlfn._xlws.FILTER('Controllable Asset Registry'!$A$779:$A$1329,IFERROR('Controllable Asset Registry'!$E$779:$E$1329=A212,FALSE),"No Equipment in entity"))</f>
        <v>No Equipment in entity</v>
      </c>
    </row>
    <row r="213" spans="1:7" x14ac:dyDescent="0.3">
      <c r="A213" t="str">
        <f t="shared" si="3"/>
        <v>entity:QNL_L1_063_MEDIA_STUDIO_1</v>
      </c>
      <c r="B213" s="38" t="s">
        <v>8920</v>
      </c>
      <c r="C213" t="s">
        <v>8921</v>
      </c>
      <c r="D213" t="str" cm="1">
        <f t="array" ref="D213:E213">TRANSPOSE(_xlfn._xlws.FILTER('Controllable Asset Registry'!$A$779:$A$1329,IFERROR('Controllable Asset Registry'!$E$779:$E$1329=A213,FALSE),"No Equipment in entity"))</f>
        <v>VAV_1F_S15_001</v>
      </c>
      <c r="E213" t="str">
        <v>VAV_1F_S15_002</v>
      </c>
    </row>
    <row r="214" spans="1:7" x14ac:dyDescent="0.3">
      <c r="A214" t="str">
        <f t="shared" si="3"/>
        <v>entity:QNL_L1_064_STORAGE</v>
      </c>
      <c r="B214" s="38" t="s">
        <v>8922</v>
      </c>
      <c r="C214" t="s">
        <v>5852</v>
      </c>
      <c r="D214" t="str" cm="1">
        <f t="array" ref="D214">TRANSPOSE(_xlfn._xlws.FILTER('Controllable Asset Registry'!$A$779:$A$1329,IFERROR('Controllable Asset Registry'!$E$779:$E$1329=A214,FALSE),"No Equipment in entity"))</f>
        <v>No Equipment in entity</v>
      </c>
    </row>
    <row r="215" spans="1:7" x14ac:dyDescent="0.3">
      <c r="A215" t="str">
        <f t="shared" si="3"/>
        <v>entity:QNL_L1_065_MEDIA_STUDIO_1</v>
      </c>
      <c r="B215" s="38" t="s">
        <v>8924</v>
      </c>
      <c r="C215" t="s">
        <v>8921</v>
      </c>
      <c r="D215" t="str" cm="1">
        <f t="array" ref="D215:E215">TRANSPOSE(_xlfn._xlws.FILTER('Controllable Asset Registry'!$A$779:$A$1329,IFERROR('Controllable Asset Registry'!$E$779:$E$1329=A215,FALSE),"No Equipment in entity"))</f>
        <v>VAV_1F_S15_003</v>
      </c>
      <c r="E215" t="str">
        <v>VAV_1F_S15_004</v>
      </c>
    </row>
    <row r="216" spans="1:7" x14ac:dyDescent="0.3">
      <c r="A216" t="str">
        <f t="shared" si="3"/>
        <v>entity:QNL_L1067_FRO_FRONT_KITCHEN</v>
      </c>
      <c r="B216" s="38" t="s">
        <v>8925</v>
      </c>
      <c r="C216" t="s">
        <v>8926</v>
      </c>
      <c r="D216" t="str" cm="1">
        <f t="array" ref="D216">TRANSPOSE(_xlfn._xlws.FILTER('Controllable Asset Registry'!$A$779:$A$1329,IFERROR('Controllable Asset Registry'!$E$779:$E$1329=A216,FALSE),"No Equipment in entity"))</f>
        <v>No Equipment in entity</v>
      </c>
    </row>
    <row r="217" spans="1:7" x14ac:dyDescent="0.3">
      <c r="A217" t="str">
        <f t="shared" si="3"/>
        <v>entity:QNL_L1067_RES_RESTAURANT</v>
      </c>
      <c r="B217" s="38" t="s">
        <v>8927</v>
      </c>
      <c r="C217" t="s">
        <v>8928</v>
      </c>
      <c r="D217" t="str" cm="1">
        <f t="array" ref="D217">TRANSPOSE(_xlfn._xlws.FILTER('Controllable Asset Registry'!$A$779:$A$1329,IFERROR('Controllable Asset Registry'!$E$779:$E$1329=A217,FALSE),"No Equipment in entity"))</f>
        <v>No Equipment in entity</v>
      </c>
    </row>
    <row r="218" spans="1:7" x14ac:dyDescent="0.3">
      <c r="A218" t="str">
        <f t="shared" si="3"/>
        <v>entity:QNL_L1_080_PUBLIC_SERVICE</v>
      </c>
      <c r="B218" s="38" t="s">
        <v>8930</v>
      </c>
      <c r="C218" t="s">
        <v>8931</v>
      </c>
      <c r="D218" t="str" cm="1">
        <f t="array" ref="D218:G218">TRANSPOSE(_xlfn._xlws.FILTER('Controllable Asset Registry'!$A$779:$A$1329,IFERROR('Controllable Asset Registry'!$E$779:$E$1329=A218,FALSE),"No Equipment in entity"))</f>
        <v>VAV_2F_S14_001</v>
      </c>
      <c r="E218" t="str">
        <v>VAV_2F_S14_002</v>
      </c>
      <c r="F218" t="str">
        <v>VAV_2F_S14_003</v>
      </c>
      <c r="G218" t="str">
        <v>VAV_2F_S14_004</v>
      </c>
    </row>
    <row r="219" spans="1:7" x14ac:dyDescent="0.3">
      <c r="A219" t="str">
        <f t="shared" si="3"/>
        <v>entity:QNL_L1_081_BIBLIOGRANHER1</v>
      </c>
      <c r="B219" s="38" t="s">
        <v>8933</v>
      </c>
      <c r="C219" t="s">
        <v>8934</v>
      </c>
      <c r="D219" t="str" cm="1">
        <f t="array" ref="D219">TRANSPOSE(_xlfn._xlws.FILTER('Controllable Asset Registry'!$A$779:$A$1329,IFERROR('Controllable Asset Registry'!$E$779:$E$1329=A219,FALSE),"No Equipment in entity"))</f>
        <v>VAV_2F_S14_005</v>
      </c>
    </row>
    <row r="220" spans="1:7" x14ac:dyDescent="0.3">
      <c r="A220" t="str">
        <f t="shared" si="3"/>
        <v>entity:QNL_L1_082_BIBLIOGRAPHER2</v>
      </c>
      <c r="B220" s="38" t="s">
        <v>8936</v>
      </c>
      <c r="C220" t="s">
        <v>8937</v>
      </c>
      <c r="D220" t="str" cm="1">
        <f t="array" ref="D220">TRANSPOSE(_xlfn._xlws.FILTER('Controllable Asset Registry'!$A$779:$A$1329,IFERROR('Controllable Asset Registry'!$E$779:$E$1329=A220,FALSE),"No Equipment in entity"))</f>
        <v>VAV_2F_S14_006</v>
      </c>
    </row>
    <row r="221" spans="1:7" x14ac:dyDescent="0.3">
      <c r="A221" t="str">
        <f t="shared" si="3"/>
        <v>entity:QNL_L1_083_SPEC_COLL&amp;ARCH</v>
      </c>
      <c r="B221" s="38" t="s">
        <v>8939</v>
      </c>
      <c r="C221" t="s">
        <v>8940</v>
      </c>
      <c r="D221" t="str" cm="1">
        <f t="array" ref="D221">TRANSPOSE(_xlfn._xlws.FILTER('Controllable Asset Registry'!$A$779:$A$1329,IFERROR('Controllable Asset Registry'!$E$779:$E$1329=A221,FALSE),"No Equipment in entity"))</f>
        <v>VAV_2F_S14_007</v>
      </c>
    </row>
    <row r="222" spans="1:7" x14ac:dyDescent="0.3">
      <c r="A222" t="str">
        <f t="shared" si="3"/>
        <v>entity:QNL_L1_084_R&amp;L_SERVICES</v>
      </c>
      <c r="B222" s="38" t="s">
        <v>8942</v>
      </c>
      <c r="C222" t="s">
        <v>8943</v>
      </c>
      <c r="D222" t="str" cm="1">
        <f t="array" ref="D222">TRANSPOSE(_xlfn._xlws.FILTER('Controllable Asset Registry'!$A$779:$A$1329,IFERROR('Controllable Asset Registry'!$E$779:$E$1329=A222,FALSE),"No Equipment in entity"))</f>
        <v>VAV_2F_S14_008</v>
      </c>
    </row>
    <row r="223" spans="1:7" x14ac:dyDescent="0.3">
      <c r="A223" t="str">
        <f t="shared" si="3"/>
        <v>entity:QNL_L1_085_ADPUBLIC_SERVICE</v>
      </c>
      <c r="B223" s="38" t="s">
        <v>8945</v>
      </c>
      <c r="C223" t="s">
        <v>8946</v>
      </c>
      <c r="D223" t="str" cm="1">
        <f t="array" ref="D223">TRANSPOSE(_xlfn._xlws.FILTER('Controllable Asset Registry'!$A$779:$A$1329,IFERROR('Controllable Asset Registry'!$E$779:$E$1329=A223,FALSE),"No Equipment in entity"))</f>
        <v>VAV_2F_S14_009</v>
      </c>
    </row>
    <row r="224" spans="1:7" x14ac:dyDescent="0.3">
      <c r="A224" t="str">
        <f t="shared" si="3"/>
        <v>entity:QNL_L1_086_REF_LIBRARIAN_1</v>
      </c>
      <c r="B224" s="38" t="s">
        <v>8948</v>
      </c>
      <c r="C224" t="s">
        <v>8949</v>
      </c>
      <c r="D224" t="str" cm="1">
        <f t="array" ref="D224">TRANSPOSE(_xlfn._xlws.FILTER('Controllable Asset Registry'!$A$779:$A$1329,IFERROR('Controllable Asset Registry'!$E$779:$E$1329=A224,FALSE),"No Equipment in entity"))</f>
        <v>VAV_2F_S14_010</v>
      </c>
    </row>
    <row r="225" spans="1:5" x14ac:dyDescent="0.3">
      <c r="A225" t="str">
        <f t="shared" si="3"/>
        <v>entity:QNL_L1_087_REF_LIBRARIAN_2</v>
      </c>
      <c r="B225" s="38" t="s">
        <v>8951</v>
      </c>
      <c r="C225" t="s">
        <v>8952</v>
      </c>
      <c r="D225" t="str" cm="1">
        <f t="array" ref="D225">TRANSPOSE(_xlfn._xlws.FILTER('Controllable Asset Registry'!$A$779:$A$1329,IFERROR('Controllable Asset Registry'!$E$779:$E$1329=A225,FALSE),"No Equipment in entity"))</f>
        <v>VAV_2F_S14_011</v>
      </c>
    </row>
    <row r="226" spans="1:5" x14ac:dyDescent="0.3">
      <c r="A226" t="str">
        <f t="shared" si="3"/>
        <v>entity:QNL_L1_088_REF_LIBRARIAN_3</v>
      </c>
      <c r="B226" s="38" t="s">
        <v>8954</v>
      </c>
      <c r="C226" t="s">
        <v>8955</v>
      </c>
      <c r="D226" t="str" cm="1">
        <f t="array" ref="D226">TRANSPOSE(_xlfn._xlws.FILTER('Controllable Asset Registry'!$A$779:$A$1329,IFERROR('Controllable Asset Registry'!$E$779:$E$1329=A226,FALSE),"No Equipment in entity"))</f>
        <v>VAV_2F_S14_012</v>
      </c>
    </row>
    <row r="227" spans="1:5" x14ac:dyDescent="0.3">
      <c r="A227" t="str">
        <f t="shared" si="3"/>
        <v>entity:QNL_L1_089_REF_LIBRARIAN_4</v>
      </c>
      <c r="B227" s="38" t="s">
        <v>8957</v>
      </c>
      <c r="C227" t="s">
        <v>8958</v>
      </c>
      <c r="D227" t="str" cm="1">
        <f t="array" ref="D227">TRANSPOSE(_xlfn._xlws.FILTER('Controllable Asset Registry'!$A$779:$A$1329,IFERROR('Controllable Asset Registry'!$E$779:$E$1329=A227,FALSE),"No Equipment in entity"))</f>
        <v>VAV_2F_S14_013</v>
      </c>
    </row>
    <row r="228" spans="1:5" x14ac:dyDescent="0.3">
      <c r="A228" t="str">
        <f t="shared" si="3"/>
        <v>entity:QNL_L1_090_REF_LIBRARIAN_5</v>
      </c>
      <c r="B228" s="38" t="s">
        <v>8960</v>
      </c>
      <c r="C228" t="s">
        <v>8961</v>
      </c>
      <c r="D228" t="str" cm="1">
        <f t="array" ref="D228">TRANSPOSE(_xlfn._xlws.FILTER('Controllable Asset Registry'!$A$779:$A$1329,IFERROR('Controllable Asset Registry'!$E$779:$E$1329=A228,FALSE),"No Equipment in entity"))</f>
        <v>VAV_2F_S14_014</v>
      </c>
    </row>
    <row r="229" spans="1:5" x14ac:dyDescent="0.3">
      <c r="A229" t="str">
        <f t="shared" si="3"/>
        <v>entity:QNL_L1_091_REF_LIBRARIAN_6</v>
      </c>
      <c r="B229" s="38" t="s">
        <v>8963</v>
      </c>
      <c r="C229" t="s">
        <v>8964</v>
      </c>
      <c r="D229" t="str" cm="1">
        <f t="array" ref="D229">TRANSPOSE(_xlfn._xlws.FILTER('Controllable Asset Registry'!$A$779:$A$1329,IFERROR('Controllable Asset Registry'!$E$779:$E$1329=A229,FALSE),"No Equipment in entity"))</f>
        <v>VAV_2F_S14_015</v>
      </c>
    </row>
    <row r="230" spans="1:5" x14ac:dyDescent="0.3">
      <c r="A230" t="str">
        <f t="shared" si="3"/>
        <v>entity:QNL_L1_092_REF_LIBRARIAN_7</v>
      </c>
      <c r="B230" s="38" t="s">
        <v>8966</v>
      </c>
      <c r="C230" t="s">
        <v>8967</v>
      </c>
      <c r="D230" t="str" cm="1">
        <f t="array" ref="D230">TRANSPOSE(_xlfn._xlws.FILTER('Controllable Asset Registry'!$A$779:$A$1329,IFERROR('Controllable Asset Registry'!$E$779:$E$1329=A230,FALSE),"No Equipment in entity"))</f>
        <v>VAV_2F_S14_016</v>
      </c>
    </row>
    <row r="231" spans="1:5" x14ac:dyDescent="0.3">
      <c r="A231" t="str">
        <f t="shared" si="3"/>
        <v>entity:QNL_L1_093_REF_LIBRARIAN_8</v>
      </c>
      <c r="B231" s="38" t="s">
        <v>8969</v>
      </c>
      <c r="C231" t="s">
        <v>8970</v>
      </c>
      <c r="D231" t="str" cm="1">
        <f t="array" ref="D231">TRANSPOSE(_xlfn._xlws.FILTER('Controllable Asset Registry'!$A$779:$A$1329,IFERROR('Controllable Asset Registry'!$E$779:$E$1329=A231,FALSE),"No Equipment in entity"))</f>
        <v>VAV_2F_S14_017</v>
      </c>
    </row>
    <row r="232" spans="1:5" x14ac:dyDescent="0.3">
      <c r="A232" t="str">
        <f t="shared" si="3"/>
        <v>entity:QNL_L1_094_REF_LIBRARIAN_9</v>
      </c>
      <c r="B232" s="38" t="s">
        <v>8972</v>
      </c>
      <c r="C232" t="s">
        <v>8973</v>
      </c>
      <c r="D232" t="str" cm="1">
        <f t="array" ref="D232">TRANSPOSE(_xlfn._xlws.FILTER('Controllable Asset Registry'!$A$779:$A$1329,IFERROR('Controllable Asset Registry'!$E$779:$E$1329=A232,FALSE),"No Equipment in entity"))</f>
        <v>VAV_2F_S14_018</v>
      </c>
    </row>
    <row r="233" spans="1:5" x14ac:dyDescent="0.3">
      <c r="A233" t="str">
        <f t="shared" si="3"/>
        <v>entity:QNL_L1_095_REF_LIBRARIAN_10</v>
      </c>
      <c r="B233" s="38" t="s">
        <v>8975</v>
      </c>
      <c r="C233" t="s">
        <v>8976</v>
      </c>
      <c r="D233" t="str" cm="1">
        <f t="array" ref="D233">TRANSPOSE(_xlfn._xlws.FILTER('Controllable Asset Registry'!$A$779:$A$1329,IFERROR('Controllable Asset Registry'!$E$779:$E$1329=A233,FALSE),"No Equipment in entity"))</f>
        <v>VAV_2F_S14_019</v>
      </c>
    </row>
    <row r="234" spans="1:5" x14ac:dyDescent="0.3">
      <c r="A234" t="str">
        <f t="shared" si="3"/>
        <v>entity:QNL_L1_096_REF_LIBRARIAN_11</v>
      </c>
      <c r="B234" s="38" t="s">
        <v>8978</v>
      </c>
      <c r="C234" t="s">
        <v>8979</v>
      </c>
      <c r="D234" t="str" cm="1">
        <f t="array" ref="D234">TRANSPOSE(_xlfn._xlws.FILTER('Controllable Asset Registry'!$A$779:$A$1329,IFERROR('Controllable Asset Registry'!$E$779:$E$1329=A234,FALSE),"No Equipment in entity"))</f>
        <v>VAV_2F_S14_020</v>
      </c>
    </row>
    <row r="235" spans="1:5" x14ac:dyDescent="0.3">
      <c r="A235" t="str">
        <f t="shared" si="3"/>
        <v>entity:QNL_L1_097_REF_LIBRARIAN_12</v>
      </c>
      <c r="B235" s="38" t="s">
        <v>8981</v>
      </c>
      <c r="C235" t="s">
        <v>8982</v>
      </c>
      <c r="D235" t="str" cm="1">
        <f t="array" ref="D235">TRANSPOSE(_xlfn._xlws.FILTER('Controllable Asset Registry'!$A$779:$A$1329,IFERROR('Controllable Asset Registry'!$E$779:$E$1329=A235,FALSE),"No Equipment in entity"))</f>
        <v>VAV_2F_S14_021</v>
      </c>
    </row>
    <row r="236" spans="1:5" x14ac:dyDescent="0.3">
      <c r="A236" t="str">
        <f t="shared" si="3"/>
        <v>entity:QNL_L1_098_STORAGE</v>
      </c>
      <c r="B236" s="38" t="s">
        <v>8983</v>
      </c>
      <c r="C236" t="s">
        <v>5852</v>
      </c>
      <c r="D236" t="str" cm="1">
        <f t="array" ref="D236">TRANSPOSE(_xlfn._xlws.FILTER('Controllable Asset Registry'!$A$779:$A$1329,IFERROR('Controllable Asset Registry'!$E$779:$E$1329=A236,FALSE),"No Equipment in entity"))</f>
        <v>No Equipment in entity</v>
      </c>
    </row>
    <row r="237" spans="1:5" x14ac:dyDescent="0.3">
      <c r="A237" t="str">
        <f t="shared" si="3"/>
        <v>entity:QNL_L1_099_IDF_ROOM_02</v>
      </c>
      <c r="B237" s="38" t="s">
        <v>8985</v>
      </c>
      <c r="C237" t="s">
        <v>8986</v>
      </c>
      <c r="D237" t="str" cm="1">
        <f t="array" ref="D237">TRANSPOSE(_xlfn._xlws.FILTER('Controllable Asset Registry'!$A$779:$A$1329,IFERROR('Controllable Asset Registry'!$E$779:$E$1329=A237,FALSE),"No Equipment in entity"))</f>
        <v>FCU_1F_003</v>
      </c>
    </row>
    <row r="238" spans="1:5" x14ac:dyDescent="0.3">
      <c r="A238" t="str">
        <f t="shared" si="3"/>
        <v>entity:QNL_L1_100_AERIAL_PLATFORM_PARKING</v>
      </c>
      <c r="B238" s="38" t="s">
        <v>8988</v>
      </c>
      <c r="C238" t="s">
        <v>8989</v>
      </c>
      <c r="D238" t="str" cm="1">
        <f t="array" ref="D238:E238">TRANSPOSE(_xlfn._xlws.FILTER('Controllable Asset Registry'!$A$779:$A$1329,IFERROR('Controllable Asset Registry'!$E$779:$E$1329=A238,FALSE),"No Equipment in entity"))</f>
        <v>CAV_1F_S15_004</v>
      </c>
      <c r="E238" t="str">
        <v>CAV_1F_S15_018</v>
      </c>
    </row>
    <row r="239" spans="1:5" x14ac:dyDescent="0.3">
      <c r="A239" t="str">
        <f t="shared" si="3"/>
        <v>entity:QNL_L1_101_REST_ROOMMEN</v>
      </c>
      <c r="B239" s="38" t="s">
        <v>8990</v>
      </c>
      <c r="C239" t="s">
        <v>8991</v>
      </c>
      <c r="D239" t="str" cm="1">
        <f t="array" ref="D239">TRANSPOSE(_xlfn._xlws.FILTER('Controllable Asset Registry'!$A$779:$A$1329,IFERROR('Controllable Asset Registry'!$E$779:$E$1329=A239,FALSE),"No Equipment in entity"))</f>
        <v>No Equipment in entity</v>
      </c>
    </row>
    <row r="240" spans="1:5" x14ac:dyDescent="0.3">
      <c r="A240" t="str">
        <f t="shared" si="3"/>
        <v>entity:QNL_L1_102_REST_ROOM_WOMEN</v>
      </c>
      <c r="B240" s="38" t="s">
        <v>8992</v>
      </c>
      <c r="C240" t="s">
        <v>8556</v>
      </c>
      <c r="D240" t="str" cm="1">
        <f t="array" ref="D240">TRANSPOSE(_xlfn._xlws.FILTER('Controllable Asset Registry'!$A$779:$A$1329,IFERROR('Controllable Asset Registry'!$E$779:$E$1329=A240,FALSE),"No Equipment in entity"))</f>
        <v>No Equipment in entity</v>
      </c>
    </row>
    <row r="241" spans="1:4" x14ac:dyDescent="0.3">
      <c r="A241" t="str">
        <f t="shared" si="3"/>
        <v>entity:QNL_L1104_FEM_PRAYER_ROOM_FEMALE</v>
      </c>
      <c r="B241" s="38" t="s">
        <v>8993</v>
      </c>
      <c r="C241" t="s">
        <v>8994</v>
      </c>
      <c r="D241" t="str" cm="1">
        <f t="array" ref="D241">TRANSPOSE(_xlfn._xlws.FILTER('Controllable Asset Registry'!$A$779:$A$1329,IFERROR('Controllable Asset Registry'!$E$779:$E$1329=A241,FALSE),"No Equipment in entity"))</f>
        <v>No Equipment in entity</v>
      </c>
    </row>
    <row r="242" spans="1:4" x14ac:dyDescent="0.3">
      <c r="A242" t="str">
        <f t="shared" si="3"/>
        <v>entity:QNL_L1104_MEL_PRAYER_ROOM_MALE</v>
      </c>
      <c r="B242" s="38" t="s">
        <v>8995</v>
      </c>
      <c r="C242" t="s">
        <v>8996</v>
      </c>
      <c r="D242" t="str" cm="1">
        <f t="array" ref="D242">TRANSPOSE(_xlfn._xlws.FILTER('Controllable Asset Registry'!$A$779:$A$1329,IFERROR('Controllable Asset Registry'!$E$779:$E$1329=A242,FALSE),"No Equipment in entity"))</f>
        <v>No Equipment in entity</v>
      </c>
    </row>
    <row r="243" spans="1:4" x14ac:dyDescent="0.3">
      <c r="A243" t="str">
        <f t="shared" si="3"/>
        <v>entity:QNL_L1_105_ABLUTIONMEN</v>
      </c>
      <c r="B243" s="38" t="s">
        <v>8998</v>
      </c>
      <c r="C243" t="s">
        <v>8999</v>
      </c>
      <c r="D243" t="str" cm="1">
        <f t="array" ref="D243">TRANSPOSE(_xlfn._xlws.FILTER('Controllable Asset Registry'!$A$779:$A$1329,IFERROR('Controllable Asset Registry'!$E$779:$E$1329=A243,FALSE),"No Equipment in entity"))</f>
        <v>VAV_1F_S15_038</v>
      </c>
    </row>
    <row r="244" spans="1:4" x14ac:dyDescent="0.3">
      <c r="A244" t="str">
        <f t="shared" si="3"/>
        <v>entity:QNL_L1_106_ABLUTIONWOMEN</v>
      </c>
      <c r="B244" s="38" t="s">
        <v>9001</v>
      </c>
      <c r="C244" t="s">
        <v>9002</v>
      </c>
      <c r="D244" t="str" cm="1">
        <f t="array" ref="D244">TRANSPOSE(_xlfn._xlws.FILTER('Controllable Asset Registry'!$A$779:$A$1329,IFERROR('Controllable Asset Registry'!$E$779:$E$1329=A244,FALSE),"No Equipment in entity"))</f>
        <v>VAV_1F_S15_025</v>
      </c>
    </row>
    <row r="245" spans="1:4" x14ac:dyDescent="0.3">
      <c r="A245" t="str">
        <f t="shared" si="3"/>
        <v>entity:QNL_L1_130_PUBLIS_SPACE</v>
      </c>
      <c r="B245" s="38" t="s">
        <v>9003</v>
      </c>
      <c r="C245" t="s">
        <v>9004</v>
      </c>
      <c r="D245" t="str" cm="1">
        <f t="array" ref="D245">TRANSPOSE(_xlfn._xlws.FILTER('Controllable Asset Registry'!$A$779:$A$1329,IFERROR('Controllable Asset Registry'!$E$779:$E$1329=A245,FALSE),"No Equipment in entity"))</f>
        <v>No Equipment in entity</v>
      </c>
    </row>
    <row r="246" spans="1:4" x14ac:dyDescent="0.3">
      <c r="A246" t="str">
        <f t="shared" si="3"/>
        <v>entity:QNL_L1_142_LEARNING_COMMONS</v>
      </c>
      <c r="B246" s="38" t="s">
        <v>9005</v>
      </c>
      <c r="C246" t="s">
        <v>9006</v>
      </c>
      <c r="D246" t="str" cm="1">
        <f t="array" ref="D246">TRANSPOSE(_xlfn._xlws.FILTER('Controllable Asset Registry'!$A$779:$A$1329,IFERROR('Controllable Asset Registry'!$E$779:$E$1329=A246,FALSE),"No Equipment in entity"))</f>
        <v>No Equipment in entity</v>
      </c>
    </row>
    <row r="247" spans="1:4" x14ac:dyDescent="0.3">
      <c r="A247" t="str">
        <f t="shared" si="3"/>
        <v>entity:QNL_L1_153_FURNITURE_STORAGE</v>
      </c>
      <c r="B247" s="38" t="s">
        <v>9008</v>
      </c>
      <c r="C247" t="s">
        <v>9009</v>
      </c>
      <c r="D247" t="str" cm="1">
        <f t="array" ref="D247">TRANSPOSE(_xlfn._xlws.FILTER('Controllable Asset Registry'!$A$779:$A$1329,IFERROR('Controllable Asset Registry'!$E$779:$E$1329=A247,FALSE),"No Equipment in entity"))</f>
        <v>CAV_1F_S15_019</v>
      </c>
    </row>
    <row r="248" spans="1:4" x14ac:dyDescent="0.3">
      <c r="A248" t="str">
        <f t="shared" si="3"/>
        <v>entity:QNL_L1-L-1_L-1</v>
      </c>
      <c r="B248" s="38" t="s">
        <v>9010</v>
      </c>
      <c r="C248" t="s">
        <v>8809</v>
      </c>
      <c r="D248" t="str" cm="1">
        <f t="array" ref="D248">TRANSPOSE(_xlfn._xlws.FILTER('Controllable Asset Registry'!$A$779:$A$1329,IFERROR('Controllable Asset Registry'!$E$779:$E$1329=A248,FALSE),"No Equipment in entity"))</f>
        <v>No Equipment in entity</v>
      </c>
    </row>
    <row r="249" spans="1:4" x14ac:dyDescent="0.3">
      <c r="A249" t="str">
        <f t="shared" si="3"/>
        <v>entity:QNL_L1-L-2_L-2</v>
      </c>
      <c r="B249" s="38" t="s">
        <v>9011</v>
      </c>
      <c r="C249" t="s">
        <v>8813</v>
      </c>
      <c r="D249" t="str" cm="1">
        <f t="array" ref="D249">TRANSPOSE(_xlfn._xlws.FILTER('Controllable Asset Registry'!$A$779:$A$1329,IFERROR('Controllable Asset Registry'!$E$779:$E$1329=A249,FALSE),"No Equipment in entity"))</f>
        <v>No Equipment in entity</v>
      </c>
    </row>
    <row r="250" spans="1:4" x14ac:dyDescent="0.3">
      <c r="A250" t="str">
        <f t="shared" si="3"/>
        <v>entity:QNL_L1-L-3_L-3</v>
      </c>
      <c r="B250" s="38" t="s">
        <v>9013</v>
      </c>
      <c r="C250" t="s">
        <v>8815</v>
      </c>
      <c r="D250" t="str" cm="1">
        <f t="array" ref="D250">TRANSPOSE(_xlfn._xlws.FILTER('Controllable Asset Registry'!$A$779:$A$1329,IFERROR('Controllable Asset Registry'!$E$779:$E$1329=A250,FALSE),"No Equipment in entity"))</f>
        <v>EF_201</v>
      </c>
    </row>
    <row r="251" spans="1:4" x14ac:dyDescent="0.3">
      <c r="A251" t="str">
        <f t="shared" si="3"/>
        <v>entity:QNL_L1-L-4_L-4</v>
      </c>
      <c r="B251" s="38" t="s">
        <v>9014</v>
      </c>
      <c r="C251" t="s">
        <v>8817</v>
      </c>
      <c r="D251" t="str" cm="1">
        <f t="array" ref="D251">TRANSPOSE(_xlfn._xlws.FILTER('Controllable Asset Registry'!$A$779:$A$1329,IFERROR('Controllable Asset Registry'!$E$779:$E$1329=A251,FALSE),"No Equipment in entity"))</f>
        <v>No Equipment in entity</v>
      </c>
    </row>
    <row r="252" spans="1:4" x14ac:dyDescent="0.3">
      <c r="A252" t="str">
        <f t="shared" si="3"/>
        <v>entity:QNL_L1-L-5_L-5</v>
      </c>
      <c r="B252" s="38" t="s">
        <v>9015</v>
      </c>
      <c r="C252" t="s">
        <v>9016</v>
      </c>
      <c r="D252" t="str" cm="1">
        <f t="array" ref="D252">TRANSPOSE(_xlfn._xlws.FILTER('Controllable Asset Registry'!$A$779:$A$1329,IFERROR('Controllable Asset Registry'!$E$779:$E$1329=A252,FALSE),"No Equipment in entity"))</f>
        <v>No Equipment in entity</v>
      </c>
    </row>
    <row r="253" spans="1:4" x14ac:dyDescent="0.3">
      <c r="A253" t="str">
        <f t="shared" si="3"/>
        <v>entity:QNL_L1-RP-10_RP-10</v>
      </c>
      <c r="B253" s="38" t="s">
        <v>9017</v>
      </c>
      <c r="C253" t="s">
        <v>9018</v>
      </c>
      <c r="D253" t="str" cm="1">
        <f t="array" ref="D253">TRANSPOSE(_xlfn._xlws.FILTER('Controllable Asset Registry'!$A$779:$A$1329,IFERROR('Controllable Asset Registry'!$E$779:$E$1329=A253,FALSE),"No Equipment in entity"))</f>
        <v>No Equipment in entity</v>
      </c>
    </row>
    <row r="254" spans="1:4" x14ac:dyDescent="0.3">
      <c r="A254" t="str">
        <f t="shared" si="3"/>
        <v>entity:QNL_L1-ST-01_ST-01</v>
      </c>
      <c r="B254" s="38" t="s">
        <v>9019</v>
      </c>
      <c r="C254" t="s">
        <v>7288</v>
      </c>
      <c r="D254" t="str" cm="1">
        <f t="array" ref="D254">TRANSPOSE(_xlfn._xlws.FILTER('Controllable Asset Registry'!$A$779:$A$1329,IFERROR('Controllable Asset Registry'!$E$779:$E$1329=A254,FALSE),"No Equipment in entity"))</f>
        <v>No Equipment in entity</v>
      </c>
    </row>
    <row r="255" spans="1:4" x14ac:dyDescent="0.3">
      <c r="A255" t="str">
        <f t="shared" si="3"/>
        <v>entity:QNL_L1-ST-02_ST-02</v>
      </c>
      <c r="B255" s="38" t="s">
        <v>9020</v>
      </c>
      <c r="C255" t="s">
        <v>8820</v>
      </c>
      <c r="D255" t="str" cm="1">
        <f t="array" ref="D255">TRANSPOSE(_xlfn._xlws.FILTER('Controllable Asset Registry'!$A$779:$A$1329,IFERROR('Controllable Asset Registry'!$E$779:$E$1329=A255,FALSE),"No Equipment in entity"))</f>
        <v>No Equipment in entity</v>
      </c>
    </row>
    <row r="256" spans="1:4" x14ac:dyDescent="0.3">
      <c r="A256" t="str">
        <f t="shared" si="3"/>
        <v>entity:QNL_L1-ST-03_ST-03</v>
      </c>
      <c r="B256" s="38" t="s">
        <v>9021</v>
      </c>
      <c r="C256" t="s">
        <v>8822</v>
      </c>
      <c r="D256" t="str" cm="1">
        <f t="array" ref="D256">TRANSPOSE(_xlfn._xlws.FILTER('Controllable Asset Registry'!$A$779:$A$1329,IFERROR('Controllable Asset Registry'!$E$779:$E$1329=A256,FALSE),"No Equipment in entity"))</f>
        <v>No Equipment in entity</v>
      </c>
    </row>
    <row r="257" spans="1:5" x14ac:dyDescent="0.3">
      <c r="A257" t="str">
        <f t="shared" si="3"/>
        <v>entity:QNL_L1-ST-10_ST-10</v>
      </c>
      <c r="B257" s="38" t="s">
        <v>9022</v>
      </c>
      <c r="C257" t="s">
        <v>5965</v>
      </c>
      <c r="D257" t="str" cm="1">
        <f t="array" ref="D257">TRANSPOSE(_xlfn._xlws.FILTER('Controllable Asset Registry'!$A$779:$A$1329,IFERROR('Controllable Asset Registry'!$E$779:$E$1329=A257,FALSE),"No Equipment in entity"))</f>
        <v>No Equipment in entity</v>
      </c>
    </row>
    <row r="258" spans="1:5" x14ac:dyDescent="0.3">
      <c r="A258" t="str">
        <f t="shared" ref="A258:A321" si="4">"entity:QNL_"&amp;B258&amp;"_"&amp;C258</f>
        <v>entity:QNL_L1_140_SPECIAL_EVENTS</v>
      </c>
      <c r="B258" s="38" t="s">
        <v>9023</v>
      </c>
      <c r="C258" t="s">
        <v>9024</v>
      </c>
      <c r="D258" t="str" cm="1">
        <f t="array" ref="D258">TRANSPOSE(_xlfn._xlws.FILTER('Controllable Asset Registry'!$A$779:$A$1329,IFERROR('Controllable Asset Registry'!$E$779:$E$1329=A258,FALSE),"No Equipment in entity"))</f>
        <v>No Equipment in entity</v>
      </c>
    </row>
    <row r="259" spans="1:5" x14ac:dyDescent="0.3">
      <c r="A259" t="str">
        <f t="shared" si="4"/>
        <v>entity:QNL_L2_006_STORAGE</v>
      </c>
      <c r="B259" s="38" t="s">
        <v>9025</v>
      </c>
      <c r="C259" t="s">
        <v>5852</v>
      </c>
      <c r="D259" t="str" cm="1">
        <f t="array" ref="D259">TRANSPOSE(_xlfn._xlws.FILTER('Controllable Asset Registry'!$A$779:$A$1329,IFERROR('Controllable Asset Registry'!$E$779:$E$1329=A259,FALSE),"No Equipment in entity"))</f>
        <v>No Equipment in entity</v>
      </c>
    </row>
    <row r="260" spans="1:5" x14ac:dyDescent="0.3">
      <c r="A260" t="str">
        <f t="shared" si="4"/>
        <v>entity:QNL_L2_007_REST_ROOM_MEN</v>
      </c>
      <c r="B260" s="38" t="s">
        <v>9026</v>
      </c>
      <c r="C260" t="s">
        <v>8552</v>
      </c>
      <c r="D260" t="str" cm="1">
        <f t="array" ref="D260">TRANSPOSE(_xlfn._xlws.FILTER('Controllable Asset Registry'!$A$779:$A$1329,IFERROR('Controllable Asset Registry'!$E$779:$E$1329=A260,FALSE),"No Equipment in entity"))</f>
        <v>No Equipment in entity</v>
      </c>
    </row>
    <row r="261" spans="1:5" x14ac:dyDescent="0.3">
      <c r="A261" t="str">
        <f t="shared" si="4"/>
        <v>entity:QNL_L2_008_REST_ROOM_WOMEN</v>
      </c>
      <c r="B261" s="38" t="s">
        <v>9027</v>
      </c>
      <c r="C261" t="s">
        <v>8556</v>
      </c>
      <c r="D261" t="str" cm="1">
        <f t="array" ref="D261">TRANSPOSE(_xlfn._xlws.FILTER('Controllable Asset Registry'!$A$779:$A$1329,IFERROR('Controllable Asset Registry'!$E$779:$E$1329=A261,FALSE),"No Equipment in entity"))</f>
        <v>No Equipment in entity</v>
      </c>
    </row>
    <row r="262" spans="1:5" x14ac:dyDescent="0.3">
      <c r="A262" t="str">
        <f t="shared" si="4"/>
        <v>entity:QNL_L2_009_KDF_ROOM</v>
      </c>
      <c r="B262" s="38" t="s">
        <v>9029</v>
      </c>
      <c r="C262" t="s">
        <v>9030</v>
      </c>
      <c r="D262" t="str" cm="1">
        <f t="array" ref="D262">TRANSPOSE(_xlfn._xlws.FILTER('Controllable Asset Registry'!$A$779:$A$1329,IFERROR('Controllable Asset Registry'!$E$779:$E$1329=A262,FALSE),"No Equipment in entity"))</f>
        <v>FCU_2F_005</v>
      </c>
    </row>
    <row r="263" spans="1:5" x14ac:dyDescent="0.3">
      <c r="A263" t="str">
        <f t="shared" si="4"/>
        <v>entity:QNL_L2_010_BREAKOUT_SPACE</v>
      </c>
      <c r="B263" s="38" t="s">
        <v>9032</v>
      </c>
      <c r="C263" t="s">
        <v>9033</v>
      </c>
      <c r="D263" t="str" cm="1">
        <f t="array" ref="D263">TRANSPOSE(_xlfn._xlws.FILTER('Controllable Asset Registry'!$A$779:$A$1329,IFERROR('Controllable Asset Registry'!$E$779:$E$1329=A263,FALSE),"No Equipment in entity"))</f>
        <v>VAV_2F_S12_021</v>
      </c>
    </row>
    <row r="264" spans="1:5" x14ac:dyDescent="0.3">
      <c r="A264" t="str">
        <f t="shared" si="4"/>
        <v>entity:QNL_L2_011_CTRCULATION_OFFICE</v>
      </c>
      <c r="B264" s="38" t="s">
        <v>9035</v>
      </c>
      <c r="C264" t="s">
        <v>9036</v>
      </c>
      <c r="D264" t="str" cm="1">
        <f t="array" ref="D264">TRANSPOSE(_xlfn._xlws.FILTER('Controllable Asset Registry'!$A$779:$A$1329,IFERROR('Controllable Asset Registry'!$E$779:$E$1329=A264,FALSE),"No Equipment in entity"))</f>
        <v>VAV_2F_S12_022</v>
      </c>
    </row>
    <row r="265" spans="1:5" x14ac:dyDescent="0.3">
      <c r="A265" t="str">
        <f t="shared" si="4"/>
        <v>entity:QNL_L2_012_OFFICE_SPEC_COL</v>
      </c>
      <c r="B265" s="38" t="s">
        <v>9038</v>
      </c>
      <c r="C265" t="s">
        <v>9039</v>
      </c>
      <c r="D265" t="str" cm="1">
        <f t="array" ref="D265">TRANSPOSE(_xlfn._xlws.FILTER('Controllable Asset Registry'!$A$779:$A$1329,IFERROR('Controllable Asset Registry'!$E$779:$E$1329=A265,FALSE),"No Equipment in entity"))</f>
        <v>VAV_2F_S12_023</v>
      </c>
    </row>
    <row r="266" spans="1:5" x14ac:dyDescent="0.3">
      <c r="A266" t="str">
        <f t="shared" si="4"/>
        <v>entity:QNL_L2_013_OFFICE_SPEC_COL</v>
      </c>
      <c r="B266" s="38" t="s">
        <v>9041</v>
      </c>
      <c r="C266" t="s">
        <v>9039</v>
      </c>
      <c r="D266" t="str" cm="1">
        <f t="array" ref="D266">TRANSPOSE(_xlfn._xlws.FILTER('Controllable Asset Registry'!$A$779:$A$1329,IFERROR('Controllable Asset Registry'!$E$779:$E$1329=A266,FALSE),"No Equipment in entity"))</f>
        <v>VAV_2F_S12_024</v>
      </c>
    </row>
    <row r="267" spans="1:5" x14ac:dyDescent="0.3">
      <c r="A267" t="str">
        <f t="shared" si="4"/>
        <v>entity:QNL_L2_014_TRANSL_SPC_&amp;_EDI_PUBLICATIONS_SPC</v>
      </c>
      <c r="B267" s="38" t="s">
        <v>9042</v>
      </c>
      <c r="C267" t="s">
        <v>9043</v>
      </c>
      <c r="D267" t="str" cm="1">
        <f t="array" ref="D267">TRANSPOSE(_xlfn._xlws.FILTER('Controllable Asset Registry'!$A$779:$A$1329,IFERROR('Controllable Asset Registry'!$E$779:$E$1329=A267,FALSE),"No Equipment in entity"))</f>
        <v>No Equipment in entity</v>
      </c>
    </row>
    <row r="268" spans="1:5" x14ac:dyDescent="0.3">
      <c r="A268" t="str">
        <f t="shared" si="4"/>
        <v>entity:QNL_L2_015_40_GROUP_STUDY_ROOM_5</v>
      </c>
      <c r="B268" s="38" t="s">
        <v>9045</v>
      </c>
      <c r="C268" t="s">
        <v>9046</v>
      </c>
      <c r="D268" t="str" cm="1">
        <f t="array" ref="D268">TRANSPOSE(_xlfn._xlws.FILTER('Controllable Asset Registry'!$A$779:$A$1329,IFERROR('Controllable Asset Registry'!$E$779:$E$1329=A268,FALSE),"No Equipment in entity"))</f>
        <v>VAV_2F_S12_026</v>
      </c>
    </row>
    <row r="269" spans="1:5" x14ac:dyDescent="0.3">
      <c r="A269" t="str">
        <f t="shared" si="4"/>
        <v>entity:QNL_L2_016_40_GROUP_STUDY_ROOM_6</v>
      </c>
      <c r="B269" s="38" t="s">
        <v>9048</v>
      </c>
      <c r="C269" t="s">
        <v>9049</v>
      </c>
      <c r="D269" t="str" cm="1">
        <f t="array" ref="D269">TRANSPOSE(_xlfn._xlws.FILTER('Controllable Asset Registry'!$A$779:$A$1329,IFERROR('Controllable Asset Registry'!$E$779:$E$1329=A269,FALSE),"No Equipment in entity"))</f>
        <v>VAV_2F_S12_029</v>
      </c>
    </row>
    <row r="270" spans="1:5" x14ac:dyDescent="0.3">
      <c r="A270" t="str">
        <f t="shared" si="4"/>
        <v>entity:QNL_L2_017_40_GROUP_STUDY_ROOM_7</v>
      </c>
      <c r="B270" s="38" t="s">
        <v>9051</v>
      </c>
      <c r="C270" t="s">
        <v>9052</v>
      </c>
      <c r="D270" t="str" cm="1">
        <f t="array" ref="D270">TRANSPOSE(_xlfn._xlws.FILTER('Controllable Asset Registry'!$A$779:$A$1329,IFERROR('Controllable Asset Registry'!$E$779:$E$1329=A270,FALSE),"No Equipment in entity"))</f>
        <v>VAV_2F_S12_027</v>
      </c>
    </row>
    <row r="271" spans="1:5" x14ac:dyDescent="0.3">
      <c r="A271" t="str">
        <f t="shared" si="4"/>
        <v>entity:QNL_L2_018_GROUP_STUDY_ROOM_8</v>
      </c>
      <c r="B271" s="38" t="s">
        <v>9053</v>
      </c>
      <c r="C271" t="s">
        <v>9231</v>
      </c>
      <c r="D271" t="str" cm="1">
        <f t="array" ref="D271:E271">TRANSPOSE(_xlfn._xlws.FILTER('Controllable Asset Registry'!$A$779:$A$1329,IFERROR('Controllable Asset Registry'!$E$779:$E$1329=A271,FALSE),"No Equipment in entity"))</f>
        <v>VAV_2F_S12_028</v>
      </c>
      <c r="E271" t="str">
        <v>VAV_2F_S12_097</v>
      </c>
    </row>
    <row r="272" spans="1:5" x14ac:dyDescent="0.3">
      <c r="A272" t="str">
        <f t="shared" si="4"/>
        <v>entity:QNL_L2_021_LIBR_COM_REO_&amp;_EVENTS_SPC</v>
      </c>
      <c r="B272" s="38" t="s">
        <v>9054</v>
      </c>
      <c r="C272" t="s">
        <v>9055</v>
      </c>
      <c r="D272" t="str" cm="1">
        <f t="array" ref="D272">TRANSPOSE(_xlfn._xlws.FILTER('Controllable Asset Registry'!$A$779:$A$1329,IFERROR('Controllable Asset Registry'!$E$779:$E$1329=A272,FALSE),"No Equipment in entity"))</f>
        <v>No Equipment in entity</v>
      </c>
    </row>
    <row r="273" spans="1:7" x14ac:dyDescent="0.3">
      <c r="A273" t="str">
        <f t="shared" si="4"/>
        <v>entity:QNL_L2_022_ACADEMIC_PERS_LIBRARIA</v>
      </c>
      <c r="B273" s="38" t="s">
        <v>9057</v>
      </c>
      <c r="C273" t="s">
        <v>9058</v>
      </c>
      <c r="D273" t="str" cm="1">
        <f t="array" ref="D273:E273">TRANSPOSE(_xlfn._xlws.FILTER('Controllable Asset Registry'!$A$779:$A$1329,IFERROR('Controllable Asset Registry'!$E$779:$E$1329=A273,FALSE),"No Equipment in entity"))</f>
        <v>VAV_2F_S13_005</v>
      </c>
      <c r="E273" t="str">
        <v>VAV_2F_S13_006</v>
      </c>
    </row>
    <row r="274" spans="1:7" x14ac:dyDescent="0.3">
      <c r="A274" t="str">
        <f t="shared" si="4"/>
        <v>entity:QNL_L2_023_AD_ADMIN_&amp;_PLANNING</v>
      </c>
      <c r="B274" s="38" t="s">
        <v>9060</v>
      </c>
      <c r="C274" t="s">
        <v>9061</v>
      </c>
      <c r="D274" t="str" cm="1">
        <f t="array" ref="D274">TRANSPOSE(_xlfn._xlws.FILTER('Controllable Asset Registry'!$A$779:$A$1329,IFERROR('Controllable Asset Registry'!$E$779:$E$1329=A274,FALSE),"No Equipment in entity"))</f>
        <v>VAV_2F_S13_007</v>
      </c>
    </row>
    <row r="275" spans="1:7" x14ac:dyDescent="0.3">
      <c r="A275" t="str">
        <f t="shared" si="4"/>
        <v>entity:QNL_L2_024_OFFICE_COORD</v>
      </c>
      <c r="B275" s="38" t="s">
        <v>9063</v>
      </c>
      <c r="C275" t="s">
        <v>9064</v>
      </c>
      <c r="D275" t="str" cm="1">
        <f t="array" ref="D275">TRANSPOSE(_xlfn._xlws.FILTER('Controllable Asset Registry'!$A$779:$A$1329,IFERROR('Controllable Asset Registry'!$E$779:$E$1329=A275,FALSE),"No Equipment in entity"))</f>
        <v>VAV_2F_S13_008</v>
      </c>
    </row>
    <row r="276" spans="1:7" x14ac:dyDescent="0.3">
      <c r="A276" t="str">
        <f t="shared" si="4"/>
        <v>entity:QNL_L2_025_OPEN_OFFICE</v>
      </c>
      <c r="B276" s="38" t="s">
        <v>9066</v>
      </c>
      <c r="C276" t="s">
        <v>9067</v>
      </c>
      <c r="D276" t="str" cm="1">
        <f t="array" ref="D276:E276">TRANSPOSE(_xlfn._xlws.FILTER('Controllable Asset Registry'!$A$779:$A$1329,IFERROR('Controllable Asset Registry'!$E$779:$E$1329=A276,FALSE),"No Equipment in entity"))</f>
        <v>VAV_2F_S13_004</v>
      </c>
      <c r="E276" t="str">
        <v>VAV_2F_S13_009</v>
      </c>
    </row>
    <row r="277" spans="1:7" x14ac:dyDescent="0.3">
      <c r="A277" t="str">
        <f t="shared" si="4"/>
        <v>entity:QNL_L2_041_PANTRY</v>
      </c>
      <c r="B277" s="38" t="s">
        <v>9068</v>
      </c>
      <c r="C277" t="s">
        <v>6807</v>
      </c>
      <c r="D277" t="str" cm="1">
        <f t="array" ref="D277">TRANSPOSE(_xlfn._xlws.FILTER('Controllable Asset Registry'!$A$779:$A$1329,IFERROR('Controllable Asset Registry'!$E$779:$E$1329=A277,FALSE),"No Equipment in entity"))</f>
        <v>No Equipment in entity</v>
      </c>
    </row>
    <row r="278" spans="1:7" x14ac:dyDescent="0.3">
      <c r="A278" t="str">
        <f t="shared" si="4"/>
        <v>entity:QNL_L2_042_REST_ROOM</v>
      </c>
      <c r="B278" s="38" t="s">
        <v>9069</v>
      </c>
      <c r="C278" t="s">
        <v>9070</v>
      </c>
      <c r="D278" t="str" cm="1">
        <f t="array" ref="D278">TRANSPOSE(_xlfn._xlws.FILTER('Controllable Asset Registry'!$A$779:$A$1329,IFERROR('Controllable Asset Registry'!$E$779:$E$1329=A278,FALSE),"No Equipment in entity"))</f>
        <v>No Equipment in entity</v>
      </c>
    </row>
    <row r="279" spans="1:7" x14ac:dyDescent="0.3">
      <c r="A279" t="str">
        <f t="shared" si="4"/>
        <v>entity:QNL_L2_043_SERVICE_&amp;_LOUNGE</v>
      </c>
      <c r="B279" s="38" t="s">
        <v>9072</v>
      </c>
      <c r="C279" t="s">
        <v>9073</v>
      </c>
      <c r="D279" t="str" cm="1">
        <f t="array" ref="D279">TRANSPOSE(_xlfn._xlws.FILTER('Controllable Asset Registry'!$A$779:$A$1329,IFERROR('Controllable Asset Registry'!$E$779:$E$1329=A279,FALSE),"No Equipment in entity"))</f>
        <v>VAV_2F_S13_003</v>
      </c>
    </row>
    <row r="280" spans="1:7" x14ac:dyDescent="0.3">
      <c r="A280" t="str">
        <f t="shared" si="4"/>
        <v>entity:QNL_L2_044_LIBDIRECTORS_ROOM</v>
      </c>
      <c r="B280" s="38" t="s">
        <v>9075</v>
      </c>
      <c r="C280" t="s">
        <v>9076</v>
      </c>
      <c r="D280" t="str" cm="1">
        <f t="array" ref="D280:E280">TRANSPOSE(_xlfn._xlws.FILTER('Controllable Asset Registry'!$A$779:$A$1329,IFERROR('Controllable Asset Registry'!$E$779:$E$1329=A280,FALSE),"No Equipment in entity"))</f>
        <v>VAV_2F_S13_001</v>
      </c>
      <c r="E280" t="str">
        <v>VAV_2F_S13_002</v>
      </c>
    </row>
    <row r="281" spans="1:7" x14ac:dyDescent="0.3">
      <c r="A281" t="str">
        <f t="shared" si="4"/>
        <v>entity:QNL_L2_046_VIP_MEETING</v>
      </c>
      <c r="B281" s="38" t="s">
        <v>9078</v>
      </c>
      <c r="C281" t="s">
        <v>9079</v>
      </c>
      <c r="D281" t="str" cm="1">
        <f t="array" ref="D281">TRANSPOSE(_xlfn._xlws.FILTER('Controllable Asset Registry'!$A$779:$A$1329,IFERROR('Controllable Asset Registry'!$E$779:$E$1329=A281,FALSE),"No Equipment in entity"))</f>
        <v>VAV_2F_S15_005</v>
      </c>
    </row>
    <row r="282" spans="1:7" x14ac:dyDescent="0.3">
      <c r="A282" t="str">
        <f t="shared" si="4"/>
        <v>entity:QNL_L2_047_REST_ROOM</v>
      </c>
      <c r="B282" s="38" t="s">
        <v>9080</v>
      </c>
      <c r="C282" t="s">
        <v>9070</v>
      </c>
      <c r="D282" t="str" cm="1">
        <f t="array" ref="D282">TRANSPOSE(_xlfn._xlws.FILTER('Controllable Asset Registry'!$A$779:$A$1329,IFERROR('Controllable Asset Registry'!$E$779:$E$1329=A282,FALSE),"No Equipment in entity"))</f>
        <v>No Equipment in entity</v>
      </c>
    </row>
    <row r="283" spans="1:7" x14ac:dyDescent="0.3">
      <c r="A283" t="str">
        <f t="shared" si="4"/>
        <v>entity:QNL_L2_048_VIP_WATING</v>
      </c>
      <c r="B283" s="38" t="s">
        <v>9082</v>
      </c>
      <c r="C283" t="s">
        <v>9083</v>
      </c>
      <c r="D283" t="str" cm="1">
        <f t="array" ref="D283">TRANSPOSE(_xlfn._xlws.FILTER('Controllable Asset Registry'!$A$779:$A$1329,IFERROR('Controllable Asset Registry'!$E$779:$E$1329=A283,FALSE),"No Equipment in entity"))</f>
        <v>VAV_2F_S13_016</v>
      </c>
    </row>
    <row r="284" spans="1:7" x14ac:dyDescent="0.3">
      <c r="A284" t="str">
        <f t="shared" si="4"/>
        <v>entity:QNL_L2_049_REST_ROOM_MEN</v>
      </c>
      <c r="B284" s="38" t="s">
        <v>9084</v>
      </c>
      <c r="C284" t="s">
        <v>8552</v>
      </c>
      <c r="D284" t="str" cm="1">
        <f t="array" ref="D284">TRANSPOSE(_xlfn._xlws.FILTER('Controllable Asset Registry'!$A$779:$A$1329,IFERROR('Controllable Asset Registry'!$E$779:$E$1329=A284,FALSE),"No Equipment in entity"))</f>
        <v>No Equipment in entity</v>
      </c>
    </row>
    <row r="285" spans="1:7" x14ac:dyDescent="0.3">
      <c r="A285" t="str">
        <f t="shared" si="4"/>
        <v>entity:QNL_L2_050_REST_ROOM_WOMEN</v>
      </c>
      <c r="B285" s="38" t="s">
        <v>9085</v>
      </c>
      <c r="C285" t="s">
        <v>8556</v>
      </c>
      <c r="D285" t="str" cm="1">
        <f t="array" ref="D285">TRANSPOSE(_xlfn._xlws.FILTER('Controllable Asset Registry'!$A$779:$A$1329,IFERROR('Controllable Asset Registry'!$E$779:$E$1329=A285,FALSE),"No Equipment in entity"))</f>
        <v>No Equipment in entity</v>
      </c>
    </row>
    <row r="286" spans="1:7" x14ac:dyDescent="0.3">
      <c r="A286" t="str">
        <f t="shared" si="4"/>
        <v>entity:QNL_L2_051_VIP_ROOM</v>
      </c>
      <c r="B286" s="38" t="s">
        <v>9087</v>
      </c>
      <c r="C286" t="s">
        <v>9088</v>
      </c>
      <c r="D286" t="str" cm="1">
        <f t="array" ref="D286:G286">TRANSPOSE(_xlfn._xlws.FILTER('Controllable Asset Registry'!$A$779:$A$1329,IFERROR('Controllable Asset Registry'!$E$779:$E$1329=A286,FALSE),"No Equipment in entity"))</f>
        <v>VAV_2F_S15_001</v>
      </c>
      <c r="E286" t="str">
        <v>VAV_2F_S15_002</v>
      </c>
      <c r="F286" t="str">
        <v>VAV_2F_S15_003</v>
      </c>
      <c r="G286" t="str">
        <v>VAV_2F_S15_004</v>
      </c>
    </row>
    <row r="287" spans="1:7" x14ac:dyDescent="0.3">
      <c r="A287" t="str">
        <f t="shared" si="4"/>
        <v>entity:QNL_L2_070_INDIVISTUDY_ROOM</v>
      </c>
      <c r="B287" s="38" t="s">
        <v>9090</v>
      </c>
      <c r="C287" t="s">
        <v>9091</v>
      </c>
      <c r="D287" t="str" cm="1">
        <f t="array" ref="D287:F287">TRANSPOSE(_xlfn._xlws.FILTER('Controllable Asset Registry'!$A$779:$A$1329,IFERROR('Controllable Asset Registry'!$E$779:$E$1329=A287,FALSE),"No Equipment in entity"))</f>
        <v>FCU_2F_048</v>
      </c>
      <c r="E287" t="str">
        <v>FCU_2F_049</v>
      </c>
      <c r="F287" t="str">
        <v>FCU_2F_050</v>
      </c>
    </row>
    <row r="288" spans="1:7" x14ac:dyDescent="0.3">
      <c r="A288" t="str">
        <f t="shared" si="4"/>
        <v>entity:QNL_L2_071_INDIVISTUDY_ROOM</v>
      </c>
      <c r="B288" s="38" t="s">
        <v>9092</v>
      </c>
      <c r="C288" t="s">
        <v>9091</v>
      </c>
      <c r="D288" t="str" cm="1">
        <f t="array" ref="D288">TRANSPOSE(_xlfn._xlws.FILTER('Controllable Asset Registry'!$A$779:$A$1329,IFERROR('Controllable Asset Registry'!$E$779:$E$1329=A288,FALSE),"No Equipment in entity"))</f>
        <v>No Equipment in entity</v>
      </c>
    </row>
    <row r="289" spans="1:10" x14ac:dyDescent="0.3">
      <c r="A289" t="str">
        <f t="shared" si="4"/>
        <v>entity:QNL_L2_072_INDIVISTUDY_ROOM</v>
      </c>
      <c r="B289" s="38" t="s">
        <v>9093</v>
      </c>
      <c r="C289" t="s">
        <v>9091</v>
      </c>
      <c r="D289" t="str" cm="1">
        <f t="array" ref="D289">TRANSPOSE(_xlfn._xlws.FILTER('Controllable Asset Registry'!$A$779:$A$1329,IFERROR('Controllable Asset Registry'!$E$779:$E$1329=A289,FALSE),"No Equipment in entity"))</f>
        <v>No Equipment in entity</v>
      </c>
    </row>
    <row r="290" spans="1:10" x14ac:dyDescent="0.3">
      <c r="A290" t="str">
        <f t="shared" si="4"/>
        <v>entity:QNL_L2_073_INDIVISTUDY_ROOM</v>
      </c>
      <c r="B290" s="38" t="s">
        <v>9095</v>
      </c>
      <c r="C290" t="s">
        <v>9091</v>
      </c>
      <c r="D290" t="str" cm="1">
        <f t="array" ref="D290:F290">TRANSPOSE(_xlfn._xlws.FILTER('Controllable Asset Registry'!$A$779:$A$1329,IFERROR('Controllable Asset Registry'!$E$779:$E$1329=A290,FALSE),"No Equipment in entity"))</f>
        <v>FCU_2F_051</v>
      </c>
      <c r="E290" t="str">
        <v>FCU_2F_052</v>
      </c>
      <c r="F290" t="str">
        <v>FCU_2F_053</v>
      </c>
    </row>
    <row r="291" spans="1:10" x14ac:dyDescent="0.3">
      <c r="A291" t="str">
        <f t="shared" si="4"/>
        <v>entity:QNL_L2_074_INDIVISTUDY_ROOM</v>
      </c>
      <c r="B291" s="38" t="s">
        <v>9096</v>
      </c>
      <c r="C291" t="s">
        <v>9091</v>
      </c>
      <c r="D291" t="str" cm="1">
        <f t="array" ref="D291">TRANSPOSE(_xlfn._xlws.FILTER('Controllable Asset Registry'!$A$779:$A$1329,IFERROR('Controllable Asset Registry'!$E$779:$E$1329=A291,FALSE),"No Equipment in entity"))</f>
        <v>No Equipment in entity</v>
      </c>
    </row>
    <row r="292" spans="1:10" x14ac:dyDescent="0.3">
      <c r="A292" t="str">
        <f t="shared" si="4"/>
        <v>entity:QNL_L2_075_INDIVISTUDY_ROOM</v>
      </c>
      <c r="B292" s="38" t="s">
        <v>9097</v>
      </c>
      <c r="C292" t="s">
        <v>9091</v>
      </c>
      <c r="D292" t="str" cm="1">
        <f t="array" ref="D292">TRANSPOSE(_xlfn._xlws.FILTER('Controllable Asset Registry'!$A$779:$A$1329,IFERROR('Controllable Asset Registry'!$E$779:$E$1329=A292,FALSE),"No Equipment in entity"))</f>
        <v>No Equipment in entity</v>
      </c>
    </row>
    <row r="293" spans="1:10" x14ac:dyDescent="0.3">
      <c r="A293" t="str">
        <f t="shared" si="4"/>
        <v>entity:QNL_L2_076_GROUP_STUDY_ROOM</v>
      </c>
      <c r="B293" s="38" t="s">
        <v>9099</v>
      </c>
      <c r="C293" t="s">
        <v>9100</v>
      </c>
      <c r="D293" t="str" cm="1">
        <f t="array" ref="D293:E293">TRANSPOSE(_xlfn._xlws.FILTER('Controllable Asset Registry'!$A$779:$A$1329,IFERROR('Controllable Asset Registry'!$E$779:$E$1329=A293,FALSE),"No Equipment in entity"))</f>
        <v>FCU_2F_046</v>
      </c>
      <c r="E293" t="str">
        <v>FCU_2F_047</v>
      </c>
    </row>
    <row r="294" spans="1:10" x14ac:dyDescent="0.3">
      <c r="A294" t="str">
        <f t="shared" si="4"/>
        <v>entity:QNL_L2_077_GROUP_STUDY_ROOM</v>
      </c>
      <c r="B294" s="38" t="s">
        <v>9101</v>
      </c>
      <c r="C294" t="s">
        <v>9100</v>
      </c>
      <c r="D294" t="str" cm="1">
        <f t="array" ref="D294">TRANSPOSE(_xlfn._xlws.FILTER('Controllable Asset Registry'!$A$779:$A$1329,IFERROR('Controllable Asset Registry'!$E$779:$E$1329=A294,FALSE),"No Equipment in entity"))</f>
        <v>No Equipment in entity</v>
      </c>
    </row>
    <row r="295" spans="1:10" x14ac:dyDescent="0.3">
      <c r="A295" t="str">
        <f t="shared" si="4"/>
        <v>entity:QNL_L2_079_REST_ROOM_MEN</v>
      </c>
      <c r="B295" s="38" t="s">
        <v>9102</v>
      </c>
      <c r="C295" t="s">
        <v>8552</v>
      </c>
      <c r="D295" t="str" cm="1">
        <f t="array" ref="D295">TRANSPOSE(_xlfn._xlws.FILTER('Controllable Asset Registry'!$A$779:$A$1329,IFERROR('Controllable Asset Registry'!$E$779:$E$1329=A295,FALSE),"No Equipment in entity"))</f>
        <v>No Equipment in entity</v>
      </c>
    </row>
    <row r="296" spans="1:10" x14ac:dyDescent="0.3">
      <c r="A296" t="str">
        <f t="shared" si="4"/>
        <v>entity:QNL_L2_081_GROUP_STUDY_ROOM</v>
      </c>
      <c r="B296" s="38" t="s">
        <v>9104</v>
      </c>
      <c r="C296" t="s">
        <v>9100</v>
      </c>
      <c r="D296" t="str" cm="1">
        <f t="array" ref="D296">TRANSPOSE(_xlfn._xlws.FILTER('Controllable Asset Registry'!$A$779:$A$1329,IFERROR('Controllable Asset Registry'!$E$779:$E$1329=A296,FALSE),"No Equipment in entity"))</f>
        <v>FCU_2F_045</v>
      </c>
    </row>
    <row r="297" spans="1:10" x14ac:dyDescent="0.3">
      <c r="A297" t="str">
        <f t="shared" si="4"/>
        <v>entity:QNL_L2_085_REST_ROOM_WOMEN</v>
      </c>
      <c r="B297" s="38" t="s">
        <v>9105</v>
      </c>
      <c r="C297" t="s">
        <v>8556</v>
      </c>
      <c r="D297" t="str" cm="1">
        <f t="array" ref="D297">TRANSPOSE(_xlfn._xlws.FILTER('Controllable Asset Registry'!$A$779:$A$1329,IFERROR('Controllable Asset Registry'!$E$779:$E$1329=A297,FALSE),"No Equipment in entity"))</f>
        <v>No Equipment in entity</v>
      </c>
    </row>
    <row r="298" spans="1:10" x14ac:dyDescent="0.3">
      <c r="A298" t="str">
        <f t="shared" si="4"/>
        <v>entity:QNL_L2_087_AUDITORIUM_HIGH_LEVLEL_IN_CEILING_VOID</v>
      </c>
      <c r="B298" s="38" t="s">
        <v>9107</v>
      </c>
      <c r="C298" t="s">
        <v>9108</v>
      </c>
      <c r="D298" t="str" cm="1">
        <f t="array" ref="D298:J298">TRANSPOSE(_xlfn._xlws.FILTER('Controllable Asset Registry'!$A$779:$A$1329,IFERROR('Controllable Asset Registry'!$E$779:$E$1329=A298,FALSE),"No Equipment in entity"))</f>
        <v>FCU_2F_034</v>
      </c>
      <c r="E298" t="str">
        <v>FCU_2F_035</v>
      </c>
      <c r="F298" t="str">
        <v>FCU_2F_036</v>
      </c>
      <c r="G298" t="str">
        <v>FCU_2F_037</v>
      </c>
      <c r="H298" t="str">
        <v>FCU_2F_038</v>
      </c>
      <c r="I298" t="str">
        <v>FCU_2F_039</v>
      </c>
      <c r="J298" t="str">
        <v>FCU_2F_040</v>
      </c>
    </row>
    <row r="299" spans="1:10" x14ac:dyDescent="0.3">
      <c r="A299" t="str">
        <f t="shared" si="4"/>
        <v>entity:QNL_L2-L-1_1_L-1</v>
      </c>
      <c r="B299" s="38" t="s">
        <v>9109</v>
      </c>
      <c r="C299" t="s">
        <v>8809</v>
      </c>
      <c r="D299" t="str" cm="1">
        <f t="array" ref="D299">TRANSPOSE(_xlfn._xlws.FILTER('Controllable Asset Registry'!$A$779:$A$1329,IFERROR('Controllable Asset Registry'!$E$779:$E$1329=A299,FALSE),"No Equipment in entity"))</f>
        <v>No Equipment in entity</v>
      </c>
    </row>
    <row r="300" spans="1:10" x14ac:dyDescent="0.3">
      <c r="A300" t="str">
        <f t="shared" si="4"/>
        <v>entity:QNL_L2-L-1_2_L-2</v>
      </c>
      <c r="B300" s="38" t="s">
        <v>9110</v>
      </c>
      <c r="C300" t="s">
        <v>8813</v>
      </c>
      <c r="D300" t="str" cm="1">
        <f t="array" ref="D300">TRANSPOSE(_xlfn._xlws.FILTER('Controllable Asset Registry'!$A$779:$A$1329,IFERROR('Controllable Asset Registry'!$E$779:$E$1329=A300,FALSE),"No Equipment in entity"))</f>
        <v>No Equipment in entity</v>
      </c>
    </row>
    <row r="301" spans="1:10" x14ac:dyDescent="0.3">
      <c r="A301" t="str">
        <f t="shared" si="4"/>
        <v>entity:QNL_L2-L-3_L-3</v>
      </c>
      <c r="B301" s="38" t="s">
        <v>9111</v>
      </c>
      <c r="C301" t="s">
        <v>8815</v>
      </c>
      <c r="D301" t="str" cm="1">
        <f t="array" ref="D301">TRANSPOSE(_xlfn._xlws.FILTER('Controllable Asset Registry'!$A$779:$A$1329,IFERROR('Controllable Asset Registry'!$E$779:$E$1329=A301,FALSE),"No Equipment in entity"))</f>
        <v>No Equipment in entity</v>
      </c>
    </row>
    <row r="302" spans="1:10" x14ac:dyDescent="0.3">
      <c r="A302" t="str">
        <f t="shared" si="4"/>
        <v>entity:QNL_L2-L-4_L-4</v>
      </c>
      <c r="B302" s="38" t="s">
        <v>9112</v>
      </c>
      <c r="C302" t="s">
        <v>8817</v>
      </c>
      <c r="D302" t="str" cm="1">
        <f t="array" ref="D302">TRANSPOSE(_xlfn._xlws.FILTER('Controllable Asset Registry'!$A$779:$A$1329,IFERROR('Controllable Asset Registry'!$E$779:$E$1329=A302,FALSE),"No Equipment in entity"))</f>
        <v>No Equipment in entity</v>
      </c>
    </row>
    <row r="303" spans="1:10" x14ac:dyDescent="0.3">
      <c r="A303" t="str">
        <f t="shared" si="4"/>
        <v>entity:QNL_L2-ST-01_ST-01</v>
      </c>
      <c r="B303" s="38" t="s">
        <v>9113</v>
      </c>
      <c r="C303" t="s">
        <v>7288</v>
      </c>
      <c r="D303" t="str" cm="1">
        <f t="array" ref="D303">TRANSPOSE(_xlfn._xlws.FILTER('Controllable Asset Registry'!$A$779:$A$1329,IFERROR('Controllable Asset Registry'!$E$779:$E$1329=A303,FALSE),"No Equipment in entity"))</f>
        <v>No Equipment in entity</v>
      </c>
    </row>
    <row r="304" spans="1:10" x14ac:dyDescent="0.3">
      <c r="A304" t="str">
        <f t="shared" si="4"/>
        <v>entity:QNL_L2-ST-02_ST-02</v>
      </c>
      <c r="B304" s="38" t="s">
        <v>9114</v>
      </c>
      <c r="C304" t="s">
        <v>8820</v>
      </c>
      <c r="D304" t="str" cm="1">
        <f t="array" ref="D304">TRANSPOSE(_xlfn._xlws.FILTER('Controllable Asset Registry'!$A$779:$A$1329,IFERROR('Controllable Asset Registry'!$E$779:$E$1329=A304,FALSE),"No Equipment in entity"))</f>
        <v>No Equipment in entity</v>
      </c>
    </row>
    <row r="305" spans="1:20" x14ac:dyDescent="0.3">
      <c r="A305" t="str">
        <f t="shared" si="4"/>
        <v>entity:QNL_T1_020_OPEN_LOUNGE_TERRACE</v>
      </c>
      <c r="B305" s="38" t="s">
        <v>9116</v>
      </c>
      <c r="C305" t="s">
        <v>9117</v>
      </c>
      <c r="D305" t="str" cm="1">
        <f t="array" ref="D305:F305">TRANSPOSE(_xlfn._xlws.FILTER('Controllable Asset Registry'!$A$779:$A$1329,IFERROR('Controllable Asset Registry'!$E$779:$E$1329=A305,FALSE),"No Equipment in entity"))</f>
        <v>FCU_2F_060</v>
      </c>
      <c r="E305" t="str">
        <v>FCU_2F_061</v>
      </c>
      <c r="F305" t="str">
        <v>FCU_2F_062</v>
      </c>
    </row>
    <row r="306" spans="1:20" x14ac:dyDescent="0.3">
      <c r="A306" t="str">
        <f t="shared" si="4"/>
        <v>entity:QNL_T1_021_OPEN_STUDY_TERRACE</v>
      </c>
      <c r="B306" s="38" t="s">
        <v>9119</v>
      </c>
      <c r="C306" t="s">
        <v>9120</v>
      </c>
      <c r="D306" t="str" cm="1">
        <f t="array" ref="D306:G306">TRANSPOSE(_xlfn._xlws.FILTER('Controllable Asset Registry'!$A$779:$A$1329,IFERROR('Controllable Asset Registry'!$E$779:$E$1329=A306,FALSE),"No Equipment in entity"))</f>
        <v>FCU_2F_056</v>
      </c>
      <c r="E306" t="str">
        <v>FCU_2F_057</v>
      </c>
      <c r="F306" t="str">
        <v>FCU_2F_058</v>
      </c>
      <c r="G306" t="str">
        <v>FCU_2F_059</v>
      </c>
    </row>
    <row r="307" spans="1:20" x14ac:dyDescent="0.3">
      <c r="A307" t="str">
        <f t="shared" si="4"/>
        <v>entity:QNL_T1_323_IDF_ROOM</v>
      </c>
      <c r="B307" s="38" t="s">
        <v>9122</v>
      </c>
      <c r="C307" t="s">
        <v>6734</v>
      </c>
      <c r="D307" t="str" cm="1">
        <f t="array" ref="D307">TRANSPOSE(_xlfn._xlws.FILTER('Controllable Asset Registry'!$A$779:$A$1329,IFERROR('Controllable Asset Registry'!$E$779:$E$1329=A307,FALSE),"No Equipment in entity"))</f>
        <v>FCU_1F_001</v>
      </c>
    </row>
    <row r="308" spans="1:20" x14ac:dyDescent="0.3">
      <c r="A308" t="str">
        <f t="shared" si="4"/>
        <v>entity:QNL_L1_BR6_BRIDGE_CEILING_VOID</v>
      </c>
      <c r="B308" s="38" t="s">
        <v>9232</v>
      </c>
      <c r="C308" t="s">
        <v>9233</v>
      </c>
      <c r="D308" t="str" cm="1">
        <f t="array" ref="D308:N308">TRANSPOSE(_xlfn._xlws.FILTER('Controllable Asset Registry'!$A$779:$A$1329,IFERROR('Controllable Asset Registry'!$E$779:$E$1329=A308,FALSE),"No Equipment in entity"))</f>
        <v>FCU_1F_004</v>
      </c>
      <c r="E308" t="str">
        <v>FCU_1F_005</v>
      </c>
      <c r="F308" t="str">
        <v>FCU_1F_006</v>
      </c>
      <c r="G308" t="str">
        <v>FCU_1F_007</v>
      </c>
      <c r="H308" t="str">
        <v>FCU_1F_008</v>
      </c>
      <c r="I308" t="str">
        <v>FCU_1F_013</v>
      </c>
      <c r="J308" t="str">
        <v>FCU_1F_015</v>
      </c>
      <c r="K308" t="str">
        <v>FCU_1F_043</v>
      </c>
      <c r="L308" t="str">
        <v>FCU_1F_044</v>
      </c>
      <c r="M308" t="str">
        <v>FCU_1F_045</v>
      </c>
      <c r="N308" t="str">
        <v>FCU_1F_046</v>
      </c>
    </row>
    <row r="309" spans="1:20" x14ac:dyDescent="0.3">
      <c r="A309" t="str">
        <f t="shared" si="4"/>
        <v>entity:QNL_L1_BR5_BRIDGE_CEILING_VOID</v>
      </c>
      <c r="B309" s="38" t="s">
        <v>9234</v>
      </c>
      <c r="C309" t="s">
        <v>9233</v>
      </c>
      <c r="D309" t="str" cm="1">
        <f t="array" ref="D309:L309">TRANSPOSE(_xlfn._xlws.FILTER('Controllable Asset Registry'!$A$779:$A$1329,IFERROR('Controllable Asset Registry'!$E$779:$E$1329=A309,FALSE),"No Equipment in entity"))</f>
        <v>FCU_1F_009</v>
      </c>
      <c r="E309" t="str">
        <v>FCU_1F_010</v>
      </c>
      <c r="F309" t="str">
        <v>FCU_1F_011</v>
      </c>
      <c r="G309" t="str">
        <v>FCU_1F_012</v>
      </c>
      <c r="H309" t="str">
        <v>FCU_1F_019</v>
      </c>
      <c r="I309" t="str">
        <v>FCU_1F_021</v>
      </c>
      <c r="J309" t="str">
        <v>FCU_1F_042</v>
      </c>
      <c r="K309" t="str">
        <v>FCU_1F_053</v>
      </c>
      <c r="L309" t="str">
        <v>FCU_1F_054</v>
      </c>
    </row>
    <row r="310" spans="1:20" x14ac:dyDescent="0.3">
      <c r="A310" t="str">
        <f t="shared" si="4"/>
        <v>entity:QNL_L1_BR4_BRIDGE_CEILING_VOID</v>
      </c>
      <c r="B310" s="38" t="s">
        <v>9235</v>
      </c>
      <c r="C310" t="s">
        <v>9233</v>
      </c>
      <c r="D310" t="str" cm="1">
        <f t="array" ref="D310:L310">TRANSPOSE(_xlfn._xlws.FILTER('Controllable Asset Registry'!$A$779:$A$1329,IFERROR('Controllable Asset Registry'!$E$779:$E$1329=A310,FALSE),"No Equipment in entity"))</f>
        <v>FCU_1F_014</v>
      </c>
      <c r="E310" t="str">
        <v>FCU_1F_017</v>
      </c>
      <c r="F310" t="str">
        <v>FCU_1F_018</v>
      </c>
      <c r="G310" t="str">
        <v>FCU_1F_026</v>
      </c>
      <c r="H310" t="str">
        <v>FCU_1F_028</v>
      </c>
      <c r="I310" t="str">
        <v>FCU_1F_039</v>
      </c>
      <c r="J310" t="str">
        <v>FCU_1F_040</v>
      </c>
      <c r="K310" t="str">
        <v>FCU_1F_051</v>
      </c>
      <c r="L310" t="str">
        <v>FCU_1F_052</v>
      </c>
    </row>
    <row r="311" spans="1:20" x14ac:dyDescent="0.3">
      <c r="A311" t="str">
        <f t="shared" si="4"/>
        <v>entity:QNL_L1_BR3_BRIDGE_CEILING_VOID</v>
      </c>
      <c r="B311" s="38" t="s">
        <v>9236</v>
      </c>
      <c r="C311" t="s">
        <v>9233</v>
      </c>
      <c r="D311" t="str" cm="1">
        <f t="array" ref="D311:I311">TRANSPOSE(_xlfn._xlws.FILTER('Controllable Asset Registry'!$A$779:$A$1329,IFERROR('Controllable Asset Registry'!$E$779:$E$1329=A311,FALSE),"No Equipment in entity"))</f>
        <v>FCU_1F_020</v>
      </c>
      <c r="E311" t="str">
        <v>FCU_1F_022</v>
      </c>
      <c r="F311" t="str">
        <v>FCU_1F_023</v>
      </c>
      <c r="G311" t="str">
        <v>FCU_1F_024</v>
      </c>
      <c r="H311" t="str">
        <v>FCU_1F_037</v>
      </c>
      <c r="I311" t="str">
        <v>FCU_1F_038</v>
      </c>
    </row>
    <row r="312" spans="1:20" x14ac:dyDescent="0.3">
      <c r="A312" t="str">
        <f t="shared" si="4"/>
        <v>entity:QNL_L1_BR2_BRIDGE_CEILING_VOID</v>
      </c>
      <c r="B312" s="38" t="s">
        <v>9237</v>
      </c>
      <c r="C312" t="s">
        <v>9233</v>
      </c>
      <c r="D312" t="str" cm="1">
        <f t="array" ref="D312:K312">TRANSPOSE(_xlfn._xlws.FILTER('Controllable Asset Registry'!$A$779:$A$1329,IFERROR('Controllable Asset Registry'!$E$779:$E$1329=A312,FALSE),"No Equipment in entity"))</f>
        <v>FCU_1F_025</v>
      </c>
      <c r="E312" t="str">
        <v>FCU_1F_027</v>
      </c>
      <c r="F312" t="str">
        <v>FCU_1F_029</v>
      </c>
      <c r="G312" t="str">
        <v>FCU_1F_030</v>
      </c>
      <c r="H312" t="str">
        <v>FCU_1F_035</v>
      </c>
      <c r="I312" t="str">
        <v>FCU_1F_036</v>
      </c>
      <c r="J312" t="str">
        <v>FCU_1F_049</v>
      </c>
      <c r="K312" t="str">
        <v>FCU_1F_050</v>
      </c>
    </row>
    <row r="313" spans="1:20" x14ac:dyDescent="0.3">
      <c r="A313" t="str">
        <f t="shared" si="4"/>
        <v>entity:QNL_L1_BR1_BRIDGE_CEILING_VOID</v>
      </c>
      <c r="B313" s="38" t="s">
        <v>9238</v>
      </c>
      <c r="C313" t="s">
        <v>9233</v>
      </c>
      <c r="D313" t="str" cm="1">
        <f t="array" ref="D313:I313">TRANSPOSE(_xlfn._xlws.FILTER('Controllable Asset Registry'!$A$779:$A$1329,IFERROR('Controllable Asset Registry'!$E$779:$E$1329=A313,FALSE),"No Equipment in entity"))</f>
        <v>FCU_1F_031</v>
      </c>
      <c r="E313" t="str">
        <v>FCU_1F_032</v>
      </c>
      <c r="F313" t="str">
        <v>FCU_1F_033</v>
      </c>
      <c r="G313" t="str">
        <v>FCU_1F_034</v>
      </c>
      <c r="H313" t="str">
        <v>FCU_1F_047</v>
      </c>
      <c r="I313" t="str">
        <v>FCU_1F_048</v>
      </c>
    </row>
    <row r="314" spans="1:20" x14ac:dyDescent="0.3">
      <c r="A314" t="str">
        <f t="shared" si="4"/>
        <v>entity:QNL_L1_144_ILL_DIRECTOR</v>
      </c>
      <c r="B314" s="38" t="s">
        <v>9124</v>
      </c>
      <c r="C314" t="s">
        <v>9125</v>
      </c>
      <c r="D314" t="str" cm="1">
        <f t="array" ref="D314:E314">TRANSPOSE(_xlfn._xlws.FILTER('Controllable Asset Registry'!$A$779:$A$1329,IFERROR('Controllable Asset Registry'!$E$779:$E$1329=A314,FALSE),"No Equipment in entity"))</f>
        <v>FCU_1F_057</v>
      </c>
      <c r="E314" t="str">
        <v>FCU_1F_058</v>
      </c>
    </row>
    <row r="315" spans="1:20" x14ac:dyDescent="0.3">
      <c r="A315" t="str">
        <f t="shared" si="4"/>
        <v>entity:QNL_L1_150_RESTAURANT</v>
      </c>
      <c r="B315" s="38" t="s">
        <v>9127</v>
      </c>
      <c r="C315" t="s">
        <v>8928</v>
      </c>
      <c r="D315" t="str" cm="1">
        <f t="array" ref="D315:T315">TRANSPOSE(_xlfn._xlws.FILTER('Controllable Asset Registry'!$A$779:$A$1329,IFERROR('Controllable Asset Registry'!$E$779:$E$1329=A315,FALSE),"No Equipment in entity"))</f>
        <v>FCU_1F_059</v>
      </c>
      <c r="E315" t="str">
        <v>FCU_1F_060</v>
      </c>
      <c r="F315" t="str">
        <v>FCU_1F_061</v>
      </c>
      <c r="G315" t="str">
        <v>FCU_1F_062</v>
      </c>
      <c r="H315" t="str">
        <v>FCU_1F_063</v>
      </c>
      <c r="I315" t="str">
        <v>FCU_1F_064</v>
      </c>
      <c r="J315" t="str">
        <v>CAV_1F_S15_002</v>
      </c>
      <c r="K315" t="str">
        <v>CAV_1F_S15_005</v>
      </c>
      <c r="L315" t="str">
        <v>CAV_1F_S15_006</v>
      </c>
      <c r="M315" t="str">
        <v>CAV_1F_S15_010</v>
      </c>
      <c r="N315" t="str">
        <v>CAV_1F_S15_011</v>
      </c>
      <c r="O315" t="str">
        <v>CAV_1F_S15_012</v>
      </c>
      <c r="P315" t="str">
        <v>CAV_1F_S15_013</v>
      </c>
      <c r="Q315" t="str">
        <v>CAV_1F_S15_014</v>
      </c>
      <c r="R315" t="str">
        <v>CAV_1F_S15_015</v>
      </c>
      <c r="S315" t="str">
        <v>CAV_1F_S15_016</v>
      </c>
      <c r="T315" t="str">
        <v>CAV_1F_S15_017</v>
      </c>
    </row>
    <row r="316" spans="1:20" x14ac:dyDescent="0.3">
      <c r="A316" t="str">
        <f t="shared" si="4"/>
        <v>entity:QNL_T1_275_IDF_ROOM</v>
      </c>
      <c r="B316" s="38" t="s">
        <v>9129</v>
      </c>
      <c r="C316" t="s">
        <v>6734</v>
      </c>
      <c r="D316" t="str" cm="1">
        <f t="array" ref="D316">TRANSPOSE(_xlfn._xlws.FILTER('Controllable Asset Registry'!$A$779:$A$1329,IFERROR('Controllable Asset Registry'!$E$779:$E$1329=A316,FALSE),"No Equipment in entity"))</f>
        <v>FCU_2F_001</v>
      </c>
    </row>
    <row r="317" spans="1:20" x14ac:dyDescent="0.3">
      <c r="A317" t="str">
        <f t="shared" si="4"/>
        <v>entity:QNL_T1_276_IDF_ROOM</v>
      </c>
      <c r="B317" s="38" t="s">
        <v>9131</v>
      </c>
      <c r="C317" t="s">
        <v>6734</v>
      </c>
      <c r="D317" t="str" cm="1">
        <f t="array" ref="D317">TRANSPOSE(_xlfn._xlws.FILTER('Controllable Asset Registry'!$A$779:$A$1329,IFERROR('Controllable Asset Registry'!$E$779:$E$1329=A317,FALSE),"No Equipment in entity"))</f>
        <v>FCU_2F_002</v>
      </c>
    </row>
    <row r="318" spans="1:20" x14ac:dyDescent="0.3">
      <c r="A318" t="str">
        <f t="shared" si="4"/>
        <v>entity:QNL_T1_171_IDF_ROOM</v>
      </c>
      <c r="B318" s="38" t="s">
        <v>9133</v>
      </c>
      <c r="C318" t="s">
        <v>6734</v>
      </c>
      <c r="D318" t="str" cm="1">
        <f t="array" ref="D318">TRANSPOSE(_xlfn._xlws.FILTER('Controllable Asset Registry'!$A$779:$A$1329,IFERROR('Controllable Asset Registry'!$E$779:$E$1329=A318,FALSE),"No Equipment in entity"))</f>
        <v>FCU_2F_003</v>
      </c>
    </row>
    <row r="319" spans="1:20" x14ac:dyDescent="0.3">
      <c r="A319" t="str">
        <f t="shared" si="4"/>
        <v>entity:QNL_T1_1714_IDF_ROOM</v>
      </c>
      <c r="B319" s="38" t="s">
        <v>9135</v>
      </c>
      <c r="C319" t="s">
        <v>6734</v>
      </c>
      <c r="D319" t="str" cm="1">
        <f t="array" ref="D319">TRANSPOSE(_xlfn._xlws.FILTER('Controllable Asset Registry'!$A$779:$A$1329,IFERROR('Controllable Asset Registry'!$E$779:$E$1329=A319,FALSE),"No Equipment in entity"))</f>
        <v>FCU_2F_004</v>
      </c>
    </row>
    <row r="320" spans="1:20" x14ac:dyDescent="0.3">
      <c r="A320" t="str">
        <f t="shared" si="4"/>
        <v>entity:QNL_L2_088_BRIDGE_RAISED_FLOOR</v>
      </c>
      <c r="B320" s="38" t="s">
        <v>9137</v>
      </c>
      <c r="C320" t="s">
        <v>9138</v>
      </c>
      <c r="D320" t="str" cm="1">
        <f t="array" ref="D320:I320">TRANSPOSE(_xlfn._xlws.FILTER('Controllable Asset Registry'!$A$779:$A$1329,IFERROR('Controllable Asset Registry'!$E$779:$E$1329=A320,FALSE),"No Equipment in entity"))</f>
        <v>FCU_2F_041</v>
      </c>
      <c r="E320" t="str">
        <v>FCU_2F_042</v>
      </c>
      <c r="F320" t="str">
        <v>FCU_2F_043</v>
      </c>
      <c r="G320" t="str">
        <v>FCU_2F_044</v>
      </c>
      <c r="H320" t="str">
        <v>FCU_2F_054</v>
      </c>
      <c r="I320" t="str">
        <v>FCU_2F_055</v>
      </c>
    </row>
    <row r="321" spans="1:8" x14ac:dyDescent="0.3">
      <c r="A321" t="str">
        <f t="shared" si="4"/>
        <v>entity:QNL_B_140_HL_PLANT_ROOM</v>
      </c>
      <c r="B321" s="38" t="s">
        <v>9140</v>
      </c>
      <c r="C321" t="s">
        <v>8706</v>
      </c>
      <c r="D321" t="str" cm="1">
        <f t="array" ref="D321">TRANSPOSE(_xlfn._xlws.FILTER('Controllable Asset Registry'!$A$779:$A$1329,IFERROR('Controllable Asset Registry'!$E$779:$E$1329=A321,FALSE),"No Equipment in entity"))</f>
        <v>FCU_B_005</v>
      </c>
    </row>
    <row r="322" spans="1:8" x14ac:dyDescent="0.3">
      <c r="A322" t="str">
        <f t="shared" ref="A322:A342" si="5">"entity:QNL_"&amp;B322&amp;"_"&amp;C322</f>
        <v>entity:QNL_B_105_SECURITY_CONTOL_ROOM</v>
      </c>
      <c r="B322" s="38" t="s">
        <v>9142</v>
      </c>
      <c r="C322" t="s">
        <v>9143</v>
      </c>
      <c r="D322" t="str" cm="1">
        <f t="array" ref="D322:E322">TRANSPOSE(_xlfn._xlws.FILTER('Controllable Asset Registry'!$A$779:$A$1329,IFERROR('Controllable Asset Registry'!$E$779:$E$1329=A322,FALSE),"No Equipment in entity"))</f>
        <v>FCU_B_010</v>
      </c>
      <c r="E322" t="str">
        <v>VAV_B_S13_008</v>
      </c>
    </row>
    <row r="323" spans="1:8" x14ac:dyDescent="0.3">
      <c r="A323" t="str">
        <f t="shared" si="5"/>
        <v>entity:QNL_B_212_MISTING_PUMP_ROOM</v>
      </c>
      <c r="B323" s="38" t="s">
        <v>9145</v>
      </c>
      <c r="C323" t="s">
        <v>9146</v>
      </c>
      <c r="D323" t="str" cm="1">
        <f t="array" ref="D323:E323">TRANSPOSE(_xlfn._xlws.FILTER('Controllable Asset Registry'!$A$779:$A$1329,IFERROR('Controllable Asset Registry'!$E$779:$E$1329=A323,FALSE),"No Equipment in entity"))</f>
        <v>FCU_B_025</v>
      </c>
      <c r="E323" t="str">
        <v>FCU_B_026</v>
      </c>
    </row>
    <row r="324" spans="1:8" x14ac:dyDescent="0.3">
      <c r="A324" t="str">
        <f t="shared" si="5"/>
        <v>entity:QNL_L1_104_PRAYER_ROOM_FEMALE</v>
      </c>
      <c r="B324" s="38" t="s">
        <v>9148</v>
      </c>
      <c r="C324" t="s">
        <v>8994</v>
      </c>
      <c r="D324" t="str" cm="1">
        <f t="array" ref="D324:G324">TRANSPOSE(_xlfn._xlws.FILTER('Controllable Asset Registry'!$A$779:$A$1329,IFERROR('Controllable Asset Registry'!$E$779:$E$1329=A324,FALSE),"No Equipment in entity"))</f>
        <v>VAV_1F_S15_021</v>
      </c>
      <c r="E324" t="str">
        <v>VAV_1F_S15_022</v>
      </c>
      <c r="F324" t="str">
        <v>VAV_1F_S15_023</v>
      </c>
      <c r="G324" t="str">
        <v>VAV_1F_S15_024</v>
      </c>
    </row>
    <row r="325" spans="1:8" x14ac:dyDescent="0.3">
      <c r="A325" t="str">
        <f t="shared" si="5"/>
        <v>entity:QNL_B_001A_BREAK_OUT_AREA</v>
      </c>
      <c r="B325" s="38" t="s">
        <v>9150</v>
      </c>
      <c r="C325" t="s">
        <v>9151</v>
      </c>
      <c r="D325" t="str" cm="1">
        <f t="array" ref="D325:H325">TRANSPOSE(_xlfn._xlws.FILTER('Controllable Asset Registry'!$A$779:$A$1329,IFERROR('Controllable Asset Registry'!$E$779:$E$1329=A325,FALSE),"No Equipment in entity"))</f>
        <v>VAV_B_S11_001</v>
      </c>
      <c r="E325" t="str">
        <v>VAV_B_S11_002</v>
      </c>
      <c r="F325" t="str">
        <v>VAV_B_S11_011</v>
      </c>
      <c r="G325" t="str">
        <v>VAV_B_S11_012</v>
      </c>
      <c r="H325" t="str">
        <v>KEF_B04</v>
      </c>
    </row>
    <row r="326" spans="1:8" x14ac:dyDescent="0.3">
      <c r="A326" t="str">
        <f t="shared" si="5"/>
        <v>entity:QNL_B_056_OFFICE_DIG_INIT</v>
      </c>
      <c r="B326" s="38" t="s">
        <v>9154</v>
      </c>
      <c r="C326" t="s">
        <v>8595</v>
      </c>
      <c r="D326" t="str" cm="1">
        <f t="array" ref="D326">TRANSPOSE(_xlfn._xlws.FILTER('Controllable Asset Registry'!$A$779:$A$1329,IFERROR('Controllable Asset Registry'!$E$779:$E$1329=A326,FALSE),"No Equipment in entity"))</f>
        <v>VAV_B_S14_002</v>
      </c>
    </row>
    <row r="327" spans="1:8" x14ac:dyDescent="0.3">
      <c r="A327" t="str">
        <f t="shared" si="5"/>
        <v>entity:QNL_B_057_OFFICE_AD_FOR_LIT</v>
      </c>
      <c r="B327" s="38" t="s">
        <v>9156</v>
      </c>
      <c r="C327" t="s">
        <v>8597</v>
      </c>
      <c r="D327" t="str" cm="1">
        <f t="array" ref="D327">TRANSPOSE(_xlfn._xlws.FILTER('Controllable Asset Registry'!$A$779:$A$1329,IFERROR('Controllable Asset Registry'!$E$779:$E$1329=A327,FALSE),"No Equipment in entity"))</f>
        <v>VAV_B_S14_003</v>
      </c>
    </row>
    <row r="328" spans="1:8" x14ac:dyDescent="0.3">
      <c r="A328" t="str">
        <f t="shared" si="5"/>
        <v>entity:QNL_B_59_SHELL_SPACE</v>
      </c>
      <c r="B328" s="38" t="s">
        <v>9158</v>
      </c>
      <c r="C328" t="s">
        <v>6967</v>
      </c>
      <c r="D328" t="str" cm="1">
        <f t="array" ref="D328:E328">TRANSPOSE(_xlfn._xlws.FILTER('Controllable Asset Registry'!$A$779:$A$1329,IFERROR('Controllable Asset Registry'!$E$779:$E$1329=A328,FALSE),"No Equipment in entity"))</f>
        <v>VAV_B_S14_008</v>
      </c>
      <c r="E328" t="str">
        <v>VAV_B_S14_014</v>
      </c>
    </row>
    <row r="329" spans="1:8" x14ac:dyDescent="0.3">
      <c r="A329" t="str">
        <f t="shared" si="5"/>
        <v>entity:QNL_B_044_BOH_KITCHEN</v>
      </c>
      <c r="B329" s="38" t="s">
        <v>9160</v>
      </c>
      <c r="C329" t="s">
        <v>9161</v>
      </c>
      <c r="D329" t="str" cm="1">
        <f t="array" ref="D329:H329">TRANSPOSE(_xlfn._xlws.FILTER('Controllable Asset Registry'!$A$779:$A$1329,IFERROR('Controllable Asset Registry'!$E$779:$E$1329=A329,FALSE),"No Equipment in entity"))</f>
        <v>VAV_B_S14_040</v>
      </c>
      <c r="E329" t="str">
        <v>VAV_B_S14_041</v>
      </c>
      <c r="F329" t="str">
        <v>VAV_B_S14_047</v>
      </c>
      <c r="G329" t="str">
        <v>CAV_B_S14_006</v>
      </c>
      <c r="H329" t="str">
        <v>CAV_B_S14_007</v>
      </c>
    </row>
    <row r="330" spans="1:8" x14ac:dyDescent="0.3">
      <c r="A330" t="str">
        <f t="shared" si="5"/>
        <v>entity:QNL_L1_023_CORRIDOR</v>
      </c>
      <c r="B330" s="38" t="s">
        <v>9163</v>
      </c>
      <c r="C330" t="s">
        <v>5835</v>
      </c>
      <c r="D330" t="str" cm="1">
        <f t="array" ref="D330:F330">TRANSPOSE(_xlfn._xlws.FILTER('Controllable Asset Registry'!$A$779:$A$1329,IFERROR('Controllable Asset Registry'!$E$779:$E$1329=A330,FALSE),"No Equipment in entity"))</f>
        <v>CAV_1F_S11_001</v>
      </c>
      <c r="E330" t="str">
        <v>CAV_1F_S11_002</v>
      </c>
      <c r="F330" t="str">
        <v>CAV_1F_S11_007</v>
      </c>
    </row>
    <row r="331" spans="1:8" x14ac:dyDescent="0.3">
      <c r="A331" t="str">
        <f t="shared" si="5"/>
        <v>entity:QNL_B_061_CORRIDOR</v>
      </c>
      <c r="B331" s="38" t="s">
        <v>9165</v>
      </c>
      <c r="C331" t="s">
        <v>5835</v>
      </c>
      <c r="D331" t="str" cm="1">
        <f t="array" ref="D331">TRANSPOSE(_xlfn._xlws.FILTER('Controllable Asset Registry'!$A$779:$A$1329,IFERROR('Controllable Asset Registry'!$E$779:$E$1329=A331,FALSE),"No Equipment in entity"))</f>
        <v>CAV_B_S12_001</v>
      </c>
    </row>
    <row r="332" spans="1:8" x14ac:dyDescent="0.3">
      <c r="A332" t="str">
        <f t="shared" si="5"/>
        <v>entity:QNL_B_064_CORRIDOR_2</v>
      </c>
      <c r="B332" s="38" t="s">
        <v>9167</v>
      </c>
      <c r="C332" t="s">
        <v>9168</v>
      </c>
      <c r="D332" t="str" cm="1">
        <f t="array" ref="D332:H332">TRANSPOSE(_xlfn._xlws.FILTER('Controllable Asset Registry'!$A$779:$A$1329,IFERROR('Controllable Asset Registry'!$E$779:$E$1329=A332,FALSE),"No Equipment in entity"))</f>
        <v>CAV_B_S13_001</v>
      </c>
      <c r="E332" t="str">
        <v>CAV_B_S13_002</v>
      </c>
      <c r="F332" t="str">
        <v>CAV_B_S13_003</v>
      </c>
      <c r="G332" t="str">
        <v>CAV_B_S13_004</v>
      </c>
      <c r="H332" t="str">
        <v>CAV_B_S13_005</v>
      </c>
    </row>
    <row r="333" spans="1:8" x14ac:dyDescent="0.3">
      <c r="A333" t="str">
        <f t="shared" si="5"/>
        <v>entity:QNL_B_035_CORRIDOR_4</v>
      </c>
      <c r="B333" s="38" t="s">
        <v>9170</v>
      </c>
      <c r="C333" t="s">
        <v>9171</v>
      </c>
      <c r="D333" t="str" cm="1">
        <f t="array" ref="D333:F333">TRANSPOSE(_xlfn._xlws.FILTER('Controllable Asset Registry'!$A$779:$A$1329,IFERROR('Controllable Asset Registry'!$E$779:$E$1329=A333,FALSE),"No Equipment in entity"))</f>
        <v>CAV_B_S13_006</v>
      </c>
      <c r="E333" t="str">
        <v>CAV_B_S13_007</v>
      </c>
      <c r="F333" t="str">
        <v>CAV_B_S13_008</v>
      </c>
    </row>
    <row r="334" spans="1:8" x14ac:dyDescent="0.3">
      <c r="A334" t="str">
        <f t="shared" si="5"/>
        <v>entity:QNL_B_104A_PLANT_ROOM</v>
      </c>
      <c r="B334" s="38" t="s">
        <v>9173</v>
      </c>
      <c r="C334" t="s">
        <v>7141</v>
      </c>
      <c r="D334" t="str" cm="1">
        <f t="array" ref="D334">TRANSPOSE(_xlfn._xlws.FILTER('Controllable Asset Registry'!$A$779:$A$1329,IFERROR('Controllable Asset Registry'!$E$779:$E$1329=A334,FALSE),"No Equipment in entity"))</f>
        <v>CAV_B_S13_050</v>
      </c>
    </row>
    <row r="335" spans="1:8" x14ac:dyDescent="0.3">
      <c r="A335" t="str">
        <f t="shared" si="5"/>
        <v>entity:QNL_B_052_CORRIDOR_3</v>
      </c>
      <c r="B335" s="38" t="s">
        <v>9175</v>
      </c>
      <c r="C335" t="s">
        <v>9176</v>
      </c>
      <c r="D335" t="str" cm="1">
        <f t="array" ref="D335:E335">TRANSPOSE(_xlfn._xlws.FILTER('Controllable Asset Registry'!$A$779:$A$1329,IFERROR('Controllable Asset Registry'!$E$779:$E$1329=A335,FALSE),"No Equipment in entity"))</f>
        <v>CAV_B_S14_002</v>
      </c>
      <c r="E335" t="str">
        <v>KEF_B020</v>
      </c>
    </row>
    <row r="336" spans="1:8" x14ac:dyDescent="0.3">
      <c r="A336" t="str">
        <f t="shared" si="5"/>
        <v>entity:QNL_L1_990_VESTIBULE</v>
      </c>
      <c r="B336" s="38" t="s">
        <v>9178</v>
      </c>
      <c r="C336" t="s">
        <v>5858</v>
      </c>
      <c r="D336" t="str" cm="1">
        <f t="array" ref="D336">TRANSPOSE(_xlfn._xlws.FILTER('Controllable Asset Registry'!$A$779:$A$1329,IFERROR('Controllable Asset Registry'!$E$779:$E$1329=A336,FALSE),"No Equipment in entity"))</f>
        <v>FCU_1F_055</v>
      </c>
    </row>
    <row r="337" spans="1:10" x14ac:dyDescent="0.3">
      <c r="A337" t="str">
        <f t="shared" si="5"/>
        <v>entity:QNL_L1_991_EXTERNAL_BOOK_DROP</v>
      </c>
      <c r="B337" s="38" t="s">
        <v>9180</v>
      </c>
      <c r="C337" t="s">
        <v>9181</v>
      </c>
      <c r="D337" t="str" cm="1">
        <f t="array" ref="D337">TRANSPOSE(_xlfn._xlws.FILTER('Controllable Asset Registry'!$A$779:$A$1329,IFERROR('Controllable Asset Registry'!$E$779:$E$1329=A337,FALSE),"No Equipment in entity"))</f>
        <v>FCU_1F_056</v>
      </c>
    </row>
    <row r="338" spans="1:10" x14ac:dyDescent="0.3">
      <c r="A338" t="str">
        <f t="shared" si="5"/>
        <v>entity:QNL_L2_992_GULF_MATERIAL</v>
      </c>
      <c r="B338" s="38" t="s">
        <v>9183</v>
      </c>
      <c r="C338" t="s">
        <v>9184</v>
      </c>
      <c r="D338" t="str" cm="1">
        <f t="array" ref="D338:I338">TRANSPOSE(_xlfn._xlws.FILTER('Controllable Asset Registry'!$A$779:$A$1329,IFERROR('Controllable Asset Registry'!$E$779:$E$1329=A338,FALSE),"No Equipment in entity"))</f>
        <v>VAV_2F_S10_001</v>
      </c>
      <c r="E338" t="str">
        <v>VAV_2F_S10_002</v>
      </c>
      <c r="F338" t="str">
        <v>VAV_2F_S10_003</v>
      </c>
      <c r="G338" t="str">
        <v>VAV_2F_S10_004</v>
      </c>
      <c r="H338" t="str">
        <v>VAV_2F_S10_005</v>
      </c>
      <c r="I338" t="str">
        <v>VAV_2F_S10_006</v>
      </c>
    </row>
    <row r="339" spans="1:10" x14ac:dyDescent="0.3">
      <c r="A339" t="str">
        <f t="shared" si="5"/>
        <v>entity:QNL_L2_993_CORRIDOR</v>
      </c>
      <c r="B339" s="38" t="s">
        <v>9186</v>
      </c>
      <c r="C339" t="s">
        <v>5835</v>
      </c>
      <c r="D339" t="str" cm="1">
        <f t="array" ref="D339:J339">TRANSPOSE(_xlfn._xlws.FILTER('Controllable Asset Registry'!$A$779:$A$1329,IFERROR('Controllable Asset Registry'!$E$779:$E$1329=A339,FALSE),"No Equipment in entity"))</f>
        <v>VAV_2F_S12_025</v>
      </c>
      <c r="E339" t="str">
        <v>VAV_2F_S13_010</v>
      </c>
      <c r="F339" t="str">
        <v>VAV_2F_S13_011</v>
      </c>
      <c r="G339" t="str">
        <v>VAV_2F_S13_012</v>
      </c>
      <c r="H339" t="str">
        <v>VAV_2F_S13_013</v>
      </c>
      <c r="I339" t="str">
        <v>VAV_2F_S13_014</v>
      </c>
      <c r="J339" t="str">
        <v>VAV_2F_S13_015</v>
      </c>
    </row>
    <row r="340" spans="1:10" x14ac:dyDescent="0.3">
      <c r="A340" t="str">
        <f t="shared" si="5"/>
        <v>entity:QNL_L1_BC1_BRIDGE_CEILING</v>
      </c>
      <c r="B340" s="38" t="s">
        <v>9239</v>
      </c>
      <c r="C340" t="s">
        <v>9240</v>
      </c>
      <c r="D340" t="str" cm="1">
        <f t="array" ref="D340">TRANSPOSE(_xlfn._xlws.FILTER('Controllable Asset Registry'!$A$779:$A$1329,IFERROR('Controllable Asset Registry'!$E$779:$E$1329=A340,FALSE),"No Equipment in entity"))</f>
        <v>FCU_1F_016</v>
      </c>
    </row>
    <row r="341" spans="1:10" x14ac:dyDescent="0.3">
      <c r="A341" t="str">
        <f t="shared" si="5"/>
        <v>entity:QNL_L1_BC2_BRIDGE_CEILING</v>
      </c>
      <c r="B341" s="38" t="s">
        <v>9241</v>
      </c>
      <c r="C341" t="s">
        <v>9240</v>
      </c>
      <c r="D341" t="str" cm="1">
        <f t="array" ref="D341">TRANSPOSE(_xlfn._xlws.FILTER('Controllable Asset Registry'!$A$779:$A$1329,IFERROR('Controllable Asset Registry'!$E$779:$E$1329=A341,FALSE),"No Equipment in entity"))</f>
        <v>FCU_1F_041</v>
      </c>
    </row>
    <row r="342" spans="1:10" x14ac:dyDescent="0.3">
      <c r="A342" t="str">
        <f t="shared" si="5"/>
        <v>entity:QNL_L1_BI_BRIDGE_IDF</v>
      </c>
      <c r="B342" s="38" t="s">
        <v>9242</v>
      </c>
      <c r="C342" t="s">
        <v>9243</v>
      </c>
      <c r="D342" t="str" cm="1">
        <f t="array" ref="D342">TRANSPOSE(_xlfn._xlws.FILTER('Controllable Asset Registry'!$A$779:$A$1329,IFERROR('Controllable Asset Registry'!$E$779:$E$1329=A342,FALSE),"No Equipment in entity"))</f>
        <v>FCU_1F_065</v>
      </c>
    </row>
    <row r="343" spans="1:10" x14ac:dyDescent="0.3">
      <c r="A343" t="str">
        <f>"entity:QNL_"&amp;B343&amp;"_"&amp;C343</f>
        <v>entity:QNL_B_083_HV_ROOM</v>
      </c>
      <c r="B343" s="38" t="s">
        <v>9304</v>
      </c>
      <c r="C343" t="s">
        <v>9305</v>
      </c>
      <c r="D343" t="str" cm="1">
        <f t="array" ref="D343:E343">TRANSPOSE(_xlfn._xlws.FILTER('Controllable Asset Registry'!$A$779:$A$1329,IFERROR('Controllable Asset Registry'!$E$779:$E$1329=A343,FALSE),"No Equipment in entity"))</f>
        <v>DX_B05</v>
      </c>
      <c r="E343" t="str">
        <v>DX_B06</v>
      </c>
    </row>
    <row r="344" spans="1:10" x14ac:dyDescent="0.3">
      <c r="A344" t="str">
        <f>"entity:QNL_"&amp;B344&amp;"_"&amp;C344</f>
        <v>entity:QNL_B_045A_REFRIGERATE_STORE</v>
      </c>
      <c r="B344" s="38" t="s">
        <v>9306</v>
      </c>
      <c r="C344" t="s">
        <v>9307</v>
      </c>
      <c r="D344" t="str" cm="1">
        <f t="array" ref="D344:F344">TRANSPOSE(_xlfn._xlws.FILTER('Controllable Asset Registry'!$A$779:$A$1329,IFERROR('Controllable Asset Registry'!$E$779:$E$1329=A344,FALSE),"No Equipment in entity"))</f>
        <v>DX_B17</v>
      </c>
      <c r="E344" t="str">
        <v>DX_B18</v>
      </c>
      <c r="F344" t="str">
        <v>DX_B19</v>
      </c>
    </row>
    <row r="345" spans="1:10" x14ac:dyDescent="0.3">
      <c r="A345" t="str">
        <f>"entity:QNL_"&amp;B345&amp;"_"&amp;C345</f>
        <v>entity:QNL_P_004_PLANT_ZONE</v>
      </c>
      <c r="B345" s="38" t="s">
        <v>9308</v>
      </c>
      <c r="C345" t="s">
        <v>9309</v>
      </c>
      <c r="D345" t="str" cm="1">
        <f t="array" ref="D345:J345">TRANSPOSE(_xlfn._xlws.FILTER('Controllable Asset Registry'!$A$779:$A$1329,IFERROR('Controllable Asset Registry'!$E$779:$E$1329=A345,FALSE),"No Equipment in entity"))</f>
        <v>DX_B21</v>
      </c>
      <c r="E345" t="str">
        <v>DX_B24</v>
      </c>
      <c r="F345" t="str">
        <v>EF_RP02</v>
      </c>
      <c r="G345" t="str">
        <v>SEF_RP07</v>
      </c>
      <c r="H345" t="str">
        <v>SEF_RP08</v>
      </c>
      <c r="I345" t="str">
        <v>SEF_RP09</v>
      </c>
      <c r="J345" t="str">
        <v>SEF_ZoneB</v>
      </c>
    </row>
    <row r="346" spans="1:10" x14ac:dyDescent="0.3">
      <c r="A346" t="str">
        <f>"entity:QNL_"&amp;B346&amp;"_"&amp;C346</f>
        <v>entity:QNL_B_055_DIGITIZATION_CENTER</v>
      </c>
      <c r="B346" s="38" t="s">
        <v>9310</v>
      </c>
      <c r="C346" t="s">
        <v>9311</v>
      </c>
      <c r="D346" t="str" cm="1">
        <f t="array" ref="D346">TRANSPOSE(_xlfn._xlws.FILTER('Controllable Asset Registry'!$A$779:$A$1329,IFERROR('Controllable Asset Registry'!$E$779:$E$1329=A346,FALSE),"No Equipment in entity"))</f>
        <v>EF_B06</v>
      </c>
    </row>
    <row r="347" spans="1:10" x14ac:dyDescent="0.3">
      <c r="A347" t="str">
        <f>"entity:QNL_"&amp;B347&amp;"_"&amp;C347</f>
        <v>entity:QNL_B_214_IDF_ROOM</v>
      </c>
      <c r="B347" s="38" t="s">
        <v>9312</v>
      </c>
      <c r="C347" t="s">
        <v>6734</v>
      </c>
      <c r="D347" t="str" cm="1">
        <f t="array" ref="D347">TRANSPOSE(_xlfn._xlws.FILTER('Controllable Asset Registry'!$A$779:$A$1329,IFERROR('Controllable Asset Registry'!$E$779:$E$1329=A347,FALSE),"No Equipment in entity"))</f>
        <v>EF_B12</v>
      </c>
    </row>
    <row r="348" spans="1:10" x14ac:dyDescent="0.3">
      <c r="A348" t="str">
        <f>"entity:QNL_"&amp;B348&amp;"_"&amp;C348</f>
        <v>entity:QNL_P_002_PLANT_ZONE</v>
      </c>
      <c r="B348" s="38" t="s">
        <v>9313</v>
      </c>
      <c r="C348" t="s">
        <v>9309</v>
      </c>
      <c r="D348" t="str" cm="1">
        <f t="array" ref="D348:H348">TRANSPOSE(_xlfn._xlws.FILTER('Controllable Asset Registry'!$A$779:$A$1329,IFERROR('Controllable Asset Registry'!$E$779:$E$1329=A348,FALSE),"No Equipment in entity"))</f>
        <v>EF_RP01</v>
      </c>
      <c r="E348" t="str">
        <v>SEF_RP04</v>
      </c>
      <c r="F348" t="str">
        <v>SEF_RP05</v>
      </c>
      <c r="G348" t="str">
        <v>SEF_RP06</v>
      </c>
      <c r="H348" t="str">
        <v>SEF_ZoneA</v>
      </c>
    </row>
    <row r="349" spans="1:10" x14ac:dyDescent="0.3">
      <c r="A349" t="str">
        <f>"entity:QNL_"&amp;B349&amp;"_"&amp;C349</f>
        <v>entity:QNL_P_007_PLANT_ZONE</v>
      </c>
      <c r="B349" s="38" t="s">
        <v>9314</v>
      </c>
      <c r="C349" t="s">
        <v>9309</v>
      </c>
      <c r="D349" t="str" cm="1">
        <f t="array" ref="D349:F349">TRANSPOSE(_xlfn._xlws.FILTER('Controllable Asset Registry'!$A$779:$A$1329,IFERROR('Controllable Asset Registry'!$E$779:$E$1329=A349,FALSE),"No Equipment in entity"))</f>
        <v>EF_RP03</v>
      </c>
      <c r="E349" t="str">
        <v>SEF_RP10</v>
      </c>
      <c r="F349" t="str">
        <v>SEF_ZoneC</v>
      </c>
    </row>
    <row r="350" spans="1:10" x14ac:dyDescent="0.3">
      <c r="A350" t="str">
        <f>"entity:QNL_"&amp;B350&amp;"_"&amp;C350</f>
        <v>entity:QNL_L1_067_RESTAURANT</v>
      </c>
      <c r="B350" s="38" t="s">
        <v>9315</v>
      </c>
      <c r="C350" t="s">
        <v>8928</v>
      </c>
      <c r="D350" t="str" cm="1">
        <f t="array" ref="D350">TRANSPOSE(_xlfn._xlws.FILTER('Controllable Asset Registry'!$A$779:$A$1329,IFERROR('Controllable Asset Registry'!$E$779:$E$1329=A350,FALSE),"No Equipment in entity"))</f>
        <v>KEF_101</v>
      </c>
    </row>
    <row r="351" spans="1:10" x14ac:dyDescent="0.3">
      <c r="A351" t="str">
        <f>"entity:QNL_"&amp;B351&amp;"_"&amp;C351</f>
        <v>entity:QNL_P_006_PLANT_ZONE</v>
      </c>
      <c r="B351" s="38" t="s">
        <v>9316</v>
      </c>
      <c r="C351" t="s">
        <v>9309</v>
      </c>
      <c r="D351" t="str" cm="1">
        <f t="array" ref="D351:E351">TRANSPOSE(_xlfn._xlws.FILTER('Controllable Asset Registry'!$A$779:$A$1329,IFERROR('Controllable Asset Registry'!$E$779:$E$1329=A351,FALSE),"No Equipment in entity"))</f>
        <v>SEF_RP11</v>
      </c>
      <c r="E351" t="str">
        <v>SEF_RP12</v>
      </c>
    </row>
    <row r="352" spans="1:10" x14ac:dyDescent="0.3">
      <c r="A352" t="str">
        <f>"entity:QNL_"&amp;B352&amp;"_"&amp;C352</f>
        <v>entity:QNL_L1-E2_ELEC_SHAFT</v>
      </c>
      <c r="B352" s="38" t="s">
        <v>9317</v>
      </c>
      <c r="C352" t="s">
        <v>9318</v>
      </c>
      <c r="D352" t="str" cm="1">
        <f t="array" ref="D352">TRANSPOSE(_xlfn._xlws.FILTER('Controllable Asset Registry'!$A$779:$A$1329,IFERROR('Controllable Asset Registry'!$E$779:$E$1329=A352,FALSE),"No Equipment in entity"))</f>
        <v>TEF_101C</v>
      </c>
    </row>
    <row r="353" spans="1:4" x14ac:dyDescent="0.3">
      <c r="A353" t="str">
        <f>"entity:QNL_"&amp;B353&amp;"_"&amp;C353</f>
        <v>entity:QNL_L1-E1_ELEC_SHAFT</v>
      </c>
      <c r="B353" s="38" t="s">
        <v>9319</v>
      </c>
      <c r="C353" t="s">
        <v>9318</v>
      </c>
      <c r="D353" t="str" cm="1">
        <f t="array" ref="D353">TRANSPOSE(_xlfn._xlws.FILTER('Controllable Asset Registry'!$A$779:$A$1329,IFERROR('Controllable Asset Registry'!$E$779:$E$1329=A353,FALSE),"No Equipment in entity"))</f>
        <v>TEF_102C</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dcb4b79b-439c-444a-b500-5bf636d4983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1AB3269EF62CF4DB6D42F7A0EAAB317" ma:contentTypeVersion="10" ma:contentTypeDescription="Create a new document." ma:contentTypeScope="" ma:versionID="912ac548666438bc31c35ae40a00d90f">
  <xsd:schema xmlns:xsd="http://www.w3.org/2001/XMLSchema" xmlns:xs="http://www.w3.org/2001/XMLSchema" xmlns:p="http://schemas.microsoft.com/office/2006/metadata/properties" xmlns:ns3="dcb4b79b-439c-444a-b500-5bf636d4983e" targetNamespace="http://schemas.microsoft.com/office/2006/metadata/properties" ma:root="true" ma:fieldsID="6aa1b91f403256062fdd153d399d59cb" ns3:_="">
    <xsd:import namespace="dcb4b79b-439c-444a-b500-5bf636d4983e"/>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SystemTags" minOccurs="0"/>
                <xsd:element ref="ns3:MediaServiceOCR" minOccurs="0"/>
                <xsd:element ref="ns3:MediaServiceGenerationTime" minOccurs="0"/>
                <xsd:element ref="ns3:MediaServiceEventHashCode" minOccurs="0"/>
                <xsd:element ref="ns3:_activity"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cb4b79b-439c-444a-b500-5bf636d4983e"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_activity" ma:index="16" nillable="true" ma:displayName="_activity" ma:hidden="true" ma:internalName="_activity">
      <xsd:simpleType>
        <xsd:restriction base="dms:Note"/>
      </xsd:simpleType>
    </xsd:element>
    <xsd:element name="MediaServiceLocation" ma:index="17"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D6DDF89-0D09-4457-8566-8C67C764B12A}">
  <ds:schemaRefs>
    <ds:schemaRef ds:uri="http://schemas.microsoft.com/sharepoint/v3/contenttype/forms"/>
  </ds:schemaRefs>
</ds:datastoreItem>
</file>

<file path=customXml/itemProps2.xml><?xml version="1.0" encoding="utf-8"?>
<ds:datastoreItem xmlns:ds="http://schemas.openxmlformats.org/officeDocument/2006/customXml" ds:itemID="{C375CF60-1C76-497B-8393-4332F8FF61F1}">
  <ds:schemaRefs>
    <ds:schemaRef ds:uri="http://www.w3.org/XML/1998/namespace"/>
    <ds:schemaRef ds:uri="http://schemas.microsoft.com/office/infopath/2007/PartnerControls"/>
    <ds:schemaRef ds:uri="http://schemas.microsoft.com/office/2006/documentManagement/types"/>
    <ds:schemaRef ds:uri="http://purl.org/dc/terms/"/>
    <ds:schemaRef ds:uri="http://purl.org/dc/elements/1.1/"/>
    <ds:schemaRef ds:uri="dcb4b79b-439c-444a-b500-5bf636d4983e"/>
    <ds:schemaRef ds:uri="http://schemas.openxmlformats.org/package/2006/metadata/core-properties"/>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021BC5C6-2333-4143-8E90-5533AFB5CE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cb4b79b-439c-444a-b500-5bf636d498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Claude Log</vt:lpstr>
      <vt:lpstr>HQ Asset Register</vt:lpstr>
      <vt:lpstr>QNL Asset Register</vt:lpstr>
      <vt:lpstr>SSC Asset Register</vt:lpstr>
      <vt:lpstr>RDC Asset Register</vt:lpstr>
      <vt:lpstr>Controllable Asset Registry</vt:lpstr>
      <vt:lpstr>SSC Room Names with Equip.</vt:lpstr>
      <vt:lpstr>HQ Room Names with Equip.</vt:lpstr>
      <vt:lpstr>QNL Room Names with Equip.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Ahmad Sharaf Al Masri</cp:lastModifiedBy>
  <cp:revision>0</cp:revision>
  <dcterms:created xsi:type="dcterms:W3CDTF">2026-06-09T11:52:24Z</dcterms:created>
  <dcterms:modified xsi:type="dcterms:W3CDTF">2026-08-27T06:46:59Z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0x01010061AB3269EF62CF4DB6D42F7A0EAAB317</vt:lpwstr>
  </property>
</Properties>
</file>